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ocuments\matura-informatyka-rozszerzona\Arkusze\2025-06_PR_F2023\Rozwiazanie\"/>
    </mc:Choice>
  </mc:AlternateContent>
  <xr:revisionPtr revIDLastSave="0" documentId="13_ncr:1_{3258BF6D-A109-4EF7-B068-71D3DB0A581A}" xr6:coauthVersionLast="47" xr6:coauthVersionMax="47" xr10:uidLastSave="{00000000-0000-0000-0000-000000000000}"/>
  <bookViews>
    <workbookView xWindow="-120" yWindow="-120" windowWidth="38640" windowHeight="21120" activeTab="5" xr2:uid="{D7FC0BB8-FCEF-4E72-8C76-F4AD578DC9B0}"/>
  </bookViews>
  <sheets>
    <sheet name="fotowoltaika" sheetId="4" r:id="rId1"/>
    <sheet name="6_1" sheetId="1" r:id="rId2"/>
    <sheet name="6_2" sheetId="5" r:id="rId3"/>
    <sheet name="6_3-pomoc" sheetId="6" r:id="rId4"/>
    <sheet name="6_3" sheetId="7" r:id="rId5"/>
    <sheet name="6_4" sheetId="8" r:id="rId6"/>
  </sheets>
  <definedNames>
    <definedName name="ExternalData_1" localSheetId="1" hidden="1">'6_1'!$A$1:$G$366</definedName>
    <definedName name="ExternalData_1" localSheetId="2" hidden="1">'6_2'!$A$1:$G$366</definedName>
    <definedName name="ExternalData_1" localSheetId="3" hidden="1">'6_3-pomoc'!$A$1:$G$366</definedName>
    <definedName name="ExternalData_1" localSheetId="5" hidden="1">'6_4'!$A$1:$G$366</definedName>
    <definedName name="ExternalData_1" localSheetId="0" hidden="1">fotowoltaika!$A$1:$G$366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" i="8" l="1"/>
  <c r="M7" i="8"/>
  <c r="H4" i="8"/>
  <c r="H5" i="8"/>
  <c r="H6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19" i="8" s="1"/>
  <c r="H120" i="8" s="1"/>
  <c r="H121" i="8" s="1"/>
  <c r="H122" i="8" s="1"/>
  <c r="H123" i="8" s="1"/>
  <c r="H124" i="8" s="1"/>
  <c r="H125" i="8" s="1"/>
  <c r="H126" i="8" s="1"/>
  <c r="H127" i="8" s="1"/>
  <c r="H128" i="8" s="1"/>
  <c r="H129" i="8" s="1"/>
  <c r="H130" i="8" s="1"/>
  <c r="H131" i="8" s="1"/>
  <c r="H132" i="8" s="1"/>
  <c r="H133" i="8" s="1"/>
  <c r="H134" i="8" s="1"/>
  <c r="H135" i="8" s="1"/>
  <c r="H136" i="8" s="1"/>
  <c r="H137" i="8" s="1"/>
  <c r="H138" i="8" s="1"/>
  <c r="H139" i="8" s="1"/>
  <c r="H140" i="8" s="1"/>
  <c r="H141" i="8" s="1"/>
  <c r="H142" i="8" s="1"/>
  <c r="H143" i="8" s="1"/>
  <c r="H144" i="8" s="1"/>
  <c r="H145" i="8" s="1"/>
  <c r="H146" i="8" s="1"/>
  <c r="H147" i="8" s="1"/>
  <c r="H148" i="8" s="1"/>
  <c r="H149" i="8" s="1"/>
  <c r="H150" i="8" s="1"/>
  <c r="H151" i="8" s="1"/>
  <c r="H152" i="8" s="1"/>
  <c r="H153" i="8" s="1"/>
  <c r="H154" i="8" s="1"/>
  <c r="H155" i="8" s="1"/>
  <c r="H156" i="8" s="1"/>
  <c r="H157" i="8" s="1"/>
  <c r="H158" i="8" s="1"/>
  <c r="H159" i="8" s="1"/>
  <c r="H160" i="8" s="1"/>
  <c r="H161" i="8" s="1"/>
  <c r="H162" i="8" s="1"/>
  <c r="H163" i="8" s="1"/>
  <c r="H164" i="8" s="1"/>
  <c r="H165" i="8" s="1"/>
  <c r="H166" i="8" s="1"/>
  <c r="H167" i="8" s="1"/>
  <c r="H168" i="8" s="1"/>
  <c r="H169" i="8" s="1"/>
  <c r="H170" i="8" s="1"/>
  <c r="H171" i="8" s="1"/>
  <c r="H172" i="8" s="1"/>
  <c r="H173" i="8" s="1"/>
  <c r="H174" i="8" s="1"/>
  <c r="H175" i="8" s="1"/>
  <c r="H176" i="8" s="1"/>
  <c r="H177" i="8" s="1"/>
  <c r="H178" i="8" s="1"/>
  <c r="H179" i="8" s="1"/>
  <c r="H180" i="8" s="1"/>
  <c r="H181" i="8" s="1"/>
  <c r="H182" i="8" s="1"/>
  <c r="H183" i="8" s="1"/>
  <c r="H184" i="8" s="1"/>
  <c r="H185" i="8" s="1"/>
  <c r="H186" i="8" s="1"/>
  <c r="H187" i="8" s="1"/>
  <c r="H188" i="8" s="1"/>
  <c r="H189" i="8" s="1"/>
  <c r="H190" i="8" s="1"/>
  <c r="H191" i="8" s="1"/>
  <c r="H192" i="8" s="1"/>
  <c r="H193" i="8" s="1"/>
  <c r="H194" i="8" s="1"/>
  <c r="H195" i="8" s="1"/>
  <c r="H196" i="8" s="1"/>
  <c r="H197" i="8" s="1"/>
  <c r="H198" i="8" s="1"/>
  <c r="H199" i="8" s="1"/>
  <c r="H200" i="8" s="1"/>
  <c r="H201" i="8" s="1"/>
  <c r="H202" i="8" s="1"/>
  <c r="H203" i="8" s="1"/>
  <c r="H204" i="8" s="1"/>
  <c r="H205" i="8" s="1"/>
  <c r="H206" i="8" s="1"/>
  <c r="H207" i="8" s="1"/>
  <c r="H208" i="8" s="1"/>
  <c r="H209" i="8" s="1"/>
  <c r="H210" i="8" s="1"/>
  <c r="H211" i="8" s="1"/>
  <c r="H212" i="8" s="1"/>
  <c r="H213" i="8" s="1"/>
  <c r="H214" i="8" s="1"/>
  <c r="H215" i="8" s="1"/>
  <c r="H216" i="8" s="1"/>
  <c r="H217" i="8" s="1"/>
  <c r="H218" i="8" s="1"/>
  <c r="H219" i="8" s="1"/>
  <c r="H220" i="8" s="1"/>
  <c r="H221" i="8" s="1"/>
  <c r="H222" i="8" s="1"/>
  <c r="H223" i="8" s="1"/>
  <c r="H224" i="8" s="1"/>
  <c r="H225" i="8" s="1"/>
  <c r="H226" i="8" s="1"/>
  <c r="H227" i="8" s="1"/>
  <c r="H228" i="8" s="1"/>
  <c r="H229" i="8" s="1"/>
  <c r="H230" i="8" s="1"/>
  <c r="H231" i="8" s="1"/>
  <c r="H232" i="8" s="1"/>
  <c r="H233" i="8" s="1"/>
  <c r="H234" i="8" s="1"/>
  <c r="H235" i="8" s="1"/>
  <c r="H236" i="8" s="1"/>
  <c r="H237" i="8" s="1"/>
  <c r="H238" i="8" s="1"/>
  <c r="H239" i="8" s="1"/>
  <c r="H240" i="8" s="1"/>
  <c r="H241" i="8" s="1"/>
  <c r="H242" i="8" s="1"/>
  <c r="H243" i="8" s="1"/>
  <c r="H244" i="8" s="1"/>
  <c r="H245" i="8" s="1"/>
  <c r="H246" i="8" s="1"/>
  <c r="H247" i="8" s="1"/>
  <c r="H248" i="8" s="1"/>
  <c r="H249" i="8" s="1"/>
  <c r="H250" i="8" s="1"/>
  <c r="H251" i="8" s="1"/>
  <c r="H252" i="8" s="1"/>
  <c r="H253" i="8" s="1"/>
  <c r="H254" i="8" s="1"/>
  <c r="H255" i="8" s="1"/>
  <c r="H256" i="8" s="1"/>
  <c r="H257" i="8" s="1"/>
  <c r="H258" i="8" s="1"/>
  <c r="H259" i="8" s="1"/>
  <c r="H260" i="8" s="1"/>
  <c r="H261" i="8" s="1"/>
  <c r="H262" i="8" s="1"/>
  <c r="H263" i="8" s="1"/>
  <c r="H264" i="8" s="1"/>
  <c r="H265" i="8" s="1"/>
  <c r="H266" i="8" s="1"/>
  <c r="H267" i="8" s="1"/>
  <c r="H268" i="8" s="1"/>
  <c r="H269" i="8" s="1"/>
  <c r="H270" i="8" s="1"/>
  <c r="H271" i="8" s="1"/>
  <c r="H272" i="8" s="1"/>
  <c r="H273" i="8" s="1"/>
  <c r="H274" i="8" s="1"/>
  <c r="H275" i="8" s="1"/>
  <c r="H276" i="8" s="1"/>
  <c r="H277" i="8" s="1"/>
  <c r="H278" i="8" s="1"/>
  <c r="H279" i="8" s="1"/>
  <c r="H280" i="8" s="1"/>
  <c r="H281" i="8" s="1"/>
  <c r="H282" i="8" s="1"/>
  <c r="H283" i="8" s="1"/>
  <c r="H284" i="8" s="1"/>
  <c r="H285" i="8" s="1"/>
  <c r="H286" i="8" s="1"/>
  <c r="H287" i="8" s="1"/>
  <c r="H288" i="8" s="1"/>
  <c r="H289" i="8" s="1"/>
  <c r="H290" i="8" s="1"/>
  <c r="H291" i="8" s="1"/>
  <c r="H292" i="8" s="1"/>
  <c r="H293" i="8" s="1"/>
  <c r="H294" i="8" s="1"/>
  <c r="H295" i="8" s="1"/>
  <c r="H296" i="8" s="1"/>
  <c r="H297" i="8" s="1"/>
  <c r="H298" i="8" s="1"/>
  <c r="H299" i="8" s="1"/>
  <c r="H300" i="8" s="1"/>
  <c r="H301" i="8" s="1"/>
  <c r="H302" i="8" s="1"/>
  <c r="H303" i="8" s="1"/>
  <c r="H304" i="8" s="1"/>
  <c r="H305" i="8" s="1"/>
  <c r="H306" i="8" s="1"/>
  <c r="H307" i="8" s="1"/>
  <c r="H308" i="8" s="1"/>
  <c r="H309" i="8" s="1"/>
  <c r="H310" i="8" s="1"/>
  <c r="H311" i="8" s="1"/>
  <c r="H312" i="8" s="1"/>
  <c r="H313" i="8" s="1"/>
  <c r="H314" i="8" s="1"/>
  <c r="H315" i="8" s="1"/>
  <c r="H316" i="8" s="1"/>
  <c r="H317" i="8" s="1"/>
  <c r="H318" i="8" s="1"/>
  <c r="H319" i="8" s="1"/>
  <c r="H320" i="8" s="1"/>
  <c r="H321" i="8" s="1"/>
  <c r="H322" i="8" s="1"/>
  <c r="H323" i="8" s="1"/>
  <c r="H324" i="8" s="1"/>
  <c r="H325" i="8" s="1"/>
  <c r="H326" i="8" s="1"/>
  <c r="H327" i="8" s="1"/>
  <c r="H328" i="8" s="1"/>
  <c r="H329" i="8" s="1"/>
  <c r="H330" i="8" s="1"/>
  <c r="H331" i="8" s="1"/>
  <c r="H332" i="8" s="1"/>
  <c r="H333" i="8" s="1"/>
  <c r="H334" i="8" s="1"/>
  <c r="H335" i="8" s="1"/>
  <c r="H336" i="8" s="1"/>
  <c r="H337" i="8" s="1"/>
  <c r="H338" i="8" s="1"/>
  <c r="H339" i="8" s="1"/>
  <c r="H340" i="8" s="1"/>
  <c r="H341" i="8" s="1"/>
  <c r="H342" i="8" s="1"/>
  <c r="H343" i="8" s="1"/>
  <c r="H344" i="8" s="1"/>
  <c r="H345" i="8" s="1"/>
  <c r="H346" i="8" s="1"/>
  <c r="H347" i="8" s="1"/>
  <c r="H348" i="8" s="1"/>
  <c r="H349" i="8" s="1"/>
  <c r="H350" i="8" s="1"/>
  <c r="H351" i="8" s="1"/>
  <c r="H352" i="8" s="1"/>
  <c r="H353" i="8" s="1"/>
  <c r="H354" i="8" s="1"/>
  <c r="H355" i="8" s="1"/>
  <c r="H356" i="8" s="1"/>
  <c r="H357" i="8" s="1"/>
  <c r="H358" i="8" s="1"/>
  <c r="H359" i="8" s="1"/>
  <c r="H360" i="8" s="1"/>
  <c r="H361" i="8" s="1"/>
  <c r="H362" i="8" s="1"/>
  <c r="H363" i="8" s="1"/>
  <c r="H364" i="8" s="1"/>
  <c r="H365" i="8" s="1"/>
  <c r="H366" i="8" s="1"/>
  <c r="H3" i="8"/>
  <c r="H2" i="8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4" i="5"/>
  <c r="H5" i="5"/>
  <c r="H6" i="5"/>
  <c r="H7" i="5"/>
  <c r="H8" i="5" s="1"/>
  <c r="H9" i="5"/>
  <c r="H10" i="5" s="1"/>
  <c r="H11" i="5"/>
  <c r="H12" i="5"/>
  <c r="H13" i="5"/>
  <c r="H14" i="5" s="1"/>
  <c r="H15" i="5"/>
  <c r="H16" i="5"/>
  <c r="H17" i="5" s="1"/>
  <c r="H18" i="5" s="1"/>
  <c r="H19" i="5"/>
  <c r="H20" i="5"/>
  <c r="H21" i="5" s="1"/>
  <c r="H22" i="5"/>
  <c r="H23" i="5" s="1"/>
  <c r="H24" i="5" s="1"/>
  <c r="H25" i="5" s="1"/>
  <c r="H26" i="5" s="1"/>
  <c r="H27" i="5"/>
  <c r="H28" i="5"/>
  <c r="H29" i="5"/>
  <c r="H30" i="5"/>
  <c r="H31" i="5"/>
  <c r="H32" i="5"/>
  <c r="H33" i="5" s="1"/>
  <c r="H34" i="5" s="1"/>
  <c r="H35" i="5"/>
  <c r="H36" i="5" s="1"/>
  <c r="H37" i="5"/>
  <c r="H38" i="5"/>
  <c r="H39" i="5" s="1"/>
  <c r="H40" i="5" s="1"/>
  <c r="H41" i="5"/>
  <c r="H42" i="5"/>
  <c r="H43" i="5"/>
  <c r="H44" i="5"/>
  <c r="H45" i="5"/>
  <c r="H46" i="5"/>
  <c r="H47" i="5"/>
  <c r="H48" i="5"/>
  <c r="H49" i="5" s="1"/>
  <c r="H50" i="5"/>
  <c r="H51" i="5"/>
  <c r="H52" i="5"/>
  <c r="H53" i="5" s="1"/>
  <c r="H54" i="5"/>
  <c r="H55" i="5"/>
  <c r="H56" i="5"/>
  <c r="H57" i="5"/>
  <c r="H58" i="5"/>
  <c r="H59" i="5"/>
  <c r="H60" i="5"/>
  <c r="H61" i="5" s="1"/>
  <c r="H62" i="5"/>
  <c r="H63" i="5"/>
  <c r="H64" i="5"/>
  <c r="H65" i="5" s="1"/>
  <c r="H66" i="5"/>
  <c r="H67" i="5"/>
  <c r="H68" i="5"/>
  <c r="H69" i="5"/>
  <c r="H70" i="5"/>
  <c r="H71" i="5"/>
  <c r="H72" i="5" s="1"/>
  <c r="H73" i="5" s="1"/>
  <c r="H74" i="5"/>
  <c r="H75" i="5"/>
  <c r="H76" i="5"/>
  <c r="H77" i="5"/>
  <c r="H78" i="5"/>
  <c r="H79" i="5" s="1"/>
  <c r="H80" i="5"/>
  <c r="H81" i="5"/>
  <c r="H82" i="5"/>
  <c r="H83" i="5"/>
  <c r="H84" i="5" s="1"/>
  <c r="H85" i="5"/>
  <c r="H86" i="5"/>
  <c r="H87" i="5"/>
  <c r="H88" i="5"/>
  <c r="H89" i="5"/>
  <c r="H90" i="5"/>
  <c r="H91" i="5"/>
  <c r="H92" i="5"/>
  <c r="H93" i="5" s="1"/>
  <c r="H94" i="5"/>
  <c r="H95" i="5"/>
  <c r="H96" i="5"/>
  <c r="H97" i="5"/>
  <c r="H98" i="5"/>
  <c r="H99" i="5" s="1"/>
  <c r="H100" i="5"/>
  <c r="H101" i="5"/>
  <c r="H102" i="5"/>
  <c r="H103" i="5"/>
  <c r="H104" i="5"/>
  <c r="H105" i="5" s="1"/>
  <c r="H106" i="5"/>
  <c r="H107" i="5"/>
  <c r="H108" i="5"/>
  <c r="H109" i="5" s="1"/>
  <c r="H110" i="5" s="1"/>
  <c r="H111" i="5" s="1"/>
  <c r="H112" i="5" s="1"/>
  <c r="H113" i="5"/>
  <c r="H114" i="5"/>
  <c r="H115" i="5"/>
  <c r="H116" i="5"/>
  <c r="H117" i="5" s="1"/>
  <c r="H118" i="5" s="1"/>
  <c r="H119" i="5"/>
  <c r="H120" i="5" s="1"/>
  <c r="H121" i="5"/>
  <c r="H122" i="5"/>
  <c r="H123" i="5" s="1"/>
  <c r="H124" i="5"/>
  <c r="H125" i="5" s="1"/>
  <c r="H126" i="5"/>
  <c r="H127" i="5"/>
  <c r="H128" i="5"/>
  <c r="H129" i="5" s="1"/>
  <c r="H130" i="5"/>
  <c r="H131" i="5"/>
  <c r="H132" i="5" s="1"/>
  <c r="H133" i="5" s="1"/>
  <c r="H134" i="5"/>
  <c r="H135" i="5"/>
  <c r="H136" i="5"/>
  <c r="H137" i="5" s="1"/>
  <c r="H138" i="5"/>
  <c r="H139" i="5"/>
  <c r="H140" i="5"/>
  <c r="H141" i="5" s="1"/>
  <c r="H142" i="5"/>
  <c r="H143" i="5"/>
  <c r="H144" i="5"/>
  <c r="H145" i="5" s="1"/>
  <c r="H146" i="5"/>
  <c r="H147" i="5" s="1"/>
  <c r="H148" i="5" s="1"/>
  <c r="H149" i="5" s="1"/>
  <c r="H150" i="5" s="1"/>
  <c r="H151" i="5" s="1"/>
  <c r="H152" i="5" s="1"/>
  <c r="H153" i="5"/>
  <c r="H154" i="5"/>
  <c r="H155" i="5"/>
  <c r="H156" i="5"/>
  <c r="H157" i="5" s="1"/>
  <c r="H158" i="5" s="1"/>
  <c r="H159" i="5" s="1"/>
  <c r="H160" i="5"/>
  <c r="H161" i="5"/>
  <c r="H162" i="5"/>
  <c r="H163" i="5"/>
  <c r="H164" i="5"/>
  <c r="H165" i="5" s="1"/>
  <c r="H166" i="5" s="1"/>
  <c r="H167" i="5"/>
  <c r="H168" i="5" s="1"/>
  <c r="H169" i="5"/>
  <c r="H170" i="5"/>
  <c r="H171" i="5" s="1"/>
  <c r="H172" i="5"/>
  <c r="H173" i="5" s="1"/>
  <c r="H174" i="5"/>
  <c r="H175" i="5"/>
  <c r="H176" i="5"/>
  <c r="H177" i="5"/>
  <c r="H178" i="5"/>
  <c r="H179" i="5"/>
  <c r="H180" i="5" s="1"/>
  <c r="H181" i="5" s="1"/>
  <c r="H182" i="5"/>
  <c r="H183" i="5"/>
  <c r="H184" i="5"/>
  <c r="H185" i="5" s="1"/>
  <c r="H186" i="5" s="1"/>
  <c r="H187" i="5"/>
  <c r="H188" i="5"/>
  <c r="H189" i="5" s="1"/>
  <c r="H190" i="5"/>
  <c r="H191" i="5"/>
  <c r="H192" i="5" s="1"/>
  <c r="H193" i="5"/>
  <c r="H194" i="5"/>
  <c r="H195" i="5"/>
  <c r="H196" i="5"/>
  <c r="H197" i="5" s="1"/>
  <c r="H198" i="5"/>
  <c r="H199" i="5"/>
  <c r="H200" i="5"/>
  <c r="H201" i="5"/>
  <c r="H202" i="5"/>
  <c r="H203" i="5"/>
  <c r="H204" i="5"/>
  <c r="H205" i="5" s="1"/>
  <c r="H206" i="5"/>
  <c r="H207" i="5"/>
  <c r="H208" i="5"/>
  <c r="H209" i="5" s="1"/>
  <c r="H210" i="5" s="1"/>
  <c r="H211" i="5"/>
  <c r="H212" i="5"/>
  <c r="H213" i="5"/>
  <c r="H214" i="5"/>
  <c r="H215" i="5"/>
  <c r="H216" i="5"/>
  <c r="H217" i="5" s="1"/>
  <c r="H218" i="5"/>
  <c r="H219" i="5"/>
  <c r="H220" i="5"/>
  <c r="H221" i="5"/>
  <c r="H222" i="5"/>
  <c r="H223" i="5"/>
  <c r="H224" i="5"/>
  <c r="H225" i="5"/>
  <c r="H226" i="5"/>
  <c r="H227" i="5"/>
  <c r="H228" i="5" s="1"/>
  <c r="H229" i="5"/>
  <c r="H230" i="5"/>
  <c r="H231" i="5" s="1"/>
  <c r="H232" i="5"/>
  <c r="H233" i="5" s="1"/>
  <c r="H234" i="5"/>
  <c r="H235" i="5"/>
  <c r="H236" i="5"/>
  <c r="H237" i="5" s="1"/>
  <c r="H238" i="5"/>
  <c r="H239" i="5"/>
  <c r="H240" i="5" s="1"/>
  <c r="H241" i="5" s="1"/>
  <c r="H242" i="5" s="1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 s="1"/>
  <c r="H258" i="5" s="1"/>
  <c r="H259" i="5" s="1"/>
  <c r="H260" i="5"/>
  <c r="H261" i="5" s="1"/>
  <c r="H262" i="5"/>
  <c r="H263" i="5"/>
  <c r="H264" i="5" s="1"/>
  <c r="H265" i="5" s="1"/>
  <c r="H266" i="5" s="1"/>
  <c r="H267" i="5"/>
  <c r="H268" i="5"/>
  <c r="H269" i="5" s="1"/>
  <c r="H270" i="5"/>
  <c r="H271" i="5"/>
  <c r="H272" i="5"/>
  <c r="H273" i="5"/>
  <c r="H274" i="5"/>
  <c r="H275" i="5"/>
  <c r="H276" i="5" s="1"/>
  <c r="H277" i="5"/>
  <c r="H278" i="5"/>
  <c r="H279" i="5" s="1"/>
  <c r="H280" i="5" s="1"/>
  <c r="H281" i="5"/>
  <c r="H282" i="5"/>
  <c r="H283" i="5"/>
  <c r="H284" i="5"/>
  <c r="H285" i="5"/>
  <c r="H286" i="5"/>
  <c r="H287" i="5"/>
  <c r="H288" i="5" s="1"/>
  <c r="H289" i="5"/>
  <c r="H290" i="5"/>
  <c r="H291" i="5"/>
  <c r="H292" i="5"/>
  <c r="H293" i="5" s="1"/>
  <c r="H294" i="5" s="1"/>
  <c r="H295" i="5"/>
  <c r="H296" i="5"/>
  <c r="H297" i="5"/>
  <c r="H298" i="5"/>
  <c r="H299" i="5"/>
  <c r="H300" i="5"/>
  <c r="H301" i="5" s="1"/>
  <c r="H302" i="5"/>
  <c r="H303" i="5"/>
  <c r="H304" i="5"/>
  <c r="H305" i="5"/>
  <c r="H306" i="5"/>
  <c r="H307" i="5"/>
  <c r="H308" i="5"/>
  <c r="H309" i="5" s="1"/>
  <c r="H310" i="5" s="1"/>
  <c r="H311" i="5" s="1"/>
  <c r="H312" i="5"/>
  <c r="H313" i="5" s="1"/>
  <c r="H314" i="5"/>
  <c r="H315" i="5" s="1"/>
  <c r="H316" i="5"/>
  <c r="H317" i="5"/>
  <c r="H318" i="5"/>
  <c r="H319" i="5"/>
  <c r="H320" i="5"/>
  <c r="H321" i="5" s="1"/>
  <c r="H322" i="5" s="1"/>
  <c r="H323" i="5"/>
  <c r="H324" i="5"/>
  <c r="H325" i="5" s="1"/>
  <c r="H326" i="5"/>
  <c r="H327" i="5" s="1"/>
  <c r="H328" i="5"/>
  <c r="H329" i="5" s="1"/>
  <c r="H330" i="5"/>
  <c r="H331" i="5"/>
  <c r="H332" i="5"/>
  <c r="H333" i="5"/>
  <c r="H334" i="5"/>
  <c r="H335" i="5"/>
  <c r="H336" i="5" s="1"/>
  <c r="H337" i="5"/>
  <c r="H338" i="5"/>
  <c r="H339" i="5"/>
  <c r="H340" i="5"/>
  <c r="H341" i="5"/>
  <c r="H342" i="5" s="1"/>
  <c r="H343" i="5"/>
  <c r="H344" i="5"/>
  <c r="H345" i="5" s="1"/>
  <c r="H346" i="5"/>
  <c r="H347" i="5"/>
  <c r="H348" i="5" s="1"/>
  <c r="H349" i="5"/>
  <c r="H350" i="5"/>
  <c r="H351" i="5"/>
  <c r="H352" i="5"/>
  <c r="H353" i="5" s="1"/>
  <c r="H354" i="5"/>
  <c r="H355" i="5"/>
  <c r="H356" i="5"/>
  <c r="H357" i="5"/>
  <c r="H358" i="5"/>
  <c r="H359" i="5"/>
  <c r="H360" i="5" s="1"/>
  <c r="H361" i="5" s="1"/>
  <c r="H362" i="5" s="1"/>
  <c r="H363" i="5"/>
  <c r="H364" i="5"/>
  <c r="H365" i="5" s="1"/>
  <c r="H366" i="5"/>
  <c r="H3" i="5"/>
  <c r="M8" i="1"/>
  <c r="M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7AE5F-86E4-472E-A7F0-0493F0B11F39}" keepAlive="1" name="Zapytanie — fotowoltaika" description="Połączenie z zapytaniem „fotowoltaika” w skoroszycie." type="5" refreshedVersion="8" background="1" saveData="1">
    <dbPr connection="Provider=Microsoft.Mashup.OleDb.1;Data Source=$Workbook$;Location=fotowoltaika;Extended Properties=&quot;&quot;" command="SELECT * FROM [fotowoltaika]"/>
  </connection>
  <connection id="2" xr16:uid="{9201C2E2-0518-45E4-B8F1-A86E18DBD724}" keepAlive="1" name="Zapytanie — fotowoltaika (2)" description="Połączenie z zapytaniem „fotowoltaika (2)” w skoroszycie." type="5" refreshedVersion="0" background="1">
    <dbPr connection="Provider=Microsoft.Mashup.OleDb.1;Data Source=$Workbook$;Location=&quot;fotowoltaika (2)&quot;;Extended Properties=&quot;&quot;" command="SELECT * FROM [fotowoltaika (2)]"/>
  </connection>
  <connection id="3" xr16:uid="{32A710D2-8AF0-4B30-BE9C-DC77B51C671B}" keepAlive="1" name="Zapytanie — fotowoltaika (3)" description="Połączenie z zapytaniem „fotowoltaika (3)” w skoroszycie." type="5" refreshedVersion="8" background="1" saveData="1">
    <dbPr connection="Provider=Microsoft.Mashup.OleDb.1;Data Source=$Workbook$;Location=&quot;fotowoltaika (3)&quot;;Extended Properties=&quot;&quot;" command="SELECT * FROM [fotowoltaika (3)]"/>
  </connection>
  <connection id="4" xr16:uid="{104F4F37-58BE-4A6B-B8B5-DC72D565ADEA}" keepAlive="1" name="Zapytanie — fotowoltaika (4)" description="Połączenie z zapytaniem „fotowoltaika (4)” w skoroszycie." type="5" refreshedVersion="8" background="1" saveData="1">
    <dbPr connection="Provider=Microsoft.Mashup.OleDb.1;Data Source=$Workbook$;Location=&quot;fotowoltaika (4)&quot;;Extended Properties=&quot;&quot;" command="SELECT * FROM [fotowoltaika (4)]"/>
  </connection>
  <connection id="5" xr16:uid="{E12AECED-F209-43BE-A601-D356C2E27DB1}" keepAlive="1" name="Zapytanie — fotowoltaika (5)" description="Połączenie z zapytaniem „fotowoltaika (5)” w skoroszycie." type="5" refreshedVersion="8" background="1" saveData="1">
    <dbPr connection="Provider=Microsoft.Mashup.OleDb.1;Data Source=$Workbook$;Location=&quot;fotowoltaika (5)&quot;;Extended Properties=&quot;&quot;" command="SELECT * FROM [fotowoltaika (5)]"/>
  </connection>
  <connection id="6" xr16:uid="{6A67937C-96B1-47FF-9F88-730F83314767}" keepAlive="1" name="Zapytanie — fotowoltaika (6)" description="Połączenie z zapytaniem „fotowoltaika (6)” w skoroszycie." type="5" refreshedVersion="8" background="1" saveData="1">
    <dbPr connection="Provider=Microsoft.Mashup.OleDb.1;Data Source=$Workbook$;Location=&quot;fotowoltaika (6)&quot;;Extended Properties=&quot;&quot;" command="SELECT * FROM [fotowoltaika (6)]"/>
  </connection>
</connections>
</file>

<file path=xl/sharedStrings.xml><?xml version="1.0" encoding="utf-8"?>
<sst xmlns="http://schemas.openxmlformats.org/spreadsheetml/2006/main" count="51" uniqueCount="22">
  <si>
    <t>data</t>
  </si>
  <si>
    <t>wsch</t>
  </si>
  <si>
    <t>zach</t>
  </si>
  <si>
    <t>st_zach</t>
  </si>
  <si>
    <t>produkcja</t>
  </si>
  <si>
    <t>oddanie</t>
  </si>
  <si>
    <t>pobranie</t>
  </si>
  <si>
    <t>Zużycie</t>
  </si>
  <si>
    <t>Zużyta energia w 2022:</t>
  </si>
  <si>
    <t>Zużyta energia w styczniu:</t>
  </si>
  <si>
    <t>Ciąg</t>
  </si>
  <si>
    <t>Wynik</t>
  </si>
  <si>
    <t>Najdłuższy ciąg liczb:</t>
  </si>
  <si>
    <t>Rozpoczyna się:</t>
  </si>
  <si>
    <t>Czas_naslonecznienia</t>
  </si>
  <si>
    <t>Średnia z produkcja</t>
  </si>
  <si>
    <t>Średnia z oddanie</t>
  </si>
  <si>
    <t>Średnia z pobranie</t>
  </si>
  <si>
    <t>liczba godzin nasłonecznienia</t>
  </si>
  <si>
    <t>Stan_konta</t>
  </si>
  <si>
    <t>a)</t>
  </si>
  <si>
    <t>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</si>
</sst>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0" fontId="0" fillId="2" borderId="0" xfId="0" applyFill="1" applyAlignment="1">
      <alignment horizontal="center"/>
    </xf>
  </cellXfs>
  <cellStyles count="1">
    <cellStyle name="Normalny" xfId="0" builtinId="0"/>
  </cellStyles>
  <dxfs count="41">
    <dxf>
      <font>
        <color rgb="FF9C0006"/>
      </font>
      <fill>
        <patternFill>
          <bgColor rgb="FFFFC7CE"/>
        </patternFill>
      </fill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[6.xlsx]6_3!Tabela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Średnia z produkcji, oddania i pobrania energii w porównaniu</a:t>
            </a:r>
            <a:r>
              <a:rPr lang="en-GB" baseline="0"/>
              <a:t> do liczby godzin nasłonecznienia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'6_3'!$B$3</c:f>
              <c:strCache>
                <c:ptCount val="1"/>
                <c:pt idx="0">
                  <c:v>Średnia z produkcja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'6_3'!$A$4:$A$13</c:f>
              <c:strCach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strCache>
            </c:strRef>
          </c:cat>
          <c:val>
            <c:numRef>
              <c:f>'6_3'!$B$4:$B$13</c:f>
              <c:numCache>
                <c:formatCode>General</c:formatCode>
                <c:ptCount val="10"/>
                <c:pt idx="0">
                  <c:v>2.8851612903225816</c:v>
                </c:pt>
                <c:pt idx="1">
                  <c:v>3.8480851063829786</c:v>
                </c:pt>
                <c:pt idx="2">
                  <c:v>5.4006060606060604</c:v>
                </c:pt>
                <c:pt idx="3">
                  <c:v>6.9366666666666665</c:v>
                </c:pt>
                <c:pt idx="4">
                  <c:v>7.1539999999999981</c:v>
                </c:pt>
                <c:pt idx="5">
                  <c:v>11.322666666666665</c:v>
                </c:pt>
                <c:pt idx="6">
                  <c:v>12.232258064516127</c:v>
                </c:pt>
                <c:pt idx="7">
                  <c:v>10.975483870967745</c:v>
                </c:pt>
                <c:pt idx="8">
                  <c:v>13.208108108108107</c:v>
                </c:pt>
                <c:pt idx="9">
                  <c:v>12.592615384615385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D6-4458-9CFA-40D623A8A19F}"/>
            </c:ext>
          </c:extLst>
        </c:ser>
        <c:ser>
          <c:idx val="1"/>
          <c:order val="1"/>
          <c:tx>
            <c:strRef>
              <c:f>'6_3'!$C$3</c:f>
              <c:strCache>
                <c:ptCount val="1"/>
                <c:pt idx="0">
                  <c:v>Średnia z oddanie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'6_3'!$A$4:$A$13</c:f>
              <c:strCach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strCache>
            </c:strRef>
          </c:cat>
          <c:val>
            <c:numRef>
              <c:f>'6_3'!$C$4:$C$13</c:f>
              <c:numCache>
                <c:formatCode>General</c:formatCode>
                <c:ptCount val="10"/>
                <c:pt idx="0">
                  <c:v>1.0867741935483872</c:v>
                </c:pt>
                <c:pt idx="1">
                  <c:v>1.6531914893617019</c:v>
                </c:pt>
                <c:pt idx="2">
                  <c:v>2.5590909090909082</c:v>
                </c:pt>
                <c:pt idx="3">
                  <c:v>3.0203333333333329</c:v>
                </c:pt>
                <c:pt idx="4">
                  <c:v>3.4816666666666674</c:v>
                </c:pt>
                <c:pt idx="5">
                  <c:v>5.4006666666666669</c:v>
                </c:pt>
                <c:pt idx="6">
                  <c:v>6.347419354838709</c:v>
                </c:pt>
                <c:pt idx="7">
                  <c:v>5.5135483870967743</c:v>
                </c:pt>
                <c:pt idx="8">
                  <c:v>6.6997297297297296</c:v>
                </c:pt>
                <c:pt idx="9">
                  <c:v>6.7406153846153831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D6-4458-9CFA-40D623A8A19F}"/>
            </c:ext>
          </c:extLst>
        </c:ser>
        <c:ser>
          <c:idx val="2"/>
          <c:order val="2"/>
          <c:tx>
            <c:strRef>
              <c:f>'6_3'!$D$3</c:f>
              <c:strCache>
                <c:ptCount val="1"/>
                <c:pt idx="0">
                  <c:v>Średnia z pobranie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'6_3'!$A$4:$A$13</c:f>
              <c:strCach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strCache>
            </c:strRef>
          </c:cat>
          <c:val>
            <c:numRef>
              <c:f>'6_3'!$D$4:$D$13</c:f>
              <c:numCache>
                <c:formatCode>General</c:formatCode>
                <c:ptCount val="10"/>
                <c:pt idx="0">
                  <c:v>4.9245161290322583</c:v>
                </c:pt>
                <c:pt idx="1">
                  <c:v>3.3853191489361691</c:v>
                </c:pt>
                <c:pt idx="2">
                  <c:v>3.1033333333333335</c:v>
                </c:pt>
                <c:pt idx="3">
                  <c:v>2.8179999999999996</c:v>
                </c:pt>
                <c:pt idx="4">
                  <c:v>2.6263333333333332</c:v>
                </c:pt>
                <c:pt idx="5">
                  <c:v>2.6583333333333337</c:v>
                </c:pt>
                <c:pt idx="6">
                  <c:v>2.4974193548387102</c:v>
                </c:pt>
                <c:pt idx="7">
                  <c:v>2.5077419354838715</c:v>
                </c:pt>
                <c:pt idx="8">
                  <c:v>2.4445945945945948</c:v>
                </c:pt>
                <c:pt idx="9">
                  <c:v>2.7924615384615374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D6-4458-9CFA-40D623A8A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034495"/>
        <c:axId val="1086033535"/>
      </c:lineChart>
      <c:catAx>
        <c:axId val="1086034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Liczba</a:t>
                </a:r>
                <a:r>
                  <a:rPr lang="en-GB" baseline="0"/>
                  <a:t> godzin nasłonecznienia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33535"/>
        <c:crosses val="autoZero"/>
        <c:auto val="1"/>
        <c:lblAlgn val="ctr"/>
        <c:lblOffset val="100"/>
        <c:noMultiLvlLbl val="0"/>
      </c:catAx>
      <c:valAx>
        <c:axId val="108603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Liczba</a:t>
                </a:r>
                <a:r>
                  <a:rPr lang="en-GB" baseline="0"/>
                  <a:t> kWh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3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151803</xdr:colOff>
      <xdr:row>3</xdr:row>
      <xdr:rowOff>131564</xdr:rowOff>
    </xdr:from>
    <xdr:to>
      <xdr:col>15</xdr:col>
      <xdr:colOff>178593</xdr:colOff>
      <xdr:row>22</xdr:row>
      <xdr:rowOff>11906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FEFC235-DB69-B312-8E34-E4FDDEEFA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26.812721064816" createdVersion="8" refreshedVersion="8" minRefreshableVersion="3" recordCount="365" xr:uid="{655E1029-2290-4677-A823-1BAB151600CA}">
  <cacheSource type="worksheet">
    <worksheetSource name="fotowoltaika7"/>
  </cacheSource>
  <cacheFields count="8">
    <cacheField name="data" numFmtId="14">
      <sharedItems containsSemiMixedTypes="0" containsNonDate="0" containsDate="1" containsString="0" minDate="2022-01-01T00:00:00" maxDate="2023-01-01T00:00:00"/>
    </cacheField>
    <cacheField name="wsch" numFmtId="164">
      <sharedItems containsSemiMixedTypes="0" containsNonDate="0" containsDate="1" containsString="0" minDate="1899-12-30T04:11:48" maxDate="1899-12-30T07:43:03"/>
    </cacheField>
    <cacheField name="zach" numFmtId="164">
      <sharedItems containsSemiMixedTypes="0" containsNonDate="0" containsDate="1" containsString="0" minDate="1899-12-30T15:25:28" maxDate="1899-12-30T21:03:44"/>
    </cacheField>
    <cacheField name="st_zach" numFmtId="0">
      <sharedItems containsSemiMixedTypes="0" containsString="0" containsNumber="1" containsInteger="1" minValue="0" maxValue="8"/>
    </cacheField>
    <cacheField name="produkcja" numFmtId="0">
      <sharedItems containsSemiMixedTypes="0" containsString="0" containsNumber="1" minValue="0.26" maxValue="19.920000000000002"/>
    </cacheField>
    <cacheField name="oddanie" numFmtId="0">
      <sharedItems containsSemiMixedTypes="0" containsString="0" containsNumber="1" minValue="0" maxValue="12.94"/>
    </cacheField>
    <cacheField name="pobranie" numFmtId="0">
      <sharedItems containsSemiMixedTypes="0" containsString="0" containsNumber="1" minValue="0.21" maxValue="7.02"/>
    </cacheField>
    <cacheField name="Czas_naslonecznienia" numFmtId="0">
      <sharedItems containsSemiMixedTypes="0" containsString="0" containsNumber="1" containsInteger="1" minValue="7" maxValue="16" count="10">
        <n v="7"/>
        <n v="8"/>
        <n v="9"/>
        <n v="10"/>
        <n v="11"/>
        <n v="12"/>
        <n v="13"/>
        <n v="14"/>
        <n v="15"/>
        <n v="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2-01-01T00:00:00"/>
    <d v="1899-12-30T07:42:56"/>
    <d v="1899-12-30T15:36:07"/>
    <n v="0"/>
    <n v="7.78"/>
    <n v="3.29"/>
    <n v="4.5599999999999996"/>
    <x v="0"/>
  </r>
  <r>
    <d v="2022-01-02T00:00:00"/>
    <d v="1899-12-30T07:42:47"/>
    <d v="1899-12-30T15:37:12"/>
    <n v="4"/>
    <n v="4.47"/>
    <n v="1.23"/>
    <n v="3.99"/>
    <x v="0"/>
  </r>
  <r>
    <d v="2022-01-03T00:00:00"/>
    <d v="1899-12-30T07:42:35"/>
    <d v="1899-12-30T15:38:20"/>
    <n v="4"/>
    <n v="6.02"/>
    <n v="4.74"/>
    <n v="2.56"/>
    <x v="0"/>
  </r>
  <r>
    <d v="2022-01-04T00:00:00"/>
    <d v="1899-12-30T07:42:19"/>
    <d v="1899-12-30T15:39:30"/>
    <n v="6"/>
    <n v="2.63"/>
    <n v="1.22"/>
    <n v="5.22"/>
    <x v="0"/>
  </r>
  <r>
    <d v="2022-01-05T00:00:00"/>
    <d v="1899-12-30T07:42:00"/>
    <d v="1899-12-30T15:40:43"/>
    <n v="2"/>
    <n v="7.99"/>
    <n v="5.68"/>
    <n v="4.22"/>
    <x v="0"/>
  </r>
  <r>
    <d v="2022-01-06T00:00:00"/>
    <d v="1899-12-30T07:41:38"/>
    <d v="1899-12-30T15:41:58"/>
    <n v="3"/>
    <n v="4.6500000000000004"/>
    <n v="3.24"/>
    <n v="2.57"/>
    <x v="1"/>
  </r>
  <r>
    <d v="2022-01-07T00:00:00"/>
    <d v="1899-12-30T07:41:12"/>
    <d v="1899-12-30T15:43:16"/>
    <n v="1"/>
    <n v="7.91"/>
    <n v="2.34"/>
    <n v="2.2200000000000002"/>
    <x v="1"/>
  </r>
  <r>
    <d v="2022-01-08T00:00:00"/>
    <d v="1899-12-30T07:40:43"/>
    <d v="1899-12-30T15:44:36"/>
    <n v="1"/>
    <n v="7.24"/>
    <n v="2.58"/>
    <n v="2.4700000000000002"/>
    <x v="1"/>
  </r>
  <r>
    <d v="2022-01-09T00:00:00"/>
    <d v="1899-12-30T07:40:11"/>
    <d v="1899-12-30T15:45:59"/>
    <n v="1"/>
    <n v="7.96"/>
    <n v="2.74"/>
    <n v="1.95"/>
    <x v="1"/>
  </r>
  <r>
    <d v="2022-01-10T00:00:00"/>
    <d v="1899-12-30T07:39:35"/>
    <d v="1899-12-30T15:47:23"/>
    <n v="3"/>
    <n v="2.37"/>
    <n v="0.96"/>
    <n v="2.3199999999999998"/>
    <x v="1"/>
  </r>
  <r>
    <d v="2022-01-11T00:00:00"/>
    <d v="1899-12-30T07:38:56"/>
    <d v="1899-12-30T15:48:50"/>
    <n v="5"/>
    <n v="1.56"/>
    <n v="0.45"/>
    <n v="3.21"/>
    <x v="1"/>
  </r>
  <r>
    <d v="2022-01-12T00:00:00"/>
    <d v="1899-12-30T07:38:14"/>
    <d v="1899-12-30T15:50:18"/>
    <n v="6"/>
    <n v="1.27"/>
    <n v="0.22"/>
    <n v="3.34"/>
    <x v="1"/>
  </r>
  <r>
    <d v="2022-01-13T00:00:00"/>
    <d v="1899-12-30T07:37:29"/>
    <d v="1899-12-30T15:51:49"/>
    <n v="0"/>
    <n v="8.6300000000000008"/>
    <n v="3.47"/>
    <n v="2.2599999999999998"/>
    <x v="1"/>
  </r>
  <r>
    <d v="2022-01-14T00:00:00"/>
    <d v="1899-12-30T07:36:41"/>
    <d v="1899-12-30T15:53:21"/>
    <n v="1"/>
    <n v="7.36"/>
    <n v="2.2200000000000002"/>
    <n v="2.56"/>
    <x v="1"/>
  </r>
  <r>
    <d v="2022-01-15T00:00:00"/>
    <d v="1899-12-30T07:35:50"/>
    <d v="1899-12-30T15:54:55"/>
    <n v="5"/>
    <n v="2.11"/>
    <n v="0.45"/>
    <n v="2.21"/>
    <x v="1"/>
  </r>
  <r>
    <d v="2022-01-16T00:00:00"/>
    <d v="1899-12-30T07:34:56"/>
    <d v="1899-12-30T15:56:31"/>
    <n v="3"/>
    <n v="5.31"/>
    <n v="3.45"/>
    <n v="1.22"/>
    <x v="1"/>
  </r>
  <r>
    <d v="2022-01-17T00:00:00"/>
    <d v="1899-12-30T07:33:59"/>
    <d v="1899-12-30T15:58:08"/>
    <n v="2"/>
    <n v="5.93"/>
    <n v="1.25"/>
    <n v="3.34"/>
    <x v="1"/>
  </r>
  <r>
    <d v="2022-01-18T00:00:00"/>
    <d v="1899-12-30T07:32:59"/>
    <d v="1899-12-30T15:59:46"/>
    <n v="6"/>
    <n v="2.19"/>
    <n v="0.21"/>
    <n v="3.22"/>
    <x v="1"/>
  </r>
  <r>
    <d v="2022-01-19T00:00:00"/>
    <d v="1899-12-30T07:31:56"/>
    <d v="1899-12-30T16:01:26"/>
    <n v="4"/>
    <n v="3.53"/>
    <n v="0.34"/>
    <n v="1.25"/>
    <x v="1"/>
  </r>
  <r>
    <d v="2022-01-20T00:00:00"/>
    <d v="1899-12-30T07:30:51"/>
    <d v="1899-12-30T16:03:07"/>
    <n v="3"/>
    <n v="4.33"/>
    <n v="0.99"/>
    <n v="0.21"/>
    <x v="1"/>
  </r>
  <r>
    <d v="2022-01-21T00:00:00"/>
    <d v="1899-12-30T07:29:43"/>
    <d v="1899-12-30T16:04:50"/>
    <n v="6"/>
    <n v="2.33"/>
    <n v="0.02"/>
    <n v="2.61"/>
    <x v="1"/>
  </r>
  <r>
    <d v="2022-01-22T00:00:00"/>
    <d v="1899-12-30T07:28:32"/>
    <d v="1899-12-30T16:06:33"/>
    <n v="6"/>
    <n v="3.21"/>
    <n v="0.78"/>
    <n v="2.2200000000000002"/>
    <x v="1"/>
  </r>
  <r>
    <d v="2022-01-23T00:00:00"/>
    <d v="1899-12-30T07:27:19"/>
    <d v="1899-12-30T16:08:18"/>
    <n v="5"/>
    <n v="4.0199999999999996"/>
    <n v="2.0099999999999998"/>
    <n v="1.01"/>
    <x v="1"/>
  </r>
  <r>
    <d v="2022-01-24T00:00:00"/>
    <d v="1899-12-30T07:26:03"/>
    <d v="1899-12-30T16:10:03"/>
    <n v="4"/>
    <n v="4.45"/>
    <n v="2.34"/>
    <n v="1.95"/>
    <x v="1"/>
  </r>
  <r>
    <d v="2022-01-25T00:00:00"/>
    <d v="1899-12-30T07:24:44"/>
    <d v="1899-12-30T16:11:49"/>
    <n v="3"/>
    <n v="5.52"/>
    <n v="2.21"/>
    <n v="1.21"/>
    <x v="1"/>
  </r>
  <r>
    <d v="2022-01-26T00:00:00"/>
    <d v="1899-12-30T07:23:24"/>
    <d v="1899-12-30T16:13:37"/>
    <n v="2"/>
    <n v="5.1100000000000003"/>
    <n v="2.02"/>
    <n v="1.35"/>
    <x v="1"/>
  </r>
  <r>
    <d v="2022-01-27T00:00:00"/>
    <d v="1899-12-30T07:22:01"/>
    <d v="1899-12-30T16:15:25"/>
    <n v="1"/>
    <n v="4.97"/>
    <n v="1.92"/>
    <n v="2.0099999999999998"/>
    <x v="1"/>
  </r>
  <r>
    <d v="2022-01-28T00:00:00"/>
    <d v="1899-12-30T07:20:35"/>
    <d v="1899-12-30T16:17:13"/>
    <n v="1"/>
    <n v="5.67"/>
    <n v="3.21"/>
    <n v="1.01"/>
    <x v="1"/>
  </r>
  <r>
    <d v="2022-01-29T00:00:00"/>
    <d v="1899-12-30T07:19:07"/>
    <d v="1899-12-30T16:19:02"/>
    <n v="1"/>
    <n v="5.76"/>
    <n v="3.33"/>
    <n v="2.0099999999999998"/>
    <x v="1"/>
  </r>
  <r>
    <d v="2022-01-30T00:00:00"/>
    <d v="1899-12-30T07:17:38"/>
    <d v="1899-12-30T16:20:52"/>
    <n v="2"/>
    <n v="5.97"/>
    <n v="3.48"/>
    <n v="1.93"/>
    <x v="2"/>
  </r>
  <r>
    <d v="2022-01-31T00:00:00"/>
    <d v="1899-12-30T07:16:06"/>
    <d v="1899-12-30T16:22:42"/>
    <n v="1"/>
    <n v="6.01"/>
    <n v="2.34"/>
    <n v="0.94"/>
    <x v="2"/>
  </r>
  <r>
    <d v="2022-02-01T00:00:00"/>
    <d v="1899-12-30T07:14:32"/>
    <d v="1899-12-30T16:24:33"/>
    <n v="1"/>
    <n v="6.18"/>
    <n v="1.34"/>
    <n v="1.28"/>
    <x v="2"/>
  </r>
  <r>
    <d v="2022-02-02T00:00:00"/>
    <d v="1899-12-30T07:12:56"/>
    <d v="1899-12-30T16:26:24"/>
    <n v="1"/>
    <n v="7.25"/>
    <n v="1.57"/>
    <n v="1.01"/>
    <x v="2"/>
  </r>
  <r>
    <d v="2022-02-03T00:00:00"/>
    <d v="1899-12-30T07:11:18"/>
    <d v="1899-12-30T16:28:16"/>
    <n v="4"/>
    <n v="3.63"/>
    <n v="1.21"/>
    <n v="2.25"/>
    <x v="2"/>
  </r>
  <r>
    <d v="2022-02-04T00:00:00"/>
    <d v="1899-12-30T07:09:38"/>
    <d v="1899-12-30T16:30:07"/>
    <n v="1"/>
    <n v="7.8"/>
    <n v="3.34"/>
    <n v="2.94"/>
    <x v="2"/>
  </r>
  <r>
    <d v="2022-02-05T00:00:00"/>
    <d v="1899-12-30T07:07:56"/>
    <d v="1899-12-30T16:31:59"/>
    <n v="2"/>
    <n v="5.0199999999999996"/>
    <n v="2.13"/>
    <n v="3.1"/>
    <x v="2"/>
  </r>
  <r>
    <d v="2022-02-06T00:00:00"/>
    <d v="1899-12-30T07:06:12"/>
    <d v="1899-12-30T16:33:51"/>
    <n v="1"/>
    <n v="6.87"/>
    <n v="2.89"/>
    <n v="3.34"/>
    <x v="2"/>
  </r>
  <r>
    <d v="2022-02-07T00:00:00"/>
    <d v="1899-12-30T07:04:27"/>
    <d v="1899-12-30T16:35:44"/>
    <n v="1"/>
    <n v="7.59"/>
    <n v="2.56"/>
    <n v="2.78"/>
    <x v="2"/>
  </r>
  <r>
    <d v="2022-02-08T00:00:00"/>
    <d v="1899-12-30T07:02:40"/>
    <d v="1899-12-30T16:37:36"/>
    <n v="1"/>
    <n v="7.84"/>
    <n v="2.63"/>
    <n v="2.19"/>
    <x v="2"/>
  </r>
  <r>
    <d v="2022-02-09T00:00:00"/>
    <d v="1899-12-30T07:00:52"/>
    <d v="1899-12-30T16:39:29"/>
    <n v="6"/>
    <n v="2.93"/>
    <n v="1.1299999999999999"/>
    <n v="3.1"/>
    <x v="2"/>
  </r>
  <r>
    <d v="2022-02-10T00:00:00"/>
    <d v="1899-12-30T06:59:01"/>
    <d v="1899-12-30T16:41:21"/>
    <n v="7"/>
    <n v="1.24"/>
    <n v="0.3"/>
    <n v="2.14"/>
    <x v="2"/>
  </r>
  <r>
    <d v="2022-02-11T00:00:00"/>
    <d v="1899-12-30T06:57:10"/>
    <d v="1899-12-30T16:43:14"/>
    <n v="8"/>
    <n v="0.26"/>
    <n v="0"/>
    <n v="4.8600000000000003"/>
    <x v="2"/>
  </r>
  <r>
    <d v="2022-02-12T00:00:00"/>
    <d v="1899-12-30T06:55:16"/>
    <d v="1899-12-30T16:45:06"/>
    <n v="2"/>
    <n v="5.79"/>
    <n v="1.7"/>
    <n v="0.8"/>
    <x v="2"/>
  </r>
  <r>
    <d v="2022-02-13T00:00:00"/>
    <d v="1899-12-30T06:53:22"/>
    <d v="1899-12-30T16:46:58"/>
    <n v="3"/>
    <n v="5.26"/>
    <n v="1.42"/>
    <n v="2.34"/>
    <x v="2"/>
  </r>
  <r>
    <d v="2022-02-14T00:00:00"/>
    <d v="1899-12-30T06:51:25"/>
    <d v="1899-12-30T16:48:51"/>
    <n v="2"/>
    <n v="5.62"/>
    <n v="2.41"/>
    <n v="2.59"/>
    <x v="2"/>
  </r>
  <r>
    <d v="2022-02-15T00:00:00"/>
    <d v="1899-12-30T06:49:28"/>
    <d v="1899-12-30T16:50:43"/>
    <n v="4"/>
    <n v="3.58"/>
    <n v="1.63"/>
    <n v="3.21"/>
    <x v="3"/>
  </r>
  <r>
    <d v="2022-02-16T00:00:00"/>
    <d v="1899-12-30T06:47:29"/>
    <d v="1899-12-30T16:52:35"/>
    <n v="7"/>
    <n v="1.1599999999999999"/>
    <n v="0.25"/>
    <n v="2.1"/>
    <x v="3"/>
  </r>
  <r>
    <d v="2022-02-17T00:00:00"/>
    <d v="1899-12-30T06:45:29"/>
    <d v="1899-12-30T16:54:27"/>
    <n v="1"/>
    <n v="8.59"/>
    <n v="3.68"/>
    <n v="2.36"/>
    <x v="3"/>
  </r>
  <r>
    <d v="2022-02-18T00:00:00"/>
    <d v="1899-12-30T06:43:28"/>
    <d v="1899-12-30T16:56:18"/>
    <n v="3"/>
    <n v="4.24"/>
    <n v="1.27"/>
    <n v="3.09"/>
    <x v="3"/>
  </r>
  <r>
    <d v="2022-02-19T00:00:00"/>
    <d v="1899-12-30T06:41:26"/>
    <d v="1899-12-30T16:58:10"/>
    <n v="6"/>
    <n v="2.1800000000000002"/>
    <n v="0.9"/>
    <n v="3.17"/>
    <x v="3"/>
  </r>
  <r>
    <d v="2022-02-20T00:00:00"/>
    <d v="1899-12-30T06:39:22"/>
    <d v="1899-12-30T17:00:01"/>
    <n v="0"/>
    <n v="9.14"/>
    <n v="2.74"/>
    <n v="1.96"/>
    <x v="3"/>
  </r>
  <r>
    <d v="2022-02-21T00:00:00"/>
    <d v="1899-12-30T06:37:18"/>
    <d v="1899-12-30T17:01:52"/>
    <n v="0"/>
    <n v="9.85"/>
    <n v="3.02"/>
    <n v="2.46"/>
    <x v="3"/>
  </r>
  <r>
    <d v="2022-02-22T00:00:00"/>
    <d v="1899-12-30T06:35:12"/>
    <d v="1899-12-30T17:03:43"/>
    <n v="1"/>
    <n v="9.2899999999999991"/>
    <n v="2.79"/>
    <n v="1.49"/>
    <x v="3"/>
  </r>
  <r>
    <d v="2022-02-23T00:00:00"/>
    <d v="1899-12-30T06:33:05"/>
    <d v="1899-12-30T17:05:34"/>
    <n v="4"/>
    <n v="2.57"/>
    <n v="0.76"/>
    <n v="4.03"/>
    <x v="3"/>
  </r>
  <r>
    <d v="2022-02-24T00:00:00"/>
    <d v="1899-12-30T06:30:58"/>
    <d v="1899-12-30T17:07:24"/>
    <n v="0"/>
    <n v="9.64"/>
    <n v="3.82"/>
    <n v="2.36"/>
    <x v="3"/>
  </r>
  <r>
    <d v="2022-02-25T00:00:00"/>
    <d v="1899-12-30T06:28:49"/>
    <d v="1899-12-30T17:09:14"/>
    <n v="0"/>
    <n v="9.35"/>
    <n v="3.73"/>
    <n v="2.1800000000000002"/>
    <x v="3"/>
  </r>
  <r>
    <d v="2022-02-26T00:00:00"/>
    <d v="1899-12-30T06:26:40"/>
    <d v="1899-12-30T17:11:04"/>
    <n v="0"/>
    <n v="8.76"/>
    <n v="3.92"/>
    <n v="2.4"/>
    <x v="3"/>
  </r>
  <r>
    <d v="2022-02-27T00:00:00"/>
    <d v="1899-12-30T06:24:29"/>
    <d v="1899-12-30T17:12:53"/>
    <n v="0"/>
    <n v="9.77"/>
    <n v="3.26"/>
    <n v="1.3"/>
    <x v="3"/>
  </r>
  <r>
    <d v="2022-02-28T00:00:00"/>
    <d v="1899-12-30T06:22:18"/>
    <d v="1899-12-30T17:14:43"/>
    <n v="5"/>
    <n v="2.93"/>
    <n v="1.03"/>
    <n v="2.99"/>
    <x v="3"/>
  </r>
  <r>
    <d v="2022-03-01T00:00:00"/>
    <d v="1899-12-30T06:20:07"/>
    <d v="1899-12-30T17:16:32"/>
    <n v="2"/>
    <n v="4.66"/>
    <n v="1.37"/>
    <n v="2.0499999999999998"/>
    <x v="3"/>
  </r>
  <r>
    <d v="2022-03-02T00:00:00"/>
    <d v="1899-12-30T06:17:54"/>
    <d v="1899-12-30T17:18:20"/>
    <n v="6"/>
    <n v="2.99"/>
    <n v="0.74"/>
    <n v="1.48"/>
    <x v="4"/>
  </r>
  <r>
    <d v="2022-03-03T00:00:00"/>
    <d v="1899-12-30T06:15:41"/>
    <d v="1899-12-30T17:20:09"/>
    <n v="7"/>
    <n v="1.1399999999999999"/>
    <n v="0.22"/>
    <n v="3.27"/>
    <x v="4"/>
  </r>
  <r>
    <d v="2022-03-04T00:00:00"/>
    <d v="1899-12-30T06:13:27"/>
    <d v="1899-12-30T17:21:57"/>
    <n v="0"/>
    <n v="9.7100000000000009"/>
    <n v="3.95"/>
    <n v="1.96"/>
    <x v="4"/>
  </r>
  <r>
    <d v="2022-03-05T00:00:00"/>
    <d v="1899-12-30T06:11:12"/>
    <d v="1899-12-30T17:23:45"/>
    <n v="0"/>
    <n v="9.92"/>
    <n v="3.01"/>
    <n v="1.52"/>
    <x v="4"/>
  </r>
  <r>
    <d v="2022-03-06T00:00:00"/>
    <d v="1899-12-30T06:08:57"/>
    <d v="1899-12-30T17:25:33"/>
    <n v="1"/>
    <n v="9.66"/>
    <n v="2.79"/>
    <n v="1.24"/>
    <x v="4"/>
  </r>
  <r>
    <d v="2022-03-07T00:00:00"/>
    <d v="1899-12-30T06:06:41"/>
    <d v="1899-12-30T17:27:20"/>
    <n v="4"/>
    <n v="3.6"/>
    <n v="1.68"/>
    <n v="2.75"/>
    <x v="4"/>
  </r>
  <r>
    <d v="2022-03-08T00:00:00"/>
    <d v="1899-12-30T06:04:25"/>
    <d v="1899-12-30T17:29:07"/>
    <n v="2"/>
    <n v="4.9000000000000004"/>
    <n v="2.5299999999999998"/>
    <n v="2.46"/>
    <x v="4"/>
  </r>
  <r>
    <d v="2022-03-09T00:00:00"/>
    <d v="1899-12-30T06:02:08"/>
    <d v="1899-12-30T17:30:54"/>
    <n v="3"/>
    <n v="3.29"/>
    <n v="0.73"/>
    <n v="2.4300000000000002"/>
    <x v="4"/>
  </r>
  <r>
    <d v="2022-03-10T00:00:00"/>
    <d v="1899-12-30T05:59:51"/>
    <d v="1899-12-30T17:32:41"/>
    <n v="1"/>
    <n v="7.92"/>
    <n v="1.58"/>
    <n v="1.63"/>
    <x v="4"/>
  </r>
  <r>
    <d v="2022-03-11T00:00:00"/>
    <d v="1899-12-30T05:57:34"/>
    <d v="1899-12-30T17:34:27"/>
    <n v="4"/>
    <n v="2.99"/>
    <n v="1.05"/>
    <n v="2.89"/>
    <x v="4"/>
  </r>
  <r>
    <d v="2022-03-12T00:00:00"/>
    <d v="1899-12-30T05:55:15"/>
    <d v="1899-12-30T17:36:13"/>
    <n v="0"/>
    <n v="11.09"/>
    <n v="3.46"/>
    <n v="1.28"/>
    <x v="4"/>
  </r>
  <r>
    <d v="2022-03-13T00:00:00"/>
    <d v="1899-12-30T05:52:57"/>
    <d v="1899-12-30T17:37:59"/>
    <n v="0"/>
    <n v="12.5"/>
    <n v="3.14"/>
    <n v="1.24"/>
    <x v="4"/>
  </r>
  <r>
    <d v="2022-03-14T00:00:00"/>
    <d v="1899-12-30T05:50:38"/>
    <d v="1899-12-30T17:39:45"/>
    <n v="2"/>
    <n v="5.32"/>
    <n v="2.64"/>
    <n v="3.06"/>
    <x v="4"/>
  </r>
  <r>
    <d v="2022-03-15T00:00:00"/>
    <d v="1899-12-30T05:48:19"/>
    <d v="1899-12-30T17:41:31"/>
    <n v="6"/>
    <n v="3.14"/>
    <n v="1.73"/>
    <n v="3.82"/>
    <x v="4"/>
  </r>
  <r>
    <d v="2022-03-16T00:00:00"/>
    <d v="1899-12-30T05:46:00"/>
    <d v="1899-12-30T17:43:16"/>
    <n v="0"/>
    <n v="12.41"/>
    <n v="3.85"/>
    <n v="0.67"/>
    <x v="4"/>
  </r>
  <r>
    <d v="2022-03-17T00:00:00"/>
    <d v="1899-12-30T05:43:41"/>
    <d v="1899-12-30T17:45:01"/>
    <n v="4"/>
    <n v="3.11"/>
    <n v="2.14"/>
    <n v="4.2"/>
    <x v="5"/>
  </r>
  <r>
    <d v="2022-03-18T00:00:00"/>
    <d v="1899-12-30T05:41:21"/>
    <d v="1899-12-30T17:46:46"/>
    <n v="0"/>
    <n v="11.14"/>
    <n v="3.57"/>
    <n v="1.4"/>
    <x v="5"/>
  </r>
  <r>
    <d v="2022-03-19T00:00:00"/>
    <d v="1899-12-30T05:39:01"/>
    <d v="1899-12-30T17:48:31"/>
    <n v="0"/>
    <n v="14.64"/>
    <n v="3.79"/>
    <n v="0.42"/>
    <x v="5"/>
  </r>
  <r>
    <d v="2022-03-20T00:00:00"/>
    <d v="1899-12-30T05:36:41"/>
    <d v="1899-12-30T17:50:16"/>
    <n v="0"/>
    <n v="12.39"/>
    <n v="3.87"/>
    <n v="1.02"/>
    <x v="5"/>
  </r>
  <r>
    <d v="2022-03-21T00:00:00"/>
    <d v="1899-12-30T05:34:21"/>
    <d v="1899-12-30T17:52:00"/>
    <n v="3"/>
    <n v="3.56"/>
    <n v="1.4"/>
    <n v="3.29"/>
    <x v="5"/>
  </r>
  <r>
    <d v="2022-03-22T00:00:00"/>
    <d v="1899-12-30T05:32:01"/>
    <d v="1899-12-30T17:53:45"/>
    <n v="5"/>
    <n v="3.59"/>
    <n v="2.0099999999999998"/>
    <n v="3.66"/>
    <x v="5"/>
  </r>
  <r>
    <d v="2022-03-23T00:00:00"/>
    <d v="1899-12-30T05:29:40"/>
    <d v="1899-12-30T17:55:29"/>
    <n v="0"/>
    <n v="12.04"/>
    <n v="3.72"/>
    <n v="1.59"/>
    <x v="5"/>
  </r>
  <r>
    <d v="2022-03-24T00:00:00"/>
    <d v="1899-12-30T05:27:20"/>
    <d v="1899-12-30T17:57:13"/>
    <n v="0"/>
    <n v="12.54"/>
    <n v="3.69"/>
    <n v="1.05"/>
    <x v="5"/>
  </r>
  <r>
    <d v="2022-03-25T00:00:00"/>
    <d v="1899-12-30T05:25:00"/>
    <d v="1899-12-30T17:58:58"/>
    <n v="3"/>
    <n v="3.96"/>
    <n v="2.59"/>
    <n v="3.5"/>
    <x v="5"/>
  </r>
  <r>
    <d v="2022-03-26T00:00:00"/>
    <d v="1899-12-30T05:22:39"/>
    <d v="1899-12-30T18:00:42"/>
    <n v="0"/>
    <n v="12.15"/>
    <n v="3.61"/>
    <n v="0.86"/>
    <x v="5"/>
  </r>
  <r>
    <d v="2022-03-27T00:00:00"/>
    <d v="1899-12-30T06:20:19"/>
    <d v="1899-12-30T19:02:26"/>
    <n v="0"/>
    <n v="10.83"/>
    <n v="3.78"/>
    <n v="2.4700000000000002"/>
    <x v="5"/>
  </r>
  <r>
    <d v="2022-03-28T00:00:00"/>
    <d v="1899-12-30T06:17:59"/>
    <d v="1899-12-30T19:04:10"/>
    <n v="4"/>
    <n v="4.42"/>
    <n v="3.15"/>
    <n v="3.62"/>
    <x v="5"/>
  </r>
  <r>
    <d v="2022-03-29T00:00:00"/>
    <d v="1899-12-30T06:15:39"/>
    <d v="1899-12-30T19:05:53"/>
    <n v="7"/>
    <n v="1.83"/>
    <n v="0.6"/>
    <n v="2.89"/>
    <x v="5"/>
  </r>
  <r>
    <d v="2022-03-30T00:00:00"/>
    <d v="1899-12-30T06:13:19"/>
    <d v="1899-12-30T19:07:37"/>
    <n v="0"/>
    <n v="10.86"/>
    <n v="3.24"/>
    <n v="1.57"/>
    <x v="5"/>
  </r>
  <r>
    <d v="2022-03-31T00:00:00"/>
    <d v="1899-12-30T06:11:00"/>
    <d v="1899-12-30T19:09:21"/>
    <n v="0"/>
    <n v="10.73"/>
    <n v="3.02"/>
    <n v="2.14"/>
    <x v="5"/>
  </r>
  <r>
    <d v="2022-04-01T00:00:00"/>
    <d v="1899-12-30T06:08:40"/>
    <d v="1899-12-30T19:11:05"/>
    <n v="3"/>
    <n v="5.21"/>
    <n v="2.46"/>
    <n v="2.89"/>
    <x v="6"/>
  </r>
  <r>
    <d v="2022-04-02T00:00:00"/>
    <d v="1899-12-30T06:06:21"/>
    <d v="1899-12-30T19:12:48"/>
    <n v="0"/>
    <n v="11.83"/>
    <n v="3.14"/>
    <n v="1.08"/>
    <x v="6"/>
  </r>
  <r>
    <d v="2022-04-03T00:00:00"/>
    <d v="1899-12-30T06:04:02"/>
    <d v="1899-12-30T19:14:32"/>
    <n v="6"/>
    <n v="2.3199999999999998"/>
    <n v="1.08"/>
    <n v="4.09"/>
    <x v="6"/>
  </r>
  <r>
    <d v="2022-04-04T00:00:00"/>
    <d v="1899-12-30T06:01:44"/>
    <d v="1899-12-30T19:16:16"/>
    <n v="2"/>
    <n v="6.34"/>
    <n v="3.25"/>
    <n v="2.0099999999999998"/>
    <x v="6"/>
  </r>
  <r>
    <d v="2022-04-05T00:00:00"/>
    <d v="1899-12-30T05:59:25"/>
    <d v="1899-12-30T19:17:59"/>
    <n v="4"/>
    <n v="4.87"/>
    <n v="1.47"/>
    <n v="1.86"/>
    <x v="6"/>
  </r>
  <r>
    <d v="2022-04-06T00:00:00"/>
    <d v="1899-12-30T05:57:08"/>
    <d v="1899-12-30T19:19:43"/>
    <n v="4"/>
    <n v="3.57"/>
    <n v="0.16"/>
    <n v="2.94"/>
    <x v="6"/>
  </r>
  <r>
    <d v="2022-04-07T00:00:00"/>
    <d v="1899-12-30T05:54:50"/>
    <d v="1899-12-30T19:21:27"/>
    <n v="2"/>
    <n v="6.61"/>
    <n v="2.5099999999999998"/>
    <n v="1.34"/>
    <x v="6"/>
  </r>
  <r>
    <d v="2022-04-08T00:00:00"/>
    <d v="1899-12-30T05:52:33"/>
    <d v="1899-12-30T19:23:10"/>
    <n v="0"/>
    <n v="14.15"/>
    <n v="3.32"/>
    <n v="1.82"/>
    <x v="6"/>
  </r>
  <r>
    <d v="2022-04-09T00:00:00"/>
    <d v="1899-12-30T05:50:17"/>
    <d v="1899-12-30T19:24:54"/>
    <n v="0"/>
    <n v="10.3"/>
    <n v="3.31"/>
    <n v="4.1500000000000004"/>
    <x v="6"/>
  </r>
  <r>
    <d v="2022-04-10T00:00:00"/>
    <d v="1899-12-30T05:48:01"/>
    <d v="1899-12-30T19:26:38"/>
    <n v="0"/>
    <n v="10.039999999999999"/>
    <n v="3.85"/>
    <n v="3.16"/>
    <x v="6"/>
  </r>
  <r>
    <d v="2022-04-11T00:00:00"/>
    <d v="1899-12-30T05:45:45"/>
    <d v="1899-12-30T19:28:21"/>
    <n v="4"/>
    <n v="3.82"/>
    <n v="1.64"/>
    <n v="3.12"/>
    <x v="6"/>
  </r>
  <r>
    <d v="2022-04-12T00:00:00"/>
    <d v="1899-12-30T05:43:30"/>
    <d v="1899-12-30T19:30:05"/>
    <n v="1"/>
    <n v="7.92"/>
    <n v="3.79"/>
    <n v="3.05"/>
    <x v="6"/>
  </r>
  <r>
    <d v="2022-04-13T00:00:00"/>
    <d v="1899-12-30T05:41:16"/>
    <d v="1899-12-30T19:31:49"/>
    <n v="1"/>
    <n v="7.5"/>
    <n v="3.12"/>
    <n v="2.94"/>
    <x v="6"/>
  </r>
  <r>
    <d v="2022-04-14T00:00:00"/>
    <d v="1899-12-30T05:39:02"/>
    <d v="1899-12-30T19:33:32"/>
    <n v="0"/>
    <n v="12.58"/>
    <n v="3.42"/>
    <n v="2.0499999999999998"/>
    <x v="6"/>
  </r>
  <r>
    <d v="2022-04-15T00:00:00"/>
    <d v="1899-12-30T05:36:49"/>
    <d v="1899-12-30T19:35:16"/>
    <n v="2"/>
    <n v="7.66"/>
    <n v="3.41"/>
    <n v="1.68"/>
    <x v="6"/>
  </r>
  <r>
    <d v="2022-04-16T00:00:00"/>
    <d v="1899-12-30T05:34:37"/>
    <d v="1899-12-30T19:37:00"/>
    <n v="4"/>
    <n v="4.16"/>
    <n v="1.58"/>
    <n v="2.89"/>
    <x v="7"/>
  </r>
  <r>
    <d v="2022-04-17T00:00:00"/>
    <d v="1899-12-30T05:32:25"/>
    <d v="1899-12-30T19:38:44"/>
    <n v="6"/>
    <n v="2.34"/>
    <n v="1.06"/>
    <n v="2.46"/>
    <x v="7"/>
  </r>
  <r>
    <d v="2022-04-18T00:00:00"/>
    <d v="1899-12-30T05:30:15"/>
    <d v="1899-12-30T19:40:27"/>
    <n v="6"/>
    <n v="2.42"/>
    <n v="1.24"/>
    <n v="2.97"/>
    <x v="7"/>
  </r>
  <r>
    <d v="2022-04-19T00:00:00"/>
    <d v="1899-12-30T05:28:05"/>
    <d v="1899-12-30T19:42:11"/>
    <n v="4"/>
    <n v="3.78"/>
    <n v="2.0699999999999998"/>
    <n v="2.93"/>
    <x v="7"/>
  </r>
  <r>
    <d v="2022-04-20T00:00:00"/>
    <d v="1899-12-30T05:25:56"/>
    <d v="1899-12-30T19:43:54"/>
    <n v="1"/>
    <n v="7.54"/>
    <n v="2.57"/>
    <n v="2.06"/>
    <x v="7"/>
  </r>
  <r>
    <d v="2022-04-21T00:00:00"/>
    <d v="1899-12-30T05:23:48"/>
    <d v="1899-12-30T19:45:38"/>
    <n v="0"/>
    <n v="13.18"/>
    <n v="3.56"/>
    <n v="2.02"/>
    <x v="7"/>
  </r>
  <r>
    <d v="2022-04-22T00:00:00"/>
    <d v="1899-12-30T05:21:40"/>
    <d v="1899-12-30T19:47:22"/>
    <n v="5"/>
    <n v="2.54"/>
    <n v="0.68"/>
    <n v="3.58"/>
    <x v="7"/>
  </r>
  <r>
    <d v="2022-04-23T00:00:00"/>
    <d v="1899-12-30T05:19:34"/>
    <d v="1899-12-30T19:49:05"/>
    <n v="0"/>
    <n v="10.62"/>
    <n v="3.13"/>
    <n v="2.0699999999999998"/>
    <x v="7"/>
  </r>
  <r>
    <d v="2022-04-24T00:00:00"/>
    <d v="1899-12-30T05:17:29"/>
    <d v="1899-12-30T19:50:48"/>
    <n v="0"/>
    <n v="13.23"/>
    <n v="3.2"/>
    <n v="0.56000000000000005"/>
    <x v="7"/>
  </r>
  <r>
    <d v="2022-04-25T00:00:00"/>
    <d v="1899-12-30T05:15:25"/>
    <d v="1899-12-30T19:52:32"/>
    <n v="6"/>
    <n v="3.09"/>
    <n v="1.32"/>
    <n v="3.52"/>
    <x v="7"/>
  </r>
  <r>
    <d v="2022-04-26T00:00:00"/>
    <d v="1899-12-30T05:13:22"/>
    <d v="1899-12-30T19:54:15"/>
    <n v="2"/>
    <n v="5.84"/>
    <n v="2.5099999999999998"/>
    <n v="1.33"/>
    <x v="7"/>
  </r>
  <r>
    <d v="2022-04-27T00:00:00"/>
    <d v="1899-12-30T05:11:20"/>
    <d v="1899-12-30T19:55:58"/>
    <n v="2"/>
    <n v="6.08"/>
    <n v="2.34"/>
    <n v="1.65"/>
    <x v="7"/>
  </r>
  <r>
    <d v="2022-04-28T00:00:00"/>
    <d v="1899-12-30T05:09:19"/>
    <d v="1899-12-30T19:57:40"/>
    <n v="6"/>
    <n v="3.61"/>
    <n v="1.32"/>
    <n v="2.14"/>
    <x v="7"/>
  </r>
  <r>
    <d v="2022-04-29T00:00:00"/>
    <d v="1899-12-30T05:07:20"/>
    <d v="1899-12-30T19:59:23"/>
    <n v="1"/>
    <n v="9.2799999999999994"/>
    <n v="3.62"/>
    <n v="2.17"/>
    <x v="7"/>
  </r>
  <r>
    <d v="2022-04-30T00:00:00"/>
    <d v="1899-12-30T05:05:22"/>
    <d v="1899-12-30T20:01:05"/>
    <n v="5"/>
    <n v="4.6900000000000004"/>
    <n v="3.21"/>
    <n v="2.9"/>
    <x v="7"/>
  </r>
  <r>
    <d v="2022-05-01T00:00:00"/>
    <d v="1899-12-30T05:03:25"/>
    <d v="1899-12-30T20:02:47"/>
    <n v="3"/>
    <n v="4.0999999999999996"/>
    <n v="2.16"/>
    <n v="3.12"/>
    <x v="7"/>
  </r>
  <r>
    <d v="2022-05-02T00:00:00"/>
    <d v="1899-12-30T05:01:29"/>
    <d v="1899-12-30T20:04:29"/>
    <n v="0"/>
    <n v="12.23"/>
    <n v="3.94"/>
    <n v="2.0099999999999998"/>
    <x v="8"/>
  </r>
  <r>
    <d v="2022-05-03T00:00:00"/>
    <d v="1899-12-30T04:59:35"/>
    <d v="1899-12-30T20:06:11"/>
    <n v="3"/>
    <n v="5.28"/>
    <n v="2.87"/>
    <n v="2.58"/>
    <x v="8"/>
  </r>
  <r>
    <d v="2022-05-04T00:00:00"/>
    <d v="1899-12-30T04:57:42"/>
    <d v="1899-12-30T20:07:52"/>
    <n v="0"/>
    <n v="13.63"/>
    <n v="3.27"/>
    <n v="0.93"/>
    <x v="8"/>
  </r>
  <r>
    <d v="2022-05-05T00:00:00"/>
    <d v="1899-12-30T04:55:51"/>
    <d v="1899-12-30T20:09:32"/>
    <n v="0"/>
    <n v="13.36"/>
    <n v="3.91"/>
    <n v="1.56"/>
    <x v="8"/>
  </r>
  <r>
    <d v="2022-05-06T00:00:00"/>
    <d v="1899-12-30T04:54:02"/>
    <d v="1899-12-30T20:11:13"/>
    <n v="1"/>
    <n v="8.76"/>
    <n v="3.15"/>
    <n v="1.42"/>
    <x v="8"/>
  </r>
  <r>
    <d v="2022-05-07T00:00:00"/>
    <d v="1899-12-30T04:52:14"/>
    <d v="1899-12-30T20:12:52"/>
    <n v="2"/>
    <n v="5.66"/>
    <n v="4.2"/>
    <n v="2.94"/>
    <x v="8"/>
  </r>
  <r>
    <d v="2022-05-08T00:00:00"/>
    <d v="1899-12-30T04:50:27"/>
    <d v="1899-12-30T20:14:32"/>
    <n v="2"/>
    <n v="6.84"/>
    <n v="4.38"/>
    <n v="2.0499999999999998"/>
    <x v="8"/>
  </r>
  <r>
    <d v="2022-05-09T00:00:00"/>
    <d v="1899-12-30T04:48:43"/>
    <d v="1899-12-30T20:16:10"/>
    <n v="7"/>
    <n v="2.89"/>
    <n v="0.59"/>
    <n v="2.19"/>
    <x v="8"/>
  </r>
  <r>
    <d v="2022-05-10T00:00:00"/>
    <d v="1899-12-30T04:47:00"/>
    <d v="1899-12-30T20:17:49"/>
    <n v="3"/>
    <n v="5.65"/>
    <n v="3.89"/>
    <n v="3.4"/>
    <x v="8"/>
  </r>
  <r>
    <d v="2022-05-11T00:00:00"/>
    <d v="1899-12-30T04:45:19"/>
    <d v="1899-12-30T20:19:26"/>
    <n v="1"/>
    <n v="8.83"/>
    <n v="3.04"/>
    <n v="2.06"/>
    <x v="8"/>
  </r>
  <r>
    <d v="2022-05-12T00:00:00"/>
    <d v="1899-12-30T04:43:40"/>
    <d v="1899-12-30T20:21:03"/>
    <n v="0"/>
    <n v="12.14"/>
    <n v="5.23"/>
    <n v="3.48"/>
    <x v="8"/>
  </r>
  <r>
    <d v="2022-05-13T00:00:00"/>
    <d v="1899-12-30T04:42:02"/>
    <d v="1899-12-30T20:22:39"/>
    <n v="1"/>
    <n v="14.36"/>
    <n v="6.3"/>
    <n v="1.57"/>
    <x v="8"/>
  </r>
  <r>
    <d v="2022-05-14T00:00:00"/>
    <d v="1899-12-30T04:40:27"/>
    <d v="1899-12-30T20:24:14"/>
    <n v="8"/>
    <n v="1.1299999999999999"/>
    <n v="0.66"/>
    <n v="3.45"/>
    <x v="8"/>
  </r>
  <r>
    <d v="2022-05-15T00:00:00"/>
    <d v="1899-12-30T04:38:54"/>
    <d v="1899-12-30T20:25:48"/>
    <n v="1"/>
    <n v="10.59"/>
    <n v="4.34"/>
    <n v="2.6"/>
    <x v="8"/>
  </r>
  <r>
    <d v="2022-05-16T00:00:00"/>
    <d v="1899-12-30T04:37:23"/>
    <d v="1899-12-30T20:27:21"/>
    <n v="0"/>
    <n v="16.309999999999999"/>
    <n v="5.36"/>
    <n v="1.89"/>
    <x v="8"/>
  </r>
  <r>
    <d v="2022-05-17T00:00:00"/>
    <d v="1899-12-30T04:35:53"/>
    <d v="1899-12-30T20:28:54"/>
    <n v="0"/>
    <n v="14.39"/>
    <n v="5.34"/>
    <n v="1.1399999999999999"/>
    <x v="8"/>
  </r>
  <r>
    <d v="2022-05-18T00:00:00"/>
    <d v="1899-12-30T04:34:27"/>
    <d v="1899-12-30T20:30:25"/>
    <n v="0"/>
    <n v="15.29"/>
    <n v="4.59"/>
    <n v="1.27"/>
    <x v="8"/>
  </r>
  <r>
    <d v="2022-05-19T00:00:00"/>
    <d v="1899-12-30T04:33:02"/>
    <d v="1899-12-30T20:31:55"/>
    <n v="5"/>
    <n v="5.77"/>
    <n v="2.58"/>
    <n v="1.1599999999999999"/>
    <x v="8"/>
  </r>
  <r>
    <d v="2022-05-20T00:00:00"/>
    <d v="1899-12-30T04:31:39"/>
    <d v="1899-12-30T20:33:24"/>
    <n v="3"/>
    <n v="6.62"/>
    <n v="4.3"/>
    <n v="2.2799999999999998"/>
    <x v="9"/>
  </r>
  <r>
    <d v="2022-05-21T00:00:00"/>
    <d v="1899-12-30T04:30:19"/>
    <d v="1899-12-30T20:34:52"/>
    <n v="2"/>
    <n v="5.03"/>
    <n v="2.81"/>
    <n v="3.05"/>
    <x v="9"/>
  </r>
  <r>
    <d v="2022-05-22T00:00:00"/>
    <d v="1899-12-30T04:29:02"/>
    <d v="1899-12-30T20:36:18"/>
    <n v="0"/>
    <n v="14.1"/>
    <n v="4.04"/>
    <n v="2.86"/>
    <x v="9"/>
  </r>
  <r>
    <d v="2022-05-23T00:00:00"/>
    <d v="1899-12-30T04:27:46"/>
    <d v="1899-12-30T20:37:43"/>
    <n v="8"/>
    <n v="1.36"/>
    <n v="0.57999999999999996"/>
    <n v="4.95"/>
    <x v="9"/>
  </r>
  <r>
    <d v="2022-05-24T00:00:00"/>
    <d v="1899-12-30T04:26:34"/>
    <d v="1899-12-30T20:39:07"/>
    <n v="8"/>
    <n v="1.71"/>
    <n v="0.14000000000000001"/>
    <n v="3.51"/>
    <x v="9"/>
  </r>
  <r>
    <d v="2022-05-25T00:00:00"/>
    <d v="1899-12-30T04:25:23"/>
    <d v="1899-12-30T20:40:29"/>
    <n v="6"/>
    <n v="1.6"/>
    <n v="0.94"/>
    <n v="4.68"/>
    <x v="9"/>
  </r>
  <r>
    <d v="2022-05-26T00:00:00"/>
    <d v="1899-12-30T04:24:16"/>
    <d v="1899-12-30T20:41:49"/>
    <n v="4"/>
    <n v="2.0699999999999998"/>
    <n v="1.05"/>
    <n v="3.94"/>
    <x v="9"/>
  </r>
  <r>
    <d v="2022-05-27T00:00:00"/>
    <d v="1899-12-30T04:23:11"/>
    <d v="1899-12-30T20:43:08"/>
    <n v="4"/>
    <n v="2.96"/>
    <n v="1.06"/>
    <n v="3.59"/>
    <x v="9"/>
  </r>
  <r>
    <d v="2022-05-28T00:00:00"/>
    <d v="1899-12-30T04:22:08"/>
    <d v="1899-12-30T20:44:24"/>
    <n v="3"/>
    <n v="5.78"/>
    <n v="4.2"/>
    <n v="2.96"/>
    <x v="9"/>
  </r>
  <r>
    <d v="2022-05-29T00:00:00"/>
    <d v="1899-12-30T04:21:09"/>
    <d v="1899-12-30T20:45:40"/>
    <n v="1"/>
    <n v="15.38"/>
    <n v="10.54"/>
    <n v="2.16"/>
    <x v="9"/>
  </r>
  <r>
    <d v="2022-05-30T00:00:00"/>
    <d v="1899-12-30T04:20:12"/>
    <d v="1899-12-30T20:46:53"/>
    <n v="1"/>
    <n v="15.89"/>
    <n v="9.68"/>
    <n v="1.24"/>
    <x v="9"/>
  </r>
  <r>
    <d v="2022-05-31T00:00:00"/>
    <d v="1899-12-30T04:19:18"/>
    <d v="1899-12-30T20:48:04"/>
    <n v="0"/>
    <n v="18.7"/>
    <n v="9.4"/>
    <n v="0.39"/>
    <x v="9"/>
  </r>
  <r>
    <d v="2022-06-01T00:00:00"/>
    <d v="1899-12-30T04:18:27"/>
    <d v="1899-12-30T20:49:13"/>
    <n v="0"/>
    <n v="14.56"/>
    <n v="3.3"/>
    <n v="0.64"/>
    <x v="9"/>
  </r>
  <r>
    <d v="2022-06-02T00:00:00"/>
    <d v="1899-12-30T04:17:39"/>
    <d v="1899-12-30T20:50:20"/>
    <n v="3"/>
    <n v="5.87"/>
    <n v="2.16"/>
    <n v="2.14"/>
    <x v="9"/>
  </r>
  <r>
    <d v="2022-06-03T00:00:00"/>
    <d v="1899-12-30T04:16:54"/>
    <d v="1899-12-30T20:51:25"/>
    <n v="0"/>
    <n v="19.62"/>
    <n v="9.23"/>
    <n v="0.34"/>
    <x v="9"/>
  </r>
  <r>
    <d v="2022-06-04T00:00:00"/>
    <d v="1899-12-30T04:16:12"/>
    <d v="1899-12-30T20:52:27"/>
    <n v="2"/>
    <n v="5.79"/>
    <n v="1.35"/>
    <n v="1.1200000000000001"/>
    <x v="9"/>
  </r>
  <r>
    <d v="2022-06-05T00:00:00"/>
    <d v="1899-12-30T04:15:32"/>
    <d v="1899-12-30T20:53:27"/>
    <n v="1"/>
    <n v="10.67"/>
    <n v="5.16"/>
    <n v="2.68"/>
    <x v="9"/>
  </r>
  <r>
    <d v="2022-06-06T00:00:00"/>
    <d v="1899-12-30T04:14:56"/>
    <d v="1899-12-30T20:54:25"/>
    <n v="0"/>
    <n v="12.47"/>
    <n v="3.15"/>
    <n v="1.34"/>
    <x v="9"/>
  </r>
  <r>
    <d v="2022-06-07T00:00:00"/>
    <d v="1899-12-30T04:14:23"/>
    <d v="1899-12-30T20:55:20"/>
    <n v="0"/>
    <n v="19.79"/>
    <n v="12.84"/>
    <n v="3.5"/>
    <x v="9"/>
  </r>
  <r>
    <d v="2022-06-08T00:00:00"/>
    <d v="1899-12-30T04:13:54"/>
    <d v="1899-12-30T20:56:13"/>
    <n v="0"/>
    <n v="12.57"/>
    <n v="6.64"/>
    <n v="3.26"/>
    <x v="9"/>
  </r>
  <r>
    <d v="2022-06-09T00:00:00"/>
    <d v="1899-12-30T04:13:27"/>
    <d v="1899-12-30T20:57:03"/>
    <n v="4"/>
    <n v="4.3"/>
    <n v="2.36"/>
    <n v="3.54"/>
    <x v="9"/>
  </r>
  <r>
    <d v="2022-06-10T00:00:00"/>
    <d v="1899-12-30T04:13:03"/>
    <d v="1899-12-30T20:57:50"/>
    <n v="1"/>
    <n v="12.65"/>
    <n v="6.94"/>
    <n v="3.24"/>
    <x v="9"/>
  </r>
  <r>
    <d v="2022-06-11T00:00:00"/>
    <d v="1899-12-30T04:12:43"/>
    <d v="1899-12-30T20:58:35"/>
    <n v="1"/>
    <n v="8.86"/>
    <n v="2.94"/>
    <n v="1.68"/>
    <x v="9"/>
  </r>
  <r>
    <d v="2022-06-12T00:00:00"/>
    <d v="1899-12-30T04:12:26"/>
    <d v="1899-12-30T20:59:17"/>
    <n v="3"/>
    <n v="5.64"/>
    <n v="4.25"/>
    <n v="4.95"/>
    <x v="9"/>
  </r>
  <r>
    <d v="2022-06-13T00:00:00"/>
    <d v="1899-12-30T04:12:12"/>
    <d v="1899-12-30T20:59:56"/>
    <n v="2"/>
    <n v="6.89"/>
    <n v="3.98"/>
    <n v="2.4900000000000002"/>
    <x v="9"/>
  </r>
  <r>
    <d v="2022-06-14T00:00:00"/>
    <d v="1899-12-30T04:12:01"/>
    <d v="1899-12-30T21:00:32"/>
    <n v="0"/>
    <n v="14.03"/>
    <n v="5.68"/>
    <n v="2.95"/>
    <x v="9"/>
  </r>
  <r>
    <d v="2022-06-15T00:00:00"/>
    <d v="1899-12-30T04:11:54"/>
    <d v="1899-12-30T21:01:05"/>
    <n v="1"/>
    <n v="11.04"/>
    <n v="4.9400000000000004"/>
    <n v="3.41"/>
    <x v="9"/>
  </r>
  <r>
    <d v="2022-06-16T00:00:00"/>
    <d v="1899-12-30T04:11:49"/>
    <d v="1899-12-30T21:01:35"/>
    <n v="0"/>
    <n v="11.7"/>
    <n v="4.79"/>
    <n v="2.5099999999999998"/>
    <x v="9"/>
  </r>
  <r>
    <d v="2022-06-17T00:00:00"/>
    <d v="1899-12-30T04:11:48"/>
    <d v="1899-12-30T21:02:02"/>
    <n v="3"/>
    <n v="5.39"/>
    <n v="4.6500000000000004"/>
    <n v="4.25"/>
    <x v="9"/>
  </r>
  <r>
    <d v="2022-06-18T00:00:00"/>
    <d v="1899-12-30T04:11:50"/>
    <d v="1899-12-30T21:02:26"/>
    <n v="0"/>
    <n v="11.1"/>
    <n v="4.6399999999999997"/>
    <n v="3.54"/>
    <x v="9"/>
  </r>
  <r>
    <d v="2022-06-19T00:00:00"/>
    <d v="1899-12-30T04:11:56"/>
    <d v="1899-12-30T21:02:47"/>
    <n v="0"/>
    <n v="15.81"/>
    <n v="7.63"/>
    <n v="2.02"/>
    <x v="9"/>
  </r>
  <r>
    <d v="2022-06-20T00:00:00"/>
    <d v="1899-12-30T04:12:04"/>
    <d v="1899-12-30T21:03:04"/>
    <n v="2"/>
    <n v="8.8800000000000008"/>
    <n v="6.14"/>
    <n v="3.61"/>
    <x v="9"/>
  </r>
  <r>
    <d v="2022-06-21T00:00:00"/>
    <d v="1899-12-30T04:12:16"/>
    <d v="1899-12-30T21:03:19"/>
    <n v="0"/>
    <n v="14.44"/>
    <n v="3.61"/>
    <n v="0.56999999999999995"/>
    <x v="9"/>
  </r>
  <r>
    <d v="2022-06-22T00:00:00"/>
    <d v="1899-12-30T04:12:31"/>
    <d v="1899-12-30T21:03:30"/>
    <n v="1"/>
    <n v="9.7899999999999991"/>
    <n v="4.8"/>
    <n v="3.05"/>
    <x v="9"/>
  </r>
  <r>
    <d v="2022-06-23T00:00:00"/>
    <d v="1899-12-30T04:12:49"/>
    <d v="1899-12-30T21:03:38"/>
    <n v="0"/>
    <n v="14.78"/>
    <n v="6.76"/>
    <n v="3.64"/>
    <x v="9"/>
  </r>
  <r>
    <d v="2022-06-24T00:00:00"/>
    <d v="1899-12-30T04:13:10"/>
    <d v="1899-12-30T21:03:43"/>
    <n v="0"/>
    <n v="14.52"/>
    <n v="8.19"/>
    <n v="3.95"/>
    <x v="9"/>
  </r>
  <r>
    <d v="2022-06-25T00:00:00"/>
    <d v="1899-12-30T04:13:34"/>
    <d v="1899-12-30T21:03:44"/>
    <n v="3"/>
    <n v="5.86"/>
    <n v="4.1900000000000004"/>
    <n v="3.85"/>
    <x v="9"/>
  </r>
  <r>
    <d v="2022-06-26T00:00:00"/>
    <d v="1899-12-30T04:14:01"/>
    <d v="1899-12-30T21:03:42"/>
    <n v="1"/>
    <n v="12.81"/>
    <n v="7.18"/>
    <n v="1.54"/>
    <x v="9"/>
  </r>
  <r>
    <d v="2022-06-27T00:00:00"/>
    <d v="1899-12-30T04:14:31"/>
    <d v="1899-12-30T21:03:37"/>
    <n v="0"/>
    <n v="13.22"/>
    <n v="5.53"/>
    <n v="4.26"/>
    <x v="9"/>
  </r>
  <r>
    <d v="2022-06-28T00:00:00"/>
    <d v="1899-12-30T04:15:04"/>
    <d v="1899-12-30T21:03:29"/>
    <n v="0"/>
    <n v="14.18"/>
    <n v="6.49"/>
    <n v="3.84"/>
    <x v="9"/>
  </r>
  <r>
    <d v="2022-06-29T00:00:00"/>
    <d v="1899-12-30T04:15:40"/>
    <d v="1899-12-30T21:03:18"/>
    <n v="0"/>
    <n v="18.47"/>
    <n v="9.1999999999999993"/>
    <n v="2.4700000000000002"/>
    <x v="9"/>
  </r>
  <r>
    <d v="2022-06-30T00:00:00"/>
    <d v="1899-12-30T04:16:19"/>
    <d v="1899-12-30T21:03:03"/>
    <n v="3"/>
    <n v="6.81"/>
    <n v="2.59"/>
    <n v="1.95"/>
    <x v="9"/>
  </r>
  <r>
    <d v="2022-07-01T00:00:00"/>
    <d v="1899-12-30T04:17:00"/>
    <d v="1899-12-30T21:02:45"/>
    <n v="2"/>
    <n v="2.96"/>
    <n v="1.54"/>
    <n v="4.5199999999999996"/>
    <x v="9"/>
  </r>
  <r>
    <d v="2022-07-02T00:00:00"/>
    <d v="1899-12-30T04:17:44"/>
    <d v="1899-12-30T21:02:23"/>
    <n v="0"/>
    <n v="13.76"/>
    <n v="7.09"/>
    <n v="4.32"/>
    <x v="9"/>
  </r>
  <r>
    <d v="2022-07-03T00:00:00"/>
    <d v="1899-12-30T04:18:31"/>
    <d v="1899-12-30T21:01:59"/>
    <n v="0"/>
    <n v="17.920000000000002"/>
    <n v="10.28"/>
    <n v="2.65"/>
    <x v="9"/>
  </r>
  <r>
    <d v="2022-07-04T00:00:00"/>
    <d v="1899-12-30T04:19:21"/>
    <d v="1899-12-30T21:01:31"/>
    <n v="0"/>
    <n v="19.89"/>
    <n v="10.64"/>
    <n v="1.48"/>
    <x v="9"/>
  </r>
  <r>
    <d v="2022-07-05T00:00:00"/>
    <d v="1899-12-30T04:20:12"/>
    <d v="1899-12-30T21:01:00"/>
    <n v="0"/>
    <n v="19.149999999999999"/>
    <n v="11.79"/>
    <n v="2.95"/>
    <x v="9"/>
  </r>
  <r>
    <d v="2022-07-06T00:00:00"/>
    <d v="1899-12-30T04:21:07"/>
    <d v="1899-12-30T21:00:26"/>
    <n v="1"/>
    <n v="14.68"/>
    <n v="11.32"/>
    <n v="4.26"/>
    <x v="9"/>
  </r>
  <r>
    <d v="2022-07-07T00:00:00"/>
    <d v="1899-12-30T04:22:04"/>
    <d v="1899-12-30T20:59:49"/>
    <n v="0"/>
    <n v="16.95"/>
    <n v="9.57"/>
    <n v="3.24"/>
    <x v="9"/>
  </r>
  <r>
    <d v="2022-07-08T00:00:00"/>
    <d v="1899-12-30T04:23:03"/>
    <d v="1899-12-30T20:59:09"/>
    <n v="1"/>
    <n v="11.9"/>
    <n v="7.34"/>
    <n v="4.8099999999999996"/>
    <x v="9"/>
  </r>
  <r>
    <d v="2022-07-09T00:00:00"/>
    <d v="1899-12-30T04:24:04"/>
    <d v="1899-12-30T20:58:25"/>
    <n v="0"/>
    <n v="19.440000000000001"/>
    <n v="11.14"/>
    <n v="2.91"/>
    <x v="9"/>
  </r>
  <r>
    <d v="2022-07-10T00:00:00"/>
    <d v="1899-12-30T04:25:08"/>
    <d v="1899-12-30T20:57:39"/>
    <n v="0"/>
    <n v="19.54"/>
    <n v="12.94"/>
    <n v="3.47"/>
    <x v="9"/>
  </r>
  <r>
    <d v="2022-07-11T00:00:00"/>
    <d v="1899-12-30T04:26:13"/>
    <d v="1899-12-30T20:56:50"/>
    <n v="0"/>
    <n v="18.52"/>
    <n v="12.35"/>
    <n v="1.85"/>
    <x v="9"/>
  </r>
  <r>
    <d v="2022-07-12T00:00:00"/>
    <d v="1899-12-30T04:27:21"/>
    <d v="1899-12-30T20:55:57"/>
    <n v="0"/>
    <n v="19.77"/>
    <n v="11.78"/>
    <n v="1.95"/>
    <x v="9"/>
  </r>
  <r>
    <d v="2022-07-13T00:00:00"/>
    <d v="1899-12-30T04:28:31"/>
    <d v="1899-12-30T20:55:02"/>
    <n v="0"/>
    <n v="17.22"/>
    <n v="9.69"/>
    <n v="2.84"/>
    <x v="9"/>
  </r>
  <r>
    <d v="2022-07-14T00:00:00"/>
    <d v="1899-12-30T04:29:42"/>
    <d v="1899-12-30T20:54:04"/>
    <n v="1"/>
    <n v="14.02"/>
    <n v="8.5399999999999991"/>
    <n v="2.69"/>
    <x v="9"/>
  </r>
  <r>
    <d v="2022-07-15T00:00:00"/>
    <d v="1899-12-30T04:30:55"/>
    <d v="1899-12-30T20:53:03"/>
    <n v="1"/>
    <n v="15.96"/>
    <n v="11.95"/>
    <n v="3.05"/>
    <x v="9"/>
  </r>
  <r>
    <d v="2022-07-16T00:00:00"/>
    <d v="1899-12-30T04:32:11"/>
    <d v="1899-12-30T20:52:00"/>
    <n v="1"/>
    <n v="15.06"/>
    <n v="7.68"/>
    <n v="1.1599999999999999"/>
    <x v="9"/>
  </r>
  <r>
    <d v="2022-07-17T00:00:00"/>
    <d v="1899-12-30T04:33:27"/>
    <d v="1899-12-30T20:50:54"/>
    <n v="0"/>
    <n v="19.62"/>
    <n v="10.19"/>
    <n v="0.47"/>
    <x v="9"/>
  </r>
  <r>
    <d v="2022-07-18T00:00:00"/>
    <d v="1899-12-30T04:34:46"/>
    <d v="1899-12-30T20:49:45"/>
    <n v="0"/>
    <n v="18.97"/>
    <n v="8.85"/>
    <n v="1.66"/>
    <x v="9"/>
  </r>
  <r>
    <d v="2022-07-19T00:00:00"/>
    <d v="1899-12-30T04:36:05"/>
    <d v="1899-12-30T20:48:33"/>
    <n v="0"/>
    <n v="17.940000000000001"/>
    <n v="9.83"/>
    <n v="3.13"/>
    <x v="9"/>
  </r>
  <r>
    <d v="2022-07-20T00:00:00"/>
    <d v="1899-12-30T04:37:27"/>
    <d v="1899-12-30T20:47:19"/>
    <n v="0"/>
    <n v="17.350000000000001"/>
    <n v="11.02"/>
    <n v="2.82"/>
    <x v="9"/>
  </r>
  <r>
    <d v="2022-07-21T00:00:00"/>
    <d v="1899-12-30T04:38:49"/>
    <d v="1899-12-30T20:46:03"/>
    <n v="0"/>
    <n v="18.3"/>
    <n v="10.96"/>
    <n v="2.14"/>
    <x v="9"/>
  </r>
  <r>
    <d v="2022-07-22T00:00:00"/>
    <d v="1899-12-30T04:40:13"/>
    <d v="1899-12-30T20:44:44"/>
    <n v="0"/>
    <n v="17.04"/>
    <n v="9.85"/>
    <n v="2.2599999999999998"/>
    <x v="9"/>
  </r>
  <r>
    <d v="2022-07-23T00:00:00"/>
    <d v="1899-12-30T04:41:38"/>
    <d v="1899-12-30T20:43:23"/>
    <n v="0"/>
    <n v="18.850000000000001"/>
    <n v="11.75"/>
    <n v="2.94"/>
    <x v="9"/>
  </r>
  <r>
    <d v="2022-07-24T00:00:00"/>
    <d v="1899-12-30T04:43:05"/>
    <d v="1899-12-30T20:41:59"/>
    <n v="0"/>
    <n v="16.55"/>
    <n v="8.33"/>
    <n v="1.56"/>
    <x v="8"/>
  </r>
  <r>
    <d v="2022-07-25T00:00:00"/>
    <d v="1899-12-30T04:44:32"/>
    <d v="1899-12-30T20:40:33"/>
    <n v="1"/>
    <n v="13.83"/>
    <n v="8.1999999999999993"/>
    <n v="3.02"/>
    <x v="8"/>
  </r>
  <r>
    <d v="2022-07-26T00:00:00"/>
    <d v="1899-12-30T04:46:01"/>
    <d v="1899-12-30T20:39:05"/>
    <n v="0"/>
    <n v="16.16"/>
    <n v="8.9499999999999993"/>
    <n v="2.09"/>
    <x v="8"/>
  </r>
  <r>
    <d v="2022-07-27T00:00:00"/>
    <d v="1899-12-30T04:47:30"/>
    <d v="1899-12-30T20:37:34"/>
    <n v="0"/>
    <n v="17.82"/>
    <n v="10.94"/>
    <n v="3.66"/>
    <x v="8"/>
  </r>
  <r>
    <d v="2022-07-28T00:00:00"/>
    <d v="1899-12-30T04:49:00"/>
    <d v="1899-12-30T20:36:02"/>
    <n v="0"/>
    <n v="19.23"/>
    <n v="10.19"/>
    <n v="2.0299999999999998"/>
    <x v="8"/>
  </r>
  <r>
    <d v="2022-07-29T00:00:00"/>
    <d v="1899-12-30T04:50:32"/>
    <d v="1899-12-30T20:34:27"/>
    <n v="0"/>
    <n v="18.59"/>
    <n v="10.29"/>
    <n v="1.74"/>
    <x v="8"/>
  </r>
  <r>
    <d v="2022-07-30T00:00:00"/>
    <d v="1899-12-30T04:52:04"/>
    <d v="1899-12-30T20:32:51"/>
    <n v="1"/>
    <n v="14.2"/>
    <n v="10.59"/>
    <n v="4.04"/>
    <x v="8"/>
  </r>
  <r>
    <d v="2022-07-31T00:00:00"/>
    <d v="1899-12-30T04:53:36"/>
    <d v="1899-12-30T20:31:12"/>
    <n v="1"/>
    <n v="13.79"/>
    <n v="8.49"/>
    <n v="2.38"/>
    <x v="8"/>
  </r>
  <r>
    <d v="2022-08-01T00:00:00"/>
    <d v="1899-12-30T04:55:10"/>
    <d v="1899-12-30T20:29:32"/>
    <n v="1"/>
    <n v="15.96"/>
    <n v="9.48"/>
    <n v="1.78"/>
    <x v="8"/>
  </r>
  <r>
    <d v="2022-08-02T00:00:00"/>
    <d v="1899-12-30T04:56:44"/>
    <d v="1899-12-30T20:27:50"/>
    <n v="0"/>
    <n v="18.86"/>
    <n v="12.56"/>
    <n v="4.93"/>
    <x v="8"/>
  </r>
  <r>
    <d v="2022-08-03T00:00:00"/>
    <d v="1899-12-30T04:58:19"/>
    <d v="1899-12-30T20:26:06"/>
    <n v="0"/>
    <n v="18.12"/>
    <n v="9.15"/>
    <n v="2.87"/>
    <x v="8"/>
  </r>
  <r>
    <d v="2022-08-04T00:00:00"/>
    <d v="1899-12-30T04:59:54"/>
    <d v="1899-12-30T20:24:20"/>
    <n v="0"/>
    <n v="19.88"/>
    <n v="10.14"/>
    <n v="1.94"/>
    <x v="8"/>
  </r>
  <r>
    <d v="2022-08-05T00:00:00"/>
    <d v="1899-12-30T05:01:30"/>
    <d v="1899-12-30T20:22:32"/>
    <n v="1"/>
    <n v="12.71"/>
    <n v="8.08"/>
    <n v="2.89"/>
    <x v="8"/>
  </r>
  <r>
    <d v="2022-08-06T00:00:00"/>
    <d v="1899-12-30T05:03:06"/>
    <d v="1899-12-30T20:20:43"/>
    <n v="1"/>
    <n v="11.46"/>
    <n v="7.01"/>
    <n v="2.95"/>
    <x v="8"/>
  </r>
  <r>
    <d v="2022-08-07T00:00:00"/>
    <d v="1899-12-30T05:04:42"/>
    <d v="1899-12-30T20:18:53"/>
    <n v="0"/>
    <n v="18.38"/>
    <n v="11.16"/>
    <n v="3.69"/>
    <x v="8"/>
  </r>
  <r>
    <d v="2022-08-08T00:00:00"/>
    <d v="1899-12-30T05:06:19"/>
    <d v="1899-12-30T20:17:00"/>
    <n v="0"/>
    <n v="15.21"/>
    <n v="6.71"/>
    <n v="3.21"/>
    <x v="8"/>
  </r>
  <r>
    <d v="2022-08-09T00:00:00"/>
    <d v="1899-12-30T05:07:56"/>
    <d v="1899-12-30T20:15:06"/>
    <n v="0"/>
    <n v="19.329999999999998"/>
    <n v="10.19"/>
    <n v="1.54"/>
    <x v="8"/>
  </r>
  <r>
    <d v="2022-08-10T00:00:00"/>
    <d v="1899-12-30T05:09:34"/>
    <d v="1899-12-30T20:13:11"/>
    <n v="0"/>
    <n v="19.829999999999998"/>
    <n v="12.94"/>
    <n v="3.94"/>
    <x v="8"/>
  </r>
  <r>
    <d v="2022-08-11T00:00:00"/>
    <d v="1899-12-30T05:11:12"/>
    <d v="1899-12-30T20:11:15"/>
    <n v="0"/>
    <n v="15.68"/>
    <n v="6.85"/>
    <n v="2.4900000000000002"/>
    <x v="8"/>
  </r>
  <r>
    <d v="2022-08-12T00:00:00"/>
    <d v="1899-12-30T05:12:50"/>
    <d v="1899-12-30T20:09:17"/>
    <n v="1"/>
    <n v="10.43"/>
    <n v="5.19"/>
    <n v="2.76"/>
    <x v="7"/>
  </r>
  <r>
    <d v="2022-08-13T00:00:00"/>
    <d v="1899-12-30T05:14:28"/>
    <d v="1899-12-30T20:07:17"/>
    <n v="0"/>
    <n v="17.89"/>
    <n v="7.23"/>
    <n v="0.49"/>
    <x v="7"/>
  </r>
  <r>
    <d v="2022-08-14T00:00:00"/>
    <d v="1899-12-30T05:16:07"/>
    <d v="1899-12-30T20:05:17"/>
    <n v="0"/>
    <n v="17.03"/>
    <n v="9.32"/>
    <n v="3.67"/>
    <x v="7"/>
  </r>
  <r>
    <d v="2022-08-15T00:00:00"/>
    <d v="1899-12-30T05:17:45"/>
    <d v="1899-12-30T20:03:15"/>
    <n v="0"/>
    <n v="19.920000000000002"/>
    <n v="12.25"/>
    <n v="1.77"/>
    <x v="7"/>
  </r>
  <r>
    <d v="2022-08-16T00:00:00"/>
    <d v="1899-12-30T05:19:24"/>
    <d v="1899-12-30T20:01:12"/>
    <n v="0"/>
    <n v="16.059999999999999"/>
    <n v="7.46"/>
    <n v="2.1800000000000002"/>
    <x v="7"/>
  </r>
  <r>
    <d v="2022-08-17T00:00:00"/>
    <d v="1899-12-30T05:21:03"/>
    <d v="1899-12-30T19:59:08"/>
    <n v="0"/>
    <n v="18.84"/>
    <n v="10.64"/>
    <n v="3.51"/>
    <x v="7"/>
  </r>
  <r>
    <d v="2022-08-18T00:00:00"/>
    <d v="1899-12-30T05:22:42"/>
    <d v="1899-12-30T19:57:02"/>
    <n v="0"/>
    <n v="18.97"/>
    <n v="10.97"/>
    <n v="3.09"/>
    <x v="7"/>
  </r>
  <r>
    <d v="2022-08-19T00:00:00"/>
    <d v="1899-12-30T05:24:21"/>
    <d v="1899-12-30T19:54:56"/>
    <n v="1"/>
    <n v="11.99"/>
    <n v="7.68"/>
    <n v="3.68"/>
    <x v="7"/>
  </r>
  <r>
    <d v="2022-08-20T00:00:00"/>
    <d v="1899-12-30T05:26:00"/>
    <d v="1899-12-30T19:52:49"/>
    <n v="0"/>
    <n v="19.649999999999999"/>
    <n v="11.94"/>
    <n v="3.66"/>
    <x v="7"/>
  </r>
  <r>
    <d v="2022-08-21T00:00:00"/>
    <d v="1899-12-30T05:27:39"/>
    <d v="1899-12-30T19:50:40"/>
    <n v="1"/>
    <n v="13.19"/>
    <n v="8.34"/>
    <n v="2.4"/>
    <x v="7"/>
  </r>
  <r>
    <d v="2022-08-22T00:00:00"/>
    <d v="1899-12-30T05:29:18"/>
    <d v="1899-12-30T19:48:31"/>
    <n v="1"/>
    <n v="14.17"/>
    <n v="9.9700000000000006"/>
    <n v="3.16"/>
    <x v="7"/>
  </r>
  <r>
    <d v="2022-08-23T00:00:00"/>
    <d v="1899-12-30T05:30:57"/>
    <d v="1899-12-30T19:46:21"/>
    <n v="1"/>
    <n v="12.08"/>
    <n v="6.96"/>
    <n v="2.23"/>
    <x v="7"/>
  </r>
  <r>
    <d v="2022-08-24T00:00:00"/>
    <d v="1899-12-30T05:32:36"/>
    <d v="1899-12-30T19:44:10"/>
    <n v="0"/>
    <n v="18.739999999999998"/>
    <n v="10.34"/>
    <n v="2.92"/>
    <x v="7"/>
  </r>
  <r>
    <d v="2022-08-25T00:00:00"/>
    <d v="1899-12-30T05:34:15"/>
    <d v="1899-12-30T19:41:58"/>
    <n v="0"/>
    <n v="17.95"/>
    <n v="8.23"/>
    <n v="0.78"/>
    <x v="7"/>
  </r>
  <r>
    <d v="2022-08-26T00:00:00"/>
    <d v="1899-12-30T05:35:54"/>
    <d v="1899-12-30T19:39:45"/>
    <n v="0"/>
    <n v="16.829999999999998"/>
    <n v="8.83"/>
    <n v="3.07"/>
    <x v="7"/>
  </r>
  <r>
    <d v="2022-08-27T00:00:00"/>
    <d v="1899-12-30T05:37:33"/>
    <d v="1899-12-30T19:37:32"/>
    <n v="0"/>
    <n v="17.09"/>
    <n v="8.6300000000000008"/>
    <n v="0.64"/>
    <x v="6"/>
  </r>
  <r>
    <d v="2022-08-28T00:00:00"/>
    <d v="1899-12-30T05:39:12"/>
    <d v="1899-12-30T19:35:18"/>
    <n v="0"/>
    <n v="18.010000000000002"/>
    <n v="10.67"/>
    <n v="2.95"/>
    <x v="6"/>
  </r>
  <r>
    <d v="2022-08-29T00:00:00"/>
    <d v="1899-12-30T05:40:51"/>
    <d v="1899-12-30T19:33:03"/>
    <n v="0"/>
    <n v="19.48"/>
    <n v="12.16"/>
    <n v="3.2"/>
    <x v="6"/>
  </r>
  <r>
    <d v="2022-08-30T00:00:00"/>
    <d v="1899-12-30T05:42:30"/>
    <d v="1899-12-30T19:30:47"/>
    <n v="0"/>
    <n v="18.11"/>
    <n v="11.38"/>
    <n v="2.91"/>
    <x v="6"/>
  </r>
  <r>
    <d v="2022-08-31T00:00:00"/>
    <d v="1899-12-30T05:44:09"/>
    <d v="1899-12-30T19:28:31"/>
    <n v="0"/>
    <n v="17.559999999999999"/>
    <n v="9.49"/>
    <n v="0.94"/>
    <x v="6"/>
  </r>
  <r>
    <d v="2022-09-01T00:00:00"/>
    <d v="1899-12-30T05:45:48"/>
    <d v="1899-12-30T19:26:15"/>
    <n v="0"/>
    <n v="16.809999999999999"/>
    <n v="9.4600000000000009"/>
    <n v="2.19"/>
    <x v="6"/>
  </r>
  <r>
    <d v="2022-09-02T00:00:00"/>
    <d v="1899-12-30T05:47:26"/>
    <d v="1899-12-30T19:23:57"/>
    <n v="0"/>
    <n v="15.05"/>
    <n v="9.31"/>
    <n v="3.95"/>
    <x v="6"/>
  </r>
  <r>
    <d v="2022-09-03T00:00:00"/>
    <d v="1899-12-30T05:49:05"/>
    <d v="1899-12-30T19:21:40"/>
    <n v="0"/>
    <n v="14.3"/>
    <n v="8.69"/>
    <n v="4.6900000000000004"/>
    <x v="6"/>
  </r>
  <r>
    <d v="2022-09-04T00:00:00"/>
    <d v="1899-12-30T05:50:44"/>
    <d v="1899-12-30T19:19:21"/>
    <n v="0"/>
    <n v="19.399999999999999"/>
    <n v="10.84"/>
    <n v="0.84"/>
    <x v="6"/>
  </r>
  <r>
    <d v="2022-09-05T00:00:00"/>
    <d v="1899-12-30T05:52:22"/>
    <d v="1899-12-30T19:17:03"/>
    <n v="1"/>
    <n v="14.15"/>
    <n v="8.94"/>
    <n v="3.18"/>
    <x v="6"/>
  </r>
  <r>
    <d v="2022-09-06T00:00:00"/>
    <d v="1899-12-30T05:54:01"/>
    <d v="1899-12-30T19:14:44"/>
    <n v="2"/>
    <n v="10.199999999999999"/>
    <n v="6.94"/>
    <n v="1.89"/>
    <x v="6"/>
  </r>
  <r>
    <d v="2022-09-07T00:00:00"/>
    <d v="1899-12-30T05:55:40"/>
    <d v="1899-12-30T19:12:24"/>
    <n v="0"/>
    <n v="19.149999999999999"/>
    <n v="12.22"/>
    <n v="2.98"/>
    <x v="6"/>
  </r>
  <r>
    <d v="2022-09-08T00:00:00"/>
    <d v="1899-12-30T05:57:18"/>
    <d v="1899-12-30T19:10:04"/>
    <n v="0"/>
    <n v="16.739999999999998"/>
    <n v="9.15"/>
    <n v="3.48"/>
    <x v="6"/>
  </r>
  <r>
    <d v="2022-09-09T00:00:00"/>
    <d v="1899-12-30T05:58:57"/>
    <d v="1899-12-30T19:07:44"/>
    <n v="1"/>
    <n v="12.97"/>
    <n v="7.63"/>
    <n v="2.59"/>
    <x v="6"/>
  </r>
  <r>
    <d v="2022-09-10T00:00:00"/>
    <d v="1899-12-30T06:00:36"/>
    <d v="1899-12-30T19:05:24"/>
    <n v="0"/>
    <n v="19.690000000000001"/>
    <n v="11.67"/>
    <n v="1.86"/>
    <x v="6"/>
  </r>
  <r>
    <d v="2022-09-11T00:00:00"/>
    <d v="1899-12-30T06:02:14"/>
    <d v="1899-12-30T19:03:03"/>
    <n v="1"/>
    <n v="15.77"/>
    <n v="9.66"/>
    <n v="0.95"/>
    <x v="6"/>
  </r>
  <r>
    <d v="2022-09-12T00:00:00"/>
    <d v="1899-12-30T06:03:53"/>
    <d v="1899-12-30T19:00:42"/>
    <n v="1"/>
    <n v="13.48"/>
    <n v="8.56"/>
    <n v="2.94"/>
    <x v="5"/>
  </r>
  <r>
    <d v="2022-09-13T00:00:00"/>
    <d v="1899-12-30T06:05:31"/>
    <d v="1899-12-30T18:58:21"/>
    <n v="1"/>
    <n v="14.44"/>
    <n v="9.48"/>
    <n v="2.84"/>
    <x v="5"/>
  </r>
  <r>
    <d v="2022-09-14T00:00:00"/>
    <d v="1899-12-30T06:07:10"/>
    <d v="1899-12-30T18:55:59"/>
    <n v="0"/>
    <n v="15.61"/>
    <n v="8.7799999999999994"/>
    <n v="4.95"/>
    <x v="5"/>
  </r>
  <r>
    <d v="2022-09-15T00:00:00"/>
    <d v="1899-12-30T06:08:49"/>
    <d v="1899-12-30T18:53:38"/>
    <n v="0"/>
    <n v="18"/>
    <n v="9.9700000000000006"/>
    <n v="3.65"/>
    <x v="5"/>
  </r>
  <r>
    <d v="2022-09-16T00:00:00"/>
    <d v="1899-12-30T06:10:27"/>
    <d v="1899-12-30T18:51:16"/>
    <n v="3"/>
    <n v="9.7799999999999994"/>
    <n v="6.88"/>
    <n v="4.9800000000000004"/>
    <x v="5"/>
  </r>
  <r>
    <d v="2022-09-17T00:00:00"/>
    <d v="1899-12-30T06:12:06"/>
    <d v="1899-12-30T18:48:55"/>
    <n v="1"/>
    <n v="13.43"/>
    <n v="8.9700000000000006"/>
    <n v="3.24"/>
    <x v="5"/>
  </r>
  <r>
    <d v="2022-09-18T00:00:00"/>
    <d v="1899-12-30T06:13:45"/>
    <d v="1899-12-30T18:46:33"/>
    <n v="1"/>
    <n v="12.57"/>
    <n v="8.44"/>
    <n v="3.16"/>
    <x v="5"/>
  </r>
  <r>
    <d v="2022-09-19T00:00:00"/>
    <d v="1899-12-30T06:15:24"/>
    <d v="1899-12-30T18:44:11"/>
    <n v="2"/>
    <n v="10.44"/>
    <n v="7.84"/>
    <n v="2.48"/>
    <x v="5"/>
  </r>
  <r>
    <d v="2022-09-20T00:00:00"/>
    <d v="1899-12-30T06:17:03"/>
    <d v="1899-12-30T18:41:49"/>
    <n v="0"/>
    <n v="14.53"/>
    <n v="5.65"/>
    <n v="2.94"/>
    <x v="5"/>
  </r>
  <r>
    <d v="2022-09-21T00:00:00"/>
    <d v="1899-12-30T06:18:42"/>
    <d v="1899-12-30T18:39:28"/>
    <n v="0"/>
    <n v="14.84"/>
    <n v="5.95"/>
    <n v="1.9"/>
    <x v="5"/>
  </r>
  <r>
    <d v="2022-09-22T00:00:00"/>
    <d v="1899-12-30T06:20:22"/>
    <d v="1899-12-30T18:37:06"/>
    <n v="0"/>
    <n v="16.510000000000002"/>
    <n v="7.84"/>
    <n v="0.84"/>
    <x v="5"/>
  </r>
  <r>
    <d v="2022-09-23T00:00:00"/>
    <d v="1899-12-30T06:22:01"/>
    <d v="1899-12-30T18:34:44"/>
    <n v="0"/>
    <n v="12.03"/>
    <n v="6.37"/>
    <n v="5.4"/>
    <x v="5"/>
  </r>
  <r>
    <d v="2022-09-24T00:00:00"/>
    <d v="1899-12-30T06:23:40"/>
    <d v="1899-12-30T18:32:23"/>
    <n v="0"/>
    <n v="15.85"/>
    <n v="6.64"/>
    <n v="2.69"/>
    <x v="5"/>
  </r>
  <r>
    <d v="2022-09-25T00:00:00"/>
    <d v="1899-12-30T06:25:20"/>
    <d v="1899-12-30T18:30:01"/>
    <n v="0"/>
    <n v="18.45"/>
    <n v="8.5399999999999991"/>
    <n v="1.02"/>
    <x v="5"/>
  </r>
  <r>
    <d v="2022-09-26T00:00:00"/>
    <d v="1899-12-30T06:27:00"/>
    <d v="1899-12-30T18:27:40"/>
    <n v="1"/>
    <n v="11.93"/>
    <n v="7.93"/>
    <n v="3.04"/>
    <x v="5"/>
  </r>
  <r>
    <d v="2022-09-27T00:00:00"/>
    <d v="1899-12-30T06:28:40"/>
    <d v="1899-12-30T18:25:19"/>
    <n v="0"/>
    <n v="13.34"/>
    <n v="8.39"/>
    <n v="2.84"/>
    <x v="4"/>
  </r>
  <r>
    <d v="2022-09-28T00:00:00"/>
    <d v="1899-12-30T06:30:20"/>
    <d v="1899-12-30T18:22:59"/>
    <n v="0"/>
    <n v="13.66"/>
    <n v="7.55"/>
    <n v="2.14"/>
    <x v="4"/>
  </r>
  <r>
    <d v="2022-09-29T00:00:00"/>
    <d v="1899-12-30T06:32:01"/>
    <d v="1899-12-30T18:20:38"/>
    <n v="2"/>
    <n v="9.33"/>
    <n v="5.86"/>
    <n v="2.19"/>
    <x v="4"/>
  </r>
  <r>
    <d v="2022-09-30T00:00:00"/>
    <d v="1899-12-30T06:33:41"/>
    <d v="1899-12-30T18:18:18"/>
    <n v="0"/>
    <n v="12.98"/>
    <n v="6.32"/>
    <n v="3.02"/>
    <x v="4"/>
  </r>
  <r>
    <d v="2022-10-01T00:00:00"/>
    <d v="1899-12-30T06:35:22"/>
    <d v="1899-12-30T18:15:58"/>
    <n v="3"/>
    <n v="6.6"/>
    <n v="5.68"/>
    <n v="4.16"/>
    <x v="4"/>
  </r>
  <r>
    <d v="2022-10-02T00:00:00"/>
    <d v="1899-12-30T06:37:03"/>
    <d v="1899-12-30T18:13:39"/>
    <n v="2"/>
    <n v="8.07"/>
    <n v="6.79"/>
    <n v="5.03"/>
    <x v="4"/>
  </r>
  <r>
    <d v="2022-10-03T00:00:00"/>
    <d v="1899-12-30T06:38:44"/>
    <d v="1899-12-30T18:11:20"/>
    <n v="4"/>
    <n v="4.42"/>
    <n v="3.32"/>
    <n v="3.56"/>
    <x v="4"/>
  </r>
  <r>
    <d v="2022-10-04T00:00:00"/>
    <d v="1899-12-30T06:40:26"/>
    <d v="1899-12-30T18:09:01"/>
    <n v="4"/>
    <n v="4.3899999999999997"/>
    <n v="1.26"/>
    <n v="1.19"/>
    <x v="4"/>
  </r>
  <r>
    <d v="2022-10-05T00:00:00"/>
    <d v="1899-12-30T06:42:08"/>
    <d v="1899-12-30T18:06:43"/>
    <n v="4"/>
    <n v="5.07"/>
    <n v="2.68"/>
    <n v="2.14"/>
    <x v="4"/>
  </r>
  <r>
    <d v="2022-10-06T00:00:00"/>
    <d v="1899-12-30T06:43:50"/>
    <d v="1899-12-30T18:04:25"/>
    <n v="4"/>
    <n v="5.66"/>
    <n v="3.96"/>
    <n v="2.1800000000000002"/>
    <x v="4"/>
  </r>
  <r>
    <d v="2022-10-07T00:00:00"/>
    <d v="1899-12-30T06:45:32"/>
    <d v="1899-12-30T18:02:08"/>
    <n v="4"/>
    <n v="5.19"/>
    <n v="3.12"/>
    <n v="4.0599999999999996"/>
    <x v="4"/>
  </r>
  <r>
    <d v="2022-10-08T00:00:00"/>
    <d v="1899-12-30T06:47:15"/>
    <d v="1899-12-30T17:59:51"/>
    <n v="7"/>
    <n v="3.5"/>
    <n v="1.65"/>
    <n v="4.26"/>
    <x v="4"/>
  </r>
  <r>
    <d v="2022-10-09T00:00:00"/>
    <d v="1899-12-30T06:48:57"/>
    <d v="1899-12-30T17:57:35"/>
    <n v="1"/>
    <n v="9.49"/>
    <n v="4.95"/>
    <n v="2.89"/>
    <x v="4"/>
  </r>
  <r>
    <d v="2022-10-10T00:00:00"/>
    <d v="1899-12-30T06:50:41"/>
    <d v="1899-12-30T17:55:20"/>
    <n v="3"/>
    <n v="6.48"/>
    <n v="4.8499999999999996"/>
    <n v="3.41"/>
    <x v="4"/>
  </r>
  <r>
    <d v="2022-10-11T00:00:00"/>
    <d v="1899-12-30T06:52:24"/>
    <d v="1899-12-30T17:53:05"/>
    <n v="3"/>
    <n v="5.86"/>
    <n v="4.97"/>
    <n v="4.0199999999999996"/>
    <x v="4"/>
  </r>
  <r>
    <d v="2022-10-12T00:00:00"/>
    <d v="1899-12-30T06:54:08"/>
    <d v="1899-12-30T17:50:51"/>
    <n v="3"/>
    <n v="5.92"/>
    <n v="4.3600000000000003"/>
    <n v="2.68"/>
    <x v="3"/>
  </r>
  <r>
    <d v="2022-10-13T00:00:00"/>
    <d v="1899-12-30T06:55:52"/>
    <d v="1899-12-30T17:48:37"/>
    <n v="5"/>
    <n v="3.69"/>
    <n v="1.58"/>
    <n v="2.4300000000000002"/>
    <x v="3"/>
  </r>
  <r>
    <d v="2022-10-14T00:00:00"/>
    <d v="1899-12-30T06:57:36"/>
    <d v="1899-12-30T17:46:25"/>
    <n v="1"/>
    <n v="8.8800000000000008"/>
    <n v="3.95"/>
    <n v="2.44"/>
    <x v="3"/>
  </r>
  <r>
    <d v="2022-10-15T00:00:00"/>
    <d v="1899-12-30T06:59:21"/>
    <d v="1899-12-30T17:44:13"/>
    <n v="1"/>
    <n v="8.56"/>
    <n v="2.86"/>
    <n v="1.61"/>
    <x v="3"/>
  </r>
  <r>
    <d v="2022-10-16T00:00:00"/>
    <d v="1899-12-30T07:01:06"/>
    <d v="1899-12-30T17:42:02"/>
    <n v="0"/>
    <n v="14.7"/>
    <n v="5.42"/>
    <n v="2.48"/>
    <x v="3"/>
  </r>
  <r>
    <d v="2022-10-17T00:00:00"/>
    <d v="1899-12-30T07:02:51"/>
    <d v="1899-12-30T17:39:52"/>
    <n v="1"/>
    <n v="11.59"/>
    <n v="6.72"/>
    <n v="2.4700000000000002"/>
    <x v="3"/>
  </r>
  <r>
    <d v="2022-10-18T00:00:00"/>
    <d v="1899-12-30T07:04:36"/>
    <d v="1899-12-30T17:37:42"/>
    <n v="6"/>
    <n v="3.26"/>
    <n v="1.96"/>
    <n v="3.14"/>
    <x v="3"/>
  </r>
  <r>
    <d v="2022-10-19T00:00:00"/>
    <d v="1899-12-30T07:06:22"/>
    <d v="1899-12-30T17:35:34"/>
    <n v="4"/>
    <n v="4.9000000000000004"/>
    <n v="1.87"/>
    <n v="3.61"/>
    <x v="3"/>
  </r>
  <r>
    <d v="2022-10-20T00:00:00"/>
    <d v="1899-12-30T07:08:08"/>
    <d v="1899-12-30T17:33:27"/>
    <n v="1"/>
    <n v="9.3800000000000008"/>
    <n v="5.46"/>
    <n v="3.45"/>
    <x v="3"/>
  </r>
  <r>
    <d v="2022-10-21T00:00:00"/>
    <d v="1899-12-30T07:09:55"/>
    <d v="1899-12-30T17:31:20"/>
    <n v="3"/>
    <n v="5.29"/>
    <n v="3.94"/>
    <n v="3.48"/>
    <x v="3"/>
  </r>
  <r>
    <d v="2022-10-22T00:00:00"/>
    <d v="1899-12-30T07:11:41"/>
    <d v="1899-12-30T17:29:15"/>
    <n v="0"/>
    <n v="13.23"/>
    <n v="6.74"/>
    <n v="2.69"/>
    <x v="3"/>
  </r>
  <r>
    <d v="2022-10-23T00:00:00"/>
    <d v="1899-12-30T07:13:28"/>
    <d v="1899-12-30T17:27:11"/>
    <n v="7"/>
    <n v="3.97"/>
    <n v="1.64"/>
    <n v="4.84"/>
    <x v="3"/>
  </r>
  <r>
    <d v="2022-10-24T00:00:00"/>
    <d v="1899-12-30T07:15:15"/>
    <d v="1899-12-30T17:25:08"/>
    <n v="0"/>
    <n v="12.38"/>
    <n v="6.35"/>
    <n v="3.66"/>
    <x v="3"/>
  </r>
  <r>
    <d v="2022-10-25T00:00:00"/>
    <d v="1899-12-30T07:17:02"/>
    <d v="1899-12-30T17:23:06"/>
    <n v="4"/>
    <n v="4.58"/>
    <n v="2.5299999999999998"/>
    <n v="4.57"/>
    <x v="3"/>
  </r>
  <r>
    <d v="2022-10-26T00:00:00"/>
    <d v="1899-12-30T07:18:50"/>
    <d v="1899-12-30T17:21:06"/>
    <n v="6"/>
    <n v="2.06"/>
    <n v="1.06"/>
    <n v="3.84"/>
    <x v="3"/>
  </r>
  <r>
    <d v="2022-10-27T00:00:00"/>
    <d v="1899-12-30T07:20:38"/>
    <d v="1899-12-30T17:19:06"/>
    <n v="1"/>
    <n v="8.7799999999999994"/>
    <n v="2.09"/>
    <n v="1.58"/>
    <x v="2"/>
  </r>
  <r>
    <d v="2022-10-28T00:00:00"/>
    <d v="1899-12-30T07:22:26"/>
    <d v="1899-12-30T17:17:08"/>
    <n v="1"/>
    <n v="8.06"/>
    <n v="1.98"/>
    <n v="1.08"/>
    <x v="2"/>
  </r>
  <r>
    <d v="2022-10-29T00:00:00"/>
    <d v="1899-12-30T07:24:14"/>
    <d v="1899-12-30T17:15:12"/>
    <n v="4"/>
    <n v="4.7300000000000004"/>
    <n v="3.79"/>
    <n v="3.08"/>
    <x v="2"/>
  </r>
  <r>
    <d v="2022-10-30T00:00:00"/>
    <d v="1899-12-30T06:26:02"/>
    <d v="1899-12-30T16:13:16"/>
    <n v="3"/>
    <n v="5.33"/>
    <n v="2.98"/>
    <n v="3.05"/>
    <x v="2"/>
  </r>
  <r>
    <d v="2022-10-31T00:00:00"/>
    <d v="1899-12-30T06:27:50"/>
    <d v="1899-12-30T16:11:23"/>
    <n v="6"/>
    <n v="2.13"/>
    <n v="1.67"/>
    <n v="4.21"/>
    <x v="2"/>
  </r>
  <r>
    <d v="2022-11-01T00:00:00"/>
    <d v="1899-12-30T06:29:38"/>
    <d v="1899-12-30T16:09:31"/>
    <n v="8"/>
    <n v="1.23"/>
    <n v="0.56999999999999995"/>
    <n v="5.08"/>
    <x v="2"/>
  </r>
  <r>
    <d v="2022-11-02T00:00:00"/>
    <d v="1899-12-30T06:31:27"/>
    <d v="1899-12-30T16:07:40"/>
    <n v="3"/>
    <n v="5.84"/>
    <n v="4.32"/>
    <n v="2.95"/>
    <x v="2"/>
  </r>
  <r>
    <d v="2022-11-03T00:00:00"/>
    <d v="1899-12-30T06:33:15"/>
    <d v="1899-12-30T16:05:51"/>
    <n v="3"/>
    <n v="4.55"/>
    <n v="3.94"/>
    <n v="6.57"/>
    <x v="2"/>
  </r>
  <r>
    <d v="2022-11-04T00:00:00"/>
    <d v="1899-12-30T06:35:03"/>
    <d v="1899-12-30T16:04:03"/>
    <n v="3"/>
    <n v="4.7"/>
    <n v="3.64"/>
    <n v="4.21"/>
    <x v="2"/>
  </r>
  <r>
    <d v="2022-11-05T00:00:00"/>
    <d v="1899-12-30T06:36:52"/>
    <d v="1899-12-30T16:02:18"/>
    <n v="2"/>
    <n v="5.19"/>
    <n v="3.65"/>
    <n v="5.32"/>
    <x v="2"/>
  </r>
  <r>
    <d v="2022-11-06T00:00:00"/>
    <d v="1899-12-30T06:38:40"/>
    <d v="1899-12-30T16:00:34"/>
    <n v="1"/>
    <n v="7.75"/>
    <n v="3.84"/>
    <n v="3.65"/>
    <x v="2"/>
  </r>
  <r>
    <d v="2022-11-07T00:00:00"/>
    <d v="1899-12-30T06:40:28"/>
    <d v="1899-12-30T15:58:52"/>
    <n v="4"/>
    <n v="4.07"/>
    <n v="3.21"/>
    <n v="3.48"/>
    <x v="2"/>
  </r>
  <r>
    <d v="2022-11-08T00:00:00"/>
    <d v="1899-12-30T06:42:16"/>
    <d v="1899-12-30T15:57:11"/>
    <n v="3"/>
    <n v="5.63"/>
    <n v="4.2300000000000004"/>
    <n v="4.6100000000000003"/>
    <x v="2"/>
  </r>
  <r>
    <d v="2022-11-09T00:00:00"/>
    <d v="1899-12-30T06:44:03"/>
    <d v="1899-12-30T15:55:33"/>
    <n v="6"/>
    <n v="3.14"/>
    <n v="1.65"/>
    <n v="2.96"/>
    <x v="2"/>
  </r>
  <r>
    <d v="2022-11-10T00:00:00"/>
    <d v="1899-12-30T06:45:51"/>
    <d v="1899-12-30T15:53:57"/>
    <n v="0"/>
    <n v="11.93"/>
    <n v="6.46"/>
    <n v="4.0599999999999996"/>
    <x v="2"/>
  </r>
  <r>
    <d v="2022-11-11T00:00:00"/>
    <d v="1899-12-30T06:47:38"/>
    <d v="1899-12-30T15:52:22"/>
    <n v="4"/>
    <n v="5.15"/>
    <n v="2.4900000000000002"/>
    <n v="3.84"/>
    <x v="2"/>
  </r>
  <r>
    <d v="2022-11-12T00:00:00"/>
    <d v="1899-12-30T06:49:24"/>
    <d v="1899-12-30T15:50:50"/>
    <n v="3"/>
    <n v="4.75"/>
    <n v="3.49"/>
    <n v="5.09"/>
    <x v="2"/>
  </r>
  <r>
    <d v="2022-11-13T00:00:00"/>
    <d v="1899-12-30T06:51:11"/>
    <d v="1899-12-30T15:49:20"/>
    <n v="3"/>
    <n v="4.16"/>
    <n v="3.02"/>
    <n v="4.1900000000000004"/>
    <x v="1"/>
  </r>
  <r>
    <d v="2022-11-14T00:00:00"/>
    <d v="1899-12-30T06:52:56"/>
    <d v="1899-12-30T15:47:52"/>
    <n v="2"/>
    <n v="5.19"/>
    <n v="2.94"/>
    <n v="4.9400000000000004"/>
    <x v="1"/>
  </r>
  <r>
    <d v="2022-11-15T00:00:00"/>
    <d v="1899-12-30T06:54:41"/>
    <d v="1899-12-30T15:46:27"/>
    <n v="8"/>
    <n v="1.38"/>
    <n v="0.4"/>
    <n v="6.48"/>
    <x v="1"/>
  </r>
  <r>
    <d v="2022-11-16T00:00:00"/>
    <d v="1899-12-30T06:56:26"/>
    <d v="1899-12-30T15:45:03"/>
    <n v="8"/>
    <n v="1.53"/>
    <n v="0.23"/>
    <n v="3.95"/>
    <x v="1"/>
  </r>
  <r>
    <d v="2022-11-17T00:00:00"/>
    <d v="1899-12-30T06:58:09"/>
    <d v="1899-12-30T15:43:42"/>
    <n v="2"/>
    <n v="4.1900000000000004"/>
    <n v="1.92"/>
    <n v="3.24"/>
    <x v="1"/>
  </r>
  <r>
    <d v="2022-11-18T00:00:00"/>
    <d v="1899-12-30T06:59:52"/>
    <d v="1899-12-30T15:42:24"/>
    <n v="5"/>
    <n v="3.63"/>
    <n v="1.48"/>
    <n v="2.96"/>
    <x v="1"/>
  </r>
  <r>
    <d v="2022-11-19T00:00:00"/>
    <d v="1899-12-30T07:01:35"/>
    <d v="1899-12-30T15:41:08"/>
    <n v="5"/>
    <n v="3.6"/>
    <n v="2.06"/>
    <n v="2.72"/>
    <x v="1"/>
  </r>
  <r>
    <d v="2022-11-20T00:00:00"/>
    <d v="1899-12-30T07:03:16"/>
    <d v="1899-12-30T15:39:54"/>
    <n v="2"/>
    <n v="6.14"/>
    <n v="5.07"/>
    <n v="3.94"/>
    <x v="1"/>
  </r>
  <r>
    <d v="2022-11-21T00:00:00"/>
    <d v="1899-12-30T07:04:56"/>
    <d v="1899-12-30T15:38:43"/>
    <n v="5"/>
    <n v="3.16"/>
    <n v="2.11"/>
    <n v="4.08"/>
    <x v="1"/>
  </r>
  <r>
    <d v="2022-11-22T00:00:00"/>
    <d v="1899-12-30T07:06:35"/>
    <d v="1899-12-30T15:37:35"/>
    <n v="4"/>
    <n v="4.0999999999999996"/>
    <n v="3.41"/>
    <n v="4.6100000000000003"/>
    <x v="1"/>
  </r>
  <r>
    <d v="2022-11-23T00:00:00"/>
    <d v="1899-12-30T07:08:13"/>
    <d v="1899-12-30T15:36:30"/>
    <n v="7"/>
    <n v="2.91"/>
    <n v="1.06"/>
    <n v="5.07"/>
    <x v="1"/>
  </r>
  <r>
    <d v="2022-11-24T00:00:00"/>
    <d v="1899-12-30T07:09:50"/>
    <d v="1899-12-30T15:35:27"/>
    <n v="6"/>
    <n v="3.18"/>
    <n v="1.37"/>
    <n v="4.16"/>
    <x v="1"/>
  </r>
  <r>
    <d v="2022-11-25T00:00:00"/>
    <d v="1899-12-30T07:11:26"/>
    <d v="1899-12-30T15:34:27"/>
    <n v="7"/>
    <n v="2.52"/>
    <n v="1.46"/>
    <n v="5.24"/>
    <x v="1"/>
  </r>
  <r>
    <d v="2022-11-26T00:00:00"/>
    <d v="1899-12-30T07:13:00"/>
    <d v="1899-12-30T15:33:30"/>
    <n v="6"/>
    <n v="3.85"/>
    <n v="1.1599999999999999"/>
    <n v="6.08"/>
    <x v="1"/>
  </r>
  <r>
    <d v="2022-11-27T00:00:00"/>
    <d v="1899-12-30T07:14:33"/>
    <d v="1899-12-30T15:32:36"/>
    <n v="8"/>
    <n v="1.84"/>
    <n v="0.47"/>
    <n v="4.66"/>
    <x v="1"/>
  </r>
  <r>
    <d v="2022-11-28T00:00:00"/>
    <d v="1899-12-30T07:16:04"/>
    <d v="1899-12-30T15:31:45"/>
    <n v="8"/>
    <n v="1.59"/>
    <n v="0.42"/>
    <n v="4.9800000000000004"/>
    <x v="1"/>
  </r>
  <r>
    <d v="2022-11-29T00:00:00"/>
    <d v="1899-12-30T07:17:33"/>
    <d v="1899-12-30T15:30:57"/>
    <n v="8"/>
    <n v="1.34"/>
    <n v="0.27"/>
    <n v="3.95"/>
    <x v="1"/>
  </r>
  <r>
    <d v="2022-11-30T00:00:00"/>
    <d v="1899-12-30T07:19:01"/>
    <d v="1899-12-30T15:30:12"/>
    <n v="8"/>
    <n v="1.1399999999999999"/>
    <n v="0"/>
    <n v="7.02"/>
    <x v="1"/>
  </r>
  <r>
    <d v="2022-12-01T00:00:00"/>
    <d v="1899-12-30T07:20:27"/>
    <d v="1899-12-30T15:29:31"/>
    <n v="7"/>
    <n v="2.4900000000000002"/>
    <n v="1.06"/>
    <n v="6.09"/>
    <x v="1"/>
  </r>
  <r>
    <d v="2022-12-02T00:00:00"/>
    <d v="1899-12-30T07:21:51"/>
    <d v="1899-12-30T15:28:52"/>
    <n v="6"/>
    <n v="2.37"/>
    <n v="1.6"/>
    <n v="5.87"/>
    <x v="1"/>
  </r>
  <r>
    <d v="2022-12-03T00:00:00"/>
    <d v="1899-12-30T07:23:13"/>
    <d v="1899-12-30T15:28:17"/>
    <n v="5"/>
    <n v="3.36"/>
    <n v="2.41"/>
    <n v="4.95"/>
    <x v="1"/>
  </r>
  <r>
    <d v="2022-12-04T00:00:00"/>
    <d v="1899-12-30T07:24:33"/>
    <d v="1899-12-30T15:27:44"/>
    <n v="8"/>
    <n v="1.32"/>
    <n v="0.54"/>
    <n v="5.16"/>
    <x v="1"/>
  </r>
  <r>
    <d v="2022-12-05T00:00:00"/>
    <d v="1899-12-30T07:25:51"/>
    <d v="1899-12-30T15:27:16"/>
    <n v="7"/>
    <n v="2.48"/>
    <n v="0.49"/>
    <n v="5.04"/>
    <x v="1"/>
  </r>
  <r>
    <d v="2022-12-06T00:00:00"/>
    <d v="1899-12-30T07:27:07"/>
    <d v="1899-12-30T15:26:50"/>
    <n v="7"/>
    <n v="2.2000000000000002"/>
    <n v="0.61"/>
    <n v="4.92"/>
    <x v="0"/>
  </r>
  <r>
    <d v="2022-12-07T00:00:00"/>
    <d v="1899-12-30T07:28:20"/>
    <d v="1899-12-30T15:26:28"/>
    <n v="7"/>
    <n v="2.87"/>
    <n v="0.35"/>
    <n v="5.03"/>
    <x v="0"/>
  </r>
  <r>
    <d v="2022-12-08T00:00:00"/>
    <d v="1899-12-30T07:29:31"/>
    <d v="1899-12-30T15:26:10"/>
    <n v="7"/>
    <n v="2.8"/>
    <n v="1.24"/>
    <n v="4.29"/>
    <x v="0"/>
  </r>
  <r>
    <d v="2022-12-09T00:00:00"/>
    <d v="1899-12-30T07:30:39"/>
    <d v="1899-12-30T15:25:54"/>
    <n v="6"/>
    <n v="2.95"/>
    <n v="1.42"/>
    <n v="4.25"/>
    <x v="0"/>
  </r>
  <r>
    <d v="2022-12-10T00:00:00"/>
    <d v="1899-12-30T07:31:45"/>
    <d v="1899-12-30T15:25:43"/>
    <n v="6"/>
    <n v="3.38"/>
    <n v="1.66"/>
    <n v="5.07"/>
    <x v="0"/>
  </r>
  <r>
    <d v="2022-12-11T00:00:00"/>
    <d v="1899-12-30T07:32:48"/>
    <d v="1899-12-30T15:25:34"/>
    <n v="7"/>
    <n v="2.11"/>
    <n v="0.84"/>
    <n v="5.38"/>
    <x v="0"/>
  </r>
  <r>
    <d v="2022-12-12T00:00:00"/>
    <d v="1899-12-30T07:33:49"/>
    <d v="1899-12-30T15:25:29"/>
    <n v="8"/>
    <n v="1.31"/>
    <n v="0.05"/>
    <n v="6.3"/>
    <x v="0"/>
  </r>
  <r>
    <d v="2022-12-13T00:00:00"/>
    <d v="1899-12-30T07:34:46"/>
    <d v="1899-12-30T15:25:28"/>
    <n v="7"/>
    <n v="2.0299999999999998"/>
    <n v="1.02"/>
    <n v="6.12"/>
    <x v="0"/>
  </r>
  <r>
    <d v="2022-12-14T00:00:00"/>
    <d v="1899-12-30T07:35:41"/>
    <d v="1899-12-30T15:25:30"/>
    <n v="8"/>
    <n v="1.5"/>
    <n v="0.14000000000000001"/>
    <n v="6.01"/>
    <x v="0"/>
  </r>
  <r>
    <d v="2022-12-15T00:00:00"/>
    <d v="1899-12-30T07:36:33"/>
    <d v="1899-12-30T15:25:36"/>
    <n v="5"/>
    <n v="3.8"/>
    <n v="0.24"/>
    <n v="4.92"/>
    <x v="0"/>
  </r>
  <r>
    <d v="2022-12-16T00:00:00"/>
    <d v="1899-12-30T07:37:22"/>
    <d v="1899-12-30T15:25:45"/>
    <n v="7"/>
    <n v="2.11"/>
    <n v="0.6"/>
    <n v="4.95"/>
    <x v="0"/>
  </r>
  <r>
    <d v="2022-12-17T00:00:00"/>
    <d v="1899-12-30T07:38:07"/>
    <d v="1899-12-30T15:25:58"/>
    <n v="7"/>
    <n v="2.2200000000000002"/>
    <n v="0.95"/>
    <n v="6.02"/>
    <x v="0"/>
  </r>
  <r>
    <d v="2022-12-18T00:00:00"/>
    <d v="1899-12-30T07:38:50"/>
    <d v="1899-12-30T15:26:14"/>
    <n v="7"/>
    <n v="2.82"/>
    <n v="0.3"/>
    <n v="4.6500000000000004"/>
    <x v="0"/>
  </r>
  <r>
    <d v="2022-12-19T00:00:00"/>
    <d v="1899-12-30T07:39:30"/>
    <d v="1899-12-30T15:26:34"/>
    <n v="8"/>
    <n v="1.25"/>
    <n v="0.32"/>
    <n v="6.04"/>
    <x v="0"/>
  </r>
  <r>
    <d v="2022-12-20T00:00:00"/>
    <d v="1899-12-30T07:40:06"/>
    <d v="1899-12-30T15:26:57"/>
    <n v="8"/>
    <n v="1.55"/>
    <n v="0.12"/>
    <n v="4.43"/>
    <x v="0"/>
  </r>
  <r>
    <d v="2022-12-21T00:00:00"/>
    <d v="1899-12-30T07:40:39"/>
    <d v="1899-12-30T15:27:24"/>
    <n v="8"/>
    <n v="1.77"/>
    <n v="0.14000000000000001"/>
    <n v="6.21"/>
    <x v="0"/>
  </r>
  <r>
    <d v="2022-12-22T00:00:00"/>
    <d v="1899-12-30T07:41:08"/>
    <d v="1899-12-30T15:27:54"/>
    <n v="8"/>
    <n v="1.31"/>
    <n v="0.17"/>
    <n v="4.8499999999999996"/>
    <x v="0"/>
  </r>
  <r>
    <d v="2022-12-23T00:00:00"/>
    <d v="1899-12-30T07:41:35"/>
    <d v="1899-12-30T15:28:27"/>
    <n v="6"/>
    <n v="3.04"/>
    <n v="0.72"/>
    <n v="4.12"/>
    <x v="0"/>
  </r>
  <r>
    <d v="2022-12-24T00:00:00"/>
    <d v="1899-12-30T07:41:58"/>
    <d v="1899-12-30T15:29:04"/>
    <n v="8"/>
    <n v="1.0900000000000001"/>
    <n v="0.09"/>
    <n v="6.07"/>
    <x v="0"/>
  </r>
  <r>
    <d v="2022-12-25T00:00:00"/>
    <d v="1899-12-30T07:42:17"/>
    <d v="1899-12-30T15:29:44"/>
    <n v="7"/>
    <n v="2.92"/>
    <n v="1.05"/>
    <n v="4.1399999999999997"/>
    <x v="0"/>
  </r>
  <r>
    <d v="2022-12-26T00:00:00"/>
    <d v="1899-12-30T07:42:33"/>
    <d v="1899-12-30T15:30:27"/>
    <n v="6"/>
    <n v="3.24"/>
    <n v="2.04"/>
    <n v="5.0199999999999996"/>
    <x v="0"/>
  </r>
  <r>
    <d v="2022-12-27T00:00:00"/>
    <d v="1899-12-30T07:42:46"/>
    <d v="1899-12-30T15:31:13"/>
    <n v="5"/>
    <n v="3.79"/>
    <n v="2.61"/>
    <n v="4.6500000000000004"/>
    <x v="0"/>
  </r>
  <r>
    <d v="2022-12-28T00:00:00"/>
    <d v="1899-12-30T07:42:55"/>
    <d v="1899-12-30T15:32:03"/>
    <n v="8"/>
    <n v="1.54"/>
    <n v="0.36"/>
    <n v="4.1900000000000004"/>
    <x v="0"/>
  </r>
  <r>
    <d v="2022-12-29T00:00:00"/>
    <d v="1899-12-30T07:43:01"/>
    <d v="1899-12-30T15:32:56"/>
    <n v="8"/>
    <n v="1.21"/>
    <n v="0.24"/>
    <n v="5.39"/>
    <x v="0"/>
  </r>
  <r>
    <d v="2022-12-30T00:00:00"/>
    <d v="1899-12-30T07:43:03"/>
    <d v="1899-12-30T15:33:51"/>
    <n v="5"/>
    <n v="3.76"/>
    <n v="0.22"/>
    <n v="4.0599999999999996"/>
    <x v="0"/>
  </r>
  <r>
    <d v="2022-12-31T00:00:00"/>
    <d v="1899-12-30T07:43:02"/>
    <d v="1899-12-30T15:34:50"/>
    <n v="8"/>
    <n v="1.98"/>
    <n v="0.03"/>
    <n v="5.0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B713F-6985-4E24-B110-9E6951DD37BC}" name="Tabela przestawna1" cacheId="0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chartFormat="5" rowHeaderCaption="liczba godzin nasłonecznienia">
  <location ref="A3:D13" firstHeaderRow="0" firstDataRow="1" firstDataCol="1"/>
  <pivotFields count="8">
    <pivotField numFmtId="14" showAll="0"/>
    <pivotField numFmtId="164" showAll="0"/>
    <pivotField numFmtId="164" showAll="0"/>
    <pivotField showAll="0"/>
    <pivotField dataField="1" showAll="0"/>
    <pivotField dataField="1"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3">
    <i>
      <x/>
    </i>
    <i i="1">
      <x v="1"/>
    </i>
    <i i="2">
      <x v="2"/>
    </i>
  </colItems>
  <dataFields count="3">
    <dataField name="Średnia z produkcja" fld="4" subtotal="average" baseField="7" baseItem="0"/>
    <dataField name="Średnia z oddanie" fld="5" subtotal="average" baseField="7" baseItem="0"/>
    <dataField name="Średnia z pobranie" fld="6" subtotal="average" baseField="7" baseItem="0"/>
  </dataFields>
  <formats count="1">
    <format dxfId="1">
      <pivotArea field="7" type="button" dataOnly="0" labelOnly="1" outline="0" axis="axisRow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8442EE-CBE6-460C-A2CD-B39BC1584CB9}" autoFormatId="16" applyNumberFormats="0" applyBorderFormats="0" applyFontFormats="0" applyPatternFormats="0" applyAlignmentFormats="0" applyWidthHeightFormats="0">
  <queryTableRefresh nextId="8">
    <queryTableFields count="7">
      <queryTableField id="1" name="data" tableColumnId="1"/>
      <queryTableField id="2" name="wsch" tableColumnId="2"/>
      <queryTableField id="3" name="zach" tableColumnId="3"/>
      <queryTableField id="4" name="st_zach" tableColumnId="4"/>
      <queryTableField id="5" name="produkcja" tableColumnId="5"/>
      <queryTableField id="6" name="oddanie" tableColumnId="6"/>
      <queryTableField id="7" name="pobrani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A2EEE4A-6277-462D-B627-AE3F9746AAF3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data" tableColumnId="1"/>
      <queryTableField id="2" name="wsch" tableColumnId="2"/>
      <queryTableField id="3" name="zach" tableColumnId="3"/>
      <queryTableField id="4" name="st_zach" tableColumnId="4"/>
      <queryTableField id="5" name="produkcja" tableColumnId="5"/>
      <queryTableField id="6" name="oddanie" tableColumnId="6"/>
      <queryTableField id="7" name="pobranie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3D78F7D-7E97-4C0B-84BB-AB994EA46594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data" tableColumnId="1"/>
      <queryTableField id="2" name="wsch" tableColumnId="2"/>
      <queryTableField id="3" name="zach" tableColumnId="3"/>
      <queryTableField id="4" name="st_zach" tableColumnId="4"/>
      <queryTableField id="5" name="produkcja" tableColumnId="5"/>
      <queryTableField id="6" name="oddanie" tableColumnId="6"/>
      <queryTableField id="7" name="pobranie" tableColumnId="7"/>
      <queryTableField id="8" dataBound="0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D38153C-6548-46BD-A1E1-B0C79A09FF76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data" tableColumnId="1"/>
      <queryTableField id="2" name="wsch" tableColumnId="2"/>
      <queryTableField id="3" name="zach" tableColumnId="3"/>
      <queryTableField id="4" name="st_zach" tableColumnId="4"/>
      <queryTableField id="5" name="produkcja" tableColumnId="5"/>
      <queryTableField id="6" name="oddanie" tableColumnId="6"/>
      <queryTableField id="7" name="pobranie" tableColumnId="7"/>
      <queryTableField id="8" dataBound="0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4FD3336-457B-4A76-8876-6190E812C327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data" tableColumnId="1"/>
      <queryTableField id="2" name="wsch" tableColumnId="2"/>
      <queryTableField id="3" name="zach" tableColumnId="3"/>
      <queryTableField id="4" name="st_zach" tableColumnId="4"/>
      <queryTableField id="5" name="produkcja" tableColumnId="5"/>
      <queryTableField id="6" name="oddanie" tableColumnId="6"/>
      <queryTableField id="7" name="pobrani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BF5B78-C805-4876-947A-5FD86CBB9E72}" name="fotowoltaika" displayName="fotowoltaika" ref="A1:G366" tableType="queryTable" totalsRowShown="0">
  <autoFilter ref="A1:G366" xr:uid="{94BF5B78-C805-4876-947A-5FD86CBB9E72}"/>
  <tableColumns count="7">
    <tableColumn id="1" xr3:uid="{331E378B-FCE3-4C6B-A342-3C3F398E7DBD}" uniqueName="1" name="data" queryTableFieldId="1" dataDxfId="32"/>
    <tableColumn id="2" xr3:uid="{2E4F6518-9E6C-4958-AD11-FA1961655C15}" uniqueName="2" name="wsch" queryTableFieldId="2" dataDxfId="31"/>
    <tableColumn id="3" xr3:uid="{B859C281-1C22-49AC-A47E-50CCA19D1250}" uniqueName="3" name="zach" queryTableFieldId="3" dataDxfId="30"/>
    <tableColumn id="4" xr3:uid="{475ED41A-4188-47B1-87DD-02CE83AE695D}" uniqueName="4" name="st_zach" queryTableFieldId="4" dataDxfId="29"/>
    <tableColumn id="5" xr3:uid="{3D2F6922-1C25-49CC-87AD-5745C50F1EE2}" uniqueName="5" name="produkcja" queryTableFieldId="5" dataDxfId="28"/>
    <tableColumn id="6" xr3:uid="{5070A9FA-C8F5-4FBC-8F4A-B6727171EA7B}" uniqueName="6" name="oddanie" queryTableFieldId="6" dataDxfId="27"/>
    <tableColumn id="7" xr3:uid="{920AB596-D357-40FE-9569-16DE06FC10E6}" uniqueName="7" name="pobranie" queryTableFieldId="7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65A445-08FF-4589-9E18-F58FC6935035}" name="fotowoltaika5" displayName="fotowoltaika5" ref="A1:H366" tableType="queryTable" totalsRowShown="0">
  <autoFilter ref="A1:H366" xr:uid="{2565A445-08FF-4589-9E18-F58FC6935035}"/>
  <tableColumns count="8">
    <tableColumn id="1" xr3:uid="{D54D4D74-D968-495C-BC10-B7A218061FC7}" uniqueName="1" name="data" queryTableFieldId="1" dataDxfId="25"/>
    <tableColumn id="2" xr3:uid="{4E41FAF3-D168-44CC-BBC3-07208F8636B2}" uniqueName="2" name="wsch" queryTableFieldId="2" dataDxfId="24"/>
    <tableColumn id="3" xr3:uid="{90A2A9F9-ED0A-4D10-9223-BF7530F405F7}" uniqueName="3" name="zach" queryTableFieldId="3" dataDxfId="23"/>
    <tableColumn id="4" xr3:uid="{566FFEFC-C83B-4DED-B1AC-CB74D75090A3}" uniqueName="4" name="st_zach" queryTableFieldId="4" dataDxfId="22"/>
    <tableColumn id="5" xr3:uid="{4A564CA6-78BF-45AB-B75E-C5501DE095DA}" uniqueName="5" name="produkcja" queryTableFieldId="5" dataDxfId="21"/>
    <tableColumn id="6" xr3:uid="{89C7124E-5AEF-4891-885D-0B16D1AA8091}" uniqueName="6" name="oddanie" queryTableFieldId="6" dataDxfId="20"/>
    <tableColumn id="7" xr3:uid="{F5F978AA-B876-44DA-8095-D38B226B5C1B}" uniqueName="7" name="pobranie" queryTableFieldId="7" dataDxfId="19"/>
    <tableColumn id="8" xr3:uid="{1AD7BFC3-E161-4092-91B3-8F862CE04C14}" uniqueName="8" name="Zużycie" queryTableFieldId="8" dataDxfId="18">
      <calculatedColumnFormula>E2+G2-F2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00EC37-E535-4987-AA37-70C0F4B7472E}" name="fotowoltaika6" displayName="fotowoltaika6" ref="A1:H366" tableType="queryTable" totalsRowShown="0">
  <autoFilter ref="A1:H366" xr:uid="{FD00EC37-E535-4987-AA37-70C0F4B7472E}"/>
  <tableColumns count="8">
    <tableColumn id="1" xr3:uid="{EFC17BF0-E32C-49A4-B6B5-25BC2AC628C0}" uniqueName="1" name="data" queryTableFieldId="1" dataDxfId="17"/>
    <tableColumn id="2" xr3:uid="{143A4D94-E833-4563-9D70-897D37AB72BB}" uniqueName="2" name="wsch" queryTableFieldId="2" dataDxfId="16"/>
    <tableColumn id="3" xr3:uid="{7535A8C2-D16E-4BF6-81A7-A83BE709C5A6}" uniqueName="3" name="zach" queryTableFieldId="3" dataDxfId="15"/>
    <tableColumn id="4" xr3:uid="{19C9A132-B361-46AB-B85D-F0BBF768F5FB}" uniqueName="4" name="st_zach" queryTableFieldId="4" dataDxfId="14"/>
    <tableColumn id="5" xr3:uid="{FA08FE32-7422-46BF-AA7C-73D80CBA498F}" uniqueName="5" name="produkcja" queryTableFieldId="5" dataDxfId="13"/>
    <tableColumn id="6" xr3:uid="{F4973C1B-CA07-4621-BE28-B07C456D3941}" uniqueName="6" name="oddanie" queryTableFieldId="6" dataDxfId="12"/>
    <tableColumn id="7" xr3:uid="{0D9BEBD0-FC11-4E2E-B6C8-A4290D7DD9F3}" uniqueName="7" name="pobranie" queryTableFieldId="7" dataDxfId="11"/>
    <tableColumn id="8" xr3:uid="{3F6EDB22-37FD-481F-BDC3-C958E529E26F}" uniqueName="8" name="Ciąg" queryTableFieldId="8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933121-D3A3-4212-A43A-C5FFE4E5BBA6}" name="fotowoltaika7" displayName="fotowoltaika7" ref="A1:H366" tableType="queryTable" totalsRowShown="0">
  <autoFilter ref="A1:H366" xr:uid="{0B933121-D3A3-4212-A43A-C5FFE4E5BBA6}"/>
  <tableColumns count="8">
    <tableColumn id="1" xr3:uid="{11C61847-B8F5-4360-AF35-1AF73443A3D6}" uniqueName="1" name="data" queryTableFieldId="1" dataDxfId="9"/>
    <tableColumn id="2" xr3:uid="{A2C191F7-CFFA-4DF3-993B-F03EEEF5BEC1}" uniqueName="2" name="wsch" queryTableFieldId="2" dataDxfId="8"/>
    <tableColumn id="3" xr3:uid="{C7208BE1-C6B8-494F-9431-C19D10E7F38A}" uniqueName="3" name="zach" queryTableFieldId="3" dataDxfId="7"/>
    <tableColumn id="4" xr3:uid="{FD840D05-9B0D-44E3-9597-185EA3081FF6}" uniqueName="4" name="st_zach" queryTableFieldId="4" dataDxfId="6"/>
    <tableColumn id="5" xr3:uid="{6E072836-F555-487E-B687-97DEF6E933A8}" uniqueName="5" name="produkcja" queryTableFieldId="5" dataDxfId="5"/>
    <tableColumn id="6" xr3:uid="{6926992E-0840-467B-AC8B-C9577C6208E7}" uniqueName="6" name="oddanie" queryTableFieldId="6" dataDxfId="4"/>
    <tableColumn id="7" xr3:uid="{134B9FB3-1584-4B95-A9AD-4B1DB69A2A2B}" uniqueName="7" name="pobranie" queryTableFieldId="7" dataDxfId="3"/>
    <tableColumn id="8" xr3:uid="{A98CE28C-2C06-4D3A-A2D4-FABDA5B483EA}" uniqueName="8" name="Czas_naslonecznienia" queryTableFieldId="8" dataDxfId="2">
      <calculatedColumnFormula>INT((C2-B2)*24)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4869C4-7975-4E5C-BE0A-16FE3FBDCB5B}" name="fotowoltaika8" displayName="fotowoltaika8" ref="A1:H366" tableType="queryTable" totalsRowShown="0">
  <autoFilter ref="A1:H366" xr:uid="{D84869C4-7975-4E5C-BE0A-16FE3FBDCB5B}"/>
  <tableColumns count="8">
    <tableColumn id="1" xr3:uid="{5BE4FB8A-9B68-4FF6-8E6E-A4992B18D897}" uniqueName="1" name="data" queryTableFieldId="1" dataDxfId="40"/>
    <tableColumn id="2" xr3:uid="{CE1C1BC4-BD26-4802-A9A0-28FAAA15C15C}" uniqueName="2" name="wsch" queryTableFieldId="2" dataDxfId="39"/>
    <tableColumn id="3" xr3:uid="{E89426DE-6042-4613-8E9D-422A92D0BF30}" uniqueName="3" name="zach" queryTableFieldId="3" dataDxfId="38"/>
    <tableColumn id="4" xr3:uid="{8C48BC14-EB68-495D-8BF5-BF9EC7D80600}" uniqueName="4" name="st_zach" queryTableFieldId="4" dataDxfId="37"/>
    <tableColumn id="5" xr3:uid="{5F62E1F7-31F6-4BCB-B399-0D2352D66162}" uniqueName="5" name="produkcja" queryTableFieldId="5" dataDxfId="36"/>
    <tableColumn id="6" xr3:uid="{83FF19CE-59DF-498C-BDAA-4371908A45AC}" uniqueName="6" name="oddanie" queryTableFieldId="6" dataDxfId="35"/>
    <tableColumn id="7" xr3:uid="{B2E1DA73-8658-4E36-AB61-8D6DBE939823}" uniqueName="7" name="pobranie" queryTableFieldId="7" dataDxfId="34"/>
    <tableColumn id="8" xr3:uid="{79D76568-7274-4148-B41D-4D1F9B859437}" uniqueName="8" name="Stan_konta" queryTableFieldId="8" dataDxf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0B28-3822-4AB3-8815-9497882B6CAA}">
  <dimension ref="A1:G366"/>
  <sheetViews>
    <sheetView topLeftCell="A341" zoomScale="160" zoomScaleNormal="160" workbookViewId="0">
      <selection sqref="A1:G366"/>
    </sheetView>
  </sheetViews>
  <sheetFormatPr defaultRowHeight="15" x14ac:dyDescent="0.25"/>
  <cols>
    <col min="1" max="1" width="15.85546875" customWidth="1"/>
    <col min="2" max="2" width="9.85546875" customWidth="1"/>
    <col min="3" max="3" width="10.5703125" customWidth="1"/>
    <col min="4" max="4" width="9.85546875" bestFit="1" customWidth="1"/>
    <col min="5" max="5" width="12.140625" bestFit="1" customWidth="1"/>
    <col min="6" max="6" width="10.5703125" bestFit="1" customWidth="1"/>
    <col min="7" max="7" width="11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</row>
    <row r="3" spans="1:7" x14ac:dyDescent="0.25">
      <c r="A3" s="1">
        <v>44563</v>
      </c>
      <c r="B3" s="2">
        <v>0.3213773148148148</v>
      </c>
      <c r="C3" s="2">
        <v>0.65083333333333337</v>
      </c>
      <c r="D3">
        <v>4</v>
      </c>
      <c r="E3">
        <v>4.47</v>
      </c>
      <c r="F3">
        <v>1.23</v>
      </c>
      <c r="G3">
        <v>3.99</v>
      </c>
    </row>
    <row r="4" spans="1:7" x14ac:dyDescent="0.25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</row>
    <row r="5" spans="1:7" x14ac:dyDescent="0.25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</row>
    <row r="6" spans="1:7" x14ac:dyDescent="0.25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</row>
    <row r="7" spans="1:7" x14ac:dyDescent="0.25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</row>
    <row r="8" spans="1:7" x14ac:dyDescent="0.25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</row>
    <row r="9" spans="1:7" x14ac:dyDescent="0.25">
      <c r="A9" s="1">
        <v>44569</v>
      </c>
      <c r="B9" s="2">
        <v>0.31994212962962965</v>
      </c>
      <c r="C9" s="2">
        <v>0.65597222222222218</v>
      </c>
      <c r="D9">
        <v>1</v>
      </c>
      <c r="E9">
        <v>7.24</v>
      </c>
      <c r="F9">
        <v>2.58</v>
      </c>
      <c r="G9">
        <v>2.4700000000000002</v>
      </c>
    </row>
    <row r="10" spans="1:7" x14ac:dyDescent="0.25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</row>
    <row r="11" spans="1:7" x14ac:dyDescent="0.25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</row>
    <row r="12" spans="1:7" x14ac:dyDescent="0.25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</row>
    <row r="13" spans="1:7" x14ac:dyDescent="0.25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</row>
    <row r="14" spans="1:7" x14ac:dyDescent="0.25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</row>
    <row r="15" spans="1:7" x14ac:dyDescent="0.25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</row>
    <row r="16" spans="1:7" x14ac:dyDescent="0.25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</row>
    <row r="17" spans="1:7" x14ac:dyDescent="0.25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</row>
    <row r="18" spans="1:7" x14ac:dyDescent="0.25">
      <c r="A18" s="1">
        <v>44578</v>
      </c>
      <c r="B18" s="2">
        <v>0.31526620370370373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</row>
    <row r="19" spans="1:7" x14ac:dyDescent="0.25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</row>
    <row r="20" spans="1:7" x14ac:dyDescent="0.25">
      <c r="A20" s="1">
        <v>44580</v>
      </c>
      <c r="B20" s="2">
        <v>0.31384259259259262</v>
      </c>
      <c r="C20" s="2">
        <v>0.66766203703703708</v>
      </c>
      <c r="D20">
        <v>4</v>
      </c>
      <c r="E20">
        <v>3.53</v>
      </c>
      <c r="F20">
        <v>0.34</v>
      </c>
      <c r="G20">
        <v>1.25</v>
      </c>
    </row>
    <row r="21" spans="1:7" x14ac:dyDescent="0.25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</row>
    <row r="22" spans="1:7" x14ac:dyDescent="0.25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</row>
    <row r="23" spans="1:7" x14ac:dyDescent="0.25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</row>
    <row r="24" spans="1:7" x14ac:dyDescent="0.25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</row>
    <row r="25" spans="1:7" x14ac:dyDescent="0.25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</row>
    <row r="26" spans="1:7" x14ac:dyDescent="0.25">
      <c r="A26" s="1">
        <v>44586</v>
      </c>
      <c r="B26" s="2">
        <v>0.30884259259259261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</row>
    <row r="27" spans="1:7" x14ac:dyDescent="0.25">
      <c r="A27" s="1">
        <v>44587</v>
      </c>
      <c r="B27" s="2">
        <v>0.30791666666666667</v>
      </c>
      <c r="C27" s="2">
        <v>0.67612268518518515</v>
      </c>
      <c r="D27">
        <v>2</v>
      </c>
      <c r="E27">
        <v>5.1100000000000003</v>
      </c>
      <c r="F27">
        <v>2.02</v>
      </c>
      <c r="G27">
        <v>1.35</v>
      </c>
    </row>
    <row r="28" spans="1:7" x14ac:dyDescent="0.25">
      <c r="A28" s="1">
        <v>44588</v>
      </c>
      <c r="B28" s="2">
        <v>0.3069560185185185</v>
      </c>
      <c r="C28" s="2">
        <v>0.67737268518518523</v>
      </c>
      <c r="D28">
        <v>1</v>
      </c>
      <c r="E28">
        <v>4.97</v>
      </c>
      <c r="F28">
        <v>1.92</v>
      </c>
      <c r="G28">
        <v>2.0099999999999998</v>
      </c>
    </row>
    <row r="29" spans="1:7" x14ac:dyDescent="0.25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</row>
    <row r="30" spans="1:7" x14ac:dyDescent="0.25">
      <c r="A30" s="1">
        <v>44590</v>
      </c>
      <c r="B30" s="2">
        <v>0.30494212962962963</v>
      </c>
      <c r="C30" s="2">
        <v>0.67988425925925922</v>
      </c>
      <c r="D30">
        <v>1</v>
      </c>
      <c r="E30">
        <v>5.76</v>
      </c>
      <c r="F30">
        <v>3.33</v>
      </c>
      <c r="G30">
        <v>2.0099999999999998</v>
      </c>
    </row>
    <row r="31" spans="1:7" x14ac:dyDescent="0.25">
      <c r="A31" s="1">
        <v>44591</v>
      </c>
      <c r="B31" s="2">
        <v>0.30391203703703706</v>
      </c>
      <c r="C31" s="2">
        <v>0.68115740740740738</v>
      </c>
      <c r="D31">
        <v>2</v>
      </c>
      <c r="E31">
        <v>5.97</v>
      </c>
      <c r="F31">
        <v>3.48</v>
      </c>
      <c r="G31">
        <v>1.93</v>
      </c>
    </row>
    <row r="32" spans="1:7" x14ac:dyDescent="0.25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</row>
    <row r="33" spans="1:7" x14ac:dyDescent="0.25">
      <c r="A33" s="1">
        <v>44593</v>
      </c>
      <c r="B33" s="2">
        <v>0.30175925925925928</v>
      </c>
      <c r="C33" s="2">
        <v>0.68371527777777774</v>
      </c>
      <c r="D33">
        <v>1</v>
      </c>
      <c r="E33">
        <v>6.18</v>
      </c>
      <c r="F33">
        <v>1.34</v>
      </c>
      <c r="G33">
        <v>1.28</v>
      </c>
    </row>
    <row r="34" spans="1:7" x14ac:dyDescent="0.25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</row>
    <row r="35" spans="1:7" x14ac:dyDescent="0.25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</row>
    <row r="36" spans="1:7" x14ac:dyDescent="0.25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</row>
    <row r="37" spans="1:7" x14ac:dyDescent="0.25">
      <c r="A37" s="1">
        <v>44597</v>
      </c>
      <c r="B37" s="2">
        <v>0.2971759259259259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</row>
    <row r="38" spans="1:7" x14ac:dyDescent="0.25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</row>
    <row r="39" spans="1:7" x14ac:dyDescent="0.25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</row>
    <row r="40" spans="1:7" x14ac:dyDescent="0.25">
      <c r="A40" s="1">
        <v>44600</v>
      </c>
      <c r="B40" s="2">
        <v>0.29351851851851851</v>
      </c>
      <c r="C40" s="2">
        <v>0.69277777777777783</v>
      </c>
      <c r="D40">
        <v>1</v>
      </c>
      <c r="E40">
        <v>7.84</v>
      </c>
      <c r="F40">
        <v>2.63</v>
      </c>
      <c r="G40">
        <v>2.19</v>
      </c>
    </row>
    <row r="41" spans="1:7" x14ac:dyDescent="0.25">
      <c r="A41" s="1">
        <v>44601</v>
      </c>
      <c r="B41" s="2">
        <v>0.29226851851851854</v>
      </c>
      <c r="C41" s="2">
        <v>0.6940856481481481</v>
      </c>
      <c r="D41">
        <v>6</v>
      </c>
      <c r="E41">
        <v>2.93</v>
      </c>
      <c r="F41">
        <v>1.1299999999999999</v>
      </c>
      <c r="G41">
        <v>3.1</v>
      </c>
    </row>
    <row r="42" spans="1:7" x14ac:dyDescent="0.25">
      <c r="A42" s="1">
        <v>44602</v>
      </c>
      <c r="B42" s="2">
        <v>0.29098379629629628</v>
      </c>
      <c r="C42" s="2">
        <v>0.69538194444444446</v>
      </c>
      <c r="D42">
        <v>7</v>
      </c>
      <c r="E42">
        <v>1.24</v>
      </c>
      <c r="F42">
        <v>0.3</v>
      </c>
      <c r="G42">
        <v>2.14</v>
      </c>
    </row>
    <row r="43" spans="1:7" x14ac:dyDescent="0.25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</row>
    <row r="44" spans="1:7" x14ac:dyDescent="0.25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</row>
    <row r="45" spans="1:7" x14ac:dyDescent="0.25">
      <c r="A45" s="1">
        <v>44605</v>
      </c>
      <c r="B45" s="2">
        <v>0.28706018518518517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</row>
    <row r="46" spans="1:7" x14ac:dyDescent="0.25">
      <c r="A46" s="1">
        <v>44606</v>
      </c>
      <c r="B46" s="2">
        <v>0.28570601851851851</v>
      </c>
      <c r="C46" s="2">
        <v>0.70059027777777783</v>
      </c>
      <c r="D46">
        <v>2</v>
      </c>
      <c r="E46">
        <v>5.62</v>
      </c>
      <c r="F46">
        <v>2.41</v>
      </c>
      <c r="G46">
        <v>2.59</v>
      </c>
    </row>
    <row r="47" spans="1:7" x14ac:dyDescent="0.25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</row>
    <row r="48" spans="1:7" x14ac:dyDescent="0.25">
      <c r="A48" s="1">
        <v>44608</v>
      </c>
      <c r="B48" s="2">
        <v>0.28297453703703701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</row>
    <row r="49" spans="1:7" x14ac:dyDescent="0.25">
      <c r="A49" s="1">
        <v>44609</v>
      </c>
      <c r="B49" s="2">
        <v>0.28158564814814813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</row>
    <row r="50" spans="1:7" x14ac:dyDescent="0.25">
      <c r="A50" s="1">
        <v>44610</v>
      </c>
      <c r="B50" s="2">
        <v>0.2801851851851852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</row>
    <row r="51" spans="1:7" x14ac:dyDescent="0.25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</row>
    <row r="52" spans="1:7" x14ac:dyDescent="0.25">
      <c r="A52" s="1">
        <v>44612</v>
      </c>
      <c r="B52" s="2">
        <v>0.27733796296296298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</row>
    <row r="53" spans="1:7" x14ac:dyDescent="0.25">
      <c r="A53" s="1">
        <v>44613</v>
      </c>
      <c r="B53" s="2">
        <v>0.27590277777777777</v>
      </c>
      <c r="C53" s="2">
        <v>0.70962962962962961</v>
      </c>
      <c r="D53">
        <v>0</v>
      </c>
      <c r="E53">
        <v>9.85</v>
      </c>
      <c r="F53">
        <v>3.02</v>
      </c>
      <c r="G53">
        <v>2.46</v>
      </c>
    </row>
    <row r="54" spans="1:7" x14ac:dyDescent="0.25">
      <c r="A54" s="1">
        <v>44614</v>
      </c>
      <c r="B54" s="2">
        <v>0.27444444444444444</v>
      </c>
      <c r="C54" s="2">
        <v>0.71091435185185181</v>
      </c>
      <c r="D54">
        <v>1</v>
      </c>
      <c r="E54">
        <v>9.2899999999999991</v>
      </c>
      <c r="F54">
        <v>2.79</v>
      </c>
      <c r="G54">
        <v>1.49</v>
      </c>
    </row>
    <row r="55" spans="1:7" x14ac:dyDescent="0.25">
      <c r="A55" s="1">
        <v>44615</v>
      </c>
      <c r="B55" s="2">
        <v>0.27297453703703706</v>
      </c>
      <c r="C55" s="2">
        <v>0.71219907407407412</v>
      </c>
      <c r="D55">
        <v>4</v>
      </c>
      <c r="E55">
        <v>2.57</v>
      </c>
      <c r="F55">
        <v>0.76</v>
      </c>
      <c r="G55">
        <v>4.03</v>
      </c>
    </row>
    <row r="56" spans="1:7" x14ac:dyDescent="0.25">
      <c r="A56" s="1">
        <v>44616</v>
      </c>
      <c r="B56" s="2">
        <v>0.27150462962962962</v>
      </c>
      <c r="C56" s="2">
        <v>0.71347222222222217</v>
      </c>
      <c r="D56">
        <v>0</v>
      </c>
      <c r="E56">
        <v>9.64</v>
      </c>
      <c r="F56">
        <v>3.82</v>
      </c>
      <c r="G56">
        <v>2.36</v>
      </c>
    </row>
    <row r="57" spans="1:7" x14ac:dyDescent="0.25">
      <c r="A57" s="1">
        <v>44617</v>
      </c>
      <c r="B57" s="2">
        <v>0.27001157407407406</v>
      </c>
      <c r="C57" s="2">
        <v>0.71474537037037034</v>
      </c>
      <c r="D57">
        <v>0</v>
      </c>
      <c r="E57">
        <v>9.35</v>
      </c>
      <c r="F57">
        <v>3.73</v>
      </c>
      <c r="G57">
        <v>2.1800000000000002</v>
      </c>
    </row>
    <row r="58" spans="1:7" x14ac:dyDescent="0.25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</row>
    <row r="59" spans="1:7" x14ac:dyDescent="0.25">
      <c r="A59" s="1">
        <v>44619</v>
      </c>
      <c r="B59" s="2">
        <v>0.26700231481481479</v>
      </c>
      <c r="C59" s="2">
        <v>0.71728009259259262</v>
      </c>
      <c r="D59">
        <v>0</v>
      </c>
      <c r="E59">
        <v>9.77</v>
      </c>
      <c r="F59">
        <v>3.26</v>
      </c>
      <c r="G59">
        <v>1.3</v>
      </c>
    </row>
    <row r="60" spans="1:7" x14ac:dyDescent="0.25">
      <c r="A60" s="1">
        <v>44620</v>
      </c>
      <c r="B60" s="2">
        <v>0.26548611111111109</v>
      </c>
      <c r="C60" s="2">
        <v>0.71855324074074078</v>
      </c>
      <c r="D60">
        <v>5</v>
      </c>
      <c r="E60">
        <v>2.93</v>
      </c>
      <c r="F60">
        <v>1.03</v>
      </c>
      <c r="G60">
        <v>2.99</v>
      </c>
    </row>
    <row r="61" spans="1:7" x14ac:dyDescent="0.25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</row>
    <row r="62" spans="1:7" x14ac:dyDescent="0.25">
      <c r="A62" s="1">
        <v>44622</v>
      </c>
      <c r="B62" s="2">
        <v>0.26243055555555556</v>
      </c>
      <c r="C62" s="2">
        <v>0.72106481481481477</v>
      </c>
      <c r="D62">
        <v>6</v>
      </c>
      <c r="E62">
        <v>2.99</v>
      </c>
      <c r="F62">
        <v>0.74</v>
      </c>
      <c r="G62">
        <v>1.48</v>
      </c>
    </row>
    <row r="63" spans="1:7" x14ac:dyDescent="0.25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</row>
    <row r="64" spans="1:7" x14ac:dyDescent="0.25">
      <c r="A64" s="1">
        <v>44624</v>
      </c>
      <c r="B64" s="2">
        <v>0.25934027777777779</v>
      </c>
      <c r="C64" s="2">
        <v>0.72357638888888887</v>
      </c>
      <c r="D64">
        <v>0</v>
      </c>
      <c r="E64">
        <v>9.7100000000000009</v>
      </c>
      <c r="F64">
        <v>3.95</v>
      </c>
      <c r="G64">
        <v>1.96</v>
      </c>
    </row>
    <row r="65" spans="1:7" x14ac:dyDescent="0.25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</row>
    <row r="66" spans="1:7" x14ac:dyDescent="0.25">
      <c r="A66" s="1">
        <v>44626</v>
      </c>
      <c r="B66" s="2">
        <v>0.25621527777777775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</row>
    <row r="67" spans="1:7" x14ac:dyDescent="0.25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</row>
    <row r="68" spans="1:7" x14ac:dyDescent="0.25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</row>
    <row r="69" spans="1:7" x14ac:dyDescent="0.25">
      <c r="A69" s="1">
        <v>44629</v>
      </c>
      <c r="B69" s="2">
        <v>0.25148148148148147</v>
      </c>
      <c r="C69" s="2">
        <v>0.72979166666666662</v>
      </c>
      <c r="D69">
        <v>3</v>
      </c>
      <c r="E69">
        <v>3.29</v>
      </c>
      <c r="F69">
        <v>0.73</v>
      </c>
      <c r="G69">
        <v>2.4300000000000002</v>
      </c>
    </row>
    <row r="70" spans="1:7" x14ac:dyDescent="0.25">
      <c r="A70" s="1">
        <v>44630</v>
      </c>
      <c r="B70" s="2">
        <v>0.24989583333333334</v>
      </c>
      <c r="C70" s="2">
        <v>0.73103009259259255</v>
      </c>
      <c r="D70">
        <v>1</v>
      </c>
      <c r="E70">
        <v>7.92</v>
      </c>
      <c r="F70">
        <v>1.58</v>
      </c>
      <c r="G70">
        <v>1.63</v>
      </c>
    </row>
    <row r="71" spans="1:7" x14ac:dyDescent="0.25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</row>
    <row r="72" spans="1:7" x14ac:dyDescent="0.25">
      <c r="A72" s="1">
        <v>44632</v>
      </c>
      <c r="B72" s="2">
        <v>0.2467013888888889</v>
      </c>
      <c r="C72" s="2">
        <v>0.73348379629629634</v>
      </c>
      <c r="D72">
        <v>0</v>
      </c>
      <c r="E72">
        <v>11.09</v>
      </c>
      <c r="F72">
        <v>3.46</v>
      </c>
      <c r="G72">
        <v>1.28</v>
      </c>
    </row>
    <row r="73" spans="1:7" x14ac:dyDescent="0.25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</row>
    <row r="74" spans="1:7" x14ac:dyDescent="0.25">
      <c r="A74" s="1">
        <v>44634</v>
      </c>
      <c r="B74" s="2">
        <v>0.24349537037037036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</row>
    <row r="75" spans="1:7" x14ac:dyDescent="0.25">
      <c r="A75" s="1">
        <v>44635</v>
      </c>
      <c r="B75" s="2">
        <v>0.24188657407407407</v>
      </c>
      <c r="C75" s="2">
        <v>0.73716435185185181</v>
      </c>
      <c r="D75">
        <v>6</v>
      </c>
      <c r="E75">
        <v>3.14</v>
      </c>
      <c r="F75">
        <v>1.73</v>
      </c>
      <c r="G75">
        <v>3.82</v>
      </c>
    </row>
    <row r="76" spans="1:7" x14ac:dyDescent="0.25">
      <c r="A76" s="1">
        <v>44636</v>
      </c>
      <c r="B76" s="2">
        <v>0.24027777777777778</v>
      </c>
      <c r="C76" s="2">
        <v>0.73837962962962966</v>
      </c>
      <c r="D76">
        <v>0</v>
      </c>
      <c r="E76">
        <v>12.41</v>
      </c>
      <c r="F76">
        <v>3.85</v>
      </c>
      <c r="G76">
        <v>0.67</v>
      </c>
    </row>
    <row r="77" spans="1:7" x14ac:dyDescent="0.25">
      <c r="A77" s="1">
        <v>44637</v>
      </c>
      <c r="B77" s="2">
        <v>0.23866898148148147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</row>
    <row r="78" spans="1:7" x14ac:dyDescent="0.25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</row>
    <row r="79" spans="1:7" x14ac:dyDescent="0.25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</row>
    <row r="80" spans="1:7" x14ac:dyDescent="0.25">
      <c r="A80" s="1">
        <v>44640</v>
      </c>
      <c r="B80" s="2">
        <v>0.23380787037037037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</row>
    <row r="81" spans="1:7" x14ac:dyDescent="0.25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</row>
    <row r="82" spans="1:7" x14ac:dyDescent="0.25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</row>
    <row r="83" spans="1:7" x14ac:dyDescent="0.25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</row>
    <row r="84" spans="1:7" x14ac:dyDescent="0.25">
      <c r="A84" s="1">
        <v>44644</v>
      </c>
      <c r="B84" s="2">
        <v>0.2273148148148148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</row>
    <row r="85" spans="1:7" x14ac:dyDescent="0.25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</row>
    <row r="86" spans="1:7" x14ac:dyDescent="0.25">
      <c r="A86" s="1">
        <v>44646</v>
      </c>
      <c r="B86" s="2">
        <v>0.2240625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</row>
    <row r="87" spans="1:7" x14ac:dyDescent="0.25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</row>
    <row r="88" spans="1:7" x14ac:dyDescent="0.25">
      <c r="A88" s="1">
        <v>44648</v>
      </c>
      <c r="B88" s="2">
        <v>0.26248842592592592</v>
      </c>
      <c r="C88" s="2">
        <v>0.79456018518518523</v>
      </c>
      <c r="D88">
        <v>4</v>
      </c>
      <c r="E88">
        <v>4.42</v>
      </c>
      <c r="F88">
        <v>3.15</v>
      </c>
      <c r="G88">
        <v>3.62</v>
      </c>
    </row>
    <row r="89" spans="1:7" x14ac:dyDescent="0.25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</row>
    <row r="90" spans="1:7" x14ac:dyDescent="0.25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</row>
    <row r="91" spans="1:7" x14ac:dyDescent="0.25">
      <c r="A91" s="1">
        <v>44651</v>
      </c>
      <c r="B91" s="2">
        <v>0.25763888888888886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</row>
    <row r="92" spans="1:7" x14ac:dyDescent="0.25">
      <c r="A92" s="1">
        <v>44652</v>
      </c>
      <c r="B92" s="2">
        <v>0.25601851851851853</v>
      </c>
      <c r="C92" s="2">
        <v>0.79936342592592591</v>
      </c>
      <c r="D92">
        <v>3</v>
      </c>
      <c r="E92">
        <v>5.21</v>
      </c>
      <c r="F92">
        <v>2.46</v>
      </c>
      <c r="G92">
        <v>2.89</v>
      </c>
    </row>
    <row r="93" spans="1:7" x14ac:dyDescent="0.25">
      <c r="A93" s="1">
        <v>44653</v>
      </c>
      <c r="B93" s="2">
        <v>0.25440972222222225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</row>
    <row r="94" spans="1:7" x14ac:dyDescent="0.25">
      <c r="A94" s="1">
        <v>44654</v>
      </c>
      <c r="B94" s="2">
        <v>0.2528009259259259</v>
      </c>
      <c r="C94" s="2">
        <v>0.80175925925925928</v>
      </c>
      <c r="D94">
        <v>6</v>
      </c>
      <c r="E94">
        <v>2.3199999999999998</v>
      </c>
      <c r="F94">
        <v>1.08</v>
      </c>
      <c r="G94">
        <v>4.09</v>
      </c>
    </row>
    <row r="95" spans="1:7" x14ac:dyDescent="0.25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</row>
    <row r="96" spans="1:7" x14ac:dyDescent="0.25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</row>
    <row r="97" spans="1:7" x14ac:dyDescent="0.25">
      <c r="A97" s="1">
        <v>44657</v>
      </c>
      <c r="B97" s="2">
        <v>0.24800925925925926</v>
      </c>
      <c r="C97" s="2">
        <v>0.80535879629629625</v>
      </c>
      <c r="D97">
        <v>4</v>
      </c>
      <c r="E97">
        <v>3.57</v>
      </c>
      <c r="F97">
        <v>0.16</v>
      </c>
      <c r="G97">
        <v>2.94</v>
      </c>
    </row>
    <row r="98" spans="1:7" x14ac:dyDescent="0.25">
      <c r="A98" s="1">
        <v>44658</v>
      </c>
      <c r="B98" s="2">
        <v>0.24641203703703704</v>
      </c>
      <c r="C98" s="2">
        <v>0.80656249999999996</v>
      </c>
      <c r="D98">
        <v>2</v>
      </c>
      <c r="E98">
        <v>6.61</v>
      </c>
      <c r="F98">
        <v>2.5099999999999998</v>
      </c>
      <c r="G98">
        <v>1.34</v>
      </c>
    </row>
    <row r="99" spans="1:7" x14ac:dyDescent="0.25">
      <c r="A99" s="1">
        <v>44659</v>
      </c>
      <c r="B99" s="2">
        <v>0.24482638888888889</v>
      </c>
      <c r="C99" s="2">
        <v>0.80775462962962963</v>
      </c>
      <c r="D99">
        <v>0</v>
      </c>
      <c r="E99">
        <v>14.15</v>
      </c>
      <c r="F99">
        <v>3.32</v>
      </c>
      <c r="G99">
        <v>1.82</v>
      </c>
    </row>
    <row r="100" spans="1:7" x14ac:dyDescent="0.25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</row>
    <row r="101" spans="1:7" x14ac:dyDescent="0.25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</row>
    <row r="102" spans="1:7" x14ac:dyDescent="0.25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</row>
    <row r="103" spans="1:7" x14ac:dyDescent="0.25">
      <c r="A103" s="1">
        <v>44663</v>
      </c>
      <c r="B103" s="2">
        <v>0.23854166666666668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</row>
    <row r="104" spans="1:7" x14ac:dyDescent="0.25">
      <c r="A104" s="1">
        <v>44664</v>
      </c>
      <c r="B104" s="2">
        <v>0.23699074074074075</v>
      </c>
      <c r="C104" s="2">
        <v>0.81376157407407412</v>
      </c>
      <c r="D104">
        <v>1</v>
      </c>
      <c r="E104">
        <v>7.5</v>
      </c>
      <c r="F104">
        <v>3.12</v>
      </c>
      <c r="G104">
        <v>2.94</v>
      </c>
    </row>
    <row r="105" spans="1:7" x14ac:dyDescent="0.25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</row>
    <row r="106" spans="1:7" x14ac:dyDescent="0.25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</row>
    <row r="107" spans="1:7" x14ac:dyDescent="0.25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</row>
    <row r="108" spans="1:7" x14ac:dyDescent="0.25">
      <c r="A108" s="1">
        <v>44668</v>
      </c>
      <c r="B108" s="2">
        <v>0.2308449074074074</v>
      </c>
      <c r="C108" s="2">
        <v>0.8185648148148148</v>
      </c>
      <c r="D108">
        <v>6</v>
      </c>
      <c r="E108">
        <v>2.34</v>
      </c>
      <c r="F108">
        <v>1.06</v>
      </c>
      <c r="G108">
        <v>2.46</v>
      </c>
    </row>
    <row r="109" spans="1:7" x14ac:dyDescent="0.25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</row>
    <row r="110" spans="1:7" x14ac:dyDescent="0.25">
      <c r="A110" s="1">
        <v>44670</v>
      </c>
      <c r="B110" s="2">
        <v>0.22783564814814813</v>
      </c>
      <c r="C110" s="2">
        <v>0.82096064814814818</v>
      </c>
      <c r="D110">
        <v>4</v>
      </c>
      <c r="E110">
        <v>3.78</v>
      </c>
      <c r="F110">
        <v>2.0699999999999998</v>
      </c>
      <c r="G110">
        <v>2.93</v>
      </c>
    </row>
    <row r="111" spans="1:7" x14ac:dyDescent="0.25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</row>
    <row r="112" spans="1:7" x14ac:dyDescent="0.25">
      <c r="A112" s="1">
        <v>44672</v>
      </c>
      <c r="B112" s="2">
        <v>0.22486111111111112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</row>
    <row r="113" spans="1:7" x14ac:dyDescent="0.25">
      <c r="A113" s="1">
        <v>44673</v>
      </c>
      <c r="B113" s="2">
        <v>0.22337962962962962</v>
      </c>
      <c r="C113" s="2">
        <v>0.82456018518518515</v>
      </c>
      <c r="D113">
        <v>5</v>
      </c>
      <c r="E113">
        <v>2.54</v>
      </c>
      <c r="F113">
        <v>0.68</v>
      </c>
      <c r="G113">
        <v>3.58</v>
      </c>
    </row>
    <row r="114" spans="1:7" x14ac:dyDescent="0.25">
      <c r="A114" s="1">
        <v>44674</v>
      </c>
      <c r="B114" s="2">
        <v>0.22192129629629628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</row>
    <row r="115" spans="1:7" x14ac:dyDescent="0.25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</row>
    <row r="116" spans="1:7" x14ac:dyDescent="0.25">
      <c r="A116" s="1">
        <v>44676</v>
      </c>
      <c r="B116" s="2">
        <v>0.21903935185185186</v>
      </c>
      <c r="C116" s="2">
        <v>0.82814814814814819</v>
      </c>
      <c r="D116">
        <v>6</v>
      </c>
      <c r="E116">
        <v>3.09</v>
      </c>
      <c r="F116">
        <v>1.32</v>
      </c>
      <c r="G116">
        <v>3.52</v>
      </c>
    </row>
    <row r="117" spans="1:7" x14ac:dyDescent="0.25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</row>
    <row r="118" spans="1:7" x14ac:dyDescent="0.25">
      <c r="A118" s="1">
        <v>44678</v>
      </c>
      <c r="B118" s="2">
        <v>0.2162037037037037</v>
      </c>
      <c r="C118" s="2">
        <v>0.83053240740740741</v>
      </c>
      <c r="D118">
        <v>2</v>
      </c>
      <c r="E118">
        <v>6.08</v>
      </c>
      <c r="F118">
        <v>2.34</v>
      </c>
      <c r="G118">
        <v>1.65</v>
      </c>
    </row>
    <row r="119" spans="1:7" x14ac:dyDescent="0.25">
      <c r="A119" s="1">
        <v>44679</v>
      </c>
      <c r="B119" s="2">
        <v>0.21480324074074075</v>
      </c>
      <c r="C119" s="2">
        <v>0.83171296296296293</v>
      </c>
      <c r="D119">
        <v>6</v>
      </c>
      <c r="E119">
        <v>3.61</v>
      </c>
      <c r="F119">
        <v>1.32</v>
      </c>
      <c r="G119">
        <v>2.14</v>
      </c>
    </row>
    <row r="120" spans="1:7" x14ac:dyDescent="0.25">
      <c r="A120" s="1">
        <v>44680</v>
      </c>
      <c r="B120" s="2">
        <v>0.21342592592592594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</row>
    <row r="121" spans="1:7" x14ac:dyDescent="0.25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</row>
    <row r="122" spans="1:7" x14ac:dyDescent="0.25">
      <c r="A122" s="1">
        <v>44682</v>
      </c>
      <c r="B122" s="2">
        <v>0.21070601851851853</v>
      </c>
      <c r="C122" s="2">
        <v>0.83526620370370375</v>
      </c>
      <c r="D122">
        <v>3</v>
      </c>
      <c r="E122">
        <v>4.0999999999999996</v>
      </c>
      <c r="F122">
        <v>2.16</v>
      </c>
      <c r="G122">
        <v>3.12</v>
      </c>
    </row>
    <row r="123" spans="1:7" x14ac:dyDescent="0.25">
      <c r="A123" s="1">
        <v>44683</v>
      </c>
      <c r="B123" s="2">
        <v>0.20936342592592594</v>
      </c>
      <c r="C123" s="2">
        <v>0.83644675925925926</v>
      </c>
      <c r="D123">
        <v>0</v>
      </c>
      <c r="E123">
        <v>12.23</v>
      </c>
      <c r="F123">
        <v>3.94</v>
      </c>
      <c r="G123">
        <v>2.0099999999999998</v>
      </c>
    </row>
    <row r="124" spans="1:7" x14ac:dyDescent="0.25">
      <c r="A124" s="1">
        <v>44684</v>
      </c>
      <c r="B124" s="2">
        <v>0.20804398148148148</v>
      </c>
      <c r="C124" s="2">
        <v>0.83762731481481478</v>
      </c>
      <c r="D124">
        <v>3</v>
      </c>
      <c r="E124">
        <v>5.28</v>
      </c>
      <c r="F124">
        <v>2.87</v>
      </c>
      <c r="G124">
        <v>2.58</v>
      </c>
    </row>
    <row r="125" spans="1:7" x14ac:dyDescent="0.25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</row>
    <row r="126" spans="1:7" x14ac:dyDescent="0.25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</row>
    <row r="127" spans="1:7" x14ac:dyDescent="0.25">
      <c r="A127" s="1">
        <v>44687</v>
      </c>
      <c r="B127" s="2">
        <v>0.20418981481481482</v>
      </c>
      <c r="C127" s="2">
        <v>0.84112268518518518</v>
      </c>
      <c r="D127">
        <v>1</v>
      </c>
      <c r="E127">
        <v>8.76</v>
      </c>
      <c r="F127">
        <v>3.15</v>
      </c>
      <c r="G127">
        <v>1.42</v>
      </c>
    </row>
    <row r="128" spans="1:7" x14ac:dyDescent="0.25">
      <c r="A128" s="1">
        <v>44688</v>
      </c>
      <c r="B128" s="2">
        <v>0.20293981481481482</v>
      </c>
      <c r="C128" s="2">
        <v>0.84226851851851847</v>
      </c>
      <c r="D128">
        <v>2</v>
      </c>
      <c r="E128">
        <v>5.66</v>
      </c>
      <c r="F128">
        <v>4.2</v>
      </c>
      <c r="G128">
        <v>2.94</v>
      </c>
    </row>
    <row r="129" spans="1:7" x14ac:dyDescent="0.25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</row>
    <row r="130" spans="1:7" x14ac:dyDescent="0.25">
      <c r="A130" s="1">
        <v>44690</v>
      </c>
      <c r="B130" s="2">
        <v>0.20049768518518518</v>
      </c>
      <c r="C130" s="2">
        <v>0.84456018518518516</v>
      </c>
      <c r="D130">
        <v>7</v>
      </c>
      <c r="E130">
        <v>2.89</v>
      </c>
      <c r="F130">
        <v>0.59</v>
      </c>
      <c r="G130">
        <v>2.19</v>
      </c>
    </row>
    <row r="131" spans="1:7" x14ac:dyDescent="0.25">
      <c r="A131" s="1">
        <v>44691</v>
      </c>
      <c r="B131" s="2">
        <v>0.19930555555555557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</row>
    <row r="132" spans="1:7" x14ac:dyDescent="0.25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</row>
    <row r="133" spans="1:7" x14ac:dyDescent="0.25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</row>
    <row r="134" spans="1:7" x14ac:dyDescent="0.25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</row>
    <row r="135" spans="1:7" x14ac:dyDescent="0.25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</row>
    <row r="136" spans="1:7" x14ac:dyDescent="0.25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</row>
    <row r="137" spans="1:7" x14ac:dyDescent="0.25">
      <c r="A137" s="1">
        <v>44697</v>
      </c>
      <c r="B137" s="2">
        <v>0.19262731481481482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</row>
    <row r="138" spans="1:7" x14ac:dyDescent="0.25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</row>
    <row r="139" spans="1:7" x14ac:dyDescent="0.25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</row>
    <row r="140" spans="1:7" x14ac:dyDescent="0.25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</row>
    <row r="141" spans="1:7" x14ac:dyDescent="0.25">
      <c r="A141" s="1">
        <v>44701</v>
      </c>
      <c r="B141" s="2">
        <v>0.18864583333333335</v>
      </c>
      <c r="C141" s="2">
        <v>0.85652777777777778</v>
      </c>
      <c r="D141">
        <v>3</v>
      </c>
      <c r="E141">
        <v>6.62</v>
      </c>
      <c r="F141">
        <v>4.3</v>
      </c>
      <c r="G141">
        <v>2.2799999999999998</v>
      </c>
    </row>
    <row r="142" spans="1:7" x14ac:dyDescent="0.25">
      <c r="A142" s="1">
        <v>44702</v>
      </c>
      <c r="B142" s="2">
        <v>0.1877199074074074</v>
      </c>
      <c r="C142" s="2">
        <v>0.85754629629629631</v>
      </c>
      <c r="D142">
        <v>2</v>
      </c>
      <c r="E142">
        <v>5.03</v>
      </c>
      <c r="F142">
        <v>2.81</v>
      </c>
      <c r="G142">
        <v>3.05</v>
      </c>
    </row>
    <row r="143" spans="1:7" x14ac:dyDescent="0.25">
      <c r="A143" s="1">
        <v>44703</v>
      </c>
      <c r="B143" s="2">
        <v>0.18682870370370369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</row>
    <row r="144" spans="1:7" x14ac:dyDescent="0.25">
      <c r="A144" s="1">
        <v>44704</v>
      </c>
      <c r="B144" s="2">
        <v>0.18594907407407407</v>
      </c>
      <c r="C144" s="2">
        <v>0.85952546296296295</v>
      </c>
      <c r="D144">
        <v>8</v>
      </c>
      <c r="E144">
        <v>1.36</v>
      </c>
      <c r="F144">
        <v>0.57999999999999996</v>
      </c>
      <c r="G144">
        <v>4.95</v>
      </c>
    </row>
    <row r="145" spans="1:7" x14ac:dyDescent="0.25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</row>
    <row r="146" spans="1:7" x14ac:dyDescent="0.25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</row>
    <row r="147" spans="1:7" x14ac:dyDescent="0.25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</row>
    <row r="148" spans="1:7" x14ac:dyDescent="0.25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</row>
    <row r="149" spans="1:7" x14ac:dyDescent="0.25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</row>
    <row r="150" spans="1:7" x14ac:dyDescent="0.25">
      <c r="A150" s="1">
        <v>44710</v>
      </c>
      <c r="B150" s="2">
        <v>0.18135416666666668</v>
      </c>
      <c r="C150" s="2">
        <v>0.86504629629629626</v>
      </c>
      <c r="D150">
        <v>1</v>
      </c>
      <c r="E150">
        <v>15.38</v>
      </c>
      <c r="F150">
        <v>10.54</v>
      </c>
      <c r="G150">
        <v>2.16</v>
      </c>
    </row>
    <row r="151" spans="1:7" x14ac:dyDescent="0.25">
      <c r="A151" s="1">
        <v>44711</v>
      </c>
      <c r="B151" s="2">
        <v>0.18069444444444444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</row>
    <row r="152" spans="1:7" x14ac:dyDescent="0.25">
      <c r="A152" s="1">
        <v>44712</v>
      </c>
      <c r="B152" s="2">
        <v>0.18006944444444445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</row>
    <row r="153" spans="1:7" x14ac:dyDescent="0.25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</row>
    <row r="154" spans="1:7" x14ac:dyDescent="0.25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</row>
    <row r="155" spans="1:7" x14ac:dyDescent="0.25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</row>
    <row r="156" spans="1:7" x14ac:dyDescent="0.25">
      <c r="A156" s="1">
        <v>44716</v>
      </c>
      <c r="B156" s="2">
        <v>0.17791666666666667</v>
      </c>
      <c r="C156" s="2">
        <v>0.8697569444444444</v>
      </c>
      <c r="D156">
        <v>2</v>
      </c>
      <c r="E156">
        <v>5.79</v>
      </c>
      <c r="F156">
        <v>1.35</v>
      </c>
      <c r="G156">
        <v>1.1200000000000001</v>
      </c>
    </row>
    <row r="157" spans="1:7" x14ac:dyDescent="0.25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</row>
    <row r="158" spans="1:7" x14ac:dyDescent="0.25">
      <c r="A158" s="1">
        <v>44718</v>
      </c>
      <c r="B158" s="2">
        <v>0.17703703703703705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</row>
    <row r="159" spans="1:7" x14ac:dyDescent="0.25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</row>
    <row r="160" spans="1:7" x14ac:dyDescent="0.25">
      <c r="A160" s="1">
        <v>44720</v>
      </c>
      <c r="B160" s="2">
        <v>0.17631944444444445</v>
      </c>
      <c r="C160" s="2">
        <v>0.87237268518518518</v>
      </c>
      <c r="D160">
        <v>0</v>
      </c>
      <c r="E160">
        <v>12.57</v>
      </c>
      <c r="F160">
        <v>6.64</v>
      </c>
      <c r="G160">
        <v>3.26</v>
      </c>
    </row>
    <row r="161" spans="1:7" x14ac:dyDescent="0.25">
      <c r="A161" s="1">
        <v>44721</v>
      </c>
      <c r="B161" s="2">
        <v>0.17600694444444445</v>
      </c>
      <c r="C161" s="2">
        <v>0.8729513888888889</v>
      </c>
      <c r="D161">
        <v>4</v>
      </c>
      <c r="E161">
        <v>4.3</v>
      </c>
      <c r="F161">
        <v>2.36</v>
      </c>
      <c r="G161">
        <v>3.54</v>
      </c>
    </row>
    <row r="162" spans="1:7" x14ac:dyDescent="0.25">
      <c r="A162" s="1">
        <v>44722</v>
      </c>
      <c r="B162" s="2">
        <v>0.17572916666666666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</row>
    <row r="163" spans="1:7" x14ac:dyDescent="0.25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</row>
    <row r="164" spans="1:7" x14ac:dyDescent="0.25">
      <c r="A164" s="1">
        <v>44724</v>
      </c>
      <c r="B164" s="2">
        <v>0.17530092592592592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</row>
    <row r="165" spans="1:7" x14ac:dyDescent="0.25">
      <c r="A165" s="1">
        <v>44725</v>
      </c>
      <c r="B165" s="2">
        <v>0.1751388888888889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</row>
    <row r="166" spans="1:7" x14ac:dyDescent="0.25">
      <c r="A166" s="1">
        <v>44726</v>
      </c>
      <c r="B166" s="2">
        <v>0.17501157407407408</v>
      </c>
      <c r="C166" s="2">
        <v>0.87537037037037035</v>
      </c>
      <c r="D166">
        <v>0</v>
      </c>
      <c r="E166">
        <v>14.03</v>
      </c>
      <c r="F166">
        <v>5.68</v>
      </c>
      <c r="G166">
        <v>2.95</v>
      </c>
    </row>
    <row r="167" spans="1:7" x14ac:dyDescent="0.25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</row>
    <row r="168" spans="1:7" x14ac:dyDescent="0.25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</row>
    <row r="169" spans="1:7" x14ac:dyDescent="0.25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</row>
    <row r="170" spans="1:7" x14ac:dyDescent="0.25">
      <c r="A170" s="1">
        <v>44730</v>
      </c>
      <c r="B170" s="2">
        <v>0.17488425925925927</v>
      </c>
      <c r="C170" s="2">
        <v>0.87668981481481478</v>
      </c>
      <c r="D170">
        <v>0</v>
      </c>
      <c r="E170">
        <v>11.1</v>
      </c>
      <c r="F170">
        <v>4.6399999999999997</v>
      </c>
      <c r="G170">
        <v>3.54</v>
      </c>
    </row>
    <row r="171" spans="1:7" x14ac:dyDescent="0.25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</row>
    <row r="172" spans="1:7" x14ac:dyDescent="0.25">
      <c r="A172" s="1">
        <v>44732</v>
      </c>
      <c r="B172" s="2">
        <v>0.17504629629629628</v>
      </c>
      <c r="C172" s="2">
        <v>0.87712962962962959</v>
      </c>
      <c r="D172">
        <v>2</v>
      </c>
      <c r="E172">
        <v>8.8800000000000008</v>
      </c>
      <c r="F172">
        <v>6.14</v>
      </c>
      <c r="G172">
        <v>3.61</v>
      </c>
    </row>
    <row r="173" spans="1:7" x14ac:dyDescent="0.25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</row>
    <row r="174" spans="1:7" x14ac:dyDescent="0.25">
      <c r="A174" s="1">
        <v>44734</v>
      </c>
      <c r="B174" s="2">
        <v>0.1753587962962963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</row>
    <row r="175" spans="1:7" x14ac:dyDescent="0.25">
      <c r="A175" s="1">
        <v>44735</v>
      </c>
      <c r="B175" s="2">
        <v>0.17556712962962964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</row>
    <row r="176" spans="1:7" x14ac:dyDescent="0.25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</row>
    <row r="177" spans="1:7" x14ac:dyDescent="0.25">
      <c r="A177" s="1">
        <v>44737</v>
      </c>
      <c r="B177" s="2">
        <v>0.17608796296296297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</row>
    <row r="178" spans="1:7" x14ac:dyDescent="0.25">
      <c r="A178" s="1">
        <v>44738</v>
      </c>
      <c r="B178" s="2">
        <v>0.17640046296296297</v>
      </c>
      <c r="C178" s="2">
        <v>0.8775694444444444</v>
      </c>
      <c r="D178">
        <v>1</v>
      </c>
      <c r="E178">
        <v>12.81</v>
      </c>
      <c r="F178">
        <v>7.18</v>
      </c>
      <c r="G178">
        <v>1.54</v>
      </c>
    </row>
    <row r="179" spans="1:7" x14ac:dyDescent="0.25">
      <c r="A179" s="1">
        <v>44739</v>
      </c>
      <c r="B179" s="2">
        <v>0.17674768518518519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</row>
    <row r="180" spans="1:7" x14ac:dyDescent="0.25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</row>
    <row r="181" spans="1:7" x14ac:dyDescent="0.25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</row>
    <row r="182" spans="1:7" x14ac:dyDescent="0.25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</row>
    <row r="183" spans="1:7" x14ac:dyDescent="0.25">
      <c r="A183" s="1">
        <v>44743</v>
      </c>
      <c r="B183" s="2">
        <v>0.17847222222222223</v>
      </c>
      <c r="C183" s="2">
        <v>0.87690972222222219</v>
      </c>
      <c r="D183">
        <v>2</v>
      </c>
      <c r="E183">
        <v>2.96</v>
      </c>
      <c r="F183">
        <v>1.54</v>
      </c>
      <c r="G183">
        <v>4.5199999999999996</v>
      </c>
    </row>
    <row r="184" spans="1:7" x14ac:dyDescent="0.25">
      <c r="A184" s="1">
        <v>44744</v>
      </c>
      <c r="B184" s="2">
        <v>0.17898148148148149</v>
      </c>
      <c r="C184" s="2">
        <v>0.87665509259259256</v>
      </c>
      <c r="D184">
        <v>0</v>
      </c>
      <c r="E184">
        <v>13.76</v>
      </c>
      <c r="F184">
        <v>7.09</v>
      </c>
      <c r="G184">
        <v>4.32</v>
      </c>
    </row>
    <row r="185" spans="1:7" x14ac:dyDescent="0.25">
      <c r="A185" s="1">
        <v>44745</v>
      </c>
      <c r="B185" s="2">
        <v>0.17952546296296296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</row>
    <row r="186" spans="1:7" x14ac:dyDescent="0.25">
      <c r="A186" s="1">
        <v>44746</v>
      </c>
      <c r="B186" s="2">
        <v>0.18010416666666668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</row>
    <row r="187" spans="1:7" x14ac:dyDescent="0.25">
      <c r="A187" s="1">
        <v>44747</v>
      </c>
      <c r="B187" s="2">
        <v>0.18069444444444444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</row>
    <row r="188" spans="1:7" x14ac:dyDescent="0.25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</row>
    <row r="189" spans="1:7" x14ac:dyDescent="0.25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</row>
    <row r="190" spans="1:7" x14ac:dyDescent="0.25">
      <c r="A190" s="1">
        <v>44750</v>
      </c>
      <c r="B190" s="2">
        <v>0.18267361111111111</v>
      </c>
      <c r="C190" s="2">
        <v>0.87440972222222224</v>
      </c>
      <c r="D190">
        <v>1</v>
      </c>
      <c r="E190">
        <v>11.9</v>
      </c>
      <c r="F190">
        <v>7.34</v>
      </c>
      <c r="G190">
        <v>4.8099999999999996</v>
      </c>
    </row>
    <row r="191" spans="1:7" x14ac:dyDescent="0.25">
      <c r="A191" s="1">
        <v>44751</v>
      </c>
      <c r="B191" s="2">
        <v>0.18337962962962964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</row>
    <row r="192" spans="1:7" x14ac:dyDescent="0.25">
      <c r="A192" s="1">
        <v>44752</v>
      </c>
      <c r="B192" s="2">
        <v>0.18412037037037038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</row>
    <row r="193" spans="1:7" x14ac:dyDescent="0.25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</row>
    <row r="194" spans="1:7" x14ac:dyDescent="0.25">
      <c r="A194" s="1">
        <v>44754</v>
      </c>
      <c r="B194" s="2">
        <v>0.18565972222222221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</row>
    <row r="195" spans="1:7" x14ac:dyDescent="0.25">
      <c r="A195" s="1">
        <v>44755</v>
      </c>
      <c r="B195" s="2">
        <v>0.1864699074074074</v>
      </c>
      <c r="C195" s="2">
        <v>0.87155092592592598</v>
      </c>
      <c r="D195">
        <v>0</v>
      </c>
      <c r="E195">
        <v>17.22</v>
      </c>
      <c r="F195">
        <v>9.69</v>
      </c>
      <c r="G195">
        <v>2.84</v>
      </c>
    </row>
    <row r="196" spans="1:7" x14ac:dyDescent="0.25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</row>
    <row r="197" spans="1:7" x14ac:dyDescent="0.25">
      <c r="A197" s="1">
        <v>44757</v>
      </c>
      <c r="B197" s="2">
        <v>0.18813657407407408</v>
      </c>
      <c r="C197" s="2">
        <v>0.87017361111111113</v>
      </c>
      <c r="D197">
        <v>1</v>
      </c>
      <c r="E197">
        <v>15.96</v>
      </c>
      <c r="F197">
        <v>11.95</v>
      </c>
      <c r="G197">
        <v>3.05</v>
      </c>
    </row>
    <row r="198" spans="1:7" x14ac:dyDescent="0.25">
      <c r="A198" s="1">
        <v>44758</v>
      </c>
      <c r="B198" s="2">
        <v>0.1890162037037037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</row>
    <row r="199" spans="1:7" x14ac:dyDescent="0.25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</row>
    <row r="200" spans="1:7" x14ac:dyDescent="0.25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</row>
    <row r="201" spans="1:7" x14ac:dyDescent="0.25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</row>
    <row r="202" spans="1:7" x14ac:dyDescent="0.25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</row>
    <row r="203" spans="1:7" x14ac:dyDescent="0.25">
      <c r="A203" s="1">
        <v>44763</v>
      </c>
      <c r="B203" s="2">
        <v>0.19362268518518519</v>
      </c>
      <c r="C203" s="2">
        <v>0.86531250000000004</v>
      </c>
      <c r="D203">
        <v>0</v>
      </c>
      <c r="E203">
        <v>18.3</v>
      </c>
      <c r="F203">
        <v>10.96</v>
      </c>
      <c r="G203">
        <v>2.14</v>
      </c>
    </row>
    <row r="204" spans="1:7" x14ac:dyDescent="0.25">
      <c r="A204" s="1">
        <v>44764</v>
      </c>
      <c r="B204" s="2">
        <v>0.1945949074074074</v>
      </c>
      <c r="C204" s="2">
        <v>0.86439814814814819</v>
      </c>
      <c r="D204">
        <v>0</v>
      </c>
      <c r="E204">
        <v>17.04</v>
      </c>
      <c r="F204">
        <v>9.85</v>
      </c>
      <c r="G204">
        <v>2.2599999999999998</v>
      </c>
    </row>
    <row r="205" spans="1:7" x14ac:dyDescent="0.25">
      <c r="A205" s="1">
        <v>44765</v>
      </c>
      <c r="B205" s="2">
        <v>0.1955787037037037</v>
      </c>
      <c r="C205" s="2">
        <v>0.86346064814814816</v>
      </c>
      <c r="D205">
        <v>0</v>
      </c>
      <c r="E205">
        <v>18.850000000000001</v>
      </c>
      <c r="F205">
        <v>11.75</v>
      </c>
      <c r="G205">
        <v>2.94</v>
      </c>
    </row>
    <row r="206" spans="1:7" x14ac:dyDescent="0.25">
      <c r="A206" s="1">
        <v>44766</v>
      </c>
      <c r="B206" s="2">
        <v>0.19658564814814813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</row>
    <row r="207" spans="1:7" x14ac:dyDescent="0.25">
      <c r="A207" s="1">
        <v>44767</v>
      </c>
      <c r="B207" s="2">
        <v>0.1975925925925926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</row>
    <row r="208" spans="1:7" x14ac:dyDescent="0.25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</row>
    <row r="209" spans="1:7" x14ac:dyDescent="0.25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</row>
    <row r="210" spans="1:7" x14ac:dyDescent="0.25">
      <c r="A210" s="1">
        <v>44770</v>
      </c>
      <c r="B210" s="2">
        <v>0.20069444444444445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</row>
    <row r="211" spans="1:7" x14ac:dyDescent="0.25">
      <c r="A211" s="1">
        <v>44771</v>
      </c>
      <c r="B211" s="2">
        <v>0.20175925925925925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</row>
    <row r="212" spans="1:7" x14ac:dyDescent="0.25">
      <c r="A212" s="1">
        <v>44772</v>
      </c>
      <c r="B212" s="2">
        <v>0.20282407407407407</v>
      </c>
      <c r="C212" s="2">
        <v>0.85614583333333338</v>
      </c>
      <c r="D212">
        <v>1</v>
      </c>
      <c r="E212">
        <v>14.2</v>
      </c>
      <c r="F212">
        <v>10.59</v>
      </c>
      <c r="G212">
        <v>4.04</v>
      </c>
    </row>
    <row r="213" spans="1:7" x14ac:dyDescent="0.25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</row>
    <row r="214" spans="1:7" x14ac:dyDescent="0.25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</row>
    <row r="215" spans="1:7" x14ac:dyDescent="0.25">
      <c r="A215" s="1">
        <v>44775</v>
      </c>
      <c r="B215" s="2">
        <v>0.20606481481481481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</row>
    <row r="216" spans="1:7" x14ac:dyDescent="0.25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</row>
    <row r="217" spans="1:7" x14ac:dyDescent="0.25">
      <c r="A217" s="1">
        <v>44777</v>
      </c>
      <c r="B217" s="2">
        <v>0.20826388888888889</v>
      </c>
      <c r="C217" s="2">
        <v>0.85023148148148153</v>
      </c>
      <c r="D217">
        <v>0</v>
      </c>
      <c r="E217">
        <v>19.88</v>
      </c>
      <c r="F217">
        <v>10.14</v>
      </c>
      <c r="G217">
        <v>1.94</v>
      </c>
    </row>
    <row r="218" spans="1:7" x14ac:dyDescent="0.25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</row>
    <row r="219" spans="1:7" x14ac:dyDescent="0.25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</row>
    <row r="220" spans="1:7" x14ac:dyDescent="0.25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</row>
    <row r="221" spans="1:7" x14ac:dyDescent="0.25">
      <c r="A221" s="1">
        <v>44781</v>
      </c>
      <c r="B221" s="2">
        <v>0.2127199074074074</v>
      </c>
      <c r="C221" s="2">
        <v>0.84513888888888888</v>
      </c>
      <c r="D221">
        <v>0</v>
      </c>
      <c r="E221">
        <v>15.21</v>
      </c>
      <c r="F221">
        <v>6.71</v>
      </c>
      <c r="G221">
        <v>3.21</v>
      </c>
    </row>
    <row r="222" spans="1:7" x14ac:dyDescent="0.25">
      <c r="A222" s="1">
        <v>44782</v>
      </c>
      <c r="B222" s="2">
        <v>0.21384259259259258</v>
      </c>
      <c r="C222" s="2">
        <v>0.84381944444444446</v>
      </c>
      <c r="D222">
        <v>0</v>
      </c>
      <c r="E222">
        <v>19.329999999999998</v>
      </c>
      <c r="F222">
        <v>10.19</v>
      </c>
      <c r="G222">
        <v>1.54</v>
      </c>
    </row>
    <row r="223" spans="1:7" x14ac:dyDescent="0.25">
      <c r="A223" s="1">
        <v>44783</v>
      </c>
      <c r="B223" s="2">
        <v>0.21497685185185186</v>
      </c>
      <c r="C223" s="2">
        <v>0.84248842592592588</v>
      </c>
      <c r="D223">
        <v>0</v>
      </c>
      <c r="E223">
        <v>19.829999999999998</v>
      </c>
      <c r="F223">
        <v>12.94</v>
      </c>
      <c r="G223">
        <v>3.94</v>
      </c>
    </row>
    <row r="224" spans="1:7" x14ac:dyDescent="0.25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</row>
    <row r="225" spans="1:7" x14ac:dyDescent="0.25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</row>
    <row r="226" spans="1:7" x14ac:dyDescent="0.25">
      <c r="A226" s="1">
        <v>44786</v>
      </c>
      <c r="B226" s="2">
        <v>0.21837962962962962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</row>
    <row r="227" spans="1:7" x14ac:dyDescent="0.25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</row>
    <row r="228" spans="1:7" x14ac:dyDescent="0.25">
      <c r="A228" s="1">
        <v>44788</v>
      </c>
      <c r="B228" s="2">
        <v>0.22065972222222222</v>
      </c>
      <c r="C228" s="2">
        <v>0.83559027777777772</v>
      </c>
      <c r="D228">
        <v>0</v>
      </c>
      <c r="E228">
        <v>19.920000000000002</v>
      </c>
      <c r="F228">
        <v>12.25</v>
      </c>
      <c r="G228">
        <v>1.77</v>
      </c>
    </row>
    <row r="229" spans="1:7" x14ac:dyDescent="0.25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</row>
    <row r="230" spans="1:7" x14ac:dyDescent="0.25">
      <c r="A230" s="1">
        <v>44790</v>
      </c>
      <c r="B230" s="2">
        <v>0.22295138888888888</v>
      </c>
      <c r="C230" s="2">
        <v>0.83273148148148146</v>
      </c>
      <c r="D230">
        <v>0</v>
      </c>
      <c r="E230">
        <v>18.84</v>
      </c>
      <c r="F230">
        <v>10.64</v>
      </c>
      <c r="G230">
        <v>3.51</v>
      </c>
    </row>
    <row r="231" spans="1:7" x14ac:dyDescent="0.25">
      <c r="A231" s="1">
        <v>44791</v>
      </c>
      <c r="B231" s="2">
        <v>0.22409722222222223</v>
      </c>
      <c r="C231" s="2">
        <v>0.83127314814814812</v>
      </c>
      <c r="D231">
        <v>0</v>
      </c>
      <c r="E231">
        <v>18.97</v>
      </c>
      <c r="F231">
        <v>10.97</v>
      </c>
      <c r="G231">
        <v>3.09</v>
      </c>
    </row>
    <row r="232" spans="1:7" x14ac:dyDescent="0.25">
      <c r="A232" s="1">
        <v>44792</v>
      </c>
      <c r="B232" s="2">
        <v>0.22524305555555554</v>
      </c>
      <c r="C232" s="2">
        <v>0.82981481481481478</v>
      </c>
      <c r="D232">
        <v>1</v>
      </c>
      <c r="E232">
        <v>11.99</v>
      </c>
      <c r="F232">
        <v>7.68</v>
      </c>
      <c r="G232">
        <v>3.68</v>
      </c>
    </row>
    <row r="233" spans="1:7" x14ac:dyDescent="0.25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</row>
    <row r="234" spans="1:7" x14ac:dyDescent="0.25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</row>
    <row r="235" spans="1:7" x14ac:dyDescent="0.25">
      <c r="A235" s="1">
        <v>44795</v>
      </c>
      <c r="B235" s="2">
        <v>0.22868055555555555</v>
      </c>
      <c r="C235" s="2">
        <v>0.82535879629629627</v>
      </c>
      <c r="D235">
        <v>1</v>
      </c>
      <c r="E235">
        <v>14.17</v>
      </c>
      <c r="F235">
        <v>9.9700000000000006</v>
      </c>
      <c r="G235">
        <v>3.16</v>
      </c>
    </row>
    <row r="236" spans="1:7" x14ac:dyDescent="0.25">
      <c r="A236" s="1">
        <v>44796</v>
      </c>
      <c r="B236" s="2">
        <v>0.2298263888888889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</row>
    <row r="237" spans="1:7" x14ac:dyDescent="0.25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</row>
    <row r="238" spans="1:7" x14ac:dyDescent="0.25">
      <c r="A238" s="1">
        <v>44798</v>
      </c>
      <c r="B238" s="2">
        <v>0.23211805555555556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</row>
    <row r="239" spans="1:7" x14ac:dyDescent="0.25">
      <c r="A239" s="1">
        <v>44799</v>
      </c>
      <c r="B239" s="2">
        <v>0.23326388888888888</v>
      </c>
      <c r="C239" s="2">
        <v>0.81927083333333328</v>
      </c>
      <c r="D239">
        <v>0</v>
      </c>
      <c r="E239">
        <v>16.829999999999998</v>
      </c>
      <c r="F239">
        <v>8.83</v>
      </c>
      <c r="G239">
        <v>3.07</v>
      </c>
    </row>
    <row r="240" spans="1:7" x14ac:dyDescent="0.25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</row>
    <row r="241" spans="1:7" x14ac:dyDescent="0.25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</row>
    <row r="242" spans="1:7" x14ac:dyDescent="0.25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</row>
    <row r="243" spans="1:7" x14ac:dyDescent="0.25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</row>
    <row r="244" spans="1:7" x14ac:dyDescent="0.25">
      <c r="A244" s="1">
        <v>44804</v>
      </c>
      <c r="B244" s="2">
        <v>0.23899305555555556</v>
      </c>
      <c r="C244" s="2">
        <v>0.81146990740740743</v>
      </c>
      <c r="D244">
        <v>0</v>
      </c>
      <c r="E244">
        <v>17.559999999999999</v>
      </c>
      <c r="F244">
        <v>9.49</v>
      </c>
      <c r="G244">
        <v>0.94</v>
      </c>
    </row>
    <row r="245" spans="1:7" x14ac:dyDescent="0.25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</row>
    <row r="246" spans="1:7" x14ac:dyDescent="0.25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</row>
    <row r="247" spans="1:7" x14ac:dyDescent="0.25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</row>
    <row r="248" spans="1:7" x14ac:dyDescent="0.25">
      <c r="A248" s="1">
        <v>44808</v>
      </c>
      <c r="B248" s="2">
        <v>0.24356481481481482</v>
      </c>
      <c r="C248" s="2">
        <v>0.80510416666666662</v>
      </c>
      <c r="D248">
        <v>0</v>
      </c>
      <c r="E248">
        <v>19.399999999999999</v>
      </c>
      <c r="F248">
        <v>10.84</v>
      </c>
      <c r="G248">
        <v>0.84</v>
      </c>
    </row>
    <row r="249" spans="1:7" x14ac:dyDescent="0.25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</row>
    <row r="250" spans="1:7" x14ac:dyDescent="0.25">
      <c r="A250" s="1">
        <v>44810</v>
      </c>
      <c r="B250" s="2">
        <v>0.24584490740740741</v>
      </c>
      <c r="C250" s="2">
        <v>0.80189814814814819</v>
      </c>
      <c r="D250">
        <v>2</v>
      </c>
      <c r="E250">
        <v>10.199999999999999</v>
      </c>
      <c r="F250">
        <v>6.94</v>
      </c>
      <c r="G250">
        <v>1.89</v>
      </c>
    </row>
    <row r="251" spans="1:7" x14ac:dyDescent="0.25">
      <c r="A251" s="1">
        <v>44811</v>
      </c>
      <c r="B251" s="2">
        <v>0.24699074074074073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</row>
    <row r="252" spans="1:7" x14ac:dyDescent="0.25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</row>
    <row r="253" spans="1:7" x14ac:dyDescent="0.25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</row>
    <row r="254" spans="1:7" x14ac:dyDescent="0.25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</row>
    <row r="255" spans="1:7" x14ac:dyDescent="0.25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</row>
    <row r="256" spans="1:7" x14ac:dyDescent="0.25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</row>
    <row r="257" spans="1:7" x14ac:dyDescent="0.25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</row>
    <row r="258" spans="1:7" x14ac:dyDescent="0.25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</row>
    <row r="259" spans="1:7" x14ac:dyDescent="0.25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</row>
    <row r="260" spans="1:7" x14ac:dyDescent="0.25">
      <c r="A260" s="1">
        <v>44820</v>
      </c>
      <c r="B260" s="2">
        <v>0.25725694444444447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</row>
    <row r="261" spans="1:7" x14ac:dyDescent="0.25">
      <c r="A261" s="1">
        <v>44821</v>
      </c>
      <c r="B261" s="2">
        <v>0.25840277777777776</v>
      </c>
      <c r="C261" s="2">
        <v>0.78396990740740746</v>
      </c>
      <c r="D261">
        <v>1</v>
      </c>
      <c r="E261">
        <v>13.43</v>
      </c>
      <c r="F261">
        <v>8.9700000000000006</v>
      </c>
      <c r="G261">
        <v>3.24</v>
      </c>
    </row>
    <row r="262" spans="1:7" x14ac:dyDescent="0.25">
      <c r="A262" s="1">
        <v>44822</v>
      </c>
      <c r="B262" s="2">
        <v>0.2595486111111111</v>
      </c>
      <c r="C262" s="2">
        <v>0.78232638888888884</v>
      </c>
      <c r="D262">
        <v>1</v>
      </c>
      <c r="E262">
        <v>12.57</v>
      </c>
      <c r="F262">
        <v>8.44</v>
      </c>
      <c r="G262">
        <v>3.16</v>
      </c>
    </row>
    <row r="263" spans="1:7" x14ac:dyDescent="0.25">
      <c r="A263" s="1">
        <v>44823</v>
      </c>
      <c r="B263" s="2">
        <v>0.26069444444444445</v>
      </c>
      <c r="C263" s="2">
        <v>0.78068287037037032</v>
      </c>
      <c r="D263">
        <v>2</v>
      </c>
      <c r="E263">
        <v>10.44</v>
      </c>
      <c r="F263">
        <v>7.84</v>
      </c>
      <c r="G263">
        <v>2.48</v>
      </c>
    </row>
    <row r="264" spans="1:7" x14ac:dyDescent="0.25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</row>
    <row r="265" spans="1:7" x14ac:dyDescent="0.25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</row>
    <row r="266" spans="1:7" x14ac:dyDescent="0.25">
      <c r="A266" s="1">
        <v>44826</v>
      </c>
      <c r="B266" s="2">
        <v>0.26414351851851853</v>
      </c>
      <c r="C266" s="2">
        <v>0.77576388888888892</v>
      </c>
      <c r="D266">
        <v>0</v>
      </c>
      <c r="E266">
        <v>16.510000000000002</v>
      </c>
      <c r="F266">
        <v>7.84</v>
      </c>
      <c r="G266">
        <v>0.84</v>
      </c>
    </row>
    <row r="267" spans="1:7" x14ac:dyDescent="0.25">
      <c r="A267" s="1">
        <v>44827</v>
      </c>
      <c r="B267" s="2">
        <v>0.26528935185185187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</row>
    <row r="268" spans="1:7" x14ac:dyDescent="0.25">
      <c r="A268" s="1">
        <v>44828</v>
      </c>
      <c r="B268" s="2">
        <v>0.26643518518518516</v>
      </c>
      <c r="C268" s="2">
        <v>0.77248842592592593</v>
      </c>
      <c r="D268">
        <v>0</v>
      </c>
      <c r="E268">
        <v>15.85</v>
      </c>
      <c r="F268">
        <v>6.64</v>
      </c>
      <c r="G268">
        <v>2.69</v>
      </c>
    </row>
    <row r="269" spans="1:7" x14ac:dyDescent="0.25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</row>
    <row r="270" spans="1:7" x14ac:dyDescent="0.25">
      <c r="A270" s="1">
        <v>44830</v>
      </c>
      <c r="B270" s="2">
        <v>0.26874999999999999</v>
      </c>
      <c r="C270" s="2">
        <v>0.76921296296296293</v>
      </c>
      <c r="D270">
        <v>1</v>
      </c>
      <c r="E270">
        <v>11.93</v>
      </c>
      <c r="F270">
        <v>7.93</v>
      </c>
      <c r="G270">
        <v>3.04</v>
      </c>
    </row>
    <row r="271" spans="1:7" x14ac:dyDescent="0.25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</row>
    <row r="272" spans="1:7" x14ac:dyDescent="0.25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</row>
    <row r="273" spans="1:7" x14ac:dyDescent="0.25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</row>
    <row r="274" spans="1:7" x14ac:dyDescent="0.25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</row>
    <row r="275" spans="1:7" x14ac:dyDescent="0.25">
      <c r="A275" s="1">
        <v>44835</v>
      </c>
      <c r="B275" s="2">
        <v>0.27456018518518521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</row>
    <row r="276" spans="1:7" x14ac:dyDescent="0.25">
      <c r="A276" s="1">
        <v>44836</v>
      </c>
      <c r="B276" s="2">
        <v>0.27572916666666669</v>
      </c>
      <c r="C276" s="2">
        <v>0.75947916666666671</v>
      </c>
      <c r="D276">
        <v>2</v>
      </c>
      <c r="E276">
        <v>8.07</v>
      </c>
      <c r="F276">
        <v>6.79</v>
      </c>
      <c r="G276">
        <v>5.03</v>
      </c>
    </row>
    <row r="277" spans="1:7" x14ac:dyDescent="0.25">
      <c r="A277" s="1">
        <v>44837</v>
      </c>
      <c r="B277" s="2">
        <v>0.27689814814814817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</row>
    <row r="278" spans="1:7" x14ac:dyDescent="0.25">
      <c r="A278" s="1">
        <v>44838</v>
      </c>
      <c r="B278" s="2">
        <v>0.27807870370370369</v>
      </c>
      <c r="C278" s="2">
        <v>0.75626157407407413</v>
      </c>
      <c r="D278">
        <v>4</v>
      </c>
      <c r="E278">
        <v>4.3899999999999997</v>
      </c>
      <c r="F278">
        <v>1.26</v>
      </c>
      <c r="G278">
        <v>1.19</v>
      </c>
    </row>
    <row r="279" spans="1:7" x14ac:dyDescent="0.25">
      <c r="A279" s="1">
        <v>44839</v>
      </c>
      <c r="B279" s="2">
        <v>0.27925925925925926</v>
      </c>
      <c r="C279" s="2">
        <v>0.75466435185185188</v>
      </c>
      <c r="D279">
        <v>4</v>
      </c>
      <c r="E279">
        <v>5.07</v>
      </c>
      <c r="F279">
        <v>2.68</v>
      </c>
      <c r="G279">
        <v>2.14</v>
      </c>
    </row>
    <row r="280" spans="1:7" x14ac:dyDescent="0.25">
      <c r="A280" s="1">
        <v>44840</v>
      </c>
      <c r="B280" s="2">
        <v>0.28043981481481484</v>
      </c>
      <c r="C280" s="2">
        <v>0.75306712962962963</v>
      </c>
      <c r="D280">
        <v>4</v>
      </c>
      <c r="E280">
        <v>5.66</v>
      </c>
      <c r="F280">
        <v>3.96</v>
      </c>
      <c r="G280">
        <v>2.1800000000000002</v>
      </c>
    </row>
    <row r="281" spans="1:7" x14ac:dyDescent="0.25">
      <c r="A281" s="1">
        <v>44841</v>
      </c>
      <c r="B281" s="2">
        <v>0.28162037037037035</v>
      </c>
      <c r="C281" s="2">
        <v>0.75148148148148153</v>
      </c>
      <c r="D281">
        <v>4</v>
      </c>
      <c r="E281">
        <v>5.19</v>
      </c>
      <c r="F281">
        <v>3.12</v>
      </c>
      <c r="G281">
        <v>4.0599999999999996</v>
      </c>
    </row>
    <row r="282" spans="1:7" x14ac:dyDescent="0.25">
      <c r="A282" s="1">
        <v>44842</v>
      </c>
      <c r="B282" s="2">
        <v>0.28281250000000002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</row>
    <row r="283" spans="1:7" x14ac:dyDescent="0.25">
      <c r="A283" s="1">
        <v>44843</v>
      </c>
      <c r="B283" s="2">
        <v>0.28399305555555554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</row>
    <row r="284" spans="1:7" x14ac:dyDescent="0.25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</row>
    <row r="285" spans="1:7" x14ac:dyDescent="0.25">
      <c r="A285" s="1">
        <v>44845</v>
      </c>
      <c r="B285" s="2">
        <v>0.28638888888888892</v>
      </c>
      <c r="C285" s="2">
        <v>0.74519675925925921</v>
      </c>
      <c r="D285">
        <v>3</v>
      </c>
      <c r="E285">
        <v>5.86</v>
      </c>
      <c r="F285">
        <v>4.97</v>
      </c>
      <c r="G285">
        <v>4.0199999999999996</v>
      </c>
    </row>
    <row r="286" spans="1:7" x14ac:dyDescent="0.25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</row>
    <row r="287" spans="1:7" x14ac:dyDescent="0.25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</row>
    <row r="288" spans="1:7" x14ac:dyDescent="0.25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</row>
    <row r="289" spans="1:7" x14ac:dyDescent="0.25">
      <c r="A289" s="1">
        <v>44849</v>
      </c>
      <c r="B289" s="2">
        <v>0.29121527777777778</v>
      </c>
      <c r="C289" s="2">
        <v>0.73903935185185188</v>
      </c>
      <c r="D289">
        <v>1</v>
      </c>
      <c r="E289">
        <v>8.56</v>
      </c>
      <c r="F289">
        <v>2.86</v>
      </c>
      <c r="G289">
        <v>1.61</v>
      </c>
    </row>
    <row r="290" spans="1:7" x14ac:dyDescent="0.25">
      <c r="A290" s="1">
        <v>44850</v>
      </c>
      <c r="B290" s="2">
        <v>0.29243055555555558</v>
      </c>
      <c r="C290" s="2">
        <v>0.73752314814814812</v>
      </c>
      <c r="D290">
        <v>0</v>
      </c>
      <c r="E290">
        <v>14.7</v>
      </c>
      <c r="F290">
        <v>5.42</v>
      </c>
      <c r="G290">
        <v>2.48</v>
      </c>
    </row>
    <row r="291" spans="1:7" x14ac:dyDescent="0.25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</row>
    <row r="292" spans="1:7" x14ac:dyDescent="0.25">
      <c r="A292" s="1">
        <v>44852</v>
      </c>
      <c r="B292" s="2">
        <v>0.29486111111111113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</row>
    <row r="293" spans="1:7" x14ac:dyDescent="0.25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</row>
    <row r="294" spans="1:7" x14ac:dyDescent="0.25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</row>
    <row r="295" spans="1:7" x14ac:dyDescent="0.25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</row>
    <row r="296" spans="1:7" x14ac:dyDescent="0.25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</row>
    <row r="297" spans="1:7" x14ac:dyDescent="0.25">
      <c r="A297" s="1">
        <v>44857</v>
      </c>
      <c r="B297" s="2">
        <v>0.30101851851851852</v>
      </c>
      <c r="C297" s="2">
        <v>0.72721064814814818</v>
      </c>
      <c r="D297">
        <v>7</v>
      </c>
      <c r="E297">
        <v>3.97</v>
      </c>
      <c r="F297">
        <v>1.64</v>
      </c>
      <c r="G297">
        <v>4.84</v>
      </c>
    </row>
    <row r="298" spans="1:7" x14ac:dyDescent="0.25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</row>
    <row r="299" spans="1:7" x14ac:dyDescent="0.25">
      <c r="A299" s="1">
        <v>44859</v>
      </c>
      <c r="B299" s="2">
        <v>0.30349537037037039</v>
      </c>
      <c r="C299" s="2">
        <v>0.72437499999999999</v>
      </c>
      <c r="D299">
        <v>4</v>
      </c>
      <c r="E299">
        <v>4.58</v>
      </c>
      <c r="F299">
        <v>2.5299999999999998</v>
      </c>
      <c r="G299">
        <v>4.57</v>
      </c>
    </row>
    <row r="300" spans="1:7" x14ac:dyDescent="0.25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</row>
    <row r="301" spans="1:7" x14ac:dyDescent="0.25">
      <c r="A301" s="1">
        <v>44861</v>
      </c>
      <c r="B301" s="2">
        <v>0.30599537037037039</v>
      </c>
      <c r="C301" s="2">
        <v>0.72159722222222222</v>
      </c>
      <c r="D301">
        <v>1</v>
      </c>
      <c r="E301">
        <v>8.7799999999999994</v>
      </c>
      <c r="F301">
        <v>2.09</v>
      </c>
      <c r="G301">
        <v>1.58</v>
      </c>
    </row>
    <row r="302" spans="1:7" x14ac:dyDescent="0.25">
      <c r="A302" s="1">
        <v>44862</v>
      </c>
      <c r="B302" s="2">
        <v>0.30724537037037036</v>
      </c>
      <c r="C302" s="2">
        <v>0.72023148148148153</v>
      </c>
      <c r="D302">
        <v>1</v>
      </c>
      <c r="E302">
        <v>8.06</v>
      </c>
      <c r="F302">
        <v>1.98</v>
      </c>
      <c r="G302">
        <v>1.08</v>
      </c>
    </row>
    <row r="303" spans="1:7" x14ac:dyDescent="0.25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</row>
    <row r="304" spans="1:7" x14ac:dyDescent="0.25">
      <c r="A304" s="1">
        <v>44864</v>
      </c>
      <c r="B304" s="2">
        <v>0.26807870370370368</v>
      </c>
      <c r="C304" s="2">
        <v>0.67587962962962966</v>
      </c>
      <c r="D304">
        <v>3</v>
      </c>
      <c r="E304">
        <v>5.33</v>
      </c>
      <c r="F304">
        <v>2.98</v>
      </c>
      <c r="G304">
        <v>3.05</v>
      </c>
    </row>
    <row r="305" spans="1:7" x14ac:dyDescent="0.25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</row>
    <row r="306" spans="1:7" x14ac:dyDescent="0.25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</row>
    <row r="307" spans="1:7" x14ac:dyDescent="0.25">
      <c r="A307" s="1">
        <v>44867</v>
      </c>
      <c r="B307" s="2">
        <v>0.27184027777777775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</row>
    <row r="308" spans="1:7" x14ac:dyDescent="0.25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</row>
    <row r="309" spans="1:7" x14ac:dyDescent="0.25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</row>
    <row r="310" spans="1:7" x14ac:dyDescent="0.25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</row>
    <row r="311" spans="1:7" x14ac:dyDescent="0.25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</row>
    <row r="312" spans="1:7" x14ac:dyDescent="0.25">
      <c r="A312" s="1">
        <v>44872</v>
      </c>
      <c r="B312" s="2">
        <v>0.27810185185185188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</row>
    <row r="313" spans="1:7" x14ac:dyDescent="0.25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</row>
    <row r="314" spans="1:7" x14ac:dyDescent="0.25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</row>
    <row r="315" spans="1:7" x14ac:dyDescent="0.25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</row>
    <row r="316" spans="1:7" x14ac:dyDescent="0.25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</row>
    <row r="317" spans="1:7" x14ac:dyDescent="0.25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</row>
    <row r="318" spans="1:7" x14ac:dyDescent="0.25">
      <c r="A318" s="1">
        <v>44878</v>
      </c>
      <c r="B318" s="2">
        <v>0.28554398148148147</v>
      </c>
      <c r="C318" s="2">
        <v>0.65925925925925921</v>
      </c>
      <c r="D318">
        <v>3</v>
      </c>
      <c r="E318">
        <v>4.16</v>
      </c>
      <c r="F318">
        <v>3.02</v>
      </c>
      <c r="G318">
        <v>4.1900000000000004</v>
      </c>
    </row>
    <row r="319" spans="1:7" x14ac:dyDescent="0.25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</row>
    <row r="320" spans="1:7" x14ac:dyDescent="0.25">
      <c r="A320" s="1">
        <v>44880</v>
      </c>
      <c r="B320" s="2">
        <v>0.28797453703703701</v>
      </c>
      <c r="C320" s="2">
        <v>0.65725694444444449</v>
      </c>
      <c r="D320">
        <v>8</v>
      </c>
      <c r="E320">
        <v>1.38</v>
      </c>
      <c r="F320">
        <v>0.4</v>
      </c>
      <c r="G320">
        <v>6.48</v>
      </c>
    </row>
    <row r="321" spans="1:7" x14ac:dyDescent="0.25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</row>
    <row r="322" spans="1:7" x14ac:dyDescent="0.25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</row>
    <row r="323" spans="1:7" x14ac:dyDescent="0.25">
      <c r="A323" s="1">
        <v>44883</v>
      </c>
      <c r="B323" s="2">
        <v>0.2915740740740741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</row>
    <row r="324" spans="1:7" x14ac:dyDescent="0.25">
      <c r="A324" s="1">
        <v>44884</v>
      </c>
      <c r="B324" s="2">
        <v>0.29276620370370371</v>
      </c>
      <c r="C324" s="2">
        <v>0.65356481481481477</v>
      </c>
      <c r="D324">
        <v>5</v>
      </c>
      <c r="E324">
        <v>3.6</v>
      </c>
      <c r="F324">
        <v>2.06</v>
      </c>
      <c r="G324">
        <v>2.72</v>
      </c>
    </row>
    <row r="325" spans="1:7" x14ac:dyDescent="0.25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</row>
    <row r="326" spans="1:7" x14ac:dyDescent="0.25">
      <c r="A326" s="1">
        <v>44886</v>
      </c>
      <c r="B326" s="2">
        <v>0.29509259259259257</v>
      </c>
      <c r="C326" s="2">
        <v>0.65188657407407402</v>
      </c>
      <c r="D326">
        <v>5</v>
      </c>
      <c r="E326">
        <v>3.16</v>
      </c>
      <c r="F326">
        <v>2.11</v>
      </c>
      <c r="G326">
        <v>4.08</v>
      </c>
    </row>
    <row r="327" spans="1:7" x14ac:dyDescent="0.25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</row>
    <row r="328" spans="1:7" x14ac:dyDescent="0.25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</row>
    <row r="329" spans="1:7" x14ac:dyDescent="0.25">
      <c r="A329" s="1">
        <v>44889</v>
      </c>
      <c r="B329" s="2">
        <v>0.29849537037037038</v>
      </c>
      <c r="C329" s="2">
        <v>0.64961805555555552</v>
      </c>
      <c r="D329">
        <v>6</v>
      </c>
      <c r="E329">
        <v>3.18</v>
      </c>
      <c r="F329">
        <v>1.37</v>
      </c>
      <c r="G329">
        <v>4.16</v>
      </c>
    </row>
    <row r="330" spans="1:7" x14ac:dyDescent="0.25">
      <c r="A330" s="1">
        <v>44890</v>
      </c>
      <c r="B330" s="2">
        <v>0.2996064814814815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</row>
    <row r="331" spans="1:7" x14ac:dyDescent="0.25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</row>
    <row r="332" spans="1:7" x14ac:dyDescent="0.25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</row>
    <row r="333" spans="1:7" x14ac:dyDescent="0.25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</row>
    <row r="334" spans="1:7" x14ac:dyDescent="0.25">
      <c r="A334" s="1">
        <v>44894</v>
      </c>
      <c r="B334" s="2">
        <v>0.30385416666666665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</row>
    <row r="335" spans="1:7" x14ac:dyDescent="0.25">
      <c r="A335" s="1">
        <v>44895</v>
      </c>
      <c r="B335" s="2">
        <v>0.30487268518518518</v>
      </c>
      <c r="C335" s="2">
        <v>0.64597222222222217</v>
      </c>
      <c r="D335">
        <v>8</v>
      </c>
      <c r="E335">
        <v>1.1399999999999999</v>
      </c>
      <c r="F335">
        <v>0</v>
      </c>
      <c r="G335">
        <v>7.02</v>
      </c>
    </row>
    <row r="336" spans="1:7" x14ac:dyDescent="0.25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</row>
    <row r="337" spans="1:7" x14ac:dyDescent="0.25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</row>
    <row r="338" spans="1:7" x14ac:dyDescent="0.25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</row>
    <row r="339" spans="1:7" x14ac:dyDescent="0.25">
      <c r="A339" s="1">
        <v>44899</v>
      </c>
      <c r="B339" s="2">
        <v>0.3087152777777778</v>
      </c>
      <c r="C339" s="2">
        <v>0.64425925925925931</v>
      </c>
      <c r="D339">
        <v>8</v>
      </c>
      <c r="E339">
        <v>1.32</v>
      </c>
      <c r="F339">
        <v>0.54</v>
      </c>
      <c r="G339">
        <v>5.16</v>
      </c>
    </row>
    <row r="340" spans="1:7" x14ac:dyDescent="0.25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</row>
    <row r="341" spans="1:7" x14ac:dyDescent="0.25">
      <c r="A341" s="1">
        <v>44901</v>
      </c>
      <c r="B341" s="2">
        <v>0.31049768518518517</v>
      </c>
      <c r="C341" s="2">
        <v>0.64363425925925921</v>
      </c>
      <c r="D341">
        <v>7</v>
      </c>
      <c r="E341">
        <v>2.2000000000000002</v>
      </c>
      <c r="F341">
        <v>0.61</v>
      </c>
      <c r="G341">
        <v>4.92</v>
      </c>
    </row>
    <row r="342" spans="1:7" x14ac:dyDescent="0.25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</row>
    <row r="343" spans="1:7" x14ac:dyDescent="0.25">
      <c r="A343" s="1">
        <v>44903</v>
      </c>
      <c r="B343" s="2">
        <v>0.31216435185185187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</row>
    <row r="344" spans="1:7" x14ac:dyDescent="0.25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</row>
    <row r="345" spans="1:7" x14ac:dyDescent="0.25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</row>
    <row r="346" spans="1:7" x14ac:dyDescent="0.25">
      <c r="A346" s="1">
        <v>44906</v>
      </c>
      <c r="B346" s="2">
        <v>0.31444444444444447</v>
      </c>
      <c r="C346" s="2">
        <v>0.64275462962962959</v>
      </c>
      <c r="D346">
        <v>7</v>
      </c>
      <c r="E346">
        <v>2.11</v>
      </c>
      <c r="F346">
        <v>0.84</v>
      </c>
      <c r="G346">
        <v>5.38</v>
      </c>
    </row>
    <row r="347" spans="1:7" x14ac:dyDescent="0.25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</row>
    <row r="348" spans="1:7" x14ac:dyDescent="0.25">
      <c r="A348" s="1">
        <v>44908</v>
      </c>
      <c r="B348" s="2">
        <v>0.31581018518518517</v>
      </c>
      <c r="C348" s="2">
        <v>0.64268518518518514</v>
      </c>
      <c r="D348">
        <v>7</v>
      </c>
      <c r="E348">
        <v>2.0299999999999998</v>
      </c>
      <c r="F348">
        <v>1.02</v>
      </c>
      <c r="G348">
        <v>6.12</v>
      </c>
    </row>
    <row r="349" spans="1:7" x14ac:dyDescent="0.25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</row>
    <row r="350" spans="1:7" x14ac:dyDescent="0.25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</row>
    <row r="351" spans="1:7" x14ac:dyDescent="0.25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</row>
    <row r="352" spans="1:7" x14ac:dyDescent="0.25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</row>
    <row r="353" spans="1:7" x14ac:dyDescent="0.25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</row>
    <row r="354" spans="1:7" x14ac:dyDescent="0.25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</row>
    <row r="355" spans="1:7" x14ac:dyDescent="0.25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</row>
    <row r="356" spans="1:7" x14ac:dyDescent="0.25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</row>
    <row r="357" spans="1:7" x14ac:dyDescent="0.25">
      <c r="A357" s="1">
        <v>44917</v>
      </c>
      <c r="B357" s="2">
        <v>0.32023148148148151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</row>
    <row r="358" spans="1:7" x14ac:dyDescent="0.25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</row>
    <row r="359" spans="1:7" x14ac:dyDescent="0.25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</row>
    <row r="360" spans="1:7" x14ac:dyDescent="0.25">
      <c r="A360" s="1">
        <v>44920</v>
      </c>
      <c r="B360" s="2">
        <v>0.32103009259259258</v>
      </c>
      <c r="C360" s="2">
        <v>0.64564814814814819</v>
      </c>
      <c r="D360">
        <v>7</v>
      </c>
      <c r="E360">
        <v>2.92</v>
      </c>
      <c r="F360">
        <v>1.05</v>
      </c>
      <c r="G360">
        <v>4.1399999999999997</v>
      </c>
    </row>
    <row r="361" spans="1:7" x14ac:dyDescent="0.25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</row>
    <row r="362" spans="1:7" x14ac:dyDescent="0.25">
      <c r="A362" s="1">
        <v>44922</v>
      </c>
      <c r="B362" s="2">
        <v>0.32136574074074076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</row>
    <row r="363" spans="1:7" x14ac:dyDescent="0.25">
      <c r="A363" s="1">
        <v>44923</v>
      </c>
      <c r="B363" s="2">
        <v>0.32146990740740738</v>
      </c>
      <c r="C363" s="2">
        <v>0.64725694444444448</v>
      </c>
      <c r="D363">
        <v>8</v>
      </c>
      <c r="E363">
        <v>1.54</v>
      </c>
      <c r="F363">
        <v>0.36</v>
      </c>
      <c r="G363">
        <v>4.1900000000000004</v>
      </c>
    </row>
    <row r="364" spans="1:7" x14ac:dyDescent="0.25">
      <c r="A364" s="1">
        <v>44924</v>
      </c>
      <c r="B364" s="2">
        <v>0.32153935185185184</v>
      </c>
      <c r="C364" s="2">
        <v>0.64787037037037032</v>
      </c>
      <c r="D364">
        <v>8</v>
      </c>
      <c r="E364">
        <v>1.21</v>
      </c>
      <c r="F364">
        <v>0.24</v>
      </c>
      <c r="G364">
        <v>5.39</v>
      </c>
    </row>
    <row r="365" spans="1:7" x14ac:dyDescent="0.25">
      <c r="A365" s="1">
        <v>44925</v>
      </c>
      <c r="B365" s="2">
        <v>0.32156249999999997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</row>
    <row r="366" spans="1:7" x14ac:dyDescent="0.25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B4BD-8A75-4B31-87DA-3F0B23DBF011}">
  <dimension ref="A1:M366"/>
  <sheetViews>
    <sheetView zoomScale="175" zoomScaleNormal="175" workbookViewId="0">
      <selection activeCell="L18" sqref="L18"/>
    </sheetView>
  </sheetViews>
  <sheetFormatPr defaultRowHeight="15" x14ac:dyDescent="0.25"/>
  <cols>
    <col min="1" max="1" width="12.5703125" customWidth="1"/>
    <col min="2" max="2" width="10.140625" customWidth="1"/>
    <col min="3" max="3" width="9.28515625" customWidth="1"/>
    <col min="4" max="4" width="9.85546875" bestFit="1" customWidth="1"/>
    <col min="5" max="5" width="12.140625" bestFit="1" customWidth="1"/>
    <col min="6" max="6" width="10.5703125" bestFit="1" customWidth="1"/>
    <col min="7" max="7" width="11.28515625" bestFit="1" customWidth="1"/>
    <col min="8" max="8" width="11.28515625" customWidth="1"/>
    <col min="12" max="12" width="24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25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  <c r="H2">
        <f t="shared" ref="H2:H65" si="0">E2+G2-F2</f>
        <v>9.0500000000000007</v>
      </c>
    </row>
    <row r="3" spans="1:13" x14ac:dyDescent="0.25">
      <c r="A3" s="1">
        <v>44563</v>
      </c>
      <c r="B3" s="2">
        <v>0.3213773148148148</v>
      </c>
      <c r="C3" s="2">
        <v>0.65083333333333337</v>
      </c>
      <c r="D3">
        <v>4</v>
      </c>
      <c r="E3">
        <v>4.47</v>
      </c>
      <c r="F3">
        <v>1.23</v>
      </c>
      <c r="G3">
        <v>3.99</v>
      </c>
      <c r="H3">
        <f t="shared" si="0"/>
        <v>7.23</v>
      </c>
    </row>
    <row r="4" spans="1:13" x14ac:dyDescent="0.25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  <c r="H4">
        <f t="shared" si="0"/>
        <v>3.84</v>
      </c>
    </row>
    <row r="5" spans="1:13" x14ac:dyDescent="0.25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  <c r="H5">
        <f t="shared" si="0"/>
        <v>6.63</v>
      </c>
    </row>
    <row r="6" spans="1:13" x14ac:dyDescent="0.25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  <c r="H6">
        <f t="shared" si="0"/>
        <v>6.5300000000000011</v>
      </c>
    </row>
    <row r="7" spans="1:13" x14ac:dyDescent="0.25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  <c r="H7">
        <f t="shared" si="0"/>
        <v>3.9800000000000004</v>
      </c>
    </row>
    <row r="8" spans="1:13" x14ac:dyDescent="0.25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  <c r="H8">
        <f t="shared" si="0"/>
        <v>7.7900000000000009</v>
      </c>
      <c r="L8" t="s">
        <v>9</v>
      </c>
      <c r="M8">
        <f>SUM(H2:H32)</f>
        <v>162.68</v>
      </c>
    </row>
    <row r="9" spans="1:13" x14ac:dyDescent="0.25">
      <c r="A9" s="1">
        <v>44569</v>
      </c>
      <c r="B9" s="2">
        <v>0.31994212962962965</v>
      </c>
      <c r="C9" s="2">
        <v>0.65597222222222218</v>
      </c>
      <c r="D9">
        <v>1</v>
      </c>
      <c r="E9">
        <v>7.24</v>
      </c>
      <c r="F9">
        <v>2.58</v>
      </c>
      <c r="G9">
        <v>2.4700000000000002</v>
      </c>
      <c r="H9">
        <f t="shared" si="0"/>
        <v>7.1300000000000008</v>
      </c>
      <c r="L9" t="s">
        <v>8</v>
      </c>
      <c r="M9">
        <f>SUM(H2:H366)</f>
        <v>2715.320000000002</v>
      </c>
    </row>
    <row r="10" spans="1:13" x14ac:dyDescent="0.25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  <c r="H10">
        <f t="shared" si="0"/>
        <v>7.17</v>
      </c>
    </row>
    <row r="11" spans="1:13" x14ac:dyDescent="0.25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  <c r="H11">
        <f t="shared" si="0"/>
        <v>3.7299999999999995</v>
      </c>
    </row>
    <row r="12" spans="1:13" x14ac:dyDescent="0.25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  <c r="H12">
        <f t="shared" si="0"/>
        <v>4.3199999999999994</v>
      </c>
    </row>
    <row r="13" spans="1:13" x14ac:dyDescent="0.25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  <c r="H13">
        <f t="shared" si="0"/>
        <v>4.3899999999999997</v>
      </c>
    </row>
    <row r="14" spans="1:13" x14ac:dyDescent="0.25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  <c r="H14">
        <f t="shared" si="0"/>
        <v>7.42</v>
      </c>
    </row>
    <row r="15" spans="1:13" x14ac:dyDescent="0.25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  <c r="H15">
        <f t="shared" si="0"/>
        <v>7.6999999999999993</v>
      </c>
    </row>
    <row r="16" spans="1:13" x14ac:dyDescent="0.25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  <c r="H16">
        <f t="shared" si="0"/>
        <v>3.87</v>
      </c>
    </row>
    <row r="17" spans="1:8" x14ac:dyDescent="0.25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  <c r="H17">
        <f t="shared" si="0"/>
        <v>3.0799999999999992</v>
      </c>
    </row>
    <row r="18" spans="1:8" x14ac:dyDescent="0.25">
      <c r="A18" s="1">
        <v>44578</v>
      </c>
      <c r="B18" s="2">
        <v>0.31526620370370373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  <c r="H18">
        <f t="shared" si="0"/>
        <v>8.02</v>
      </c>
    </row>
    <row r="19" spans="1:8" x14ac:dyDescent="0.25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  <c r="H19">
        <f t="shared" si="0"/>
        <v>5.2</v>
      </c>
    </row>
    <row r="20" spans="1:8" x14ac:dyDescent="0.25">
      <c r="A20" s="1">
        <v>44580</v>
      </c>
      <c r="B20" s="2">
        <v>0.31384259259259262</v>
      </c>
      <c r="C20" s="2">
        <v>0.66766203703703708</v>
      </c>
      <c r="D20">
        <v>4</v>
      </c>
      <c r="E20">
        <v>3.53</v>
      </c>
      <c r="F20">
        <v>0.34</v>
      </c>
      <c r="G20">
        <v>1.25</v>
      </c>
      <c r="H20">
        <f t="shared" si="0"/>
        <v>4.4399999999999995</v>
      </c>
    </row>
    <row r="21" spans="1:8" x14ac:dyDescent="0.25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  <c r="H21">
        <f t="shared" si="0"/>
        <v>3.55</v>
      </c>
    </row>
    <row r="22" spans="1:8" x14ac:dyDescent="0.25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  <c r="H22">
        <f t="shared" si="0"/>
        <v>4.92</v>
      </c>
    </row>
    <row r="23" spans="1:8" x14ac:dyDescent="0.25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  <c r="H23">
        <f t="shared" si="0"/>
        <v>4.6499999999999995</v>
      </c>
    </row>
    <row r="24" spans="1:8" x14ac:dyDescent="0.25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  <c r="H24">
        <f t="shared" si="0"/>
        <v>3.0199999999999996</v>
      </c>
    </row>
    <row r="25" spans="1:8" x14ac:dyDescent="0.25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  <c r="H25">
        <f t="shared" si="0"/>
        <v>4.0600000000000005</v>
      </c>
    </row>
    <row r="26" spans="1:8" x14ac:dyDescent="0.25">
      <c r="A26" s="1">
        <v>44586</v>
      </c>
      <c r="B26" s="2">
        <v>0.30884259259259261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  <c r="H26">
        <f t="shared" si="0"/>
        <v>4.5199999999999996</v>
      </c>
    </row>
    <row r="27" spans="1:8" x14ac:dyDescent="0.25">
      <c r="A27" s="1">
        <v>44587</v>
      </c>
      <c r="B27" s="2">
        <v>0.30791666666666667</v>
      </c>
      <c r="C27" s="2">
        <v>0.67612268518518515</v>
      </c>
      <c r="D27">
        <v>2</v>
      </c>
      <c r="E27">
        <v>5.1100000000000003</v>
      </c>
      <c r="F27">
        <v>2.02</v>
      </c>
      <c r="G27">
        <v>1.35</v>
      </c>
      <c r="H27">
        <f t="shared" si="0"/>
        <v>4.4400000000000013</v>
      </c>
    </row>
    <row r="28" spans="1:8" x14ac:dyDescent="0.25">
      <c r="A28" s="1">
        <v>44588</v>
      </c>
      <c r="B28" s="2">
        <v>0.3069560185185185</v>
      </c>
      <c r="C28" s="2">
        <v>0.67737268518518523</v>
      </c>
      <c r="D28">
        <v>1</v>
      </c>
      <c r="E28">
        <v>4.97</v>
      </c>
      <c r="F28">
        <v>1.92</v>
      </c>
      <c r="G28">
        <v>2.0099999999999998</v>
      </c>
      <c r="H28">
        <f t="shared" si="0"/>
        <v>5.0599999999999996</v>
      </c>
    </row>
    <row r="29" spans="1:8" x14ac:dyDescent="0.25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  <c r="H29">
        <f t="shared" si="0"/>
        <v>3.4699999999999998</v>
      </c>
    </row>
    <row r="30" spans="1:8" x14ac:dyDescent="0.25">
      <c r="A30" s="1">
        <v>44590</v>
      </c>
      <c r="B30" s="2">
        <v>0.30494212962962963</v>
      </c>
      <c r="C30" s="2">
        <v>0.67988425925925922</v>
      </c>
      <c r="D30">
        <v>1</v>
      </c>
      <c r="E30">
        <v>5.76</v>
      </c>
      <c r="F30">
        <v>3.33</v>
      </c>
      <c r="G30">
        <v>2.0099999999999998</v>
      </c>
      <c r="H30">
        <f t="shared" si="0"/>
        <v>4.4399999999999995</v>
      </c>
    </row>
    <row r="31" spans="1:8" x14ac:dyDescent="0.25">
      <c r="A31" s="1">
        <v>44591</v>
      </c>
      <c r="B31" s="2">
        <v>0.30391203703703706</v>
      </c>
      <c r="C31" s="2">
        <v>0.68115740740740738</v>
      </c>
      <c r="D31">
        <v>2</v>
      </c>
      <c r="E31">
        <v>5.97</v>
      </c>
      <c r="F31">
        <v>3.48</v>
      </c>
      <c r="G31">
        <v>1.93</v>
      </c>
      <c r="H31">
        <f t="shared" si="0"/>
        <v>4.42</v>
      </c>
    </row>
    <row r="32" spans="1:8" x14ac:dyDescent="0.25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  <c r="H32">
        <f t="shared" si="0"/>
        <v>4.6099999999999994</v>
      </c>
    </row>
    <row r="33" spans="1:8" x14ac:dyDescent="0.25">
      <c r="A33" s="1">
        <v>44593</v>
      </c>
      <c r="B33" s="2">
        <v>0.30175925925925928</v>
      </c>
      <c r="C33" s="2">
        <v>0.68371527777777774</v>
      </c>
      <c r="D33">
        <v>1</v>
      </c>
      <c r="E33">
        <v>6.18</v>
      </c>
      <c r="F33">
        <v>1.34</v>
      </c>
      <c r="G33">
        <v>1.28</v>
      </c>
      <c r="H33">
        <f t="shared" si="0"/>
        <v>6.12</v>
      </c>
    </row>
    <row r="34" spans="1:8" x14ac:dyDescent="0.25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  <c r="H34">
        <f t="shared" si="0"/>
        <v>6.6899999999999995</v>
      </c>
    </row>
    <row r="35" spans="1:8" x14ac:dyDescent="0.25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  <c r="H35">
        <f t="shared" si="0"/>
        <v>4.67</v>
      </c>
    </row>
    <row r="36" spans="1:8" x14ac:dyDescent="0.25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  <c r="H36">
        <f t="shared" si="0"/>
        <v>7.4</v>
      </c>
    </row>
    <row r="37" spans="1:8" x14ac:dyDescent="0.25">
      <c r="A37" s="1">
        <v>44597</v>
      </c>
      <c r="B37" s="2">
        <v>0.2971759259259259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  <c r="H37">
        <f t="shared" si="0"/>
        <v>5.9899999999999993</v>
      </c>
    </row>
    <row r="38" spans="1:8" x14ac:dyDescent="0.25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  <c r="H38">
        <f t="shared" si="0"/>
        <v>7.32</v>
      </c>
    </row>
    <row r="39" spans="1:8" x14ac:dyDescent="0.25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  <c r="H39">
        <f t="shared" si="0"/>
        <v>7.8099999999999987</v>
      </c>
    </row>
    <row r="40" spans="1:8" x14ac:dyDescent="0.25">
      <c r="A40" s="1">
        <v>44600</v>
      </c>
      <c r="B40" s="2">
        <v>0.29351851851851851</v>
      </c>
      <c r="C40" s="2">
        <v>0.69277777777777783</v>
      </c>
      <c r="D40">
        <v>1</v>
      </c>
      <c r="E40">
        <v>7.84</v>
      </c>
      <c r="F40">
        <v>2.63</v>
      </c>
      <c r="G40">
        <v>2.19</v>
      </c>
      <c r="H40">
        <f t="shared" si="0"/>
        <v>7.3999999999999995</v>
      </c>
    </row>
    <row r="41" spans="1:8" x14ac:dyDescent="0.25">
      <c r="A41" s="1">
        <v>44601</v>
      </c>
      <c r="B41" s="2">
        <v>0.29226851851851854</v>
      </c>
      <c r="C41" s="2">
        <v>0.6940856481481481</v>
      </c>
      <c r="D41">
        <v>6</v>
      </c>
      <c r="E41">
        <v>2.93</v>
      </c>
      <c r="F41">
        <v>1.1299999999999999</v>
      </c>
      <c r="G41">
        <v>3.1</v>
      </c>
      <c r="H41">
        <f t="shared" si="0"/>
        <v>4.9000000000000004</v>
      </c>
    </row>
    <row r="42" spans="1:8" x14ac:dyDescent="0.25">
      <c r="A42" s="1">
        <v>44602</v>
      </c>
      <c r="B42" s="2">
        <v>0.29098379629629628</v>
      </c>
      <c r="C42" s="2">
        <v>0.69538194444444446</v>
      </c>
      <c r="D42">
        <v>7</v>
      </c>
      <c r="E42">
        <v>1.24</v>
      </c>
      <c r="F42">
        <v>0.3</v>
      </c>
      <c r="G42">
        <v>2.14</v>
      </c>
      <c r="H42">
        <f t="shared" si="0"/>
        <v>3.08</v>
      </c>
    </row>
    <row r="43" spans="1:8" x14ac:dyDescent="0.25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  <c r="H43">
        <f t="shared" si="0"/>
        <v>5.12</v>
      </c>
    </row>
    <row r="44" spans="1:8" x14ac:dyDescent="0.25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  <c r="H44">
        <f t="shared" si="0"/>
        <v>4.8899999999999997</v>
      </c>
    </row>
    <row r="45" spans="1:8" x14ac:dyDescent="0.25">
      <c r="A45" s="1">
        <v>44605</v>
      </c>
      <c r="B45" s="2">
        <v>0.28706018518518517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  <c r="H45">
        <f t="shared" si="0"/>
        <v>6.18</v>
      </c>
    </row>
    <row r="46" spans="1:8" x14ac:dyDescent="0.25">
      <c r="A46" s="1">
        <v>44606</v>
      </c>
      <c r="B46" s="2">
        <v>0.28570601851851851</v>
      </c>
      <c r="C46" s="2">
        <v>0.70059027777777783</v>
      </c>
      <c r="D46">
        <v>2</v>
      </c>
      <c r="E46">
        <v>5.62</v>
      </c>
      <c r="F46">
        <v>2.41</v>
      </c>
      <c r="G46">
        <v>2.59</v>
      </c>
      <c r="H46">
        <f t="shared" si="0"/>
        <v>5.8000000000000007</v>
      </c>
    </row>
    <row r="47" spans="1:8" x14ac:dyDescent="0.25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  <c r="H47">
        <f t="shared" si="0"/>
        <v>5.16</v>
      </c>
    </row>
    <row r="48" spans="1:8" x14ac:dyDescent="0.25">
      <c r="A48" s="1">
        <v>44608</v>
      </c>
      <c r="B48" s="2">
        <v>0.28297453703703701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  <c r="H48">
        <f t="shared" si="0"/>
        <v>3.01</v>
      </c>
    </row>
    <row r="49" spans="1:8" x14ac:dyDescent="0.25">
      <c r="A49" s="1">
        <v>44609</v>
      </c>
      <c r="B49" s="2">
        <v>0.28158564814814813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  <c r="H49">
        <f t="shared" si="0"/>
        <v>7.27</v>
      </c>
    </row>
    <row r="50" spans="1:8" x14ac:dyDescent="0.25">
      <c r="A50" s="1">
        <v>44610</v>
      </c>
      <c r="B50" s="2">
        <v>0.2801851851851852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  <c r="H50">
        <f t="shared" si="0"/>
        <v>6.0600000000000005</v>
      </c>
    </row>
    <row r="51" spans="1:8" x14ac:dyDescent="0.25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  <c r="H51">
        <f t="shared" si="0"/>
        <v>4.4499999999999993</v>
      </c>
    </row>
    <row r="52" spans="1:8" x14ac:dyDescent="0.25">
      <c r="A52" s="1">
        <v>44612</v>
      </c>
      <c r="B52" s="2">
        <v>0.27733796296296298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  <c r="H52">
        <f t="shared" si="0"/>
        <v>8.3600000000000012</v>
      </c>
    </row>
    <row r="53" spans="1:8" x14ac:dyDescent="0.25">
      <c r="A53" s="1">
        <v>44613</v>
      </c>
      <c r="B53" s="2">
        <v>0.27590277777777777</v>
      </c>
      <c r="C53" s="2">
        <v>0.70962962962962961</v>
      </c>
      <c r="D53">
        <v>0</v>
      </c>
      <c r="E53">
        <v>9.85</v>
      </c>
      <c r="F53">
        <v>3.02</v>
      </c>
      <c r="G53">
        <v>2.46</v>
      </c>
      <c r="H53">
        <f t="shared" si="0"/>
        <v>9.2899999999999991</v>
      </c>
    </row>
    <row r="54" spans="1:8" x14ac:dyDescent="0.25">
      <c r="A54" s="1">
        <v>44614</v>
      </c>
      <c r="B54" s="2">
        <v>0.27444444444444444</v>
      </c>
      <c r="C54" s="2">
        <v>0.71091435185185181</v>
      </c>
      <c r="D54">
        <v>1</v>
      </c>
      <c r="E54">
        <v>9.2899999999999991</v>
      </c>
      <c r="F54">
        <v>2.79</v>
      </c>
      <c r="G54">
        <v>1.49</v>
      </c>
      <c r="H54">
        <f t="shared" si="0"/>
        <v>7.9899999999999993</v>
      </c>
    </row>
    <row r="55" spans="1:8" x14ac:dyDescent="0.25">
      <c r="A55" s="1">
        <v>44615</v>
      </c>
      <c r="B55" s="2">
        <v>0.27297453703703706</v>
      </c>
      <c r="C55" s="2">
        <v>0.71219907407407412</v>
      </c>
      <c r="D55">
        <v>4</v>
      </c>
      <c r="E55">
        <v>2.57</v>
      </c>
      <c r="F55">
        <v>0.76</v>
      </c>
      <c r="G55">
        <v>4.03</v>
      </c>
      <c r="H55">
        <f t="shared" si="0"/>
        <v>5.84</v>
      </c>
    </row>
    <row r="56" spans="1:8" x14ac:dyDescent="0.25">
      <c r="A56" s="1">
        <v>44616</v>
      </c>
      <c r="B56" s="2">
        <v>0.27150462962962962</v>
      </c>
      <c r="C56" s="2">
        <v>0.71347222222222217</v>
      </c>
      <c r="D56">
        <v>0</v>
      </c>
      <c r="E56">
        <v>9.64</v>
      </c>
      <c r="F56">
        <v>3.82</v>
      </c>
      <c r="G56">
        <v>2.36</v>
      </c>
      <c r="H56">
        <f t="shared" si="0"/>
        <v>8.18</v>
      </c>
    </row>
    <row r="57" spans="1:8" x14ac:dyDescent="0.25">
      <c r="A57" s="1">
        <v>44617</v>
      </c>
      <c r="B57" s="2">
        <v>0.27001157407407406</v>
      </c>
      <c r="C57" s="2">
        <v>0.71474537037037034</v>
      </c>
      <c r="D57">
        <v>0</v>
      </c>
      <c r="E57">
        <v>9.35</v>
      </c>
      <c r="F57">
        <v>3.73</v>
      </c>
      <c r="G57">
        <v>2.1800000000000002</v>
      </c>
      <c r="H57">
        <f t="shared" si="0"/>
        <v>7.7999999999999989</v>
      </c>
    </row>
    <row r="58" spans="1:8" x14ac:dyDescent="0.25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  <c r="H58">
        <f t="shared" si="0"/>
        <v>7.24</v>
      </c>
    </row>
    <row r="59" spans="1:8" x14ac:dyDescent="0.25">
      <c r="A59" s="1">
        <v>44619</v>
      </c>
      <c r="B59" s="2">
        <v>0.26700231481481479</v>
      </c>
      <c r="C59" s="2">
        <v>0.71728009259259262</v>
      </c>
      <c r="D59">
        <v>0</v>
      </c>
      <c r="E59">
        <v>9.77</v>
      </c>
      <c r="F59">
        <v>3.26</v>
      </c>
      <c r="G59">
        <v>1.3</v>
      </c>
      <c r="H59">
        <f t="shared" si="0"/>
        <v>7.8100000000000005</v>
      </c>
    </row>
    <row r="60" spans="1:8" x14ac:dyDescent="0.25">
      <c r="A60" s="1">
        <v>44620</v>
      </c>
      <c r="B60" s="2">
        <v>0.26548611111111109</v>
      </c>
      <c r="C60" s="2">
        <v>0.71855324074074078</v>
      </c>
      <c r="D60">
        <v>5</v>
      </c>
      <c r="E60">
        <v>2.93</v>
      </c>
      <c r="F60">
        <v>1.03</v>
      </c>
      <c r="G60">
        <v>2.99</v>
      </c>
      <c r="H60">
        <f t="shared" si="0"/>
        <v>4.8899999999999997</v>
      </c>
    </row>
    <row r="61" spans="1:8" x14ac:dyDescent="0.25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  <c r="H61">
        <f t="shared" si="0"/>
        <v>5.34</v>
      </c>
    </row>
    <row r="62" spans="1:8" x14ac:dyDescent="0.25">
      <c r="A62" s="1">
        <v>44622</v>
      </c>
      <c r="B62" s="2">
        <v>0.26243055555555556</v>
      </c>
      <c r="C62" s="2">
        <v>0.72106481481481477</v>
      </c>
      <c r="D62">
        <v>6</v>
      </c>
      <c r="E62">
        <v>2.99</v>
      </c>
      <c r="F62">
        <v>0.74</v>
      </c>
      <c r="G62">
        <v>1.48</v>
      </c>
      <c r="H62">
        <f t="shared" si="0"/>
        <v>3.7300000000000004</v>
      </c>
    </row>
    <row r="63" spans="1:8" x14ac:dyDescent="0.25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  <c r="H63">
        <f t="shared" si="0"/>
        <v>4.1900000000000004</v>
      </c>
    </row>
    <row r="64" spans="1:8" x14ac:dyDescent="0.25">
      <c r="A64" s="1">
        <v>44624</v>
      </c>
      <c r="B64" s="2">
        <v>0.25934027777777779</v>
      </c>
      <c r="C64" s="2">
        <v>0.72357638888888887</v>
      </c>
      <c r="D64">
        <v>0</v>
      </c>
      <c r="E64">
        <v>9.7100000000000009</v>
      </c>
      <c r="F64">
        <v>3.95</v>
      </c>
      <c r="G64">
        <v>1.96</v>
      </c>
      <c r="H64">
        <f t="shared" si="0"/>
        <v>7.7200000000000015</v>
      </c>
    </row>
    <row r="65" spans="1:8" x14ac:dyDescent="0.25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  <c r="H65">
        <f t="shared" si="0"/>
        <v>8.43</v>
      </c>
    </row>
    <row r="66" spans="1:8" x14ac:dyDescent="0.25">
      <c r="A66" s="1">
        <v>44626</v>
      </c>
      <c r="B66" s="2">
        <v>0.25621527777777775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  <c r="H66">
        <f t="shared" ref="H66:H129" si="1">E66+G66-F66</f>
        <v>8.11</v>
      </c>
    </row>
    <row r="67" spans="1:8" x14ac:dyDescent="0.25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  <c r="H67">
        <f t="shared" si="1"/>
        <v>4.67</v>
      </c>
    </row>
    <row r="68" spans="1:8" x14ac:dyDescent="0.25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  <c r="H68">
        <f t="shared" si="1"/>
        <v>4.83</v>
      </c>
    </row>
    <row r="69" spans="1:8" x14ac:dyDescent="0.25">
      <c r="A69" s="1">
        <v>44629</v>
      </c>
      <c r="B69" s="2">
        <v>0.25148148148148147</v>
      </c>
      <c r="C69" s="2">
        <v>0.72979166666666662</v>
      </c>
      <c r="D69">
        <v>3</v>
      </c>
      <c r="E69">
        <v>3.29</v>
      </c>
      <c r="F69">
        <v>0.73</v>
      </c>
      <c r="G69">
        <v>2.4300000000000002</v>
      </c>
      <c r="H69">
        <f t="shared" si="1"/>
        <v>4.99</v>
      </c>
    </row>
    <row r="70" spans="1:8" x14ac:dyDescent="0.25">
      <c r="A70" s="1">
        <v>44630</v>
      </c>
      <c r="B70" s="2">
        <v>0.24989583333333334</v>
      </c>
      <c r="C70" s="2">
        <v>0.73103009259259255</v>
      </c>
      <c r="D70">
        <v>1</v>
      </c>
      <c r="E70">
        <v>7.92</v>
      </c>
      <c r="F70">
        <v>1.58</v>
      </c>
      <c r="G70">
        <v>1.63</v>
      </c>
      <c r="H70">
        <f t="shared" si="1"/>
        <v>7.9700000000000006</v>
      </c>
    </row>
    <row r="71" spans="1:8" x14ac:dyDescent="0.25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  <c r="H71">
        <f t="shared" si="1"/>
        <v>4.830000000000001</v>
      </c>
    </row>
    <row r="72" spans="1:8" x14ac:dyDescent="0.25">
      <c r="A72" s="1">
        <v>44632</v>
      </c>
      <c r="B72" s="2">
        <v>0.2467013888888889</v>
      </c>
      <c r="C72" s="2">
        <v>0.73348379629629634</v>
      </c>
      <c r="D72">
        <v>0</v>
      </c>
      <c r="E72">
        <v>11.09</v>
      </c>
      <c r="F72">
        <v>3.46</v>
      </c>
      <c r="G72">
        <v>1.28</v>
      </c>
      <c r="H72">
        <f t="shared" si="1"/>
        <v>8.91</v>
      </c>
    </row>
    <row r="73" spans="1:8" x14ac:dyDescent="0.25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  <c r="H73">
        <f t="shared" si="1"/>
        <v>10.6</v>
      </c>
    </row>
    <row r="74" spans="1:8" x14ac:dyDescent="0.25">
      <c r="A74" s="1">
        <v>44634</v>
      </c>
      <c r="B74" s="2">
        <v>0.24349537037037036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  <c r="H74">
        <f t="shared" si="1"/>
        <v>5.74</v>
      </c>
    </row>
    <row r="75" spans="1:8" x14ac:dyDescent="0.25">
      <c r="A75" s="1">
        <v>44635</v>
      </c>
      <c r="B75" s="2">
        <v>0.24188657407407407</v>
      </c>
      <c r="C75" s="2">
        <v>0.73716435185185181</v>
      </c>
      <c r="D75">
        <v>6</v>
      </c>
      <c r="E75">
        <v>3.14</v>
      </c>
      <c r="F75">
        <v>1.73</v>
      </c>
      <c r="G75">
        <v>3.82</v>
      </c>
      <c r="H75">
        <f t="shared" si="1"/>
        <v>5.23</v>
      </c>
    </row>
    <row r="76" spans="1:8" x14ac:dyDescent="0.25">
      <c r="A76" s="1">
        <v>44636</v>
      </c>
      <c r="B76" s="2">
        <v>0.24027777777777778</v>
      </c>
      <c r="C76" s="2">
        <v>0.73837962962962966</v>
      </c>
      <c r="D76">
        <v>0</v>
      </c>
      <c r="E76">
        <v>12.41</v>
      </c>
      <c r="F76">
        <v>3.85</v>
      </c>
      <c r="G76">
        <v>0.67</v>
      </c>
      <c r="H76">
        <f t="shared" si="1"/>
        <v>9.23</v>
      </c>
    </row>
    <row r="77" spans="1:8" x14ac:dyDescent="0.25">
      <c r="A77" s="1">
        <v>44637</v>
      </c>
      <c r="B77" s="2">
        <v>0.23866898148148147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  <c r="H77">
        <f t="shared" si="1"/>
        <v>5.17</v>
      </c>
    </row>
    <row r="78" spans="1:8" x14ac:dyDescent="0.25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  <c r="H78">
        <f t="shared" si="1"/>
        <v>8.9700000000000006</v>
      </c>
    </row>
    <row r="79" spans="1:8" x14ac:dyDescent="0.25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  <c r="H79">
        <f t="shared" si="1"/>
        <v>11.27</v>
      </c>
    </row>
    <row r="80" spans="1:8" x14ac:dyDescent="0.25">
      <c r="A80" s="1">
        <v>44640</v>
      </c>
      <c r="B80" s="2">
        <v>0.23380787037037037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  <c r="H80">
        <f t="shared" si="1"/>
        <v>9.5399999999999991</v>
      </c>
    </row>
    <row r="81" spans="1:8" x14ac:dyDescent="0.25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  <c r="H81">
        <f t="shared" si="1"/>
        <v>5.4499999999999993</v>
      </c>
    </row>
    <row r="82" spans="1:8" x14ac:dyDescent="0.25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  <c r="H82">
        <f t="shared" si="1"/>
        <v>5.24</v>
      </c>
    </row>
    <row r="83" spans="1:8" x14ac:dyDescent="0.25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  <c r="H83">
        <f t="shared" si="1"/>
        <v>9.9099999999999984</v>
      </c>
    </row>
    <row r="84" spans="1:8" x14ac:dyDescent="0.25">
      <c r="A84" s="1">
        <v>44644</v>
      </c>
      <c r="B84" s="2">
        <v>0.2273148148148148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  <c r="H84">
        <f t="shared" si="1"/>
        <v>9.9</v>
      </c>
    </row>
    <row r="85" spans="1:8" x14ac:dyDescent="0.25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  <c r="H85">
        <f t="shared" si="1"/>
        <v>4.87</v>
      </c>
    </row>
    <row r="86" spans="1:8" x14ac:dyDescent="0.25">
      <c r="A86" s="1">
        <v>44646</v>
      </c>
      <c r="B86" s="2">
        <v>0.2240625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  <c r="H86">
        <f t="shared" si="1"/>
        <v>9.4</v>
      </c>
    </row>
    <row r="87" spans="1:8" x14ac:dyDescent="0.25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  <c r="H87">
        <f t="shared" si="1"/>
        <v>9.5200000000000014</v>
      </c>
    </row>
    <row r="88" spans="1:8" x14ac:dyDescent="0.25">
      <c r="A88" s="1">
        <v>44648</v>
      </c>
      <c r="B88" s="2">
        <v>0.26248842592592592</v>
      </c>
      <c r="C88" s="2">
        <v>0.79456018518518523</v>
      </c>
      <c r="D88">
        <v>4</v>
      </c>
      <c r="E88">
        <v>4.42</v>
      </c>
      <c r="F88">
        <v>3.15</v>
      </c>
      <c r="G88">
        <v>3.62</v>
      </c>
      <c r="H88">
        <f t="shared" si="1"/>
        <v>4.8899999999999988</v>
      </c>
    </row>
    <row r="89" spans="1:8" x14ac:dyDescent="0.25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  <c r="H89">
        <f t="shared" si="1"/>
        <v>4.120000000000001</v>
      </c>
    </row>
    <row r="90" spans="1:8" x14ac:dyDescent="0.25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  <c r="H90">
        <f t="shared" si="1"/>
        <v>9.19</v>
      </c>
    </row>
    <row r="91" spans="1:8" x14ac:dyDescent="0.25">
      <c r="A91" s="1">
        <v>44651</v>
      </c>
      <c r="B91" s="2">
        <v>0.25763888888888886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  <c r="H91">
        <f t="shared" si="1"/>
        <v>9.8500000000000014</v>
      </c>
    </row>
    <row r="92" spans="1:8" x14ac:dyDescent="0.25">
      <c r="A92" s="1">
        <v>44652</v>
      </c>
      <c r="B92" s="2">
        <v>0.25601851851851853</v>
      </c>
      <c r="C92" s="2">
        <v>0.79936342592592591</v>
      </c>
      <c r="D92">
        <v>3</v>
      </c>
      <c r="E92">
        <v>5.21</v>
      </c>
      <c r="F92">
        <v>2.46</v>
      </c>
      <c r="G92">
        <v>2.89</v>
      </c>
      <c r="H92">
        <f t="shared" si="1"/>
        <v>5.64</v>
      </c>
    </row>
    <row r="93" spans="1:8" x14ac:dyDescent="0.25">
      <c r="A93" s="1">
        <v>44653</v>
      </c>
      <c r="B93" s="2">
        <v>0.25440972222222225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  <c r="H93">
        <f t="shared" si="1"/>
        <v>9.77</v>
      </c>
    </row>
    <row r="94" spans="1:8" x14ac:dyDescent="0.25">
      <c r="A94" s="1">
        <v>44654</v>
      </c>
      <c r="B94" s="2">
        <v>0.2528009259259259</v>
      </c>
      <c r="C94" s="2">
        <v>0.80175925925925928</v>
      </c>
      <c r="D94">
        <v>6</v>
      </c>
      <c r="E94">
        <v>2.3199999999999998</v>
      </c>
      <c r="F94">
        <v>1.08</v>
      </c>
      <c r="G94">
        <v>4.09</v>
      </c>
      <c r="H94">
        <f t="shared" si="1"/>
        <v>5.33</v>
      </c>
    </row>
    <row r="95" spans="1:8" x14ac:dyDescent="0.25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  <c r="H95">
        <f t="shared" si="1"/>
        <v>5.0999999999999996</v>
      </c>
    </row>
    <row r="96" spans="1:8" x14ac:dyDescent="0.25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  <c r="H96">
        <f t="shared" si="1"/>
        <v>5.2600000000000007</v>
      </c>
    </row>
    <row r="97" spans="1:8" x14ac:dyDescent="0.25">
      <c r="A97" s="1">
        <v>44657</v>
      </c>
      <c r="B97" s="2">
        <v>0.24800925925925926</v>
      </c>
      <c r="C97" s="2">
        <v>0.80535879629629625</v>
      </c>
      <c r="D97">
        <v>4</v>
      </c>
      <c r="E97">
        <v>3.57</v>
      </c>
      <c r="F97">
        <v>0.16</v>
      </c>
      <c r="G97">
        <v>2.94</v>
      </c>
      <c r="H97">
        <f t="shared" si="1"/>
        <v>6.35</v>
      </c>
    </row>
    <row r="98" spans="1:8" x14ac:dyDescent="0.25">
      <c r="A98" s="1">
        <v>44658</v>
      </c>
      <c r="B98" s="2">
        <v>0.24641203703703704</v>
      </c>
      <c r="C98" s="2">
        <v>0.80656249999999996</v>
      </c>
      <c r="D98">
        <v>2</v>
      </c>
      <c r="E98">
        <v>6.61</v>
      </c>
      <c r="F98">
        <v>2.5099999999999998</v>
      </c>
      <c r="G98">
        <v>1.34</v>
      </c>
      <c r="H98">
        <f t="shared" si="1"/>
        <v>5.44</v>
      </c>
    </row>
    <row r="99" spans="1:8" x14ac:dyDescent="0.25">
      <c r="A99" s="1">
        <v>44659</v>
      </c>
      <c r="B99" s="2">
        <v>0.24482638888888889</v>
      </c>
      <c r="C99" s="2">
        <v>0.80775462962962963</v>
      </c>
      <c r="D99">
        <v>0</v>
      </c>
      <c r="E99">
        <v>14.15</v>
      </c>
      <c r="F99">
        <v>3.32</v>
      </c>
      <c r="G99">
        <v>1.82</v>
      </c>
      <c r="H99">
        <f t="shared" si="1"/>
        <v>12.65</v>
      </c>
    </row>
    <row r="100" spans="1:8" x14ac:dyDescent="0.25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  <c r="H100">
        <f t="shared" si="1"/>
        <v>11.14</v>
      </c>
    </row>
    <row r="101" spans="1:8" x14ac:dyDescent="0.25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  <c r="H101">
        <f t="shared" si="1"/>
        <v>9.35</v>
      </c>
    </row>
    <row r="102" spans="1:8" x14ac:dyDescent="0.25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  <c r="H102">
        <f t="shared" si="1"/>
        <v>5.3</v>
      </c>
    </row>
    <row r="103" spans="1:8" x14ac:dyDescent="0.25">
      <c r="A103" s="1">
        <v>44663</v>
      </c>
      <c r="B103" s="2">
        <v>0.23854166666666668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  <c r="H103">
        <f t="shared" si="1"/>
        <v>7.1799999999999988</v>
      </c>
    </row>
    <row r="104" spans="1:8" x14ac:dyDescent="0.25">
      <c r="A104" s="1">
        <v>44664</v>
      </c>
      <c r="B104" s="2">
        <v>0.23699074074074075</v>
      </c>
      <c r="C104" s="2">
        <v>0.81376157407407412</v>
      </c>
      <c r="D104">
        <v>1</v>
      </c>
      <c r="E104">
        <v>7.5</v>
      </c>
      <c r="F104">
        <v>3.12</v>
      </c>
      <c r="G104">
        <v>2.94</v>
      </c>
      <c r="H104">
        <f t="shared" si="1"/>
        <v>7.3199999999999994</v>
      </c>
    </row>
    <row r="105" spans="1:8" x14ac:dyDescent="0.25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  <c r="H105">
        <f t="shared" si="1"/>
        <v>11.209999999999999</v>
      </c>
    </row>
    <row r="106" spans="1:8" x14ac:dyDescent="0.25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  <c r="H106">
        <f t="shared" si="1"/>
        <v>5.93</v>
      </c>
    </row>
    <row r="107" spans="1:8" x14ac:dyDescent="0.25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  <c r="H107">
        <f t="shared" si="1"/>
        <v>5.4700000000000006</v>
      </c>
    </row>
    <row r="108" spans="1:8" x14ac:dyDescent="0.25">
      <c r="A108" s="1">
        <v>44668</v>
      </c>
      <c r="B108" s="2">
        <v>0.2308449074074074</v>
      </c>
      <c r="C108" s="2">
        <v>0.8185648148148148</v>
      </c>
      <c r="D108">
        <v>6</v>
      </c>
      <c r="E108">
        <v>2.34</v>
      </c>
      <c r="F108">
        <v>1.06</v>
      </c>
      <c r="G108">
        <v>2.46</v>
      </c>
      <c r="H108">
        <f t="shared" si="1"/>
        <v>3.7399999999999998</v>
      </c>
    </row>
    <row r="109" spans="1:8" x14ac:dyDescent="0.25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  <c r="H109">
        <f t="shared" si="1"/>
        <v>4.1500000000000004</v>
      </c>
    </row>
    <row r="110" spans="1:8" x14ac:dyDescent="0.25">
      <c r="A110" s="1">
        <v>44670</v>
      </c>
      <c r="B110" s="2">
        <v>0.22783564814814813</v>
      </c>
      <c r="C110" s="2">
        <v>0.82096064814814818</v>
      </c>
      <c r="D110">
        <v>4</v>
      </c>
      <c r="E110">
        <v>3.78</v>
      </c>
      <c r="F110">
        <v>2.0699999999999998</v>
      </c>
      <c r="G110">
        <v>2.93</v>
      </c>
      <c r="H110">
        <f t="shared" si="1"/>
        <v>4.6400000000000006</v>
      </c>
    </row>
    <row r="111" spans="1:8" x14ac:dyDescent="0.25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  <c r="H111">
        <f t="shared" si="1"/>
        <v>7.0299999999999994</v>
      </c>
    </row>
    <row r="112" spans="1:8" x14ac:dyDescent="0.25">
      <c r="A112" s="1">
        <v>44672</v>
      </c>
      <c r="B112" s="2">
        <v>0.22486111111111112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  <c r="H112">
        <f t="shared" si="1"/>
        <v>11.639999999999999</v>
      </c>
    </row>
    <row r="113" spans="1:8" x14ac:dyDescent="0.25">
      <c r="A113" s="1">
        <v>44673</v>
      </c>
      <c r="B113" s="2">
        <v>0.22337962962962962</v>
      </c>
      <c r="C113" s="2">
        <v>0.82456018518518515</v>
      </c>
      <c r="D113">
        <v>5</v>
      </c>
      <c r="E113">
        <v>2.54</v>
      </c>
      <c r="F113">
        <v>0.68</v>
      </c>
      <c r="G113">
        <v>3.58</v>
      </c>
      <c r="H113">
        <f t="shared" si="1"/>
        <v>5.44</v>
      </c>
    </row>
    <row r="114" spans="1:8" x14ac:dyDescent="0.25">
      <c r="A114" s="1">
        <v>44674</v>
      </c>
      <c r="B114" s="2">
        <v>0.22192129629629628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  <c r="H114">
        <f t="shared" si="1"/>
        <v>9.5599999999999987</v>
      </c>
    </row>
    <row r="115" spans="1:8" x14ac:dyDescent="0.25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  <c r="H115">
        <f t="shared" si="1"/>
        <v>10.59</v>
      </c>
    </row>
    <row r="116" spans="1:8" x14ac:dyDescent="0.25">
      <c r="A116" s="1">
        <v>44676</v>
      </c>
      <c r="B116" s="2">
        <v>0.21903935185185186</v>
      </c>
      <c r="C116" s="2">
        <v>0.82814814814814819</v>
      </c>
      <c r="D116">
        <v>6</v>
      </c>
      <c r="E116">
        <v>3.09</v>
      </c>
      <c r="F116">
        <v>1.32</v>
      </c>
      <c r="G116">
        <v>3.52</v>
      </c>
      <c r="H116">
        <f t="shared" si="1"/>
        <v>5.2899999999999991</v>
      </c>
    </row>
    <row r="117" spans="1:8" x14ac:dyDescent="0.25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  <c r="H117">
        <f t="shared" si="1"/>
        <v>4.66</v>
      </c>
    </row>
    <row r="118" spans="1:8" x14ac:dyDescent="0.25">
      <c r="A118" s="1">
        <v>44678</v>
      </c>
      <c r="B118" s="2">
        <v>0.2162037037037037</v>
      </c>
      <c r="C118" s="2">
        <v>0.83053240740740741</v>
      </c>
      <c r="D118">
        <v>2</v>
      </c>
      <c r="E118">
        <v>6.08</v>
      </c>
      <c r="F118">
        <v>2.34</v>
      </c>
      <c r="G118">
        <v>1.65</v>
      </c>
      <c r="H118">
        <f t="shared" si="1"/>
        <v>5.3900000000000006</v>
      </c>
    </row>
    <row r="119" spans="1:8" x14ac:dyDescent="0.25">
      <c r="A119" s="1">
        <v>44679</v>
      </c>
      <c r="B119" s="2">
        <v>0.21480324074074075</v>
      </c>
      <c r="C119" s="2">
        <v>0.83171296296296293</v>
      </c>
      <c r="D119">
        <v>6</v>
      </c>
      <c r="E119">
        <v>3.61</v>
      </c>
      <c r="F119">
        <v>1.32</v>
      </c>
      <c r="G119">
        <v>2.14</v>
      </c>
      <c r="H119">
        <f t="shared" si="1"/>
        <v>4.43</v>
      </c>
    </row>
    <row r="120" spans="1:8" x14ac:dyDescent="0.25">
      <c r="A120" s="1">
        <v>44680</v>
      </c>
      <c r="B120" s="2">
        <v>0.21342592592592594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  <c r="H120">
        <f t="shared" si="1"/>
        <v>7.8299999999999992</v>
      </c>
    </row>
    <row r="121" spans="1:8" x14ac:dyDescent="0.25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  <c r="H121">
        <f t="shared" si="1"/>
        <v>4.38</v>
      </c>
    </row>
    <row r="122" spans="1:8" x14ac:dyDescent="0.25">
      <c r="A122" s="1">
        <v>44682</v>
      </c>
      <c r="B122" s="2">
        <v>0.21070601851851853</v>
      </c>
      <c r="C122" s="2">
        <v>0.83526620370370375</v>
      </c>
      <c r="D122">
        <v>3</v>
      </c>
      <c r="E122">
        <v>4.0999999999999996</v>
      </c>
      <c r="F122">
        <v>2.16</v>
      </c>
      <c r="G122">
        <v>3.12</v>
      </c>
      <c r="H122">
        <f t="shared" si="1"/>
        <v>5.0599999999999996</v>
      </c>
    </row>
    <row r="123" spans="1:8" x14ac:dyDescent="0.25">
      <c r="A123" s="1">
        <v>44683</v>
      </c>
      <c r="B123" s="2">
        <v>0.20936342592592594</v>
      </c>
      <c r="C123" s="2">
        <v>0.83644675925925926</v>
      </c>
      <c r="D123">
        <v>0</v>
      </c>
      <c r="E123">
        <v>12.23</v>
      </c>
      <c r="F123">
        <v>3.94</v>
      </c>
      <c r="G123">
        <v>2.0099999999999998</v>
      </c>
      <c r="H123">
        <f t="shared" si="1"/>
        <v>10.3</v>
      </c>
    </row>
    <row r="124" spans="1:8" x14ac:dyDescent="0.25">
      <c r="A124" s="1">
        <v>44684</v>
      </c>
      <c r="B124" s="2">
        <v>0.20804398148148148</v>
      </c>
      <c r="C124" s="2">
        <v>0.83762731481481478</v>
      </c>
      <c r="D124">
        <v>3</v>
      </c>
      <c r="E124">
        <v>5.28</v>
      </c>
      <c r="F124">
        <v>2.87</v>
      </c>
      <c r="G124">
        <v>2.58</v>
      </c>
      <c r="H124">
        <f t="shared" si="1"/>
        <v>4.99</v>
      </c>
    </row>
    <row r="125" spans="1:8" x14ac:dyDescent="0.25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  <c r="H125">
        <f t="shared" si="1"/>
        <v>11.290000000000001</v>
      </c>
    </row>
    <row r="126" spans="1:8" x14ac:dyDescent="0.25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  <c r="H126">
        <f t="shared" si="1"/>
        <v>11.01</v>
      </c>
    </row>
    <row r="127" spans="1:8" x14ac:dyDescent="0.25">
      <c r="A127" s="1">
        <v>44687</v>
      </c>
      <c r="B127" s="2">
        <v>0.20418981481481482</v>
      </c>
      <c r="C127" s="2">
        <v>0.84112268518518518</v>
      </c>
      <c r="D127">
        <v>1</v>
      </c>
      <c r="E127">
        <v>8.76</v>
      </c>
      <c r="F127">
        <v>3.15</v>
      </c>
      <c r="G127">
        <v>1.42</v>
      </c>
      <c r="H127">
        <f t="shared" si="1"/>
        <v>7.0299999999999994</v>
      </c>
    </row>
    <row r="128" spans="1:8" x14ac:dyDescent="0.25">
      <c r="A128" s="1">
        <v>44688</v>
      </c>
      <c r="B128" s="2">
        <v>0.20293981481481482</v>
      </c>
      <c r="C128" s="2">
        <v>0.84226851851851847</v>
      </c>
      <c r="D128">
        <v>2</v>
      </c>
      <c r="E128">
        <v>5.66</v>
      </c>
      <c r="F128">
        <v>4.2</v>
      </c>
      <c r="G128">
        <v>2.94</v>
      </c>
      <c r="H128">
        <f t="shared" si="1"/>
        <v>4.3999999999999995</v>
      </c>
    </row>
    <row r="129" spans="1:8" x14ac:dyDescent="0.25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  <c r="H129">
        <f t="shared" si="1"/>
        <v>4.5100000000000007</v>
      </c>
    </row>
    <row r="130" spans="1:8" x14ac:dyDescent="0.25">
      <c r="A130" s="1">
        <v>44690</v>
      </c>
      <c r="B130" s="2">
        <v>0.20049768518518518</v>
      </c>
      <c r="C130" s="2">
        <v>0.84456018518518516</v>
      </c>
      <c r="D130">
        <v>7</v>
      </c>
      <c r="E130">
        <v>2.89</v>
      </c>
      <c r="F130">
        <v>0.59</v>
      </c>
      <c r="G130">
        <v>2.19</v>
      </c>
      <c r="H130">
        <f t="shared" ref="H130:H193" si="2">E130+G130-F130</f>
        <v>4.49</v>
      </c>
    </row>
    <row r="131" spans="1:8" x14ac:dyDescent="0.25">
      <c r="A131" s="1">
        <v>44691</v>
      </c>
      <c r="B131" s="2">
        <v>0.19930555555555557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  <c r="H131">
        <f t="shared" si="2"/>
        <v>5.16</v>
      </c>
    </row>
    <row r="132" spans="1:8" x14ac:dyDescent="0.25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  <c r="H132">
        <f t="shared" si="2"/>
        <v>7.8500000000000005</v>
      </c>
    </row>
    <row r="133" spans="1:8" x14ac:dyDescent="0.25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  <c r="H133">
        <f t="shared" si="2"/>
        <v>10.39</v>
      </c>
    </row>
    <row r="134" spans="1:8" x14ac:dyDescent="0.25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  <c r="H134">
        <f t="shared" si="2"/>
        <v>9.629999999999999</v>
      </c>
    </row>
    <row r="135" spans="1:8" x14ac:dyDescent="0.25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  <c r="H135">
        <f t="shared" si="2"/>
        <v>3.92</v>
      </c>
    </row>
    <row r="136" spans="1:8" x14ac:dyDescent="0.25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  <c r="H136">
        <f t="shared" si="2"/>
        <v>8.85</v>
      </c>
    </row>
    <row r="137" spans="1:8" x14ac:dyDescent="0.25">
      <c r="A137" s="1">
        <v>44697</v>
      </c>
      <c r="B137" s="2">
        <v>0.19262731481481482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  <c r="H137">
        <f t="shared" si="2"/>
        <v>12.84</v>
      </c>
    </row>
    <row r="138" spans="1:8" x14ac:dyDescent="0.25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  <c r="H138">
        <f t="shared" si="2"/>
        <v>10.190000000000001</v>
      </c>
    </row>
    <row r="139" spans="1:8" x14ac:dyDescent="0.25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  <c r="H139">
        <f t="shared" si="2"/>
        <v>11.969999999999999</v>
      </c>
    </row>
    <row r="140" spans="1:8" x14ac:dyDescent="0.25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  <c r="H140">
        <f t="shared" si="2"/>
        <v>4.3499999999999996</v>
      </c>
    </row>
    <row r="141" spans="1:8" x14ac:dyDescent="0.25">
      <c r="A141" s="1">
        <v>44701</v>
      </c>
      <c r="B141" s="2">
        <v>0.18864583333333335</v>
      </c>
      <c r="C141" s="2">
        <v>0.85652777777777778</v>
      </c>
      <c r="D141">
        <v>3</v>
      </c>
      <c r="E141">
        <v>6.62</v>
      </c>
      <c r="F141">
        <v>4.3</v>
      </c>
      <c r="G141">
        <v>2.2799999999999998</v>
      </c>
      <c r="H141">
        <f t="shared" si="2"/>
        <v>4.6000000000000005</v>
      </c>
    </row>
    <row r="142" spans="1:8" x14ac:dyDescent="0.25">
      <c r="A142" s="1">
        <v>44702</v>
      </c>
      <c r="B142" s="2">
        <v>0.1877199074074074</v>
      </c>
      <c r="C142" s="2">
        <v>0.85754629629629631</v>
      </c>
      <c r="D142">
        <v>2</v>
      </c>
      <c r="E142">
        <v>5.03</v>
      </c>
      <c r="F142">
        <v>2.81</v>
      </c>
      <c r="G142">
        <v>3.05</v>
      </c>
      <c r="H142">
        <f t="shared" si="2"/>
        <v>5.27</v>
      </c>
    </row>
    <row r="143" spans="1:8" x14ac:dyDescent="0.25">
      <c r="A143" s="1">
        <v>44703</v>
      </c>
      <c r="B143" s="2">
        <v>0.18682870370370369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  <c r="H143">
        <f t="shared" si="2"/>
        <v>12.920000000000002</v>
      </c>
    </row>
    <row r="144" spans="1:8" x14ac:dyDescent="0.25">
      <c r="A144" s="1">
        <v>44704</v>
      </c>
      <c r="B144" s="2">
        <v>0.18594907407407407</v>
      </c>
      <c r="C144" s="2">
        <v>0.85952546296296295</v>
      </c>
      <c r="D144">
        <v>8</v>
      </c>
      <c r="E144">
        <v>1.36</v>
      </c>
      <c r="F144">
        <v>0.57999999999999996</v>
      </c>
      <c r="G144">
        <v>4.95</v>
      </c>
      <c r="H144">
        <f t="shared" si="2"/>
        <v>5.73</v>
      </c>
    </row>
    <row r="145" spans="1:8" x14ac:dyDescent="0.25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  <c r="H145">
        <f t="shared" si="2"/>
        <v>5.08</v>
      </c>
    </row>
    <row r="146" spans="1:8" x14ac:dyDescent="0.25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  <c r="H146">
        <f t="shared" si="2"/>
        <v>5.34</v>
      </c>
    </row>
    <row r="147" spans="1:8" x14ac:dyDescent="0.25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  <c r="H147">
        <f t="shared" si="2"/>
        <v>4.96</v>
      </c>
    </row>
    <row r="148" spans="1:8" x14ac:dyDescent="0.25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  <c r="H148">
        <f t="shared" si="2"/>
        <v>5.49</v>
      </c>
    </row>
    <row r="149" spans="1:8" x14ac:dyDescent="0.25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  <c r="H149">
        <f t="shared" si="2"/>
        <v>4.54</v>
      </c>
    </row>
    <row r="150" spans="1:8" x14ac:dyDescent="0.25">
      <c r="A150" s="1">
        <v>44710</v>
      </c>
      <c r="B150" s="2">
        <v>0.18135416666666668</v>
      </c>
      <c r="C150" s="2">
        <v>0.86504629629629626</v>
      </c>
      <c r="D150">
        <v>1</v>
      </c>
      <c r="E150">
        <v>15.38</v>
      </c>
      <c r="F150">
        <v>10.54</v>
      </c>
      <c r="G150">
        <v>2.16</v>
      </c>
      <c r="H150">
        <f t="shared" si="2"/>
        <v>7</v>
      </c>
    </row>
    <row r="151" spans="1:8" x14ac:dyDescent="0.25">
      <c r="A151" s="1">
        <v>44711</v>
      </c>
      <c r="B151" s="2">
        <v>0.18069444444444444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  <c r="H151">
        <f t="shared" si="2"/>
        <v>7.4499999999999993</v>
      </c>
    </row>
    <row r="152" spans="1:8" x14ac:dyDescent="0.25">
      <c r="A152" s="1">
        <v>44712</v>
      </c>
      <c r="B152" s="2">
        <v>0.18006944444444445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  <c r="H152">
        <f t="shared" si="2"/>
        <v>9.69</v>
      </c>
    </row>
    <row r="153" spans="1:8" x14ac:dyDescent="0.25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  <c r="H153">
        <f t="shared" si="2"/>
        <v>11.900000000000002</v>
      </c>
    </row>
    <row r="154" spans="1:8" x14ac:dyDescent="0.25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  <c r="H154">
        <f t="shared" si="2"/>
        <v>5.85</v>
      </c>
    </row>
    <row r="155" spans="1:8" x14ac:dyDescent="0.25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  <c r="H155">
        <f t="shared" si="2"/>
        <v>10.73</v>
      </c>
    </row>
    <row r="156" spans="1:8" x14ac:dyDescent="0.25">
      <c r="A156" s="1">
        <v>44716</v>
      </c>
      <c r="B156" s="2">
        <v>0.17791666666666667</v>
      </c>
      <c r="C156" s="2">
        <v>0.8697569444444444</v>
      </c>
      <c r="D156">
        <v>2</v>
      </c>
      <c r="E156">
        <v>5.79</v>
      </c>
      <c r="F156">
        <v>1.35</v>
      </c>
      <c r="G156">
        <v>1.1200000000000001</v>
      </c>
      <c r="H156">
        <f t="shared" si="2"/>
        <v>5.5600000000000005</v>
      </c>
    </row>
    <row r="157" spans="1:8" x14ac:dyDescent="0.25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  <c r="H157">
        <f t="shared" si="2"/>
        <v>8.19</v>
      </c>
    </row>
    <row r="158" spans="1:8" x14ac:dyDescent="0.25">
      <c r="A158" s="1">
        <v>44718</v>
      </c>
      <c r="B158" s="2">
        <v>0.17703703703703705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  <c r="H158">
        <f t="shared" si="2"/>
        <v>10.66</v>
      </c>
    </row>
    <row r="159" spans="1:8" x14ac:dyDescent="0.25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  <c r="H159">
        <f t="shared" si="2"/>
        <v>10.45</v>
      </c>
    </row>
    <row r="160" spans="1:8" x14ac:dyDescent="0.25">
      <c r="A160" s="1">
        <v>44720</v>
      </c>
      <c r="B160" s="2">
        <v>0.17631944444444445</v>
      </c>
      <c r="C160" s="2">
        <v>0.87237268518518518</v>
      </c>
      <c r="D160">
        <v>0</v>
      </c>
      <c r="E160">
        <v>12.57</v>
      </c>
      <c r="F160">
        <v>6.64</v>
      </c>
      <c r="G160">
        <v>3.26</v>
      </c>
      <c r="H160">
        <f t="shared" si="2"/>
        <v>9.1900000000000013</v>
      </c>
    </row>
    <row r="161" spans="1:8" x14ac:dyDescent="0.25">
      <c r="A161" s="1">
        <v>44721</v>
      </c>
      <c r="B161" s="2">
        <v>0.17600694444444445</v>
      </c>
      <c r="C161" s="2">
        <v>0.8729513888888889</v>
      </c>
      <c r="D161">
        <v>4</v>
      </c>
      <c r="E161">
        <v>4.3</v>
      </c>
      <c r="F161">
        <v>2.36</v>
      </c>
      <c r="G161">
        <v>3.54</v>
      </c>
      <c r="H161">
        <f t="shared" si="2"/>
        <v>5.48</v>
      </c>
    </row>
    <row r="162" spans="1:8" x14ac:dyDescent="0.25">
      <c r="A162" s="1">
        <v>44722</v>
      </c>
      <c r="B162" s="2">
        <v>0.17572916666666666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  <c r="H162">
        <f t="shared" si="2"/>
        <v>8.9499999999999993</v>
      </c>
    </row>
    <row r="163" spans="1:8" x14ac:dyDescent="0.25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  <c r="H163">
        <f t="shared" si="2"/>
        <v>7.6</v>
      </c>
    </row>
    <row r="164" spans="1:8" x14ac:dyDescent="0.25">
      <c r="A164" s="1">
        <v>44724</v>
      </c>
      <c r="B164" s="2">
        <v>0.17530092592592592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  <c r="H164">
        <f t="shared" si="2"/>
        <v>6.34</v>
      </c>
    </row>
    <row r="165" spans="1:8" x14ac:dyDescent="0.25">
      <c r="A165" s="1">
        <v>44725</v>
      </c>
      <c r="B165" s="2">
        <v>0.1751388888888889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  <c r="H165">
        <f t="shared" si="2"/>
        <v>5.3999999999999986</v>
      </c>
    </row>
    <row r="166" spans="1:8" x14ac:dyDescent="0.25">
      <c r="A166" s="1">
        <v>44726</v>
      </c>
      <c r="B166" s="2">
        <v>0.17501157407407408</v>
      </c>
      <c r="C166" s="2">
        <v>0.87537037037037035</v>
      </c>
      <c r="D166">
        <v>0</v>
      </c>
      <c r="E166">
        <v>14.03</v>
      </c>
      <c r="F166">
        <v>5.68</v>
      </c>
      <c r="G166">
        <v>2.95</v>
      </c>
      <c r="H166">
        <f t="shared" si="2"/>
        <v>11.3</v>
      </c>
    </row>
    <row r="167" spans="1:8" x14ac:dyDescent="0.25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  <c r="H167">
        <f t="shared" si="2"/>
        <v>9.509999999999998</v>
      </c>
    </row>
    <row r="168" spans="1:8" x14ac:dyDescent="0.25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  <c r="H168">
        <f t="shared" si="2"/>
        <v>9.4199999999999982</v>
      </c>
    </row>
    <row r="169" spans="1:8" x14ac:dyDescent="0.25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  <c r="H169">
        <f t="shared" si="2"/>
        <v>4.99</v>
      </c>
    </row>
    <row r="170" spans="1:8" x14ac:dyDescent="0.25">
      <c r="A170" s="1">
        <v>44730</v>
      </c>
      <c r="B170" s="2">
        <v>0.17488425925925927</v>
      </c>
      <c r="C170" s="2">
        <v>0.87668981481481478</v>
      </c>
      <c r="D170">
        <v>0</v>
      </c>
      <c r="E170">
        <v>11.1</v>
      </c>
      <c r="F170">
        <v>4.6399999999999997</v>
      </c>
      <c r="G170">
        <v>3.54</v>
      </c>
      <c r="H170">
        <f t="shared" si="2"/>
        <v>10</v>
      </c>
    </row>
    <row r="171" spans="1:8" x14ac:dyDescent="0.25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  <c r="H171">
        <f t="shared" si="2"/>
        <v>10.200000000000003</v>
      </c>
    </row>
    <row r="172" spans="1:8" x14ac:dyDescent="0.25">
      <c r="A172" s="1">
        <v>44732</v>
      </c>
      <c r="B172" s="2">
        <v>0.17504629629629628</v>
      </c>
      <c r="C172" s="2">
        <v>0.87712962962962959</v>
      </c>
      <c r="D172">
        <v>2</v>
      </c>
      <c r="E172">
        <v>8.8800000000000008</v>
      </c>
      <c r="F172">
        <v>6.14</v>
      </c>
      <c r="G172">
        <v>3.61</v>
      </c>
      <c r="H172">
        <f t="shared" si="2"/>
        <v>6.3500000000000005</v>
      </c>
    </row>
    <row r="173" spans="1:8" x14ac:dyDescent="0.25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  <c r="H173">
        <f t="shared" si="2"/>
        <v>11.4</v>
      </c>
    </row>
    <row r="174" spans="1:8" x14ac:dyDescent="0.25">
      <c r="A174" s="1">
        <v>44734</v>
      </c>
      <c r="B174" s="2">
        <v>0.1753587962962963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  <c r="H174">
        <f t="shared" si="2"/>
        <v>8.0399999999999991</v>
      </c>
    </row>
    <row r="175" spans="1:8" x14ac:dyDescent="0.25">
      <c r="A175" s="1">
        <v>44735</v>
      </c>
      <c r="B175" s="2">
        <v>0.17556712962962964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  <c r="H175">
        <f t="shared" si="2"/>
        <v>11.659999999999998</v>
      </c>
    </row>
    <row r="176" spans="1:8" x14ac:dyDescent="0.25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  <c r="H176">
        <f t="shared" si="2"/>
        <v>10.28</v>
      </c>
    </row>
    <row r="177" spans="1:8" x14ac:dyDescent="0.25">
      <c r="A177" s="1">
        <v>44737</v>
      </c>
      <c r="B177" s="2">
        <v>0.17608796296296297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  <c r="H177">
        <f t="shared" si="2"/>
        <v>5.5200000000000005</v>
      </c>
    </row>
    <row r="178" spans="1:8" x14ac:dyDescent="0.25">
      <c r="A178" s="1">
        <v>44738</v>
      </c>
      <c r="B178" s="2">
        <v>0.17640046296296297</v>
      </c>
      <c r="C178" s="2">
        <v>0.8775694444444444</v>
      </c>
      <c r="D178">
        <v>1</v>
      </c>
      <c r="E178">
        <v>12.81</v>
      </c>
      <c r="F178">
        <v>7.18</v>
      </c>
      <c r="G178">
        <v>1.54</v>
      </c>
      <c r="H178">
        <f t="shared" si="2"/>
        <v>7.1700000000000017</v>
      </c>
    </row>
    <row r="179" spans="1:8" x14ac:dyDescent="0.25">
      <c r="A179" s="1">
        <v>44739</v>
      </c>
      <c r="B179" s="2">
        <v>0.17674768518518519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  <c r="H179">
        <f t="shared" si="2"/>
        <v>11.95</v>
      </c>
    </row>
    <row r="180" spans="1:8" x14ac:dyDescent="0.25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  <c r="H180">
        <f t="shared" si="2"/>
        <v>11.53</v>
      </c>
    </row>
    <row r="181" spans="1:8" x14ac:dyDescent="0.25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  <c r="H181">
        <f t="shared" si="2"/>
        <v>11.739999999999998</v>
      </c>
    </row>
    <row r="182" spans="1:8" x14ac:dyDescent="0.25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  <c r="H182">
        <f t="shared" si="2"/>
        <v>6.17</v>
      </c>
    </row>
    <row r="183" spans="1:8" x14ac:dyDescent="0.25">
      <c r="A183" s="1">
        <v>44743</v>
      </c>
      <c r="B183" s="2">
        <v>0.17847222222222223</v>
      </c>
      <c r="C183" s="2">
        <v>0.87690972222222219</v>
      </c>
      <c r="D183">
        <v>2</v>
      </c>
      <c r="E183">
        <v>2.96</v>
      </c>
      <c r="F183">
        <v>1.54</v>
      </c>
      <c r="G183">
        <v>4.5199999999999996</v>
      </c>
      <c r="H183">
        <f t="shared" si="2"/>
        <v>5.9399999999999995</v>
      </c>
    </row>
    <row r="184" spans="1:8" x14ac:dyDescent="0.25">
      <c r="A184" s="1">
        <v>44744</v>
      </c>
      <c r="B184" s="2">
        <v>0.17898148148148149</v>
      </c>
      <c r="C184" s="2">
        <v>0.87665509259259256</v>
      </c>
      <c r="D184">
        <v>0</v>
      </c>
      <c r="E184">
        <v>13.76</v>
      </c>
      <c r="F184">
        <v>7.09</v>
      </c>
      <c r="G184">
        <v>4.32</v>
      </c>
      <c r="H184">
        <f t="shared" si="2"/>
        <v>10.989999999999998</v>
      </c>
    </row>
    <row r="185" spans="1:8" x14ac:dyDescent="0.25">
      <c r="A185" s="1">
        <v>44745</v>
      </c>
      <c r="B185" s="2">
        <v>0.17952546296296296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  <c r="H185">
        <f t="shared" si="2"/>
        <v>10.290000000000001</v>
      </c>
    </row>
    <row r="186" spans="1:8" x14ac:dyDescent="0.25">
      <c r="A186" s="1">
        <v>44746</v>
      </c>
      <c r="B186" s="2">
        <v>0.18010416666666668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  <c r="H186">
        <f t="shared" si="2"/>
        <v>10.73</v>
      </c>
    </row>
    <row r="187" spans="1:8" x14ac:dyDescent="0.25">
      <c r="A187" s="1">
        <v>44747</v>
      </c>
      <c r="B187" s="2">
        <v>0.18069444444444444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  <c r="H187">
        <f t="shared" si="2"/>
        <v>10.309999999999999</v>
      </c>
    </row>
    <row r="188" spans="1:8" x14ac:dyDescent="0.25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  <c r="H188">
        <f t="shared" si="2"/>
        <v>7.6199999999999974</v>
      </c>
    </row>
    <row r="189" spans="1:8" x14ac:dyDescent="0.25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  <c r="H189">
        <f t="shared" si="2"/>
        <v>10.619999999999997</v>
      </c>
    </row>
    <row r="190" spans="1:8" x14ac:dyDescent="0.25">
      <c r="A190" s="1">
        <v>44750</v>
      </c>
      <c r="B190" s="2">
        <v>0.18267361111111111</v>
      </c>
      <c r="C190" s="2">
        <v>0.87440972222222224</v>
      </c>
      <c r="D190">
        <v>1</v>
      </c>
      <c r="E190">
        <v>11.9</v>
      </c>
      <c r="F190">
        <v>7.34</v>
      </c>
      <c r="G190">
        <v>4.8099999999999996</v>
      </c>
      <c r="H190">
        <f t="shared" si="2"/>
        <v>9.370000000000001</v>
      </c>
    </row>
    <row r="191" spans="1:8" x14ac:dyDescent="0.25">
      <c r="A191" s="1">
        <v>44751</v>
      </c>
      <c r="B191" s="2">
        <v>0.18337962962962964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  <c r="H191">
        <f t="shared" si="2"/>
        <v>11.21</v>
      </c>
    </row>
    <row r="192" spans="1:8" x14ac:dyDescent="0.25">
      <c r="A192" s="1">
        <v>44752</v>
      </c>
      <c r="B192" s="2">
        <v>0.18412037037037038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  <c r="H192">
        <f t="shared" si="2"/>
        <v>10.069999999999999</v>
      </c>
    </row>
    <row r="193" spans="1:8" x14ac:dyDescent="0.25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  <c r="H193">
        <f t="shared" si="2"/>
        <v>8.0200000000000014</v>
      </c>
    </row>
    <row r="194" spans="1:8" x14ac:dyDescent="0.25">
      <c r="A194" s="1">
        <v>44754</v>
      </c>
      <c r="B194" s="2">
        <v>0.18565972222222221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  <c r="H194">
        <f t="shared" ref="H194:H257" si="3">E194+G194-F194</f>
        <v>9.94</v>
      </c>
    </row>
    <row r="195" spans="1:8" x14ac:dyDescent="0.25">
      <c r="A195" s="1">
        <v>44755</v>
      </c>
      <c r="B195" s="2">
        <v>0.1864699074074074</v>
      </c>
      <c r="C195" s="2">
        <v>0.87155092592592598</v>
      </c>
      <c r="D195">
        <v>0</v>
      </c>
      <c r="E195">
        <v>17.22</v>
      </c>
      <c r="F195">
        <v>9.69</v>
      </c>
      <c r="G195">
        <v>2.84</v>
      </c>
      <c r="H195">
        <f t="shared" si="3"/>
        <v>10.37</v>
      </c>
    </row>
    <row r="196" spans="1:8" x14ac:dyDescent="0.25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  <c r="H196">
        <f t="shared" si="3"/>
        <v>8.1700000000000017</v>
      </c>
    </row>
    <row r="197" spans="1:8" x14ac:dyDescent="0.25">
      <c r="A197" s="1">
        <v>44757</v>
      </c>
      <c r="B197" s="2">
        <v>0.18813657407407408</v>
      </c>
      <c r="C197" s="2">
        <v>0.87017361111111113</v>
      </c>
      <c r="D197">
        <v>1</v>
      </c>
      <c r="E197">
        <v>15.96</v>
      </c>
      <c r="F197">
        <v>11.95</v>
      </c>
      <c r="G197">
        <v>3.05</v>
      </c>
      <c r="H197">
        <f t="shared" si="3"/>
        <v>7.0600000000000023</v>
      </c>
    </row>
    <row r="198" spans="1:8" x14ac:dyDescent="0.25">
      <c r="A198" s="1">
        <v>44758</v>
      </c>
      <c r="B198" s="2">
        <v>0.1890162037037037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  <c r="H198">
        <f t="shared" si="3"/>
        <v>8.5399999999999991</v>
      </c>
    </row>
    <row r="199" spans="1:8" x14ac:dyDescent="0.25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  <c r="H199">
        <f t="shared" si="3"/>
        <v>9.9</v>
      </c>
    </row>
    <row r="200" spans="1:8" x14ac:dyDescent="0.25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  <c r="H200">
        <f t="shared" si="3"/>
        <v>11.78</v>
      </c>
    </row>
    <row r="201" spans="1:8" x14ac:dyDescent="0.25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  <c r="H201">
        <f t="shared" si="3"/>
        <v>11.24</v>
      </c>
    </row>
    <row r="202" spans="1:8" x14ac:dyDescent="0.25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  <c r="H202">
        <f t="shared" si="3"/>
        <v>9.1500000000000021</v>
      </c>
    </row>
    <row r="203" spans="1:8" x14ac:dyDescent="0.25">
      <c r="A203" s="1">
        <v>44763</v>
      </c>
      <c r="B203" s="2">
        <v>0.19362268518518519</v>
      </c>
      <c r="C203" s="2">
        <v>0.86531250000000004</v>
      </c>
      <c r="D203">
        <v>0</v>
      </c>
      <c r="E203">
        <v>18.3</v>
      </c>
      <c r="F203">
        <v>10.96</v>
      </c>
      <c r="G203">
        <v>2.14</v>
      </c>
      <c r="H203">
        <f t="shared" si="3"/>
        <v>9.48</v>
      </c>
    </row>
    <row r="204" spans="1:8" x14ac:dyDescent="0.25">
      <c r="A204" s="1">
        <v>44764</v>
      </c>
      <c r="B204" s="2">
        <v>0.1945949074074074</v>
      </c>
      <c r="C204" s="2">
        <v>0.86439814814814819</v>
      </c>
      <c r="D204">
        <v>0</v>
      </c>
      <c r="E204">
        <v>17.04</v>
      </c>
      <c r="F204">
        <v>9.85</v>
      </c>
      <c r="G204">
        <v>2.2599999999999998</v>
      </c>
      <c r="H204">
        <f t="shared" si="3"/>
        <v>9.4499999999999975</v>
      </c>
    </row>
    <row r="205" spans="1:8" x14ac:dyDescent="0.25">
      <c r="A205" s="1">
        <v>44765</v>
      </c>
      <c r="B205" s="2">
        <v>0.1955787037037037</v>
      </c>
      <c r="C205" s="2">
        <v>0.86346064814814816</v>
      </c>
      <c r="D205">
        <v>0</v>
      </c>
      <c r="E205">
        <v>18.850000000000001</v>
      </c>
      <c r="F205">
        <v>11.75</v>
      </c>
      <c r="G205">
        <v>2.94</v>
      </c>
      <c r="H205">
        <f t="shared" si="3"/>
        <v>10.040000000000003</v>
      </c>
    </row>
    <row r="206" spans="1:8" x14ac:dyDescent="0.25">
      <c r="A206" s="1">
        <v>44766</v>
      </c>
      <c r="B206" s="2">
        <v>0.19658564814814813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  <c r="H206">
        <f t="shared" si="3"/>
        <v>9.7799999999999994</v>
      </c>
    </row>
    <row r="207" spans="1:8" x14ac:dyDescent="0.25">
      <c r="A207" s="1">
        <v>44767</v>
      </c>
      <c r="B207" s="2">
        <v>0.1975925925925926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  <c r="H207">
        <f t="shared" si="3"/>
        <v>8.6500000000000021</v>
      </c>
    </row>
    <row r="208" spans="1:8" x14ac:dyDescent="0.25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  <c r="H208">
        <f t="shared" si="3"/>
        <v>9.3000000000000007</v>
      </c>
    </row>
    <row r="209" spans="1:8" x14ac:dyDescent="0.25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  <c r="H209">
        <f t="shared" si="3"/>
        <v>10.540000000000001</v>
      </c>
    </row>
    <row r="210" spans="1:8" x14ac:dyDescent="0.25">
      <c r="A210" s="1">
        <v>44770</v>
      </c>
      <c r="B210" s="2">
        <v>0.20069444444444445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  <c r="H210">
        <f t="shared" si="3"/>
        <v>11.070000000000002</v>
      </c>
    </row>
    <row r="211" spans="1:8" x14ac:dyDescent="0.25">
      <c r="A211" s="1">
        <v>44771</v>
      </c>
      <c r="B211" s="2">
        <v>0.20175925925925925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  <c r="H211">
        <f t="shared" si="3"/>
        <v>10.039999999999999</v>
      </c>
    </row>
    <row r="212" spans="1:8" x14ac:dyDescent="0.25">
      <c r="A212" s="1">
        <v>44772</v>
      </c>
      <c r="B212" s="2">
        <v>0.20282407407407407</v>
      </c>
      <c r="C212" s="2">
        <v>0.85614583333333338</v>
      </c>
      <c r="D212">
        <v>1</v>
      </c>
      <c r="E212">
        <v>14.2</v>
      </c>
      <c r="F212">
        <v>10.59</v>
      </c>
      <c r="G212">
        <v>4.04</v>
      </c>
      <c r="H212">
        <f t="shared" si="3"/>
        <v>7.6499999999999986</v>
      </c>
    </row>
    <row r="213" spans="1:8" x14ac:dyDescent="0.25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  <c r="H213">
        <f t="shared" si="3"/>
        <v>7.6799999999999979</v>
      </c>
    </row>
    <row r="214" spans="1:8" x14ac:dyDescent="0.25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  <c r="H214">
        <f t="shared" si="3"/>
        <v>8.2600000000000016</v>
      </c>
    </row>
    <row r="215" spans="1:8" x14ac:dyDescent="0.25">
      <c r="A215" s="1">
        <v>44775</v>
      </c>
      <c r="B215" s="2">
        <v>0.20606481481481481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  <c r="H215">
        <f t="shared" si="3"/>
        <v>11.229999999999999</v>
      </c>
    </row>
    <row r="216" spans="1:8" x14ac:dyDescent="0.25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  <c r="H216">
        <f t="shared" si="3"/>
        <v>11.840000000000002</v>
      </c>
    </row>
    <row r="217" spans="1:8" x14ac:dyDescent="0.25">
      <c r="A217" s="1">
        <v>44777</v>
      </c>
      <c r="B217" s="2">
        <v>0.20826388888888889</v>
      </c>
      <c r="C217" s="2">
        <v>0.85023148148148153</v>
      </c>
      <c r="D217">
        <v>0</v>
      </c>
      <c r="E217">
        <v>19.88</v>
      </c>
      <c r="F217">
        <v>10.14</v>
      </c>
      <c r="G217">
        <v>1.94</v>
      </c>
      <c r="H217">
        <f t="shared" si="3"/>
        <v>11.68</v>
      </c>
    </row>
    <row r="218" spans="1:8" x14ac:dyDescent="0.25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  <c r="H218">
        <f t="shared" si="3"/>
        <v>7.5200000000000014</v>
      </c>
    </row>
    <row r="219" spans="1:8" x14ac:dyDescent="0.25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  <c r="H219">
        <f t="shared" si="3"/>
        <v>7.4</v>
      </c>
    </row>
    <row r="220" spans="1:8" x14ac:dyDescent="0.25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  <c r="H220">
        <f t="shared" si="3"/>
        <v>10.91</v>
      </c>
    </row>
    <row r="221" spans="1:8" x14ac:dyDescent="0.25">
      <c r="A221" s="1">
        <v>44781</v>
      </c>
      <c r="B221" s="2">
        <v>0.2127199074074074</v>
      </c>
      <c r="C221" s="2">
        <v>0.84513888888888888</v>
      </c>
      <c r="D221">
        <v>0</v>
      </c>
      <c r="E221">
        <v>15.21</v>
      </c>
      <c r="F221">
        <v>6.71</v>
      </c>
      <c r="G221">
        <v>3.21</v>
      </c>
      <c r="H221">
        <f t="shared" si="3"/>
        <v>11.71</v>
      </c>
    </row>
    <row r="222" spans="1:8" x14ac:dyDescent="0.25">
      <c r="A222" s="1">
        <v>44782</v>
      </c>
      <c r="B222" s="2">
        <v>0.21384259259259258</v>
      </c>
      <c r="C222" s="2">
        <v>0.84381944444444446</v>
      </c>
      <c r="D222">
        <v>0</v>
      </c>
      <c r="E222">
        <v>19.329999999999998</v>
      </c>
      <c r="F222">
        <v>10.19</v>
      </c>
      <c r="G222">
        <v>1.54</v>
      </c>
      <c r="H222">
        <f t="shared" si="3"/>
        <v>10.679999999999998</v>
      </c>
    </row>
    <row r="223" spans="1:8" x14ac:dyDescent="0.25">
      <c r="A223" s="1">
        <v>44783</v>
      </c>
      <c r="B223" s="2">
        <v>0.21497685185185186</v>
      </c>
      <c r="C223" s="2">
        <v>0.84248842592592588</v>
      </c>
      <c r="D223">
        <v>0</v>
      </c>
      <c r="E223">
        <v>19.829999999999998</v>
      </c>
      <c r="F223">
        <v>12.94</v>
      </c>
      <c r="G223">
        <v>3.94</v>
      </c>
      <c r="H223">
        <f t="shared" si="3"/>
        <v>10.83</v>
      </c>
    </row>
    <row r="224" spans="1:8" x14ac:dyDescent="0.25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  <c r="H224">
        <f t="shared" si="3"/>
        <v>11.320000000000002</v>
      </c>
    </row>
    <row r="225" spans="1:8" x14ac:dyDescent="0.25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  <c r="H225">
        <f t="shared" si="3"/>
        <v>7.9999999999999991</v>
      </c>
    </row>
    <row r="226" spans="1:8" x14ac:dyDescent="0.25">
      <c r="A226" s="1">
        <v>44786</v>
      </c>
      <c r="B226" s="2">
        <v>0.21837962962962962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  <c r="H226">
        <f t="shared" si="3"/>
        <v>11.149999999999999</v>
      </c>
    </row>
    <row r="227" spans="1:8" x14ac:dyDescent="0.25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  <c r="H227">
        <f t="shared" si="3"/>
        <v>11.380000000000003</v>
      </c>
    </row>
    <row r="228" spans="1:8" x14ac:dyDescent="0.25">
      <c r="A228" s="1">
        <v>44788</v>
      </c>
      <c r="B228" s="2">
        <v>0.22065972222222222</v>
      </c>
      <c r="C228" s="2">
        <v>0.83559027777777772</v>
      </c>
      <c r="D228">
        <v>0</v>
      </c>
      <c r="E228">
        <v>19.920000000000002</v>
      </c>
      <c r="F228">
        <v>12.25</v>
      </c>
      <c r="G228">
        <v>1.77</v>
      </c>
      <c r="H228">
        <f t="shared" si="3"/>
        <v>9.4400000000000013</v>
      </c>
    </row>
    <row r="229" spans="1:8" x14ac:dyDescent="0.25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  <c r="H229">
        <f t="shared" si="3"/>
        <v>10.779999999999998</v>
      </c>
    </row>
    <row r="230" spans="1:8" x14ac:dyDescent="0.25">
      <c r="A230" s="1">
        <v>44790</v>
      </c>
      <c r="B230" s="2">
        <v>0.22295138888888888</v>
      </c>
      <c r="C230" s="2">
        <v>0.83273148148148146</v>
      </c>
      <c r="D230">
        <v>0</v>
      </c>
      <c r="E230">
        <v>18.84</v>
      </c>
      <c r="F230">
        <v>10.64</v>
      </c>
      <c r="G230">
        <v>3.51</v>
      </c>
      <c r="H230">
        <f t="shared" si="3"/>
        <v>11.71</v>
      </c>
    </row>
    <row r="231" spans="1:8" x14ac:dyDescent="0.25">
      <c r="A231" s="1">
        <v>44791</v>
      </c>
      <c r="B231" s="2">
        <v>0.22409722222222223</v>
      </c>
      <c r="C231" s="2">
        <v>0.83127314814814812</v>
      </c>
      <c r="D231">
        <v>0</v>
      </c>
      <c r="E231">
        <v>18.97</v>
      </c>
      <c r="F231">
        <v>10.97</v>
      </c>
      <c r="G231">
        <v>3.09</v>
      </c>
      <c r="H231">
        <f t="shared" si="3"/>
        <v>11.089999999999998</v>
      </c>
    </row>
    <row r="232" spans="1:8" x14ac:dyDescent="0.25">
      <c r="A232" s="1">
        <v>44792</v>
      </c>
      <c r="B232" s="2">
        <v>0.22524305555555554</v>
      </c>
      <c r="C232" s="2">
        <v>0.82981481481481478</v>
      </c>
      <c r="D232">
        <v>1</v>
      </c>
      <c r="E232">
        <v>11.99</v>
      </c>
      <c r="F232">
        <v>7.68</v>
      </c>
      <c r="G232">
        <v>3.68</v>
      </c>
      <c r="H232">
        <f t="shared" si="3"/>
        <v>7.99</v>
      </c>
    </row>
    <row r="233" spans="1:8" x14ac:dyDescent="0.25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  <c r="H233">
        <f t="shared" si="3"/>
        <v>11.37</v>
      </c>
    </row>
    <row r="234" spans="1:8" x14ac:dyDescent="0.25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  <c r="H234">
        <f t="shared" si="3"/>
        <v>7.25</v>
      </c>
    </row>
    <row r="235" spans="1:8" x14ac:dyDescent="0.25">
      <c r="A235" s="1">
        <v>44795</v>
      </c>
      <c r="B235" s="2">
        <v>0.22868055555555555</v>
      </c>
      <c r="C235" s="2">
        <v>0.82535879629629627</v>
      </c>
      <c r="D235">
        <v>1</v>
      </c>
      <c r="E235">
        <v>14.17</v>
      </c>
      <c r="F235">
        <v>9.9700000000000006</v>
      </c>
      <c r="G235">
        <v>3.16</v>
      </c>
      <c r="H235">
        <f t="shared" si="3"/>
        <v>7.3599999999999977</v>
      </c>
    </row>
    <row r="236" spans="1:8" x14ac:dyDescent="0.25">
      <c r="A236" s="1">
        <v>44796</v>
      </c>
      <c r="B236" s="2">
        <v>0.2298263888888889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  <c r="H236">
        <f t="shared" si="3"/>
        <v>7.3500000000000005</v>
      </c>
    </row>
    <row r="237" spans="1:8" x14ac:dyDescent="0.25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  <c r="H237">
        <f t="shared" si="3"/>
        <v>11.319999999999997</v>
      </c>
    </row>
    <row r="238" spans="1:8" x14ac:dyDescent="0.25">
      <c r="A238" s="1">
        <v>44798</v>
      </c>
      <c r="B238" s="2">
        <v>0.23211805555555556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  <c r="H238">
        <f t="shared" si="3"/>
        <v>10.5</v>
      </c>
    </row>
    <row r="239" spans="1:8" x14ac:dyDescent="0.25">
      <c r="A239" s="1">
        <v>44799</v>
      </c>
      <c r="B239" s="2">
        <v>0.23326388888888888</v>
      </c>
      <c r="C239" s="2">
        <v>0.81927083333333328</v>
      </c>
      <c r="D239">
        <v>0</v>
      </c>
      <c r="E239">
        <v>16.829999999999998</v>
      </c>
      <c r="F239">
        <v>8.83</v>
      </c>
      <c r="G239">
        <v>3.07</v>
      </c>
      <c r="H239">
        <f t="shared" si="3"/>
        <v>11.069999999999999</v>
      </c>
    </row>
    <row r="240" spans="1:8" x14ac:dyDescent="0.25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  <c r="H240">
        <f t="shared" si="3"/>
        <v>9.1</v>
      </c>
    </row>
    <row r="241" spans="1:8" x14ac:dyDescent="0.25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  <c r="H241">
        <f t="shared" si="3"/>
        <v>10.290000000000001</v>
      </c>
    </row>
    <row r="242" spans="1:8" x14ac:dyDescent="0.25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  <c r="H242">
        <f t="shared" si="3"/>
        <v>10.52</v>
      </c>
    </row>
    <row r="243" spans="1:8" x14ac:dyDescent="0.25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  <c r="H243">
        <f t="shared" si="3"/>
        <v>9.6399999999999988</v>
      </c>
    </row>
    <row r="244" spans="1:8" x14ac:dyDescent="0.25">
      <c r="A244" s="1">
        <v>44804</v>
      </c>
      <c r="B244" s="2">
        <v>0.23899305555555556</v>
      </c>
      <c r="C244" s="2">
        <v>0.81146990740740743</v>
      </c>
      <c r="D244">
        <v>0</v>
      </c>
      <c r="E244">
        <v>17.559999999999999</v>
      </c>
      <c r="F244">
        <v>9.49</v>
      </c>
      <c r="G244">
        <v>0.94</v>
      </c>
      <c r="H244">
        <f t="shared" si="3"/>
        <v>9.01</v>
      </c>
    </row>
    <row r="245" spans="1:8" x14ac:dyDescent="0.25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  <c r="H245">
        <f t="shared" si="3"/>
        <v>9.5399999999999991</v>
      </c>
    </row>
    <row r="246" spans="1:8" x14ac:dyDescent="0.25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  <c r="H246">
        <f t="shared" si="3"/>
        <v>9.69</v>
      </c>
    </row>
    <row r="247" spans="1:8" x14ac:dyDescent="0.25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  <c r="H247">
        <f t="shared" si="3"/>
        <v>10.300000000000002</v>
      </c>
    </row>
    <row r="248" spans="1:8" x14ac:dyDescent="0.25">
      <c r="A248" s="1">
        <v>44808</v>
      </c>
      <c r="B248" s="2">
        <v>0.24356481481481482</v>
      </c>
      <c r="C248" s="2">
        <v>0.80510416666666662</v>
      </c>
      <c r="D248">
        <v>0</v>
      </c>
      <c r="E248">
        <v>19.399999999999999</v>
      </c>
      <c r="F248">
        <v>10.84</v>
      </c>
      <c r="G248">
        <v>0.84</v>
      </c>
      <c r="H248">
        <f t="shared" si="3"/>
        <v>9.3999999999999986</v>
      </c>
    </row>
    <row r="249" spans="1:8" x14ac:dyDescent="0.25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  <c r="H249">
        <f t="shared" si="3"/>
        <v>8.3900000000000023</v>
      </c>
    </row>
    <row r="250" spans="1:8" x14ac:dyDescent="0.25">
      <c r="A250" s="1">
        <v>44810</v>
      </c>
      <c r="B250" s="2">
        <v>0.24584490740740741</v>
      </c>
      <c r="C250" s="2">
        <v>0.80189814814814819</v>
      </c>
      <c r="D250">
        <v>2</v>
      </c>
      <c r="E250">
        <v>10.199999999999999</v>
      </c>
      <c r="F250">
        <v>6.94</v>
      </c>
      <c r="G250">
        <v>1.89</v>
      </c>
      <c r="H250">
        <f t="shared" si="3"/>
        <v>5.1499999999999995</v>
      </c>
    </row>
    <row r="251" spans="1:8" x14ac:dyDescent="0.25">
      <c r="A251" s="1">
        <v>44811</v>
      </c>
      <c r="B251" s="2">
        <v>0.24699074074074073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  <c r="H251">
        <f t="shared" si="3"/>
        <v>9.9099999999999984</v>
      </c>
    </row>
    <row r="252" spans="1:8" x14ac:dyDescent="0.25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  <c r="H252">
        <f t="shared" si="3"/>
        <v>11.069999999999999</v>
      </c>
    </row>
    <row r="253" spans="1:8" x14ac:dyDescent="0.25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  <c r="H253">
        <f t="shared" si="3"/>
        <v>7.9300000000000006</v>
      </c>
    </row>
    <row r="254" spans="1:8" x14ac:dyDescent="0.25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  <c r="H254">
        <f t="shared" si="3"/>
        <v>9.8800000000000008</v>
      </c>
    </row>
    <row r="255" spans="1:8" x14ac:dyDescent="0.25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  <c r="H255">
        <f t="shared" si="3"/>
        <v>7.0599999999999987</v>
      </c>
    </row>
    <row r="256" spans="1:8" x14ac:dyDescent="0.25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  <c r="H256">
        <f t="shared" si="3"/>
        <v>7.8600000000000012</v>
      </c>
    </row>
    <row r="257" spans="1:8" x14ac:dyDescent="0.25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  <c r="H257">
        <f t="shared" si="3"/>
        <v>7.8000000000000007</v>
      </c>
    </row>
    <row r="258" spans="1:8" x14ac:dyDescent="0.25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  <c r="H258">
        <f t="shared" ref="H258:H321" si="4">E258+G258-F258</f>
        <v>11.78</v>
      </c>
    </row>
    <row r="259" spans="1:8" x14ac:dyDescent="0.25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  <c r="H259">
        <f t="shared" si="4"/>
        <v>11.679999999999998</v>
      </c>
    </row>
    <row r="260" spans="1:8" x14ac:dyDescent="0.25">
      <c r="A260" s="1">
        <v>44820</v>
      </c>
      <c r="B260" s="2">
        <v>0.25725694444444447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  <c r="H260">
        <f t="shared" si="4"/>
        <v>7.88</v>
      </c>
    </row>
    <row r="261" spans="1:8" x14ac:dyDescent="0.25">
      <c r="A261" s="1">
        <v>44821</v>
      </c>
      <c r="B261" s="2">
        <v>0.25840277777777776</v>
      </c>
      <c r="C261" s="2">
        <v>0.78396990740740746</v>
      </c>
      <c r="D261">
        <v>1</v>
      </c>
      <c r="E261">
        <v>13.43</v>
      </c>
      <c r="F261">
        <v>8.9700000000000006</v>
      </c>
      <c r="G261">
        <v>3.24</v>
      </c>
      <c r="H261">
        <f t="shared" si="4"/>
        <v>7.7000000000000011</v>
      </c>
    </row>
    <row r="262" spans="1:8" x14ac:dyDescent="0.25">
      <c r="A262" s="1">
        <v>44822</v>
      </c>
      <c r="B262" s="2">
        <v>0.2595486111111111</v>
      </c>
      <c r="C262" s="2">
        <v>0.78232638888888884</v>
      </c>
      <c r="D262">
        <v>1</v>
      </c>
      <c r="E262">
        <v>12.57</v>
      </c>
      <c r="F262">
        <v>8.44</v>
      </c>
      <c r="G262">
        <v>3.16</v>
      </c>
      <c r="H262">
        <f t="shared" si="4"/>
        <v>7.2900000000000009</v>
      </c>
    </row>
    <row r="263" spans="1:8" x14ac:dyDescent="0.25">
      <c r="A263" s="1">
        <v>44823</v>
      </c>
      <c r="B263" s="2">
        <v>0.26069444444444445</v>
      </c>
      <c r="C263" s="2">
        <v>0.78068287037037032</v>
      </c>
      <c r="D263">
        <v>2</v>
      </c>
      <c r="E263">
        <v>10.44</v>
      </c>
      <c r="F263">
        <v>7.84</v>
      </c>
      <c r="G263">
        <v>2.48</v>
      </c>
      <c r="H263">
        <f t="shared" si="4"/>
        <v>5.08</v>
      </c>
    </row>
    <row r="264" spans="1:8" x14ac:dyDescent="0.25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  <c r="H264">
        <f t="shared" si="4"/>
        <v>11.819999999999999</v>
      </c>
    </row>
    <row r="265" spans="1:8" x14ac:dyDescent="0.25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  <c r="H265">
        <f t="shared" si="4"/>
        <v>10.79</v>
      </c>
    </row>
    <row r="266" spans="1:8" x14ac:dyDescent="0.25">
      <c r="A266" s="1">
        <v>44826</v>
      </c>
      <c r="B266" s="2">
        <v>0.26414351851851853</v>
      </c>
      <c r="C266" s="2">
        <v>0.77576388888888892</v>
      </c>
      <c r="D266">
        <v>0</v>
      </c>
      <c r="E266">
        <v>16.510000000000002</v>
      </c>
      <c r="F266">
        <v>7.84</v>
      </c>
      <c r="G266">
        <v>0.84</v>
      </c>
      <c r="H266">
        <f t="shared" si="4"/>
        <v>9.5100000000000016</v>
      </c>
    </row>
    <row r="267" spans="1:8" x14ac:dyDescent="0.25">
      <c r="A267" s="1">
        <v>44827</v>
      </c>
      <c r="B267" s="2">
        <v>0.26528935185185187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  <c r="H267">
        <f t="shared" si="4"/>
        <v>11.059999999999999</v>
      </c>
    </row>
    <row r="268" spans="1:8" x14ac:dyDescent="0.25">
      <c r="A268" s="1">
        <v>44828</v>
      </c>
      <c r="B268" s="2">
        <v>0.26643518518518516</v>
      </c>
      <c r="C268" s="2">
        <v>0.77248842592592593</v>
      </c>
      <c r="D268">
        <v>0</v>
      </c>
      <c r="E268">
        <v>15.85</v>
      </c>
      <c r="F268">
        <v>6.64</v>
      </c>
      <c r="G268">
        <v>2.69</v>
      </c>
      <c r="H268">
        <f t="shared" si="4"/>
        <v>11.899999999999999</v>
      </c>
    </row>
    <row r="269" spans="1:8" x14ac:dyDescent="0.25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  <c r="H269">
        <f t="shared" si="4"/>
        <v>10.93</v>
      </c>
    </row>
    <row r="270" spans="1:8" x14ac:dyDescent="0.25">
      <c r="A270" s="1">
        <v>44830</v>
      </c>
      <c r="B270" s="2">
        <v>0.26874999999999999</v>
      </c>
      <c r="C270" s="2">
        <v>0.76921296296296293</v>
      </c>
      <c r="D270">
        <v>1</v>
      </c>
      <c r="E270">
        <v>11.93</v>
      </c>
      <c r="F270">
        <v>7.93</v>
      </c>
      <c r="G270">
        <v>3.04</v>
      </c>
      <c r="H270">
        <f t="shared" si="4"/>
        <v>7.0399999999999991</v>
      </c>
    </row>
    <row r="271" spans="1:8" x14ac:dyDescent="0.25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  <c r="H271">
        <f t="shared" si="4"/>
        <v>7.7899999999999991</v>
      </c>
    </row>
    <row r="272" spans="1:8" x14ac:dyDescent="0.25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  <c r="H272">
        <f t="shared" si="4"/>
        <v>8.25</v>
      </c>
    </row>
    <row r="273" spans="1:8" x14ac:dyDescent="0.25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  <c r="H273">
        <f t="shared" si="4"/>
        <v>5.6599999999999993</v>
      </c>
    </row>
    <row r="274" spans="1:8" x14ac:dyDescent="0.25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  <c r="H274">
        <f t="shared" si="4"/>
        <v>9.68</v>
      </c>
    </row>
    <row r="275" spans="1:8" x14ac:dyDescent="0.25">
      <c r="A275" s="1">
        <v>44835</v>
      </c>
      <c r="B275" s="2">
        <v>0.27456018518518521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  <c r="H275">
        <f t="shared" si="4"/>
        <v>5.08</v>
      </c>
    </row>
    <row r="276" spans="1:8" x14ac:dyDescent="0.25">
      <c r="A276" s="1">
        <v>44836</v>
      </c>
      <c r="B276" s="2">
        <v>0.27572916666666669</v>
      </c>
      <c r="C276" s="2">
        <v>0.75947916666666671</v>
      </c>
      <c r="D276">
        <v>2</v>
      </c>
      <c r="E276">
        <v>8.07</v>
      </c>
      <c r="F276">
        <v>6.79</v>
      </c>
      <c r="G276">
        <v>5.03</v>
      </c>
      <c r="H276">
        <f t="shared" si="4"/>
        <v>6.3100000000000014</v>
      </c>
    </row>
    <row r="277" spans="1:8" x14ac:dyDescent="0.25">
      <c r="A277" s="1">
        <v>44837</v>
      </c>
      <c r="B277" s="2">
        <v>0.27689814814814817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  <c r="H277">
        <f t="shared" si="4"/>
        <v>4.66</v>
      </c>
    </row>
    <row r="278" spans="1:8" x14ac:dyDescent="0.25">
      <c r="A278" s="1">
        <v>44838</v>
      </c>
      <c r="B278" s="2">
        <v>0.27807870370370369</v>
      </c>
      <c r="C278" s="2">
        <v>0.75626157407407413</v>
      </c>
      <c r="D278">
        <v>4</v>
      </c>
      <c r="E278">
        <v>4.3899999999999997</v>
      </c>
      <c r="F278">
        <v>1.26</v>
      </c>
      <c r="G278">
        <v>1.19</v>
      </c>
      <c r="H278">
        <f t="shared" si="4"/>
        <v>4.32</v>
      </c>
    </row>
    <row r="279" spans="1:8" x14ac:dyDescent="0.25">
      <c r="A279" s="1">
        <v>44839</v>
      </c>
      <c r="B279" s="2">
        <v>0.27925925925925926</v>
      </c>
      <c r="C279" s="2">
        <v>0.75466435185185188</v>
      </c>
      <c r="D279">
        <v>4</v>
      </c>
      <c r="E279">
        <v>5.07</v>
      </c>
      <c r="F279">
        <v>2.68</v>
      </c>
      <c r="G279">
        <v>2.14</v>
      </c>
      <c r="H279">
        <f t="shared" si="4"/>
        <v>4.5300000000000011</v>
      </c>
    </row>
    <row r="280" spans="1:8" x14ac:dyDescent="0.25">
      <c r="A280" s="1">
        <v>44840</v>
      </c>
      <c r="B280" s="2">
        <v>0.28043981481481484</v>
      </c>
      <c r="C280" s="2">
        <v>0.75306712962962963</v>
      </c>
      <c r="D280">
        <v>4</v>
      </c>
      <c r="E280">
        <v>5.66</v>
      </c>
      <c r="F280">
        <v>3.96</v>
      </c>
      <c r="G280">
        <v>2.1800000000000002</v>
      </c>
      <c r="H280">
        <f t="shared" si="4"/>
        <v>3.88</v>
      </c>
    </row>
    <row r="281" spans="1:8" x14ac:dyDescent="0.25">
      <c r="A281" s="1">
        <v>44841</v>
      </c>
      <c r="B281" s="2">
        <v>0.28162037037037035</v>
      </c>
      <c r="C281" s="2">
        <v>0.75148148148148153</v>
      </c>
      <c r="D281">
        <v>4</v>
      </c>
      <c r="E281">
        <v>5.19</v>
      </c>
      <c r="F281">
        <v>3.12</v>
      </c>
      <c r="G281">
        <v>4.0599999999999996</v>
      </c>
      <c r="H281">
        <f t="shared" si="4"/>
        <v>6.13</v>
      </c>
    </row>
    <row r="282" spans="1:8" x14ac:dyDescent="0.25">
      <c r="A282" s="1">
        <v>44842</v>
      </c>
      <c r="B282" s="2">
        <v>0.28281250000000002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  <c r="H282">
        <f t="shared" si="4"/>
        <v>6.1099999999999994</v>
      </c>
    </row>
    <row r="283" spans="1:8" x14ac:dyDescent="0.25">
      <c r="A283" s="1">
        <v>44843</v>
      </c>
      <c r="B283" s="2">
        <v>0.28399305555555554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  <c r="H283">
        <f t="shared" si="4"/>
        <v>7.4300000000000006</v>
      </c>
    </row>
    <row r="284" spans="1:8" x14ac:dyDescent="0.25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  <c r="H284">
        <f t="shared" si="4"/>
        <v>5.0400000000000009</v>
      </c>
    </row>
    <row r="285" spans="1:8" x14ac:dyDescent="0.25">
      <c r="A285" s="1">
        <v>44845</v>
      </c>
      <c r="B285" s="2">
        <v>0.28638888888888892</v>
      </c>
      <c r="C285" s="2">
        <v>0.74519675925925921</v>
      </c>
      <c r="D285">
        <v>3</v>
      </c>
      <c r="E285">
        <v>5.86</v>
      </c>
      <c r="F285">
        <v>4.97</v>
      </c>
      <c r="G285">
        <v>4.0199999999999996</v>
      </c>
      <c r="H285">
        <f t="shared" si="4"/>
        <v>4.9099999999999993</v>
      </c>
    </row>
    <row r="286" spans="1:8" x14ac:dyDescent="0.25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  <c r="H286">
        <f t="shared" si="4"/>
        <v>4.2399999999999993</v>
      </c>
    </row>
    <row r="287" spans="1:8" x14ac:dyDescent="0.25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  <c r="H287">
        <f t="shared" si="4"/>
        <v>4.54</v>
      </c>
    </row>
    <row r="288" spans="1:8" x14ac:dyDescent="0.25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  <c r="H288">
        <f t="shared" si="4"/>
        <v>7.37</v>
      </c>
    </row>
    <row r="289" spans="1:8" x14ac:dyDescent="0.25">
      <c r="A289" s="1">
        <v>44849</v>
      </c>
      <c r="B289" s="2">
        <v>0.29121527777777778</v>
      </c>
      <c r="C289" s="2">
        <v>0.73903935185185188</v>
      </c>
      <c r="D289">
        <v>1</v>
      </c>
      <c r="E289">
        <v>8.56</v>
      </c>
      <c r="F289">
        <v>2.86</v>
      </c>
      <c r="G289">
        <v>1.61</v>
      </c>
      <c r="H289">
        <f t="shared" si="4"/>
        <v>7.3100000000000005</v>
      </c>
    </row>
    <row r="290" spans="1:8" x14ac:dyDescent="0.25">
      <c r="A290" s="1">
        <v>44850</v>
      </c>
      <c r="B290" s="2">
        <v>0.29243055555555558</v>
      </c>
      <c r="C290" s="2">
        <v>0.73752314814814812</v>
      </c>
      <c r="D290">
        <v>0</v>
      </c>
      <c r="E290">
        <v>14.7</v>
      </c>
      <c r="F290">
        <v>5.42</v>
      </c>
      <c r="G290">
        <v>2.48</v>
      </c>
      <c r="H290">
        <f t="shared" si="4"/>
        <v>11.76</v>
      </c>
    </row>
    <row r="291" spans="1:8" x14ac:dyDescent="0.25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  <c r="H291">
        <f t="shared" si="4"/>
        <v>7.3400000000000007</v>
      </c>
    </row>
    <row r="292" spans="1:8" x14ac:dyDescent="0.25">
      <c r="A292" s="1">
        <v>44852</v>
      </c>
      <c r="B292" s="2">
        <v>0.29486111111111113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  <c r="H292">
        <f t="shared" si="4"/>
        <v>4.4400000000000004</v>
      </c>
    </row>
    <row r="293" spans="1:8" x14ac:dyDescent="0.25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  <c r="H293">
        <f t="shared" si="4"/>
        <v>6.64</v>
      </c>
    </row>
    <row r="294" spans="1:8" x14ac:dyDescent="0.25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  <c r="H294">
        <f t="shared" si="4"/>
        <v>7.3700000000000019</v>
      </c>
    </row>
    <row r="295" spans="1:8" x14ac:dyDescent="0.25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  <c r="H295">
        <f t="shared" si="4"/>
        <v>4.83</v>
      </c>
    </row>
    <row r="296" spans="1:8" x14ac:dyDescent="0.25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  <c r="H296">
        <f t="shared" si="4"/>
        <v>9.18</v>
      </c>
    </row>
    <row r="297" spans="1:8" x14ac:dyDescent="0.25">
      <c r="A297" s="1">
        <v>44857</v>
      </c>
      <c r="B297" s="2">
        <v>0.30101851851851852</v>
      </c>
      <c r="C297" s="2">
        <v>0.72721064814814818</v>
      </c>
      <c r="D297">
        <v>7</v>
      </c>
      <c r="E297">
        <v>3.97</v>
      </c>
      <c r="F297">
        <v>1.64</v>
      </c>
      <c r="G297">
        <v>4.84</v>
      </c>
      <c r="H297">
        <f t="shared" si="4"/>
        <v>7.1700000000000008</v>
      </c>
    </row>
    <row r="298" spans="1:8" x14ac:dyDescent="0.25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  <c r="H298">
        <f t="shared" si="4"/>
        <v>9.69</v>
      </c>
    </row>
    <row r="299" spans="1:8" x14ac:dyDescent="0.25">
      <c r="A299" s="1">
        <v>44859</v>
      </c>
      <c r="B299" s="2">
        <v>0.30349537037037039</v>
      </c>
      <c r="C299" s="2">
        <v>0.72437499999999999</v>
      </c>
      <c r="D299">
        <v>4</v>
      </c>
      <c r="E299">
        <v>4.58</v>
      </c>
      <c r="F299">
        <v>2.5299999999999998</v>
      </c>
      <c r="G299">
        <v>4.57</v>
      </c>
      <c r="H299">
        <f t="shared" si="4"/>
        <v>6.620000000000001</v>
      </c>
    </row>
    <row r="300" spans="1:8" x14ac:dyDescent="0.25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  <c r="H300">
        <f t="shared" si="4"/>
        <v>4.84</v>
      </c>
    </row>
    <row r="301" spans="1:8" x14ac:dyDescent="0.25">
      <c r="A301" s="1">
        <v>44861</v>
      </c>
      <c r="B301" s="2">
        <v>0.30599537037037039</v>
      </c>
      <c r="C301" s="2">
        <v>0.72159722222222222</v>
      </c>
      <c r="D301">
        <v>1</v>
      </c>
      <c r="E301">
        <v>8.7799999999999994</v>
      </c>
      <c r="F301">
        <v>2.09</v>
      </c>
      <c r="G301">
        <v>1.58</v>
      </c>
      <c r="H301">
        <f t="shared" si="4"/>
        <v>8.27</v>
      </c>
    </row>
    <row r="302" spans="1:8" x14ac:dyDescent="0.25">
      <c r="A302" s="1">
        <v>44862</v>
      </c>
      <c r="B302" s="2">
        <v>0.30724537037037036</v>
      </c>
      <c r="C302" s="2">
        <v>0.72023148148148153</v>
      </c>
      <c r="D302">
        <v>1</v>
      </c>
      <c r="E302">
        <v>8.06</v>
      </c>
      <c r="F302">
        <v>1.98</v>
      </c>
      <c r="G302">
        <v>1.08</v>
      </c>
      <c r="H302">
        <f t="shared" si="4"/>
        <v>7.16</v>
      </c>
    </row>
    <row r="303" spans="1:8" x14ac:dyDescent="0.25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  <c r="H303">
        <f t="shared" si="4"/>
        <v>4.0200000000000005</v>
      </c>
    </row>
    <row r="304" spans="1:8" x14ac:dyDescent="0.25">
      <c r="A304" s="1">
        <v>44864</v>
      </c>
      <c r="B304" s="2">
        <v>0.26807870370370368</v>
      </c>
      <c r="C304" s="2">
        <v>0.67587962962962966</v>
      </c>
      <c r="D304">
        <v>3</v>
      </c>
      <c r="E304">
        <v>5.33</v>
      </c>
      <c r="F304">
        <v>2.98</v>
      </c>
      <c r="G304">
        <v>3.05</v>
      </c>
      <c r="H304">
        <f t="shared" si="4"/>
        <v>5.3999999999999986</v>
      </c>
    </row>
    <row r="305" spans="1:8" x14ac:dyDescent="0.25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  <c r="H305">
        <f t="shared" si="4"/>
        <v>4.67</v>
      </c>
    </row>
    <row r="306" spans="1:8" x14ac:dyDescent="0.25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  <c r="H306">
        <f t="shared" si="4"/>
        <v>5.74</v>
      </c>
    </row>
    <row r="307" spans="1:8" x14ac:dyDescent="0.25">
      <c r="A307" s="1">
        <v>44867</v>
      </c>
      <c r="B307" s="2">
        <v>0.27184027777777775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  <c r="H307">
        <f t="shared" si="4"/>
        <v>4.4699999999999989</v>
      </c>
    </row>
    <row r="308" spans="1:8" x14ac:dyDescent="0.25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  <c r="H308">
        <f t="shared" si="4"/>
        <v>7.1800000000000015</v>
      </c>
    </row>
    <row r="309" spans="1:8" x14ac:dyDescent="0.25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  <c r="H309">
        <f t="shared" si="4"/>
        <v>5.27</v>
      </c>
    </row>
    <row r="310" spans="1:8" x14ac:dyDescent="0.25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  <c r="H310">
        <f t="shared" si="4"/>
        <v>6.8600000000000012</v>
      </c>
    </row>
    <row r="311" spans="1:8" x14ac:dyDescent="0.25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  <c r="H311">
        <f t="shared" si="4"/>
        <v>7.5600000000000005</v>
      </c>
    </row>
    <row r="312" spans="1:8" x14ac:dyDescent="0.25">
      <c r="A312" s="1">
        <v>44872</v>
      </c>
      <c r="B312" s="2">
        <v>0.27810185185185188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  <c r="H312">
        <f t="shared" si="4"/>
        <v>4.3400000000000007</v>
      </c>
    </row>
    <row r="313" spans="1:8" x14ac:dyDescent="0.25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  <c r="H313">
        <f t="shared" si="4"/>
        <v>6.01</v>
      </c>
    </row>
    <row r="314" spans="1:8" x14ac:dyDescent="0.25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  <c r="H314">
        <f t="shared" si="4"/>
        <v>4.4499999999999993</v>
      </c>
    </row>
    <row r="315" spans="1:8" x14ac:dyDescent="0.25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  <c r="H315">
        <f t="shared" si="4"/>
        <v>9.5299999999999976</v>
      </c>
    </row>
    <row r="316" spans="1:8" x14ac:dyDescent="0.25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  <c r="H316">
        <f t="shared" si="4"/>
        <v>6.5</v>
      </c>
    </row>
    <row r="317" spans="1:8" x14ac:dyDescent="0.25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  <c r="H317">
        <f t="shared" si="4"/>
        <v>6.35</v>
      </c>
    </row>
    <row r="318" spans="1:8" x14ac:dyDescent="0.25">
      <c r="A318" s="1">
        <v>44878</v>
      </c>
      <c r="B318" s="2">
        <v>0.28554398148148147</v>
      </c>
      <c r="C318" s="2">
        <v>0.65925925925925921</v>
      </c>
      <c r="D318">
        <v>3</v>
      </c>
      <c r="E318">
        <v>4.16</v>
      </c>
      <c r="F318">
        <v>3.02</v>
      </c>
      <c r="G318">
        <v>4.1900000000000004</v>
      </c>
      <c r="H318">
        <f t="shared" si="4"/>
        <v>5.3300000000000018</v>
      </c>
    </row>
    <row r="319" spans="1:8" x14ac:dyDescent="0.25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  <c r="H319">
        <f t="shared" si="4"/>
        <v>7.1900000000000013</v>
      </c>
    </row>
    <row r="320" spans="1:8" x14ac:dyDescent="0.25">
      <c r="A320" s="1">
        <v>44880</v>
      </c>
      <c r="B320" s="2">
        <v>0.28797453703703701</v>
      </c>
      <c r="C320" s="2">
        <v>0.65725694444444449</v>
      </c>
      <c r="D320">
        <v>8</v>
      </c>
      <c r="E320">
        <v>1.38</v>
      </c>
      <c r="F320">
        <v>0.4</v>
      </c>
      <c r="G320">
        <v>6.48</v>
      </c>
      <c r="H320">
        <f t="shared" si="4"/>
        <v>7.46</v>
      </c>
    </row>
    <row r="321" spans="1:8" x14ac:dyDescent="0.25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  <c r="H321">
        <f t="shared" si="4"/>
        <v>5.25</v>
      </c>
    </row>
    <row r="322" spans="1:8" x14ac:dyDescent="0.25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  <c r="H322">
        <f t="shared" ref="H322:H366" si="5">E322+G322-F322</f>
        <v>5.5100000000000007</v>
      </c>
    </row>
    <row r="323" spans="1:8" x14ac:dyDescent="0.25">
      <c r="A323" s="1">
        <v>44883</v>
      </c>
      <c r="B323" s="2">
        <v>0.2915740740740741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  <c r="H323">
        <f t="shared" si="5"/>
        <v>5.1099999999999994</v>
      </c>
    </row>
    <row r="324" spans="1:8" x14ac:dyDescent="0.25">
      <c r="A324" s="1">
        <v>44884</v>
      </c>
      <c r="B324" s="2">
        <v>0.29276620370370371</v>
      </c>
      <c r="C324" s="2">
        <v>0.65356481481481477</v>
      </c>
      <c r="D324">
        <v>5</v>
      </c>
      <c r="E324">
        <v>3.6</v>
      </c>
      <c r="F324">
        <v>2.06</v>
      </c>
      <c r="G324">
        <v>2.72</v>
      </c>
      <c r="H324">
        <f t="shared" si="5"/>
        <v>4.26</v>
      </c>
    </row>
    <row r="325" spans="1:8" x14ac:dyDescent="0.25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  <c r="H325">
        <f t="shared" si="5"/>
        <v>5.01</v>
      </c>
    </row>
    <row r="326" spans="1:8" x14ac:dyDescent="0.25">
      <c r="A326" s="1">
        <v>44886</v>
      </c>
      <c r="B326" s="2">
        <v>0.29509259259259257</v>
      </c>
      <c r="C326" s="2">
        <v>0.65188657407407402</v>
      </c>
      <c r="D326">
        <v>5</v>
      </c>
      <c r="E326">
        <v>3.16</v>
      </c>
      <c r="F326">
        <v>2.11</v>
      </c>
      <c r="G326">
        <v>4.08</v>
      </c>
      <c r="H326">
        <f t="shared" si="5"/>
        <v>5.1300000000000008</v>
      </c>
    </row>
    <row r="327" spans="1:8" x14ac:dyDescent="0.25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  <c r="H327">
        <f t="shared" si="5"/>
        <v>5.3000000000000007</v>
      </c>
    </row>
    <row r="328" spans="1:8" x14ac:dyDescent="0.25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  <c r="H328">
        <f t="shared" si="5"/>
        <v>6.92</v>
      </c>
    </row>
    <row r="329" spans="1:8" x14ac:dyDescent="0.25">
      <c r="A329" s="1">
        <v>44889</v>
      </c>
      <c r="B329" s="2">
        <v>0.29849537037037038</v>
      </c>
      <c r="C329" s="2">
        <v>0.64961805555555552</v>
      </c>
      <c r="D329">
        <v>6</v>
      </c>
      <c r="E329">
        <v>3.18</v>
      </c>
      <c r="F329">
        <v>1.37</v>
      </c>
      <c r="G329">
        <v>4.16</v>
      </c>
      <c r="H329">
        <f t="shared" si="5"/>
        <v>5.97</v>
      </c>
    </row>
    <row r="330" spans="1:8" x14ac:dyDescent="0.25">
      <c r="A330" s="1">
        <v>44890</v>
      </c>
      <c r="B330" s="2">
        <v>0.2996064814814815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  <c r="H330">
        <f t="shared" si="5"/>
        <v>6.3</v>
      </c>
    </row>
    <row r="331" spans="1:8" x14ac:dyDescent="0.25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  <c r="H331">
        <f t="shared" si="5"/>
        <v>8.77</v>
      </c>
    </row>
    <row r="332" spans="1:8" x14ac:dyDescent="0.25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  <c r="H332">
        <f t="shared" si="5"/>
        <v>6.03</v>
      </c>
    </row>
    <row r="333" spans="1:8" x14ac:dyDescent="0.25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  <c r="H333">
        <f t="shared" si="5"/>
        <v>6.15</v>
      </c>
    </row>
    <row r="334" spans="1:8" x14ac:dyDescent="0.25">
      <c r="A334" s="1">
        <v>44894</v>
      </c>
      <c r="B334" s="2">
        <v>0.30385416666666665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  <c r="H334">
        <f t="shared" si="5"/>
        <v>5.0199999999999996</v>
      </c>
    </row>
    <row r="335" spans="1:8" x14ac:dyDescent="0.25">
      <c r="A335" s="1">
        <v>44895</v>
      </c>
      <c r="B335" s="2">
        <v>0.30487268518518518</v>
      </c>
      <c r="C335" s="2">
        <v>0.64597222222222217</v>
      </c>
      <c r="D335">
        <v>8</v>
      </c>
      <c r="E335">
        <v>1.1399999999999999</v>
      </c>
      <c r="F335">
        <v>0</v>
      </c>
      <c r="G335">
        <v>7.02</v>
      </c>
      <c r="H335">
        <f t="shared" si="5"/>
        <v>8.16</v>
      </c>
    </row>
    <row r="336" spans="1:8" x14ac:dyDescent="0.25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  <c r="H336">
        <f t="shared" si="5"/>
        <v>7.52</v>
      </c>
    </row>
    <row r="337" spans="1:8" x14ac:dyDescent="0.25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  <c r="H337">
        <f t="shared" si="5"/>
        <v>6.6400000000000006</v>
      </c>
    </row>
    <row r="338" spans="1:8" x14ac:dyDescent="0.25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  <c r="H338">
        <f t="shared" si="5"/>
        <v>5.9</v>
      </c>
    </row>
    <row r="339" spans="1:8" x14ac:dyDescent="0.25">
      <c r="A339" s="1">
        <v>44899</v>
      </c>
      <c r="B339" s="2">
        <v>0.3087152777777778</v>
      </c>
      <c r="C339" s="2">
        <v>0.64425925925925931</v>
      </c>
      <c r="D339">
        <v>8</v>
      </c>
      <c r="E339">
        <v>1.32</v>
      </c>
      <c r="F339">
        <v>0.54</v>
      </c>
      <c r="G339">
        <v>5.16</v>
      </c>
      <c r="H339">
        <f t="shared" si="5"/>
        <v>5.94</v>
      </c>
    </row>
    <row r="340" spans="1:8" x14ac:dyDescent="0.25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  <c r="H340">
        <f t="shared" si="5"/>
        <v>7.0299999999999994</v>
      </c>
    </row>
    <row r="341" spans="1:8" x14ac:dyDescent="0.25">
      <c r="A341" s="1">
        <v>44901</v>
      </c>
      <c r="B341" s="2">
        <v>0.31049768518518517</v>
      </c>
      <c r="C341" s="2">
        <v>0.64363425925925921</v>
      </c>
      <c r="D341">
        <v>7</v>
      </c>
      <c r="E341">
        <v>2.2000000000000002</v>
      </c>
      <c r="F341">
        <v>0.61</v>
      </c>
      <c r="G341">
        <v>4.92</v>
      </c>
      <c r="H341">
        <f t="shared" si="5"/>
        <v>6.51</v>
      </c>
    </row>
    <row r="342" spans="1:8" x14ac:dyDescent="0.25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  <c r="H342">
        <f t="shared" si="5"/>
        <v>7.5500000000000007</v>
      </c>
    </row>
    <row r="343" spans="1:8" x14ac:dyDescent="0.25">
      <c r="A343" s="1">
        <v>44903</v>
      </c>
      <c r="B343" s="2">
        <v>0.31216435185185187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  <c r="H343">
        <f t="shared" si="5"/>
        <v>5.85</v>
      </c>
    </row>
    <row r="344" spans="1:8" x14ac:dyDescent="0.25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  <c r="H344">
        <f t="shared" si="5"/>
        <v>5.78</v>
      </c>
    </row>
    <row r="345" spans="1:8" x14ac:dyDescent="0.25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  <c r="H345">
        <f t="shared" si="5"/>
        <v>6.7899999999999991</v>
      </c>
    </row>
    <row r="346" spans="1:8" x14ac:dyDescent="0.25">
      <c r="A346" s="1">
        <v>44906</v>
      </c>
      <c r="B346" s="2">
        <v>0.31444444444444447</v>
      </c>
      <c r="C346" s="2">
        <v>0.64275462962962959</v>
      </c>
      <c r="D346">
        <v>7</v>
      </c>
      <c r="E346">
        <v>2.11</v>
      </c>
      <c r="F346">
        <v>0.84</v>
      </c>
      <c r="G346">
        <v>5.38</v>
      </c>
      <c r="H346">
        <f t="shared" si="5"/>
        <v>6.65</v>
      </c>
    </row>
    <row r="347" spans="1:8" x14ac:dyDescent="0.25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  <c r="H347">
        <f t="shared" si="5"/>
        <v>7.56</v>
      </c>
    </row>
    <row r="348" spans="1:8" x14ac:dyDescent="0.25">
      <c r="A348" s="1">
        <v>44908</v>
      </c>
      <c r="B348" s="2">
        <v>0.31581018518518517</v>
      </c>
      <c r="C348" s="2">
        <v>0.64268518518518514</v>
      </c>
      <c r="D348">
        <v>7</v>
      </c>
      <c r="E348">
        <v>2.0299999999999998</v>
      </c>
      <c r="F348">
        <v>1.02</v>
      </c>
      <c r="G348">
        <v>6.12</v>
      </c>
      <c r="H348">
        <f t="shared" si="5"/>
        <v>7.1300000000000008</v>
      </c>
    </row>
    <row r="349" spans="1:8" x14ac:dyDescent="0.25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  <c r="H349">
        <f t="shared" si="5"/>
        <v>7.37</v>
      </c>
    </row>
    <row r="350" spans="1:8" x14ac:dyDescent="0.25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  <c r="H350">
        <f t="shared" si="5"/>
        <v>8.4799999999999986</v>
      </c>
    </row>
    <row r="351" spans="1:8" x14ac:dyDescent="0.25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  <c r="H351">
        <f t="shared" si="5"/>
        <v>6.4600000000000009</v>
      </c>
    </row>
    <row r="352" spans="1:8" x14ac:dyDescent="0.25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  <c r="H352">
        <f t="shared" si="5"/>
        <v>7.29</v>
      </c>
    </row>
    <row r="353" spans="1:8" x14ac:dyDescent="0.25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  <c r="H353">
        <f t="shared" si="5"/>
        <v>7.1700000000000008</v>
      </c>
    </row>
    <row r="354" spans="1:8" x14ac:dyDescent="0.25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  <c r="H354">
        <f t="shared" si="5"/>
        <v>6.97</v>
      </c>
    </row>
    <row r="355" spans="1:8" x14ac:dyDescent="0.25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  <c r="H355">
        <f t="shared" si="5"/>
        <v>5.8599999999999994</v>
      </c>
    </row>
    <row r="356" spans="1:8" x14ac:dyDescent="0.25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  <c r="H356">
        <f t="shared" si="5"/>
        <v>7.8400000000000007</v>
      </c>
    </row>
    <row r="357" spans="1:8" x14ac:dyDescent="0.25">
      <c r="A357" s="1">
        <v>44917</v>
      </c>
      <c r="B357" s="2">
        <v>0.32023148148148151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  <c r="H357">
        <f t="shared" si="5"/>
        <v>5.99</v>
      </c>
    </row>
    <row r="358" spans="1:8" x14ac:dyDescent="0.25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  <c r="H358">
        <f t="shared" si="5"/>
        <v>6.44</v>
      </c>
    </row>
    <row r="359" spans="1:8" x14ac:dyDescent="0.25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  <c r="H359">
        <f t="shared" si="5"/>
        <v>7.07</v>
      </c>
    </row>
    <row r="360" spans="1:8" x14ac:dyDescent="0.25">
      <c r="A360" s="1">
        <v>44920</v>
      </c>
      <c r="B360" s="2">
        <v>0.32103009259259258</v>
      </c>
      <c r="C360" s="2">
        <v>0.64564814814814819</v>
      </c>
      <c r="D360">
        <v>7</v>
      </c>
      <c r="E360">
        <v>2.92</v>
      </c>
      <c r="F360">
        <v>1.05</v>
      </c>
      <c r="G360">
        <v>4.1399999999999997</v>
      </c>
      <c r="H360">
        <f t="shared" si="5"/>
        <v>6.01</v>
      </c>
    </row>
    <row r="361" spans="1:8" x14ac:dyDescent="0.25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  <c r="H361">
        <f t="shared" si="5"/>
        <v>6.22</v>
      </c>
    </row>
    <row r="362" spans="1:8" x14ac:dyDescent="0.25">
      <c r="A362" s="1">
        <v>44922</v>
      </c>
      <c r="B362" s="2">
        <v>0.32136574074074076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  <c r="H362">
        <f t="shared" si="5"/>
        <v>5.8300000000000018</v>
      </c>
    </row>
    <row r="363" spans="1:8" x14ac:dyDescent="0.25">
      <c r="A363" s="1">
        <v>44923</v>
      </c>
      <c r="B363" s="2">
        <v>0.32146990740740738</v>
      </c>
      <c r="C363" s="2">
        <v>0.64725694444444448</v>
      </c>
      <c r="D363">
        <v>8</v>
      </c>
      <c r="E363">
        <v>1.54</v>
      </c>
      <c r="F363">
        <v>0.36</v>
      </c>
      <c r="G363">
        <v>4.1900000000000004</v>
      </c>
      <c r="H363">
        <f t="shared" si="5"/>
        <v>5.37</v>
      </c>
    </row>
    <row r="364" spans="1:8" x14ac:dyDescent="0.25">
      <c r="A364" s="1">
        <v>44924</v>
      </c>
      <c r="B364" s="2">
        <v>0.32153935185185184</v>
      </c>
      <c r="C364" s="2">
        <v>0.64787037037037032</v>
      </c>
      <c r="D364">
        <v>8</v>
      </c>
      <c r="E364">
        <v>1.21</v>
      </c>
      <c r="F364">
        <v>0.24</v>
      </c>
      <c r="G364">
        <v>5.39</v>
      </c>
      <c r="H364">
        <f t="shared" si="5"/>
        <v>6.3599999999999994</v>
      </c>
    </row>
    <row r="365" spans="1:8" x14ac:dyDescent="0.25">
      <c r="A365" s="1">
        <v>44925</v>
      </c>
      <c r="B365" s="2">
        <v>0.32156249999999997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  <c r="H365">
        <f t="shared" si="5"/>
        <v>7.6</v>
      </c>
    </row>
    <row r="366" spans="1:8" x14ac:dyDescent="0.25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  <c r="H366">
        <f t="shared" si="5"/>
        <v>6.9799999999999995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D098-A97C-4DBE-941C-EF54AF4429EF}">
  <dimension ref="A1:M366"/>
  <sheetViews>
    <sheetView zoomScale="175" zoomScaleNormal="175" workbookViewId="0">
      <selection activeCell="L15" sqref="L15"/>
    </sheetView>
  </sheetViews>
  <sheetFormatPr defaultRowHeight="15" x14ac:dyDescent="0.25"/>
  <cols>
    <col min="1" max="1" width="13.140625" customWidth="1"/>
    <col min="2" max="2" width="12.140625" customWidth="1"/>
    <col min="3" max="3" width="11.42578125" customWidth="1"/>
    <col min="8" max="8" width="12.7109375" customWidth="1"/>
    <col min="12" max="12" width="20.140625" bestFit="1" customWidth="1"/>
    <col min="13" max="13" width="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13" x14ac:dyDescent="0.25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  <c r="H2">
        <v>1</v>
      </c>
    </row>
    <row r="3" spans="1:13" x14ac:dyDescent="0.25">
      <c r="A3" s="1">
        <v>44563</v>
      </c>
      <c r="B3" s="2">
        <v>0.3213773148148148</v>
      </c>
      <c r="C3" s="2">
        <v>0.65083333333333337</v>
      </c>
      <c r="D3">
        <v>4</v>
      </c>
      <c r="E3">
        <v>4.47</v>
      </c>
      <c r="F3">
        <v>1.23</v>
      </c>
      <c r="G3">
        <v>3.99</v>
      </c>
      <c r="H3">
        <f>IF(AND(D3&lt;=D2, E3&gt;=E2),H2+1,0)</f>
        <v>0</v>
      </c>
    </row>
    <row r="4" spans="1:13" x14ac:dyDescent="0.25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  <c r="H4">
        <f t="shared" ref="H4:H67" si="0">IF(AND(D4&lt;=D3, E4&gt;=E3),H3+1,0)</f>
        <v>1</v>
      </c>
    </row>
    <row r="5" spans="1:13" x14ac:dyDescent="0.25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  <c r="H5">
        <f t="shared" si="0"/>
        <v>0</v>
      </c>
    </row>
    <row r="6" spans="1:13" x14ac:dyDescent="0.25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  <c r="H6">
        <f t="shared" si="0"/>
        <v>1</v>
      </c>
    </row>
    <row r="7" spans="1:13" x14ac:dyDescent="0.25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  <c r="H7">
        <f t="shared" si="0"/>
        <v>0</v>
      </c>
      <c r="L7" t="s">
        <v>11</v>
      </c>
    </row>
    <row r="8" spans="1:13" x14ac:dyDescent="0.25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  <c r="H8">
        <f t="shared" si="0"/>
        <v>1</v>
      </c>
    </row>
    <row r="9" spans="1:13" x14ac:dyDescent="0.25">
      <c r="A9" s="1">
        <v>44569</v>
      </c>
      <c r="B9" s="2">
        <v>0.31994212962962965</v>
      </c>
      <c r="C9" s="2">
        <v>0.65597222222222218</v>
      </c>
      <c r="D9">
        <v>1</v>
      </c>
      <c r="E9">
        <v>7.24</v>
      </c>
      <c r="F9">
        <v>2.58</v>
      </c>
      <c r="G9">
        <v>2.4700000000000002</v>
      </c>
      <c r="H9">
        <f t="shared" si="0"/>
        <v>0</v>
      </c>
      <c r="L9" t="s">
        <v>12</v>
      </c>
      <c r="M9">
        <v>6</v>
      </c>
    </row>
    <row r="10" spans="1:13" x14ac:dyDescent="0.25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  <c r="H10">
        <f t="shared" si="0"/>
        <v>1</v>
      </c>
      <c r="L10" t="s">
        <v>13</v>
      </c>
      <c r="M10" s="1">
        <v>44707</v>
      </c>
    </row>
    <row r="11" spans="1:13" x14ac:dyDescent="0.25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  <c r="H11">
        <f t="shared" si="0"/>
        <v>0</v>
      </c>
    </row>
    <row r="12" spans="1:13" x14ac:dyDescent="0.25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  <c r="H12">
        <f t="shared" si="0"/>
        <v>0</v>
      </c>
    </row>
    <row r="13" spans="1:13" x14ac:dyDescent="0.25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  <c r="H13">
        <f t="shared" si="0"/>
        <v>0</v>
      </c>
    </row>
    <row r="14" spans="1:13" x14ac:dyDescent="0.25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  <c r="H14">
        <f t="shared" si="0"/>
        <v>1</v>
      </c>
    </row>
    <row r="15" spans="1:13" x14ac:dyDescent="0.25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  <c r="H15">
        <f t="shared" si="0"/>
        <v>0</v>
      </c>
    </row>
    <row r="16" spans="1:13" x14ac:dyDescent="0.25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  <c r="H16">
        <f t="shared" si="0"/>
        <v>0</v>
      </c>
    </row>
    <row r="17" spans="1:8" x14ac:dyDescent="0.25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  <c r="H17">
        <f t="shared" si="0"/>
        <v>1</v>
      </c>
    </row>
    <row r="18" spans="1:8" x14ac:dyDescent="0.25">
      <c r="A18" s="1">
        <v>44578</v>
      </c>
      <c r="B18" s="2">
        <v>0.31526620370370373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  <c r="H18">
        <f t="shared" si="0"/>
        <v>2</v>
      </c>
    </row>
    <row r="19" spans="1:8" x14ac:dyDescent="0.25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  <c r="H19">
        <f t="shared" si="0"/>
        <v>0</v>
      </c>
    </row>
    <row r="20" spans="1:8" x14ac:dyDescent="0.25">
      <c r="A20" s="1">
        <v>44580</v>
      </c>
      <c r="B20" s="2">
        <v>0.31384259259259262</v>
      </c>
      <c r="C20" s="2">
        <v>0.66766203703703708</v>
      </c>
      <c r="D20">
        <v>4</v>
      </c>
      <c r="E20">
        <v>3.53</v>
      </c>
      <c r="F20">
        <v>0.34</v>
      </c>
      <c r="G20">
        <v>1.25</v>
      </c>
      <c r="H20">
        <f t="shared" si="0"/>
        <v>1</v>
      </c>
    </row>
    <row r="21" spans="1:8" x14ac:dyDescent="0.25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  <c r="H21">
        <f t="shared" si="0"/>
        <v>2</v>
      </c>
    </row>
    <row r="22" spans="1:8" x14ac:dyDescent="0.25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  <c r="H22">
        <f t="shared" si="0"/>
        <v>0</v>
      </c>
    </row>
    <row r="23" spans="1:8" x14ac:dyDescent="0.25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  <c r="H23">
        <f t="shared" si="0"/>
        <v>1</v>
      </c>
    </row>
    <row r="24" spans="1:8" x14ac:dyDescent="0.25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  <c r="H24">
        <f t="shared" si="0"/>
        <v>2</v>
      </c>
    </row>
    <row r="25" spans="1:8" x14ac:dyDescent="0.25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  <c r="H25">
        <f t="shared" si="0"/>
        <v>3</v>
      </c>
    </row>
    <row r="26" spans="1:8" x14ac:dyDescent="0.25">
      <c r="A26" s="1">
        <v>44586</v>
      </c>
      <c r="B26" s="2">
        <v>0.30884259259259261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  <c r="H26">
        <f t="shared" si="0"/>
        <v>4</v>
      </c>
    </row>
    <row r="27" spans="1:8" x14ac:dyDescent="0.25">
      <c r="A27" s="1">
        <v>44587</v>
      </c>
      <c r="B27" s="2">
        <v>0.30791666666666667</v>
      </c>
      <c r="C27" s="2">
        <v>0.67612268518518515</v>
      </c>
      <c r="D27">
        <v>2</v>
      </c>
      <c r="E27">
        <v>5.1100000000000003</v>
      </c>
      <c r="F27">
        <v>2.02</v>
      </c>
      <c r="G27">
        <v>1.35</v>
      </c>
      <c r="H27">
        <f t="shared" si="0"/>
        <v>0</v>
      </c>
    </row>
    <row r="28" spans="1:8" x14ac:dyDescent="0.25">
      <c r="A28" s="1">
        <v>44588</v>
      </c>
      <c r="B28" s="2">
        <v>0.3069560185185185</v>
      </c>
      <c r="C28" s="2">
        <v>0.67737268518518523</v>
      </c>
      <c r="D28">
        <v>1</v>
      </c>
      <c r="E28">
        <v>4.97</v>
      </c>
      <c r="F28">
        <v>1.92</v>
      </c>
      <c r="G28">
        <v>2.0099999999999998</v>
      </c>
      <c r="H28">
        <f t="shared" si="0"/>
        <v>0</v>
      </c>
    </row>
    <row r="29" spans="1:8" x14ac:dyDescent="0.25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  <c r="H29">
        <f t="shared" si="0"/>
        <v>1</v>
      </c>
    </row>
    <row r="30" spans="1:8" x14ac:dyDescent="0.25">
      <c r="A30" s="1">
        <v>44590</v>
      </c>
      <c r="B30" s="2">
        <v>0.30494212962962963</v>
      </c>
      <c r="C30" s="2">
        <v>0.67988425925925922</v>
      </c>
      <c r="D30">
        <v>1</v>
      </c>
      <c r="E30">
        <v>5.76</v>
      </c>
      <c r="F30">
        <v>3.33</v>
      </c>
      <c r="G30">
        <v>2.0099999999999998</v>
      </c>
      <c r="H30">
        <f t="shared" si="0"/>
        <v>2</v>
      </c>
    </row>
    <row r="31" spans="1:8" x14ac:dyDescent="0.25">
      <c r="A31" s="1">
        <v>44591</v>
      </c>
      <c r="B31" s="2">
        <v>0.30391203703703706</v>
      </c>
      <c r="C31" s="2">
        <v>0.68115740740740738</v>
      </c>
      <c r="D31">
        <v>2</v>
      </c>
      <c r="E31">
        <v>5.97</v>
      </c>
      <c r="F31">
        <v>3.48</v>
      </c>
      <c r="G31">
        <v>1.93</v>
      </c>
      <c r="H31">
        <f t="shared" si="0"/>
        <v>0</v>
      </c>
    </row>
    <row r="32" spans="1:8" x14ac:dyDescent="0.25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  <c r="H32">
        <f t="shared" si="0"/>
        <v>1</v>
      </c>
    </row>
    <row r="33" spans="1:8" x14ac:dyDescent="0.25">
      <c r="A33" s="1">
        <v>44593</v>
      </c>
      <c r="B33" s="2">
        <v>0.30175925925925928</v>
      </c>
      <c r="C33" s="2">
        <v>0.68371527777777774</v>
      </c>
      <c r="D33">
        <v>1</v>
      </c>
      <c r="E33">
        <v>6.18</v>
      </c>
      <c r="F33">
        <v>1.34</v>
      </c>
      <c r="G33">
        <v>1.28</v>
      </c>
      <c r="H33">
        <f t="shared" si="0"/>
        <v>2</v>
      </c>
    </row>
    <row r="34" spans="1:8" x14ac:dyDescent="0.25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  <c r="H34">
        <f t="shared" si="0"/>
        <v>3</v>
      </c>
    </row>
    <row r="35" spans="1:8" x14ac:dyDescent="0.25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  <c r="H35">
        <f t="shared" si="0"/>
        <v>0</v>
      </c>
    </row>
    <row r="36" spans="1:8" x14ac:dyDescent="0.25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  <c r="H36">
        <f t="shared" si="0"/>
        <v>1</v>
      </c>
    </row>
    <row r="37" spans="1:8" x14ac:dyDescent="0.25">
      <c r="A37" s="1">
        <v>44597</v>
      </c>
      <c r="B37" s="2">
        <v>0.2971759259259259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  <c r="H37">
        <f t="shared" si="0"/>
        <v>0</v>
      </c>
    </row>
    <row r="38" spans="1:8" x14ac:dyDescent="0.25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  <c r="H38">
        <f t="shared" si="0"/>
        <v>1</v>
      </c>
    </row>
    <row r="39" spans="1:8" x14ac:dyDescent="0.25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  <c r="H39">
        <f t="shared" si="0"/>
        <v>2</v>
      </c>
    </row>
    <row r="40" spans="1:8" x14ac:dyDescent="0.25">
      <c r="A40" s="1">
        <v>44600</v>
      </c>
      <c r="B40" s="2">
        <v>0.29351851851851851</v>
      </c>
      <c r="C40" s="2">
        <v>0.69277777777777783</v>
      </c>
      <c r="D40">
        <v>1</v>
      </c>
      <c r="E40">
        <v>7.84</v>
      </c>
      <c r="F40">
        <v>2.63</v>
      </c>
      <c r="G40">
        <v>2.19</v>
      </c>
      <c r="H40">
        <f t="shared" si="0"/>
        <v>3</v>
      </c>
    </row>
    <row r="41" spans="1:8" x14ac:dyDescent="0.25">
      <c r="A41" s="1">
        <v>44601</v>
      </c>
      <c r="B41" s="2">
        <v>0.29226851851851854</v>
      </c>
      <c r="C41" s="2">
        <v>0.6940856481481481</v>
      </c>
      <c r="D41">
        <v>6</v>
      </c>
      <c r="E41">
        <v>2.93</v>
      </c>
      <c r="F41">
        <v>1.1299999999999999</v>
      </c>
      <c r="G41">
        <v>3.1</v>
      </c>
      <c r="H41">
        <f t="shared" si="0"/>
        <v>0</v>
      </c>
    </row>
    <row r="42" spans="1:8" x14ac:dyDescent="0.25">
      <c r="A42" s="1">
        <v>44602</v>
      </c>
      <c r="B42" s="2">
        <v>0.29098379629629628</v>
      </c>
      <c r="C42" s="2">
        <v>0.69538194444444446</v>
      </c>
      <c r="D42">
        <v>7</v>
      </c>
      <c r="E42">
        <v>1.24</v>
      </c>
      <c r="F42">
        <v>0.3</v>
      </c>
      <c r="G42">
        <v>2.14</v>
      </c>
      <c r="H42">
        <f t="shared" si="0"/>
        <v>0</v>
      </c>
    </row>
    <row r="43" spans="1:8" x14ac:dyDescent="0.25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  <c r="H43">
        <f t="shared" si="0"/>
        <v>0</v>
      </c>
    </row>
    <row r="44" spans="1:8" x14ac:dyDescent="0.25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  <c r="H44">
        <f t="shared" si="0"/>
        <v>1</v>
      </c>
    </row>
    <row r="45" spans="1:8" x14ac:dyDescent="0.25">
      <c r="A45" s="1">
        <v>44605</v>
      </c>
      <c r="B45" s="2">
        <v>0.28706018518518517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  <c r="H45">
        <f t="shared" si="0"/>
        <v>0</v>
      </c>
    </row>
    <row r="46" spans="1:8" x14ac:dyDescent="0.25">
      <c r="A46" s="1">
        <v>44606</v>
      </c>
      <c r="B46" s="2">
        <v>0.28570601851851851</v>
      </c>
      <c r="C46" s="2">
        <v>0.70059027777777783</v>
      </c>
      <c r="D46">
        <v>2</v>
      </c>
      <c r="E46">
        <v>5.62</v>
      </c>
      <c r="F46">
        <v>2.41</v>
      </c>
      <c r="G46">
        <v>2.59</v>
      </c>
      <c r="H46">
        <f t="shared" si="0"/>
        <v>1</v>
      </c>
    </row>
    <row r="47" spans="1:8" x14ac:dyDescent="0.25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  <c r="H47">
        <f t="shared" si="0"/>
        <v>0</v>
      </c>
    </row>
    <row r="48" spans="1:8" x14ac:dyDescent="0.25">
      <c r="A48" s="1">
        <v>44608</v>
      </c>
      <c r="B48" s="2">
        <v>0.28297453703703701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  <c r="H48">
        <f t="shared" si="0"/>
        <v>0</v>
      </c>
    </row>
    <row r="49" spans="1:8" x14ac:dyDescent="0.25">
      <c r="A49" s="1">
        <v>44609</v>
      </c>
      <c r="B49" s="2">
        <v>0.28158564814814813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  <c r="H49">
        <f t="shared" si="0"/>
        <v>1</v>
      </c>
    </row>
    <row r="50" spans="1:8" x14ac:dyDescent="0.25">
      <c r="A50" s="1">
        <v>44610</v>
      </c>
      <c r="B50" s="2">
        <v>0.2801851851851852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  <c r="H50">
        <f t="shared" si="0"/>
        <v>0</v>
      </c>
    </row>
    <row r="51" spans="1:8" x14ac:dyDescent="0.25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  <c r="H51">
        <f t="shared" si="0"/>
        <v>0</v>
      </c>
    </row>
    <row r="52" spans="1:8" x14ac:dyDescent="0.25">
      <c r="A52" s="1">
        <v>44612</v>
      </c>
      <c r="B52" s="2">
        <v>0.27733796296296298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  <c r="H52">
        <f t="shared" si="0"/>
        <v>1</v>
      </c>
    </row>
    <row r="53" spans="1:8" x14ac:dyDescent="0.25">
      <c r="A53" s="1">
        <v>44613</v>
      </c>
      <c r="B53" s="2">
        <v>0.27590277777777777</v>
      </c>
      <c r="C53" s="2">
        <v>0.70962962962962961</v>
      </c>
      <c r="D53">
        <v>0</v>
      </c>
      <c r="E53">
        <v>9.85</v>
      </c>
      <c r="F53">
        <v>3.02</v>
      </c>
      <c r="G53">
        <v>2.46</v>
      </c>
      <c r="H53">
        <f t="shared" si="0"/>
        <v>2</v>
      </c>
    </row>
    <row r="54" spans="1:8" x14ac:dyDescent="0.25">
      <c r="A54" s="1">
        <v>44614</v>
      </c>
      <c r="B54" s="2">
        <v>0.27444444444444444</v>
      </c>
      <c r="C54" s="2">
        <v>0.71091435185185181</v>
      </c>
      <c r="D54">
        <v>1</v>
      </c>
      <c r="E54">
        <v>9.2899999999999991</v>
      </c>
      <c r="F54">
        <v>2.79</v>
      </c>
      <c r="G54">
        <v>1.49</v>
      </c>
      <c r="H54">
        <f t="shared" si="0"/>
        <v>0</v>
      </c>
    </row>
    <row r="55" spans="1:8" x14ac:dyDescent="0.25">
      <c r="A55" s="1">
        <v>44615</v>
      </c>
      <c r="B55" s="2">
        <v>0.27297453703703706</v>
      </c>
      <c r="C55" s="2">
        <v>0.71219907407407412</v>
      </c>
      <c r="D55">
        <v>4</v>
      </c>
      <c r="E55">
        <v>2.57</v>
      </c>
      <c r="F55">
        <v>0.76</v>
      </c>
      <c r="G55">
        <v>4.03</v>
      </c>
      <c r="H55">
        <f t="shared" si="0"/>
        <v>0</v>
      </c>
    </row>
    <row r="56" spans="1:8" x14ac:dyDescent="0.25">
      <c r="A56" s="1">
        <v>44616</v>
      </c>
      <c r="B56" s="2">
        <v>0.27150462962962962</v>
      </c>
      <c r="C56" s="2">
        <v>0.71347222222222217</v>
      </c>
      <c r="D56">
        <v>0</v>
      </c>
      <c r="E56">
        <v>9.64</v>
      </c>
      <c r="F56">
        <v>3.82</v>
      </c>
      <c r="G56">
        <v>2.36</v>
      </c>
      <c r="H56">
        <f t="shared" si="0"/>
        <v>1</v>
      </c>
    </row>
    <row r="57" spans="1:8" x14ac:dyDescent="0.25">
      <c r="A57" s="1">
        <v>44617</v>
      </c>
      <c r="B57" s="2">
        <v>0.27001157407407406</v>
      </c>
      <c r="C57" s="2">
        <v>0.71474537037037034</v>
      </c>
      <c r="D57">
        <v>0</v>
      </c>
      <c r="E57">
        <v>9.35</v>
      </c>
      <c r="F57">
        <v>3.73</v>
      </c>
      <c r="G57">
        <v>2.1800000000000002</v>
      </c>
      <c r="H57">
        <f t="shared" si="0"/>
        <v>0</v>
      </c>
    </row>
    <row r="58" spans="1:8" x14ac:dyDescent="0.25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  <c r="H58">
        <f t="shared" si="0"/>
        <v>0</v>
      </c>
    </row>
    <row r="59" spans="1:8" x14ac:dyDescent="0.25">
      <c r="A59" s="1">
        <v>44619</v>
      </c>
      <c r="B59" s="2">
        <v>0.26700231481481479</v>
      </c>
      <c r="C59" s="2">
        <v>0.71728009259259262</v>
      </c>
      <c r="D59">
        <v>0</v>
      </c>
      <c r="E59">
        <v>9.77</v>
      </c>
      <c r="F59">
        <v>3.26</v>
      </c>
      <c r="G59">
        <v>1.3</v>
      </c>
      <c r="H59">
        <f t="shared" si="0"/>
        <v>1</v>
      </c>
    </row>
    <row r="60" spans="1:8" x14ac:dyDescent="0.25">
      <c r="A60" s="1">
        <v>44620</v>
      </c>
      <c r="B60" s="2">
        <v>0.26548611111111109</v>
      </c>
      <c r="C60" s="2">
        <v>0.71855324074074078</v>
      </c>
      <c r="D60">
        <v>5</v>
      </c>
      <c r="E60">
        <v>2.93</v>
      </c>
      <c r="F60">
        <v>1.03</v>
      </c>
      <c r="G60">
        <v>2.99</v>
      </c>
      <c r="H60">
        <f t="shared" si="0"/>
        <v>0</v>
      </c>
    </row>
    <row r="61" spans="1:8" x14ac:dyDescent="0.25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  <c r="H61">
        <f t="shared" si="0"/>
        <v>1</v>
      </c>
    </row>
    <row r="62" spans="1:8" x14ac:dyDescent="0.25">
      <c r="A62" s="1">
        <v>44622</v>
      </c>
      <c r="B62" s="2">
        <v>0.26243055555555556</v>
      </c>
      <c r="C62" s="2">
        <v>0.72106481481481477</v>
      </c>
      <c r="D62">
        <v>6</v>
      </c>
      <c r="E62">
        <v>2.99</v>
      </c>
      <c r="F62">
        <v>0.74</v>
      </c>
      <c r="G62">
        <v>1.48</v>
      </c>
      <c r="H62">
        <f t="shared" si="0"/>
        <v>0</v>
      </c>
    </row>
    <row r="63" spans="1:8" x14ac:dyDescent="0.25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  <c r="H63">
        <f t="shared" si="0"/>
        <v>0</v>
      </c>
    </row>
    <row r="64" spans="1:8" x14ac:dyDescent="0.25">
      <c r="A64" s="1">
        <v>44624</v>
      </c>
      <c r="B64" s="2">
        <v>0.25934027777777779</v>
      </c>
      <c r="C64" s="2">
        <v>0.72357638888888887</v>
      </c>
      <c r="D64">
        <v>0</v>
      </c>
      <c r="E64">
        <v>9.7100000000000009</v>
      </c>
      <c r="F64">
        <v>3.95</v>
      </c>
      <c r="G64">
        <v>1.96</v>
      </c>
      <c r="H64">
        <f t="shared" si="0"/>
        <v>1</v>
      </c>
    </row>
    <row r="65" spans="1:8" x14ac:dyDescent="0.25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  <c r="H65">
        <f t="shared" si="0"/>
        <v>2</v>
      </c>
    </row>
    <row r="66" spans="1:8" x14ac:dyDescent="0.25">
      <c r="A66" s="1">
        <v>44626</v>
      </c>
      <c r="B66" s="2">
        <v>0.25621527777777775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  <c r="H66">
        <f t="shared" si="0"/>
        <v>0</v>
      </c>
    </row>
    <row r="67" spans="1:8" x14ac:dyDescent="0.25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  <c r="H67">
        <f t="shared" si="0"/>
        <v>0</v>
      </c>
    </row>
    <row r="68" spans="1:8" x14ac:dyDescent="0.25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  <c r="H68">
        <f t="shared" ref="H68:H131" si="1">IF(AND(D68&lt;=D67, E68&gt;=E67),H67+1,0)</f>
        <v>1</v>
      </c>
    </row>
    <row r="69" spans="1:8" x14ac:dyDescent="0.25">
      <c r="A69" s="1">
        <v>44629</v>
      </c>
      <c r="B69" s="2">
        <v>0.25148148148148147</v>
      </c>
      <c r="C69" s="2">
        <v>0.72979166666666662</v>
      </c>
      <c r="D69">
        <v>3</v>
      </c>
      <c r="E69">
        <v>3.29</v>
      </c>
      <c r="F69">
        <v>0.73</v>
      </c>
      <c r="G69">
        <v>2.4300000000000002</v>
      </c>
      <c r="H69">
        <f t="shared" si="1"/>
        <v>0</v>
      </c>
    </row>
    <row r="70" spans="1:8" x14ac:dyDescent="0.25">
      <c r="A70" s="1">
        <v>44630</v>
      </c>
      <c r="B70" s="2">
        <v>0.24989583333333334</v>
      </c>
      <c r="C70" s="2">
        <v>0.73103009259259255</v>
      </c>
      <c r="D70">
        <v>1</v>
      </c>
      <c r="E70">
        <v>7.92</v>
      </c>
      <c r="F70">
        <v>1.58</v>
      </c>
      <c r="G70">
        <v>1.63</v>
      </c>
      <c r="H70">
        <f t="shared" si="1"/>
        <v>1</v>
      </c>
    </row>
    <row r="71" spans="1:8" x14ac:dyDescent="0.25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  <c r="H71">
        <f t="shared" si="1"/>
        <v>0</v>
      </c>
    </row>
    <row r="72" spans="1:8" x14ac:dyDescent="0.25">
      <c r="A72" s="1">
        <v>44632</v>
      </c>
      <c r="B72" s="2">
        <v>0.2467013888888889</v>
      </c>
      <c r="C72" s="2">
        <v>0.73348379629629634</v>
      </c>
      <c r="D72">
        <v>0</v>
      </c>
      <c r="E72">
        <v>11.09</v>
      </c>
      <c r="F72">
        <v>3.46</v>
      </c>
      <c r="G72">
        <v>1.28</v>
      </c>
      <c r="H72">
        <f t="shared" si="1"/>
        <v>1</v>
      </c>
    </row>
    <row r="73" spans="1:8" x14ac:dyDescent="0.25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  <c r="H73">
        <f t="shared" si="1"/>
        <v>2</v>
      </c>
    </row>
    <row r="74" spans="1:8" x14ac:dyDescent="0.25">
      <c r="A74" s="1">
        <v>44634</v>
      </c>
      <c r="B74" s="2">
        <v>0.24349537037037036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  <c r="H74">
        <f t="shared" si="1"/>
        <v>0</v>
      </c>
    </row>
    <row r="75" spans="1:8" x14ac:dyDescent="0.25">
      <c r="A75" s="1">
        <v>44635</v>
      </c>
      <c r="B75" s="2">
        <v>0.24188657407407407</v>
      </c>
      <c r="C75" s="2">
        <v>0.73716435185185181</v>
      </c>
      <c r="D75">
        <v>6</v>
      </c>
      <c r="E75">
        <v>3.14</v>
      </c>
      <c r="F75">
        <v>1.73</v>
      </c>
      <c r="G75">
        <v>3.82</v>
      </c>
      <c r="H75">
        <f t="shared" si="1"/>
        <v>0</v>
      </c>
    </row>
    <row r="76" spans="1:8" x14ac:dyDescent="0.25">
      <c r="A76" s="1">
        <v>44636</v>
      </c>
      <c r="B76" s="2">
        <v>0.24027777777777778</v>
      </c>
      <c r="C76" s="2">
        <v>0.73837962962962966</v>
      </c>
      <c r="D76">
        <v>0</v>
      </c>
      <c r="E76">
        <v>12.41</v>
      </c>
      <c r="F76">
        <v>3.85</v>
      </c>
      <c r="G76">
        <v>0.67</v>
      </c>
      <c r="H76">
        <f t="shared" si="1"/>
        <v>1</v>
      </c>
    </row>
    <row r="77" spans="1:8" x14ac:dyDescent="0.25">
      <c r="A77" s="1">
        <v>44637</v>
      </c>
      <c r="B77" s="2">
        <v>0.23866898148148147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  <c r="H77">
        <f t="shared" si="1"/>
        <v>0</v>
      </c>
    </row>
    <row r="78" spans="1:8" x14ac:dyDescent="0.25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  <c r="H78">
        <f t="shared" si="1"/>
        <v>1</v>
      </c>
    </row>
    <row r="79" spans="1:8" x14ac:dyDescent="0.25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  <c r="H79">
        <f t="shared" si="1"/>
        <v>2</v>
      </c>
    </row>
    <row r="80" spans="1:8" x14ac:dyDescent="0.25">
      <c r="A80" s="1">
        <v>44640</v>
      </c>
      <c r="B80" s="2">
        <v>0.23380787037037037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  <c r="H80">
        <f t="shared" si="1"/>
        <v>0</v>
      </c>
    </row>
    <row r="81" spans="1:8" x14ac:dyDescent="0.25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  <c r="H81">
        <f t="shared" si="1"/>
        <v>0</v>
      </c>
    </row>
    <row r="82" spans="1:8" x14ac:dyDescent="0.25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  <c r="H82">
        <f t="shared" si="1"/>
        <v>0</v>
      </c>
    </row>
    <row r="83" spans="1:8" x14ac:dyDescent="0.25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  <c r="H83">
        <f t="shared" si="1"/>
        <v>1</v>
      </c>
    </row>
    <row r="84" spans="1:8" x14ac:dyDescent="0.25">
      <c r="A84" s="1">
        <v>44644</v>
      </c>
      <c r="B84" s="2">
        <v>0.2273148148148148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  <c r="H84">
        <f t="shared" si="1"/>
        <v>2</v>
      </c>
    </row>
    <row r="85" spans="1:8" x14ac:dyDescent="0.25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  <c r="H85">
        <f t="shared" si="1"/>
        <v>0</v>
      </c>
    </row>
    <row r="86" spans="1:8" x14ac:dyDescent="0.25">
      <c r="A86" s="1">
        <v>44646</v>
      </c>
      <c r="B86" s="2">
        <v>0.2240625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  <c r="H86">
        <f t="shared" si="1"/>
        <v>1</v>
      </c>
    </row>
    <row r="87" spans="1:8" x14ac:dyDescent="0.25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  <c r="H87">
        <f t="shared" si="1"/>
        <v>0</v>
      </c>
    </row>
    <row r="88" spans="1:8" x14ac:dyDescent="0.25">
      <c r="A88" s="1">
        <v>44648</v>
      </c>
      <c r="B88" s="2">
        <v>0.26248842592592592</v>
      </c>
      <c r="C88" s="2">
        <v>0.79456018518518523</v>
      </c>
      <c r="D88">
        <v>4</v>
      </c>
      <c r="E88">
        <v>4.42</v>
      </c>
      <c r="F88">
        <v>3.15</v>
      </c>
      <c r="G88">
        <v>3.62</v>
      </c>
      <c r="H88">
        <f t="shared" si="1"/>
        <v>0</v>
      </c>
    </row>
    <row r="89" spans="1:8" x14ac:dyDescent="0.25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  <c r="H89">
        <f t="shared" si="1"/>
        <v>0</v>
      </c>
    </row>
    <row r="90" spans="1:8" x14ac:dyDescent="0.25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  <c r="H90">
        <f t="shared" si="1"/>
        <v>1</v>
      </c>
    </row>
    <row r="91" spans="1:8" x14ac:dyDescent="0.25">
      <c r="A91" s="1">
        <v>44651</v>
      </c>
      <c r="B91" s="2">
        <v>0.25763888888888886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  <c r="H91">
        <f t="shared" si="1"/>
        <v>0</v>
      </c>
    </row>
    <row r="92" spans="1:8" x14ac:dyDescent="0.25">
      <c r="A92" s="1">
        <v>44652</v>
      </c>
      <c r="B92" s="2">
        <v>0.25601851851851853</v>
      </c>
      <c r="C92" s="2">
        <v>0.79936342592592591</v>
      </c>
      <c r="D92">
        <v>3</v>
      </c>
      <c r="E92">
        <v>5.21</v>
      </c>
      <c r="F92">
        <v>2.46</v>
      </c>
      <c r="G92">
        <v>2.89</v>
      </c>
      <c r="H92">
        <f t="shared" si="1"/>
        <v>0</v>
      </c>
    </row>
    <row r="93" spans="1:8" x14ac:dyDescent="0.25">
      <c r="A93" s="1">
        <v>44653</v>
      </c>
      <c r="B93" s="2">
        <v>0.25440972222222225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  <c r="H93">
        <f t="shared" si="1"/>
        <v>1</v>
      </c>
    </row>
    <row r="94" spans="1:8" x14ac:dyDescent="0.25">
      <c r="A94" s="1">
        <v>44654</v>
      </c>
      <c r="B94" s="2">
        <v>0.2528009259259259</v>
      </c>
      <c r="C94" s="2">
        <v>0.80175925925925928</v>
      </c>
      <c r="D94">
        <v>6</v>
      </c>
      <c r="E94">
        <v>2.3199999999999998</v>
      </c>
      <c r="F94">
        <v>1.08</v>
      </c>
      <c r="G94">
        <v>4.09</v>
      </c>
      <c r="H94">
        <f t="shared" si="1"/>
        <v>0</v>
      </c>
    </row>
    <row r="95" spans="1:8" x14ac:dyDescent="0.25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  <c r="H95">
        <f t="shared" si="1"/>
        <v>1</v>
      </c>
    </row>
    <row r="96" spans="1:8" x14ac:dyDescent="0.25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  <c r="H96">
        <f t="shared" si="1"/>
        <v>0</v>
      </c>
    </row>
    <row r="97" spans="1:8" x14ac:dyDescent="0.25">
      <c r="A97" s="1">
        <v>44657</v>
      </c>
      <c r="B97" s="2">
        <v>0.24800925925925926</v>
      </c>
      <c r="C97" s="2">
        <v>0.80535879629629625</v>
      </c>
      <c r="D97">
        <v>4</v>
      </c>
      <c r="E97">
        <v>3.57</v>
      </c>
      <c r="F97">
        <v>0.16</v>
      </c>
      <c r="G97">
        <v>2.94</v>
      </c>
      <c r="H97">
        <f t="shared" si="1"/>
        <v>0</v>
      </c>
    </row>
    <row r="98" spans="1:8" x14ac:dyDescent="0.25">
      <c r="A98" s="1">
        <v>44658</v>
      </c>
      <c r="B98" s="2">
        <v>0.24641203703703704</v>
      </c>
      <c r="C98" s="2">
        <v>0.80656249999999996</v>
      </c>
      <c r="D98">
        <v>2</v>
      </c>
      <c r="E98">
        <v>6.61</v>
      </c>
      <c r="F98">
        <v>2.5099999999999998</v>
      </c>
      <c r="G98">
        <v>1.34</v>
      </c>
      <c r="H98">
        <f t="shared" si="1"/>
        <v>1</v>
      </c>
    </row>
    <row r="99" spans="1:8" x14ac:dyDescent="0.25">
      <c r="A99" s="1">
        <v>44659</v>
      </c>
      <c r="B99" s="2">
        <v>0.24482638888888889</v>
      </c>
      <c r="C99" s="2">
        <v>0.80775462962962963</v>
      </c>
      <c r="D99">
        <v>0</v>
      </c>
      <c r="E99">
        <v>14.15</v>
      </c>
      <c r="F99">
        <v>3.32</v>
      </c>
      <c r="G99">
        <v>1.82</v>
      </c>
      <c r="H99">
        <f t="shared" si="1"/>
        <v>2</v>
      </c>
    </row>
    <row r="100" spans="1:8" x14ac:dyDescent="0.25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  <c r="H100">
        <f t="shared" si="1"/>
        <v>0</v>
      </c>
    </row>
    <row r="101" spans="1:8" x14ac:dyDescent="0.25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  <c r="H101">
        <f t="shared" si="1"/>
        <v>0</v>
      </c>
    </row>
    <row r="102" spans="1:8" x14ac:dyDescent="0.25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  <c r="H102">
        <f t="shared" si="1"/>
        <v>0</v>
      </c>
    </row>
    <row r="103" spans="1:8" x14ac:dyDescent="0.25">
      <c r="A103" s="1">
        <v>44663</v>
      </c>
      <c r="B103" s="2">
        <v>0.23854166666666668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  <c r="H103">
        <f t="shared" si="1"/>
        <v>1</v>
      </c>
    </row>
    <row r="104" spans="1:8" x14ac:dyDescent="0.25">
      <c r="A104" s="1">
        <v>44664</v>
      </c>
      <c r="B104" s="2">
        <v>0.23699074074074075</v>
      </c>
      <c r="C104" s="2">
        <v>0.81376157407407412</v>
      </c>
      <c r="D104">
        <v>1</v>
      </c>
      <c r="E104">
        <v>7.5</v>
      </c>
      <c r="F104">
        <v>3.12</v>
      </c>
      <c r="G104">
        <v>2.94</v>
      </c>
      <c r="H104">
        <f t="shared" si="1"/>
        <v>0</v>
      </c>
    </row>
    <row r="105" spans="1:8" x14ac:dyDescent="0.25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  <c r="H105">
        <f t="shared" si="1"/>
        <v>1</v>
      </c>
    </row>
    <row r="106" spans="1:8" x14ac:dyDescent="0.25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  <c r="H106">
        <f t="shared" si="1"/>
        <v>0</v>
      </c>
    </row>
    <row r="107" spans="1:8" x14ac:dyDescent="0.25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  <c r="H107">
        <f t="shared" si="1"/>
        <v>0</v>
      </c>
    </row>
    <row r="108" spans="1:8" x14ac:dyDescent="0.25">
      <c r="A108" s="1">
        <v>44668</v>
      </c>
      <c r="B108" s="2">
        <v>0.2308449074074074</v>
      </c>
      <c r="C108" s="2">
        <v>0.8185648148148148</v>
      </c>
      <c r="D108">
        <v>6</v>
      </c>
      <c r="E108">
        <v>2.34</v>
      </c>
      <c r="F108">
        <v>1.06</v>
      </c>
      <c r="G108">
        <v>2.46</v>
      </c>
      <c r="H108">
        <f t="shared" si="1"/>
        <v>0</v>
      </c>
    </row>
    <row r="109" spans="1:8" x14ac:dyDescent="0.25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  <c r="H109">
        <f t="shared" si="1"/>
        <v>1</v>
      </c>
    </row>
    <row r="110" spans="1:8" x14ac:dyDescent="0.25">
      <c r="A110" s="1">
        <v>44670</v>
      </c>
      <c r="B110" s="2">
        <v>0.22783564814814813</v>
      </c>
      <c r="C110" s="2">
        <v>0.82096064814814818</v>
      </c>
      <c r="D110">
        <v>4</v>
      </c>
      <c r="E110">
        <v>3.78</v>
      </c>
      <c r="F110">
        <v>2.0699999999999998</v>
      </c>
      <c r="G110">
        <v>2.93</v>
      </c>
      <c r="H110">
        <f t="shared" si="1"/>
        <v>2</v>
      </c>
    </row>
    <row r="111" spans="1:8" x14ac:dyDescent="0.25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  <c r="H111">
        <f t="shared" si="1"/>
        <v>3</v>
      </c>
    </row>
    <row r="112" spans="1:8" x14ac:dyDescent="0.25">
      <c r="A112" s="1">
        <v>44672</v>
      </c>
      <c r="B112" s="2">
        <v>0.22486111111111112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  <c r="H112">
        <f t="shared" si="1"/>
        <v>4</v>
      </c>
    </row>
    <row r="113" spans="1:8" x14ac:dyDescent="0.25">
      <c r="A113" s="1">
        <v>44673</v>
      </c>
      <c r="B113" s="2">
        <v>0.22337962962962962</v>
      </c>
      <c r="C113" s="2">
        <v>0.82456018518518515</v>
      </c>
      <c r="D113">
        <v>5</v>
      </c>
      <c r="E113">
        <v>2.54</v>
      </c>
      <c r="F113">
        <v>0.68</v>
      </c>
      <c r="G113">
        <v>3.58</v>
      </c>
      <c r="H113">
        <f t="shared" si="1"/>
        <v>0</v>
      </c>
    </row>
    <row r="114" spans="1:8" x14ac:dyDescent="0.25">
      <c r="A114" s="1">
        <v>44674</v>
      </c>
      <c r="B114" s="2">
        <v>0.22192129629629628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  <c r="H114">
        <f t="shared" si="1"/>
        <v>1</v>
      </c>
    </row>
    <row r="115" spans="1:8" x14ac:dyDescent="0.25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  <c r="H115">
        <f t="shared" si="1"/>
        <v>2</v>
      </c>
    </row>
    <row r="116" spans="1:8" x14ac:dyDescent="0.25">
      <c r="A116" s="1">
        <v>44676</v>
      </c>
      <c r="B116" s="2">
        <v>0.21903935185185186</v>
      </c>
      <c r="C116" s="2">
        <v>0.82814814814814819</v>
      </c>
      <c r="D116">
        <v>6</v>
      </c>
      <c r="E116">
        <v>3.09</v>
      </c>
      <c r="F116">
        <v>1.32</v>
      </c>
      <c r="G116">
        <v>3.52</v>
      </c>
      <c r="H116">
        <f t="shared" si="1"/>
        <v>0</v>
      </c>
    </row>
    <row r="117" spans="1:8" x14ac:dyDescent="0.25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  <c r="H117">
        <f t="shared" si="1"/>
        <v>1</v>
      </c>
    </row>
    <row r="118" spans="1:8" x14ac:dyDescent="0.25">
      <c r="A118" s="1">
        <v>44678</v>
      </c>
      <c r="B118" s="2">
        <v>0.2162037037037037</v>
      </c>
      <c r="C118" s="2">
        <v>0.83053240740740741</v>
      </c>
      <c r="D118">
        <v>2</v>
      </c>
      <c r="E118">
        <v>6.08</v>
      </c>
      <c r="F118">
        <v>2.34</v>
      </c>
      <c r="G118">
        <v>1.65</v>
      </c>
      <c r="H118">
        <f t="shared" si="1"/>
        <v>2</v>
      </c>
    </row>
    <row r="119" spans="1:8" x14ac:dyDescent="0.25">
      <c r="A119" s="1">
        <v>44679</v>
      </c>
      <c r="B119" s="2">
        <v>0.21480324074074075</v>
      </c>
      <c r="C119" s="2">
        <v>0.83171296296296293</v>
      </c>
      <c r="D119">
        <v>6</v>
      </c>
      <c r="E119">
        <v>3.61</v>
      </c>
      <c r="F119">
        <v>1.32</v>
      </c>
      <c r="G119">
        <v>2.14</v>
      </c>
      <c r="H119">
        <f t="shared" si="1"/>
        <v>0</v>
      </c>
    </row>
    <row r="120" spans="1:8" x14ac:dyDescent="0.25">
      <c r="A120" s="1">
        <v>44680</v>
      </c>
      <c r="B120" s="2">
        <v>0.21342592592592594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  <c r="H120">
        <f t="shared" si="1"/>
        <v>1</v>
      </c>
    </row>
    <row r="121" spans="1:8" x14ac:dyDescent="0.25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  <c r="H121">
        <f t="shared" si="1"/>
        <v>0</v>
      </c>
    </row>
    <row r="122" spans="1:8" x14ac:dyDescent="0.25">
      <c r="A122" s="1">
        <v>44682</v>
      </c>
      <c r="B122" s="2">
        <v>0.21070601851851853</v>
      </c>
      <c r="C122" s="2">
        <v>0.83526620370370375</v>
      </c>
      <c r="D122">
        <v>3</v>
      </c>
      <c r="E122">
        <v>4.0999999999999996</v>
      </c>
      <c r="F122">
        <v>2.16</v>
      </c>
      <c r="G122">
        <v>3.12</v>
      </c>
      <c r="H122">
        <f t="shared" si="1"/>
        <v>0</v>
      </c>
    </row>
    <row r="123" spans="1:8" x14ac:dyDescent="0.25">
      <c r="A123" s="1">
        <v>44683</v>
      </c>
      <c r="B123" s="2">
        <v>0.20936342592592594</v>
      </c>
      <c r="C123" s="2">
        <v>0.83644675925925926</v>
      </c>
      <c r="D123">
        <v>0</v>
      </c>
      <c r="E123">
        <v>12.23</v>
      </c>
      <c r="F123">
        <v>3.94</v>
      </c>
      <c r="G123">
        <v>2.0099999999999998</v>
      </c>
      <c r="H123">
        <f t="shared" si="1"/>
        <v>1</v>
      </c>
    </row>
    <row r="124" spans="1:8" x14ac:dyDescent="0.25">
      <c r="A124" s="1">
        <v>44684</v>
      </c>
      <c r="B124" s="2">
        <v>0.20804398148148148</v>
      </c>
      <c r="C124" s="2">
        <v>0.83762731481481478</v>
      </c>
      <c r="D124">
        <v>3</v>
      </c>
      <c r="E124">
        <v>5.28</v>
      </c>
      <c r="F124">
        <v>2.87</v>
      </c>
      <c r="G124">
        <v>2.58</v>
      </c>
      <c r="H124">
        <f t="shared" si="1"/>
        <v>0</v>
      </c>
    </row>
    <row r="125" spans="1:8" x14ac:dyDescent="0.25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  <c r="H125">
        <f t="shared" si="1"/>
        <v>1</v>
      </c>
    </row>
    <row r="126" spans="1:8" x14ac:dyDescent="0.25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  <c r="H126">
        <f t="shared" si="1"/>
        <v>0</v>
      </c>
    </row>
    <row r="127" spans="1:8" x14ac:dyDescent="0.25">
      <c r="A127" s="1">
        <v>44687</v>
      </c>
      <c r="B127" s="2">
        <v>0.20418981481481482</v>
      </c>
      <c r="C127" s="2">
        <v>0.84112268518518518</v>
      </c>
      <c r="D127">
        <v>1</v>
      </c>
      <c r="E127">
        <v>8.76</v>
      </c>
      <c r="F127">
        <v>3.15</v>
      </c>
      <c r="G127">
        <v>1.42</v>
      </c>
      <c r="H127">
        <f t="shared" si="1"/>
        <v>0</v>
      </c>
    </row>
    <row r="128" spans="1:8" x14ac:dyDescent="0.25">
      <c r="A128" s="1">
        <v>44688</v>
      </c>
      <c r="B128" s="2">
        <v>0.20293981481481482</v>
      </c>
      <c r="C128" s="2">
        <v>0.84226851851851847</v>
      </c>
      <c r="D128">
        <v>2</v>
      </c>
      <c r="E128">
        <v>5.66</v>
      </c>
      <c r="F128">
        <v>4.2</v>
      </c>
      <c r="G128">
        <v>2.94</v>
      </c>
      <c r="H128">
        <f t="shared" si="1"/>
        <v>0</v>
      </c>
    </row>
    <row r="129" spans="1:8" x14ac:dyDescent="0.25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  <c r="H129">
        <f t="shared" si="1"/>
        <v>1</v>
      </c>
    </row>
    <row r="130" spans="1:8" x14ac:dyDescent="0.25">
      <c r="A130" s="1">
        <v>44690</v>
      </c>
      <c r="B130" s="2">
        <v>0.20049768518518518</v>
      </c>
      <c r="C130" s="2">
        <v>0.84456018518518516</v>
      </c>
      <c r="D130">
        <v>7</v>
      </c>
      <c r="E130">
        <v>2.89</v>
      </c>
      <c r="F130">
        <v>0.59</v>
      </c>
      <c r="G130">
        <v>2.19</v>
      </c>
      <c r="H130">
        <f t="shared" si="1"/>
        <v>0</v>
      </c>
    </row>
    <row r="131" spans="1:8" x14ac:dyDescent="0.25">
      <c r="A131" s="1">
        <v>44691</v>
      </c>
      <c r="B131" s="2">
        <v>0.19930555555555557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  <c r="H131">
        <f t="shared" si="1"/>
        <v>1</v>
      </c>
    </row>
    <row r="132" spans="1:8" x14ac:dyDescent="0.25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  <c r="H132">
        <f t="shared" ref="H132:H195" si="2">IF(AND(D132&lt;=D131, E132&gt;=E131),H131+1,0)</f>
        <v>2</v>
      </c>
    </row>
    <row r="133" spans="1:8" x14ac:dyDescent="0.25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  <c r="H133">
        <f t="shared" si="2"/>
        <v>3</v>
      </c>
    </row>
    <row r="134" spans="1:8" x14ac:dyDescent="0.25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  <c r="H134">
        <f t="shared" si="2"/>
        <v>0</v>
      </c>
    </row>
    <row r="135" spans="1:8" x14ac:dyDescent="0.25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  <c r="H135">
        <f t="shared" si="2"/>
        <v>0</v>
      </c>
    </row>
    <row r="136" spans="1:8" x14ac:dyDescent="0.25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  <c r="H136">
        <f t="shared" si="2"/>
        <v>1</v>
      </c>
    </row>
    <row r="137" spans="1:8" x14ac:dyDescent="0.25">
      <c r="A137" s="1">
        <v>44697</v>
      </c>
      <c r="B137" s="2">
        <v>0.19262731481481482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  <c r="H137">
        <f t="shared" si="2"/>
        <v>2</v>
      </c>
    </row>
    <row r="138" spans="1:8" x14ac:dyDescent="0.25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  <c r="H138">
        <f t="shared" si="2"/>
        <v>0</v>
      </c>
    </row>
    <row r="139" spans="1:8" x14ac:dyDescent="0.25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  <c r="H139">
        <f t="shared" si="2"/>
        <v>1</v>
      </c>
    </row>
    <row r="140" spans="1:8" x14ac:dyDescent="0.25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  <c r="H140">
        <f t="shared" si="2"/>
        <v>0</v>
      </c>
    </row>
    <row r="141" spans="1:8" x14ac:dyDescent="0.25">
      <c r="A141" s="1">
        <v>44701</v>
      </c>
      <c r="B141" s="2">
        <v>0.18864583333333335</v>
      </c>
      <c r="C141" s="2">
        <v>0.85652777777777778</v>
      </c>
      <c r="D141">
        <v>3</v>
      </c>
      <c r="E141">
        <v>6.62</v>
      </c>
      <c r="F141">
        <v>4.3</v>
      </c>
      <c r="G141">
        <v>2.2799999999999998</v>
      </c>
      <c r="H141">
        <f t="shared" si="2"/>
        <v>1</v>
      </c>
    </row>
    <row r="142" spans="1:8" x14ac:dyDescent="0.25">
      <c r="A142" s="1">
        <v>44702</v>
      </c>
      <c r="B142" s="2">
        <v>0.1877199074074074</v>
      </c>
      <c r="C142" s="2">
        <v>0.85754629629629631</v>
      </c>
      <c r="D142">
        <v>2</v>
      </c>
      <c r="E142">
        <v>5.03</v>
      </c>
      <c r="F142">
        <v>2.81</v>
      </c>
      <c r="G142">
        <v>3.05</v>
      </c>
      <c r="H142">
        <f t="shared" si="2"/>
        <v>0</v>
      </c>
    </row>
    <row r="143" spans="1:8" x14ac:dyDescent="0.25">
      <c r="A143" s="1">
        <v>44703</v>
      </c>
      <c r="B143" s="2">
        <v>0.18682870370370369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  <c r="H143">
        <f t="shared" si="2"/>
        <v>1</v>
      </c>
    </row>
    <row r="144" spans="1:8" x14ac:dyDescent="0.25">
      <c r="A144" s="1">
        <v>44704</v>
      </c>
      <c r="B144" s="2">
        <v>0.18594907407407407</v>
      </c>
      <c r="C144" s="2">
        <v>0.85952546296296295</v>
      </c>
      <c r="D144">
        <v>8</v>
      </c>
      <c r="E144">
        <v>1.36</v>
      </c>
      <c r="F144">
        <v>0.57999999999999996</v>
      </c>
      <c r="G144">
        <v>4.95</v>
      </c>
      <c r="H144">
        <f t="shared" si="2"/>
        <v>0</v>
      </c>
    </row>
    <row r="145" spans="1:9" x14ac:dyDescent="0.25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  <c r="H145">
        <f t="shared" si="2"/>
        <v>1</v>
      </c>
    </row>
    <row r="146" spans="1:9" x14ac:dyDescent="0.25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  <c r="H146">
        <f t="shared" si="2"/>
        <v>0</v>
      </c>
    </row>
    <row r="147" spans="1:9" x14ac:dyDescent="0.25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  <c r="H147">
        <f t="shared" si="2"/>
        <v>1</v>
      </c>
      <c r="I147" s="5" t="s">
        <v>10</v>
      </c>
    </row>
    <row r="148" spans="1:9" x14ac:dyDescent="0.25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  <c r="H148">
        <f t="shared" si="2"/>
        <v>2</v>
      </c>
      <c r="I148" s="5"/>
    </row>
    <row r="149" spans="1:9" x14ac:dyDescent="0.25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  <c r="H149">
        <f t="shared" si="2"/>
        <v>3</v>
      </c>
      <c r="I149" s="5"/>
    </row>
    <row r="150" spans="1:9" x14ac:dyDescent="0.25">
      <c r="A150" s="1">
        <v>44710</v>
      </c>
      <c r="B150" s="2">
        <v>0.18135416666666668</v>
      </c>
      <c r="C150" s="2">
        <v>0.86504629629629626</v>
      </c>
      <c r="D150">
        <v>1</v>
      </c>
      <c r="E150">
        <v>15.38</v>
      </c>
      <c r="F150">
        <v>10.54</v>
      </c>
      <c r="G150">
        <v>2.16</v>
      </c>
      <c r="H150">
        <f t="shared" si="2"/>
        <v>4</v>
      </c>
      <c r="I150" s="5"/>
    </row>
    <row r="151" spans="1:9" x14ac:dyDescent="0.25">
      <c r="A151" s="1">
        <v>44711</v>
      </c>
      <c r="B151" s="2">
        <v>0.18069444444444444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  <c r="H151">
        <f t="shared" si="2"/>
        <v>5</v>
      </c>
      <c r="I151" s="5"/>
    </row>
    <row r="152" spans="1:9" x14ac:dyDescent="0.25">
      <c r="A152" s="1">
        <v>44712</v>
      </c>
      <c r="B152" s="2">
        <v>0.18006944444444445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  <c r="H152">
        <f t="shared" si="2"/>
        <v>6</v>
      </c>
      <c r="I152" s="5"/>
    </row>
    <row r="153" spans="1:9" x14ac:dyDescent="0.25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  <c r="H153">
        <f t="shared" si="2"/>
        <v>0</v>
      </c>
    </row>
    <row r="154" spans="1:9" x14ac:dyDescent="0.25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  <c r="H154">
        <f t="shared" si="2"/>
        <v>0</v>
      </c>
    </row>
    <row r="155" spans="1:9" x14ac:dyDescent="0.25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  <c r="H155">
        <f t="shared" si="2"/>
        <v>1</v>
      </c>
    </row>
    <row r="156" spans="1:9" x14ac:dyDescent="0.25">
      <c r="A156" s="1">
        <v>44716</v>
      </c>
      <c r="B156" s="2">
        <v>0.17791666666666667</v>
      </c>
      <c r="C156" s="2">
        <v>0.8697569444444444</v>
      </c>
      <c r="D156">
        <v>2</v>
      </c>
      <c r="E156">
        <v>5.79</v>
      </c>
      <c r="F156">
        <v>1.35</v>
      </c>
      <c r="G156">
        <v>1.1200000000000001</v>
      </c>
      <c r="H156">
        <f t="shared" si="2"/>
        <v>0</v>
      </c>
    </row>
    <row r="157" spans="1:9" x14ac:dyDescent="0.25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  <c r="H157">
        <f t="shared" si="2"/>
        <v>1</v>
      </c>
    </row>
    <row r="158" spans="1:9" x14ac:dyDescent="0.25">
      <c r="A158" s="1">
        <v>44718</v>
      </c>
      <c r="B158" s="2">
        <v>0.17703703703703705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  <c r="H158">
        <f t="shared" si="2"/>
        <v>2</v>
      </c>
    </row>
    <row r="159" spans="1:9" x14ac:dyDescent="0.25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  <c r="H159">
        <f t="shared" si="2"/>
        <v>3</v>
      </c>
    </row>
    <row r="160" spans="1:9" x14ac:dyDescent="0.25">
      <c r="A160" s="1">
        <v>44720</v>
      </c>
      <c r="B160" s="2">
        <v>0.17631944444444445</v>
      </c>
      <c r="C160" s="2">
        <v>0.87237268518518518</v>
      </c>
      <c r="D160">
        <v>0</v>
      </c>
      <c r="E160">
        <v>12.57</v>
      </c>
      <c r="F160">
        <v>6.64</v>
      </c>
      <c r="G160">
        <v>3.26</v>
      </c>
      <c r="H160">
        <f t="shared" si="2"/>
        <v>0</v>
      </c>
    </row>
    <row r="161" spans="1:8" x14ac:dyDescent="0.25">
      <c r="A161" s="1">
        <v>44721</v>
      </c>
      <c r="B161" s="2">
        <v>0.17600694444444445</v>
      </c>
      <c r="C161" s="2">
        <v>0.8729513888888889</v>
      </c>
      <c r="D161">
        <v>4</v>
      </c>
      <c r="E161">
        <v>4.3</v>
      </c>
      <c r="F161">
        <v>2.36</v>
      </c>
      <c r="G161">
        <v>3.54</v>
      </c>
      <c r="H161">
        <f t="shared" si="2"/>
        <v>0</v>
      </c>
    </row>
    <row r="162" spans="1:8" x14ac:dyDescent="0.25">
      <c r="A162" s="1">
        <v>44722</v>
      </c>
      <c r="B162" s="2">
        <v>0.17572916666666666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  <c r="H162">
        <f t="shared" si="2"/>
        <v>1</v>
      </c>
    </row>
    <row r="163" spans="1:8" x14ac:dyDescent="0.25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  <c r="H163">
        <f t="shared" si="2"/>
        <v>0</v>
      </c>
    </row>
    <row r="164" spans="1:8" x14ac:dyDescent="0.25">
      <c r="A164" s="1">
        <v>44724</v>
      </c>
      <c r="B164" s="2">
        <v>0.17530092592592592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  <c r="H164">
        <f t="shared" si="2"/>
        <v>0</v>
      </c>
    </row>
    <row r="165" spans="1:8" x14ac:dyDescent="0.25">
      <c r="A165" s="1">
        <v>44725</v>
      </c>
      <c r="B165" s="2">
        <v>0.1751388888888889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  <c r="H165">
        <f t="shared" si="2"/>
        <v>1</v>
      </c>
    </row>
    <row r="166" spans="1:8" x14ac:dyDescent="0.25">
      <c r="A166" s="1">
        <v>44726</v>
      </c>
      <c r="B166" s="2">
        <v>0.17501157407407408</v>
      </c>
      <c r="C166" s="2">
        <v>0.87537037037037035</v>
      </c>
      <c r="D166">
        <v>0</v>
      </c>
      <c r="E166">
        <v>14.03</v>
      </c>
      <c r="F166">
        <v>5.68</v>
      </c>
      <c r="G166">
        <v>2.95</v>
      </c>
      <c r="H166">
        <f t="shared" si="2"/>
        <v>2</v>
      </c>
    </row>
    <row r="167" spans="1:8" x14ac:dyDescent="0.25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  <c r="H167">
        <f t="shared" si="2"/>
        <v>0</v>
      </c>
    </row>
    <row r="168" spans="1:8" x14ac:dyDescent="0.25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  <c r="H168">
        <f t="shared" si="2"/>
        <v>1</v>
      </c>
    </row>
    <row r="169" spans="1:8" x14ac:dyDescent="0.25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  <c r="H169">
        <f t="shared" si="2"/>
        <v>0</v>
      </c>
    </row>
    <row r="170" spans="1:8" x14ac:dyDescent="0.25">
      <c r="A170" s="1">
        <v>44730</v>
      </c>
      <c r="B170" s="2">
        <v>0.17488425925925927</v>
      </c>
      <c r="C170" s="2">
        <v>0.87668981481481478</v>
      </c>
      <c r="D170">
        <v>0</v>
      </c>
      <c r="E170">
        <v>11.1</v>
      </c>
      <c r="F170">
        <v>4.6399999999999997</v>
      </c>
      <c r="G170">
        <v>3.54</v>
      </c>
      <c r="H170">
        <f t="shared" si="2"/>
        <v>1</v>
      </c>
    </row>
    <row r="171" spans="1:8" x14ac:dyDescent="0.25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  <c r="H171">
        <f t="shared" si="2"/>
        <v>2</v>
      </c>
    </row>
    <row r="172" spans="1:8" x14ac:dyDescent="0.25">
      <c r="A172" s="1">
        <v>44732</v>
      </c>
      <c r="B172" s="2">
        <v>0.17504629629629628</v>
      </c>
      <c r="C172" s="2">
        <v>0.87712962962962959</v>
      </c>
      <c r="D172">
        <v>2</v>
      </c>
      <c r="E172">
        <v>8.8800000000000008</v>
      </c>
      <c r="F172">
        <v>6.14</v>
      </c>
      <c r="G172">
        <v>3.61</v>
      </c>
      <c r="H172">
        <f t="shared" si="2"/>
        <v>0</v>
      </c>
    </row>
    <row r="173" spans="1:8" x14ac:dyDescent="0.25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  <c r="H173">
        <f t="shared" si="2"/>
        <v>1</v>
      </c>
    </row>
    <row r="174" spans="1:8" x14ac:dyDescent="0.25">
      <c r="A174" s="1">
        <v>44734</v>
      </c>
      <c r="B174" s="2">
        <v>0.1753587962962963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  <c r="H174">
        <f t="shared" si="2"/>
        <v>0</v>
      </c>
    </row>
    <row r="175" spans="1:8" x14ac:dyDescent="0.25">
      <c r="A175" s="1">
        <v>44735</v>
      </c>
      <c r="B175" s="2">
        <v>0.17556712962962964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  <c r="H175">
        <f t="shared" si="2"/>
        <v>1</v>
      </c>
    </row>
    <row r="176" spans="1:8" x14ac:dyDescent="0.25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  <c r="H176">
        <f t="shared" si="2"/>
        <v>0</v>
      </c>
    </row>
    <row r="177" spans="1:8" x14ac:dyDescent="0.25">
      <c r="A177" s="1">
        <v>44737</v>
      </c>
      <c r="B177" s="2">
        <v>0.17608796296296297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  <c r="H177">
        <f t="shared" si="2"/>
        <v>0</v>
      </c>
    </row>
    <row r="178" spans="1:8" x14ac:dyDescent="0.25">
      <c r="A178" s="1">
        <v>44738</v>
      </c>
      <c r="B178" s="2">
        <v>0.17640046296296297</v>
      </c>
      <c r="C178" s="2">
        <v>0.8775694444444444</v>
      </c>
      <c r="D178">
        <v>1</v>
      </c>
      <c r="E178">
        <v>12.81</v>
      </c>
      <c r="F178">
        <v>7.18</v>
      </c>
      <c r="G178">
        <v>1.54</v>
      </c>
      <c r="H178">
        <f t="shared" si="2"/>
        <v>1</v>
      </c>
    </row>
    <row r="179" spans="1:8" x14ac:dyDescent="0.25">
      <c r="A179" s="1">
        <v>44739</v>
      </c>
      <c r="B179" s="2">
        <v>0.17674768518518519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  <c r="H179">
        <f t="shared" si="2"/>
        <v>2</v>
      </c>
    </row>
    <row r="180" spans="1:8" x14ac:dyDescent="0.25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  <c r="H180">
        <f t="shared" si="2"/>
        <v>3</v>
      </c>
    </row>
    <row r="181" spans="1:8" x14ac:dyDescent="0.25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  <c r="H181">
        <f t="shared" si="2"/>
        <v>4</v>
      </c>
    </row>
    <row r="182" spans="1:8" x14ac:dyDescent="0.25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  <c r="H182">
        <f t="shared" si="2"/>
        <v>0</v>
      </c>
    </row>
    <row r="183" spans="1:8" x14ac:dyDescent="0.25">
      <c r="A183" s="1">
        <v>44743</v>
      </c>
      <c r="B183" s="2">
        <v>0.17847222222222223</v>
      </c>
      <c r="C183" s="2">
        <v>0.87690972222222219</v>
      </c>
      <c r="D183">
        <v>2</v>
      </c>
      <c r="E183">
        <v>2.96</v>
      </c>
      <c r="F183">
        <v>1.54</v>
      </c>
      <c r="G183">
        <v>4.5199999999999996</v>
      </c>
      <c r="H183">
        <f t="shared" si="2"/>
        <v>0</v>
      </c>
    </row>
    <row r="184" spans="1:8" x14ac:dyDescent="0.25">
      <c r="A184" s="1">
        <v>44744</v>
      </c>
      <c r="B184" s="2">
        <v>0.17898148148148149</v>
      </c>
      <c r="C184" s="2">
        <v>0.87665509259259256</v>
      </c>
      <c r="D184">
        <v>0</v>
      </c>
      <c r="E184">
        <v>13.76</v>
      </c>
      <c r="F184">
        <v>7.09</v>
      </c>
      <c r="G184">
        <v>4.32</v>
      </c>
      <c r="H184">
        <f t="shared" si="2"/>
        <v>1</v>
      </c>
    </row>
    <row r="185" spans="1:8" x14ac:dyDescent="0.25">
      <c r="A185" s="1">
        <v>44745</v>
      </c>
      <c r="B185" s="2">
        <v>0.17952546296296296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  <c r="H185">
        <f t="shared" si="2"/>
        <v>2</v>
      </c>
    </row>
    <row r="186" spans="1:8" x14ac:dyDescent="0.25">
      <c r="A186" s="1">
        <v>44746</v>
      </c>
      <c r="B186" s="2">
        <v>0.18010416666666668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  <c r="H186">
        <f t="shared" si="2"/>
        <v>3</v>
      </c>
    </row>
    <row r="187" spans="1:8" x14ac:dyDescent="0.25">
      <c r="A187" s="1">
        <v>44747</v>
      </c>
      <c r="B187" s="2">
        <v>0.18069444444444444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  <c r="H187">
        <f t="shared" si="2"/>
        <v>0</v>
      </c>
    </row>
    <row r="188" spans="1:8" x14ac:dyDescent="0.25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  <c r="H188">
        <f t="shared" si="2"/>
        <v>0</v>
      </c>
    </row>
    <row r="189" spans="1:8" x14ac:dyDescent="0.25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  <c r="H189">
        <f t="shared" si="2"/>
        <v>1</v>
      </c>
    </row>
    <row r="190" spans="1:8" x14ac:dyDescent="0.25">
      <c r="A190" s="1">
        <v>44750</v>
      </c>
      <c r="B190" s="2">
        <v>0.18267361111111111</v>
      </c>
      <c r="C190" s="2">
        <v>0.87440972222222224</v>
      </c>
      <c r="D190">
        <v>1</v>
      </c>
      <c r="E190">
        <v>11.9</v>
      </c>
      <c r="F190">
        <v>7.34</v>
      </c>
      <c r="G190">
        <v>4.8099999999999996</v>
      </c>
      <c r="H190">
        <f t="shared" si="2"/>
        <v>0</v>
      </c>
    </row>
    <row r="191" spans="1:8" x14ac:dyDescent="0.25">
      <c r="A191" s="1">
        <v>44751</v>
      </c>
      <c r="B191" s="2">
        <v>0.18337962962962964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  <c r="H191">
        <f t="shared" si="2"/>
        <v>1</v>
      </c>
    </row>
    <row r="192" spans="1:8" x14ac:dyDescent="0.25">
      <c r="A192" s="1">
        <v>44752</v>
      </c>
      <c r="B192" s="2">
        <v>0.18412037037037038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  <c r="H192">
        <f t="shared" si="2"/>
        <v>2</v>
      </c>
    </row>
    <row r="193" spans="1:8" x14ac:dyDescent="0.25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  <c r="H193">
        <f t="shared" si="2"/>
        <v>0</v>
      </c>
    </row>
    <row r="194" spans="1:8" x14ac:dyDescent="0.25">
      <c r="A194" s="1">
        <v>44754</v>
      </c>
      <c r="B194" s="2">
        <v>0.18565972222222221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  <c r="H194">
        <f t="shared" si="2"/>
        <v>1</v>
      </c>
    </row>
    <row r="195" spans="1:8" x14ac:dyDescent="0.25">
      <c r="A195" s="1">
        <v>44755</v>
      </c>
      <c r="B195" s="2">
        <v>0.1864699074074074</v>
      </c>
      <c r="C195" s="2">
        <v>0.87155092592592598</v>
      </c>
      <c r="D195">
        <v>0</v>
      </c>
      <c r="E195">
        <v>17.22</v>
      </c>
      <c r="F195">
        <v>9.69</v>
      </c>
      <c r="G195">
        <v>2.84</v>
      </c>
      <c r="H195">
        <f t="shared" si="2"/>
        <v>0</v>
      </c>
    </row>
    <row r="196" spans="1:8" x14ac:dyDescent="0.25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  <c r="H196">
        <f t="shared" ref="H196:H259" si="3">IF(AND(D196&lt;=D195, E196&gt;=E195),H195+1,0)</f>
        <v>0</v>
      </c>
    </row>
    <row r="197" spans="1:8" x14ac:dyDescent="0.25">
      <c r="A197" s="1">
        <v>44757</v>
      </c>
      <c r="B197" s="2">
        <v>0.18813657407407408</v>
      </c>
      <c r="C197" s="2">
        <v>0.87017361111111113</v>
      </c>
      <c r="D197">
        <v>1</v>
      </c>
      <c r="E197">
        <v>15.96</v>
      </c>
      <c r="F197">
        <v>11.95</v>
      </c>
      <c r="G197">
        <v>3.05</v>
      </c>
      <c r="H197">
        <f t="shared" si="3"/>
        <v>1</v>
      </c>
    </row>
    <row r="198" spans="1:8" x14ac:dyDescent="0.25">
      <c r="A198" s="1">
        <v>44758</v>
      </c>
      <c r="B198" s="2">
        <v>0.1890162037037037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  <c r="H198">
        <f t="shared" si="3"/>
        <v>0</v>
      </c>
    </row>
    <row r="199" spans="1:8" x14ac:dyDescent="0.25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  <c r="H199">
        <f t="shared" si="3"/>
        <v>1</v>
      </c>
    </row>
    <row r="200" spans="1:8" x14ac:dyDescent="0.25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  <c r="H200">
        <f t="shared" si="3"/>
        <v>0</v>
      </c>
    </row>
    <row r="201" spans="1:8" x14ac:dyDescent="0.25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  <c r="H201">
        <f t="shared" si="3"/>
        <v>0</v>
      </c>
    </row>
    <row r="202" spans="1:8" x14ac:dyDescent="0.25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  <c r="H202">
        <f t="shared" si="3"/>
        <v>0</v>
      </c>
    </row>
    <row r="203" spans="1:8" x14ac:dyDescent="0.25">
      <c r="A203" s="1">
        <v>44763</v>
      </c>
      <c r="B203" s="2">
        <v>0.19362268518518519</v>
      </c>
      <c r="C203" s="2">
        <v>0.86531250000000004</v>
      </c>
      <c r="D203">
        <v>0</v>
      </c>
      <c r="E203">
        <v>18.3</v>
      </c>
      <c r="F203">
        <v>10.96</v>
      </c>
      <c r="G203">
        <v>2.14</v>
      </c>
      <c r="H203">
        <f t="shared" si="3"/>
        <v>1</v>
      </c>
    </row>
    <row r="204" spans="1:8" x14ac:dyDescent="0.25">
      <c r="A204" s="1">
        <v>44764</v>
      </c>
      <c r="B204" s="2">
        <v>0.1945949074074074</v>
      </c>
      <c r="C204" s="2">
        <v>0.86439814814814819</v>
      </c>
      <c r="D204">
        <v>0</v>
      </c>
      <c r="E204">
        <v>17.04</v>
      </c>
      <c r="F204">
        <v>9.85</v>
      </c>
      <c r="G204">
        <v>2.2599999999999998</v>
      </c>
      <c r="H204">
        <f t="shared" si="3"/>
        <v>0</v>
      </c>
    </row>
    <row r="205" spans="1:8" x14ac:dyDescent="0.25">
      <c r="A205" s="1">
        <v>44765</v>
      </c>
      <c r="B205" s="2">
        <v>0.1955787037037037</v>
      </c>
      <c r="C205" s="2">
        <v>0.86346064814814816</v>
      </c>
      <c r="D205">
        <v>0</v>
      </c>
      <c r="E205">
        <v>18.850000000000001</v>
      </c>
      <c r="F205">
        <v>11.75</v>
      </c>
      <c r="G205">
        <v>2.94</v>
      </c>
      <c r="H205">
        <f t="shared" si="3"/>
        <v>1</v>
      </c>
    </row>
    <row r="206" spans="1:8" x14ac:dyDescent="0.25">
      <c r="A206" s="1">
        <v>44766</v>
      </c>
      <c r="B206" s="2">
        <v>0.19658564814814813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  <c r="H206">
        <f t="shared" si="3"/>
        <v>0</v>
      </c>
    </row>
    <row r="207" spans="1:8" x14ac:dyDescent="0.25">
      <c r="A207" s="1">
        <v>44767</v>
      </c>
      <c r="B207" s="2">
        <v>0.1975925925925926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  <c r="H207">
        <f t="shared" si="3"/>
        <v>0</v>
      </c>
    </row>
    <row r="208" spans="1:8" x14ac:dyDescent="0.25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  <c r="H208">
        <f t="shared" si="3"/>
        <v>1</v>
      </c>
    </row>
    <row r="209" spans="1:8" x14ac:dyDescent="0.25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  <c r="H209">
        <f t="shared" si="3"/>
        <v>2</v>
      </c>
    </row>
    <row r="210" spans="1:8" x14ac:dyDescent="0.25">
      <c r="A210" s="1">
        <v>44770</v>
      </c>
      <c r="B210" s="2">
        <v>0.20069444444444445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  <c r="H210">
        <f t="shared" si="3"/>
        <v>3</v>
      </c>
    </row>
    <row r="211" spans="1:8" x14ac:dyDescent="0.25">
      <c r="A211" s="1">
        <v>44771</v>
      </c>
      <c r="B211" s="2">
        <v>0.20175925925925925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  <c r="H211">
        <f t="shared" si="3"/>
        <v>0</v>
      </c>
    </row>
    <row r="212" spans="1:8" x14ac:dyDescent="0.25">
      <c r="A212" s="1">
        <v>44772</v>
      </c>
      <c r="B212" s="2">
        <v>0.20282407407407407</v>
      </c>
      <c r="C212" s="2">
        <v>0.85614583333333338</v>
      </c>
      <c r="D212">
        <v>1</v>
      </c>
      <c r="E212">
        <v>14.2</v>
      </c>
      <c r="F212">
        <v>10.59</v>
      </c>
      <c r="G212">
        <v>4.04</v>
      </c>
      <c r="H212">
        <f t="shared" si="3"/>
        <v>0</v>
      </c>
    </row>
    <row r="213" spans="1:8" x14ac:dyDescent="0.25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  <c r="H213">
        <f t="shared" si="3"/>
        <v>0</v>
      </c>
    </row>
    <row r="214" spans="1:8" x14ac:dyDescent="0.25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  <c r="H214">
        <f t="shared" si="3"/>
        <v>1</v>
      </c>
    </row>
    <row r="215" spans="1:8" x14ac:dyDescent="0.25">
      <c r="A215" s="1">
        <v>44775</v>
      </c>
      <c r="B215" s="2">
        <v>0.20606481481481481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  <c r="H215">
        <f t="shared" si="3"/>
        <v>2</v>
      </c>
    </row>
    <row r="216" spans="1:8" x14ac:dyDescent="0.25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  <c r="H216">
        <f t="shared" si="3"/>
        <v>0</v>
      </c>
    </row>
    <row r="217" spans="1:8" x14ac:dyDescent="0.25">
      <c r="A217" s="1">
        <v>44777</v>
      </c>
      <c r="B217" s="2">
        <v>0.20826388888888889</v>
      </c>
      <c r="C217" s="2">
        <v>0.85023148148148153</v>
      </c>
      <c r="D217">
        <v>0</v>
      </c>
      <c r="E217">
        <v>19.88</v>
      </c>
      <c r="F217">
        <v>10.14</v>
      </c>
      <c r="G217">
        <v>1.94</v>
      </c>
      <c r="H217">
        <f t="shared" si="3"/>
        <v>1</v>
      </c>
    </row>
    <row r="218" spans="1:8" x14ac:dyDescent="0.25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  <c r="H218">
        <f t="shared" si="3"/>
        <v>0</v>
      </c>
    </row>
    <row r="219" spans="1:8" x14ac:dyDescent="0.25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  <c r="H219">
        <f t="shared" si="3"/>
        <v>0</v>
      </c>
    </row>
    <row r="220" spans="1:8" x14ac:dyDescent="0.25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  <c r="H220">
        <f t="shared" si="3"/>
        <v>1</v>
      </c>
    </row>
    <row r="221" spans="1:8" x14ac:dyDescent="0.25">
      <c r="A221" s="1">
        <v>44781</v>
      </c>
      <c r="B221" s="2">
        <v>0.2127199074074074</v>
      </c>
      <c r="C221" s="2">
        <v>0.84513888888888888</v>
      </c>
      <c r="D221">
        <v>0</v>
      </c>
      <c r="E221">
        <v>15.21</v>
      </c>
      <c r="F221">
        <v>6.71</v>
      </c>
      <c r="G221">
        <v>3.21</v>
      </c>
      <c r="H221">
        <f t="shared" si="3"/>
        <v>0</v>
      </c>
    </row>
    <row r="222" spans="1:8" x14ac:dyDescent="0.25">
      <c r="A222" s="1">
        <v>44782</v>
      </c>
      <c r="B222" s="2">
        <v>0.21384259259259258</v>
      </c>
      <c r="C222" s="2">
        <v>0.84381944444444446</v>
      </c>
      <c r="D222">
        <v>0</v>
      </c>
      <c r="E222">
        <v>19.329999999999998</v>
      </c>
      <c r="F222">
        <v>10.19</v>
      </c>
      <c r="G222">
        <v>1.54</v>
      </c>
      <c r="H222">
        <f t="shared" si="3"/>
        <v>1</v>
      </c>
    </row>
    <row r="223" spans="1:8" x14ac:dyDescent="0.25">
      <c r="A223" s="1">
        <v>44783</v>
      </c>
      <c r="B223" s="2">
        <v>0.21497685185185186</v>
      </c>
      <c r="C223" s="2">
        <v>0.84248842592592588</v>
      </c>
      <c r="D223">
        <v>0</v>
      </c>
      <c r="E223">
        <v>19.829999999999998</v>
      </c>
      <c r="F223">
        <v>12.94</v>
      </c>
      <c r="G223">
        <v>3.94</v>
      </c>
      <c r="H223">
        <f t="shared" si="3"/>
        <v>2</v>
      </c>
    </row>
    <row r="224" spans="1:8" x14ac:dyDescent="0.25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  <c r="H224">
        <f t="shared" si="3"/>
        <v>0</v>
      </c>
    </row>
    <row r="225" spans="1:8" x14ac:dyDescent="0.25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  <c r="H225">
        <f t="shared" si="3"/>
        <v>0</v>
      </c>
    </row>
    <row r="226" spans="1:8" x14ac:dyDescent="0.25">
      <c r="A226" s="1">
        <v>44786</v>
      </c>
      <c r="B226" s="2">
        <v>0.21837962962962962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  <c r="H226">
        <f t="shared" si="3"/>
        <v>1</v>
      </c>
    </row>
    <row r="227" spans="1:8" x14ac:dyDescent="0.25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  <c r="H227">
        <f t="shared" si="3"/>
        <v>0</v>
      </c>
    </row>
    <row r="228" spans="1:8" x14ac:dyDescent="0.25">
      <c r="A228" s="1">
        <v>44788</v>
      </c>
      <c r="B228" s="2">
        <v>0.22065972222222222</v>
      </c>
      <c r="C228" s="2">
        <v>0.83559027777777772</v>
      </c>
      <c r="D228">
        <v>0</v>
      </c>
      <c r="E228">
        <v>19.920000000000002</v>
      </c>
      <c r="F228">
        <v>12.25</v>
      </c>
      <c r="G228">
        <v>1.77</v>
      </c>
      <c r="H228">
        <f t="shared" si="3"/>
        <v>1</v>
      </c>
    </row>
    <row r="229" spans="1:8" x14ac:dyDescent="0.25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  <c r="H229">
        <f t="shared" si="3"/>
        <v>0</v>
      </c>
    </row>
    <row r="230" spans="1:8" x14ac:dyDescent="0.25">
      <c r="A230" s="1">
        <v>44790</v>
      </c>
      <c r="B230" s="2">
        <v>0.22295138888888888</v>
      </c>
      <c r="C230" s="2">
        <v>0.83273148148148146</v>
      </c>
      <c r="D230">
        <v>0</v>
      </c>
      <c r="E230">
        <v>18.84</v>
      </c>
      <c r="F230">
        <v>10.64</v>
      </c>
      <c r="G230">
        <v>3.51</v>
      </c>
      <c r="H230">
        <f t="shared" si="3"/>
        <v>1</v>
      </c>
    </row>
    <row r="231" spans="1:8" x14ac:dyDescent="0.25">
      <c r="A231" s="1">
        <v>44791</v>
      </c>
      <c r="B231" s="2">
        <v>0.22409722222222223</v>
      </c>
      <c r="C231" s="2">
        <v>0.83127314814814812</v>
      </c>
      <c r="D231">
        <v>0</v>
      </c>
      <c r="E231">
        <v>18.97</v>
      </c>
      <c r="F231">
        <v>10.97</v>
      </c>
      <c r="G231">
        <v>3.09</v>
      </c>
      <c r="H231">
        <f t="shared" si="3"/>
        <v>2</v>
      </c>
    </row>
    <row r="232" spans="1:8" x14ac:dyDescent="0.25">
      <c r="A232" s="1">
        <v>44792</v>
      </c>
      <c r="B232" s="2">
        <v>0.22524305555555554</v>
      </c>
      <c r="C232" s="2">
        <v>0.82981481481481478</v>
      </c>
      <c r="D232">
        <v>1</v>
      </c>
      <c r="E232">
        <v>11.99</v>
      </c>
      <c r="F232">
        <v>7.68</v>
      </c>
      <c r="G232">
        <v>3.68</v>
      </c>
      <c r="H232">
        <f t="shared" si="3"/>
        <v>0</v>
      </c>
    </row>
    <row r="233" spans="1:8" x14ac:dyDescent="0.25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  <c r="H233">
        <f t="shared" si="3"/>
        <v>1</v>
      </c>
    </row>
    <row r="234" spans="1:8" x14ac:dyDescent="0.25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  <c r="H234">
        <f t="shared" si="3"/>
        <v>0</v>
      </c>
    </row>
    <row r="235" spans="1:8" x14ac:dyDescent="0.25">
      <c r="A235" s="1">
        <v>44795</v>
      </c>
      <c r="B235" s="2">
        <v>0.22868055555555555</v>
      </c>
      <c r="C235" s="2">
        <v>0.82535879629629627</v>
      </c>
      <c r="D235">
        <v>1</v>
      </c>
      <c r="E235">
        <v>14.17</v>
      </c>
      <c r="F235">
        <v>9.9700000000000006</v>
      </c>
      <c r="G235">
        <v>3.16</v>
      </c>
      <c r="H235">
        <f t="shared" si="3"/>
        <v>1</v>
      </c>
    </row>
    <row r="236" spans="1:8" x14ac:dyDescent="0.25">
      <c r="A236" s="1">
        <v>44796</v>
      </c>
      <c r="B236" s="2">
        <v>0.2298263888888889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  <c r="H236">
        <f t="shared" si="3"/>
        <v>0</v>
      </c>
    </row>
    <row r="237" spans="1:8" x14ac:dyDescent="0.25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  <c r="H237">
        <f t="shared" si="3"/>
        <v>1</v>
      </c>
    </row>
    <row r="238" spans="1:8" x14ac:dyDescent="0.25">
      <c r="A238" s="1">
        <v>44798</v>
      </c>
      <c r="B238" s="2">
        <v>0.23211805555555556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  <c r="H238">
        <f t="shared" si="3"/>
        <v>0</v>
      </c>
    </row>
    <row r="239" spans="1:8" x14ac:dyDescent="0.25">
      <c r="A239" s="1">
        <v>44799</v>
      </c>
      <c r="B239" s="2">
        <v>0.23326388888888888</v>
      </c>
      <c r="C239" s="2">
        <v>0.81927083333333328</v>
      </c>
      <c r="D239">
        <v>0</v>
      </c>
      <c r="E239">
        <v>16.829999999999998</v>
      </c>
      <c r="F239">
        <v>8.83</v>
      </c>
      <c r="G239">
        <v>3.07</v>
      </c>
      <c r="H239">
        <f t="shared" si="3"/>
        <v>0</v>
      </c>
    </row>
    <row r="240" spans="1:8" x14ac:dyDescent="0.25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  <c r="H240">
        <f t="shared" si="3"/>
        <v>1</v>
      </c>
    </row>
    <row r="241" spans="1:8" x14ac:dyDescent="0.25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  <c r="H241">
        <f t="shared" si="3"/>
        <v>2</v>
      </c>
    </row>
    <row r="242" spans="1:8" x14ac:dyDescent="0.25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  <c r="H242">
        <f t="shared" si="3"/>
        <v>3</v>
      </c>
    </row>
    <row r="243" spans="1:8" x14ac:dyDescent="0.25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  <c r="H243">
        <f t="shared" si="3"/>
        <v>0</v>
      </c>
    </row>
    <row r="244" spans="1:8" x14ac:dyDescent="0.25">
      <c r="A244" s="1">
        <v>44804</v>
      </c>
      <c r="B244" s="2">
        <v>0.23899305555555556</v>
      </c>
      <c r="C244" s="2">
        <v>0.81146990740740743</v>
      </c>
      <c r="D244">
        <v>0</v>
      </c>
      <c r="E244">
        <v>17.559999999999999</v>
      </c>
      <c r="F244">
        <v>9.49</v>
      </c>
      <c r="G244">
        <v>0.94</v>
      </c>
      <c r="H244">
        <f t="shared" si="3"/>
        <v>0</v>
      </c>
    </row>
    <row r="245" spans="1:8" x14ac:dyDescent="0.25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  <c r="H245">
        <f t="shared" si="3"/>
        <v>0</v>
      </c>
    </row>
    <row r="246" spans="1:8" x14ac:dyDescent="0.25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  <c r="H246">
        <f t="shared" si="3"/>
        <v>0</v>
      </c>
    </row>
    <row r="247" spans="1:8" x14ac:dyDescent="0.25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  <c r="H247">
        <f t="shared" si="3"/>
        <v>0</v>
      </c>
    </row>
    <row r="248" spans="1:8" x14ac:dyDescent="0.25">
      <c r="A248" s="1">
        <v>44808</v>
      </c>
      <c r="B248" s="2">
        <v>0.24356481481481482</v>
      </c>
      <c r="C248" s="2">
        <v>0.80510416666666662</v>
      </c>
      <c r="D248">
        <v>0</v>
      </c>
      <c r="E248">
        <v>19.399999999999999</v>
      </c>
      <c r="F248">
        <v>10.84</v>
      </c>
      <c r="G248">
        <v>0.84</v>
      </c>
      <c r="H248">
        <f t="shared" si="3"/>
        <v>1</v>
      </c>
    </row>
    <row r="249" spans="1:8" x14ac:dyDescent="0.25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  <c r="H249">
        <f t="shared" si="3"/>
        <v>0</v>
      </c>
    </row>
    <row r="250" spans="1:8" x14ac:dyDescent="0.25">
      <c r="A250" s="1">
        <v>44810</v>
      </c>
      <c r="B250" s="2">
        <v>0.24584490740740741</v>
      </c>
      <c r="C250" s="2">
        <v>0.80189814814814819</v>
      </c>
      <c r="D250">
        <v>2</v>
      </c>
      <c r="E250">
        <v>10.199999999999999</v>
      </c>
      <c r="F250">
        <v>6.94</v>
      </c>
      <c r="G250">
        <v>1.89</v>
      </c>
      <c r="H250">
        <f t="shared" si="3"/>
        <v>0</v>
      </c>
    </row>
    <row r="251" spans="1:8" x14ac:dyDescent="0.25">
      <c r="A251" s="1">
        <v>44811</v>
      </c>
      <c r="B251" s="2">
        <v>0.24699074074074073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  <c r="H251">
        <f t="shared" si="3"/>
        <v>1</v>
      </c>
    </row>
    <row r="252" spans="1:8" x14ac:dyDescent="0.25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  <c r="H252">
        <f t="shared" si="3"/>
        <v>0</v>
      </c>
    </row>
    <row r="253" spans="1:8" x14ac:dyDescent="0.25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  <c r="H253">
        <f t="shared" si="3"/>
        <v>0</v>
      </c>
    </row>
    <row r="254" spans="1:8" x14ac:dyDescent="0.25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  <c r="H254">
        <f t="shared" si="3"/>
        <v>1</v>
      </c>
    </row>
    <row r="255" spans="1:8" x14ac:dyDescent="0.25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  <c r="H255">
        <f t="shared" si="3"/>
        <v>0</v>
      </c>
    </row>
    <row r="256" spans="1:8" x14ac:dyDescent="0.25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  <c r="H256">
        <f t="shared" si="3"/>
        <v>0</v>
      </c>
    </row>
    <row r="257" spans="1:8" x14ac:dyDescent="0.25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  <c r="H257">
        <f t="shared" si="3"/>
        <v>1</v>
      </c>
    </row>
    <row r="258" spans="1:8" x14ac:dyDescent="0.25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  <c r="H258">
        <f t="shared" si="3"/>
        <v>2</v>
      </c>
    </row>
    <row r="259" spans="1:8" x14ac:dyDescent="0.25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  <c r="H259">
        <f t="shared" si="3"/>
        <v>3</v>
      </c>
    </row>
    <row r="260" spans="1:8" x14ac:dyDescent="0.25">
      <c r="A260" s="1">
        <v>44820</v>
      </c>
      <c r="B260" s="2">
        <v>0.25725694444444447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  <c r="H260">
        <f t="shared" ref="H260:H323" si="4">IF(AND(D260&lt;=D259, E260&gt;=E259),H259+1,0)</f>
        <v>0</v>
      </c>
    </row>
    <row r="261" spans="1:8" x14ac:dyDescent="0.25">
      <c r="A261" s="1">
        <v>44821</v>
      </c>
      <c r="B261" s="2">
        <v>0.25840277777777776</v>
      </c>
      <c r="C261" s="2">
        <v>0.78396990740740746</v>
      </c>
      <c r="D261">
        <v>1</v>
      </c>
      <c r="E261">
        <v>13.43</v>
      </c>
      <c r="F261">
        <v>8.9700000000000006</v>
      </c>
      <c r="G261">
        <v>3.24</v>
      </c>
      <c r="H261">
        <f t="shared" si="4"/>
        <v>1</v>
      </c>
    </row>
    <row r="262" spans="1:8" x14ac:dyDescent="0.25">
      <c r="A262" s="1">
        <v>44822</v>
      </c>
      <c r="B262" s="2">
        <v>0.2595486111111111</v>
      </c>
      <c r="C262" s="2">
        <v>0.78232638888888884</v>
      </c>
      <c r="D262">
        <v>1</v>
      </c>
      <c r="E262">
        <v>12.57</v>
      </c>
      <c r="F262">
        <v>8.44</v>
      </c>
      <c r="G262">
        <v>3.16</v>
      </c>
      <c r="H262">
        <f t="shared" si="4"/>
        <v>0</v>
      </c>
    </row>
    <row r="263" spans="1:8" x14ac:dyDescent="0.25">
      <c r="A263" s="1">
        <v>44823</v>
      </c>
      <c r="B263" s="2">
        <v>0.26069444444444445</v>
      </c>
      <c r="C263" s="2">
        <v>0.78068287037037032</v>
      </c>
      <c r="D263">
        <v>2</v>
      </c>
      <c r="E263">
        <v>10.44</v>
      </c>
      <c r="F263">
        <v>7.84</v>
      </c>
      <c r="G263">
        <v>2.48</v>
      </c>
      <c r="H263">
        <f t="shared" si="4"/>
        <v>0</v>
      </c>
    </row>
    <row r="264" spans="1:8" x14ac:dyDescent="0.25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  <c r="H264">
        <f t="shared" si="4"/>
        <v>1</v>
      </c>
    </row>
    <row r="265" spans="1:8" x14ac:dyDescent="0.25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  <c r="H265">
        <f t="shared" si="4"/>
        <v>2</v>
      </c>
    </row>
    <row r="266" spans="1:8" x14ac:dyDescent="0.25">
      <c r="A266" s="1">
        <v>44826</v>
      </c>
      <c r="B266" s="2">
        <v>0.26414351851851853</v>
      </c>
      <c r="C266" s="2">
        <v>0.77576388888888892</v>
      </c>
      <c r="D266">
        <v>0</v>
      </c>
      <c r="E266">
        <v>16.510000000000002</v>
      </c>
      <c r="F266">
        <v>7.84</v>
      </c>
      <c r="G266">
        <v>0.84</v>
      </c>
      <c r="H266">
        <f t="shared" si="4"/>
        <v>3</v>
      </c>
    </row>
    <row r="267" spans="1:8" x14ac:dyDescent="0.25">
      <c r="A267" s="1">
        <v>44827</v>
      </c>
      <c r="B267" s="2">
        <v>0.26528935185185187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  <c r="H267">
        <f t="shared" si="4"/>
        <v>0</v>
      </c>
    </row>
    <row r="268" spans="1:8" x14ac:dyDescent="0.25">
      <c r="A268" s="1">
        <v>44828</v>
      </c>
      <c r="B268" s="2">
        <v>0.26643518518518516</v>
      </c>
      <c r="C268" s="2">
        <v>0.77248842592592593</v>
      </c>
      <c r="D268">
        <v>0</v>
      </c>
      <c r="E268">
        <v>15.85</v>
      </c>
      <c r="F268">
        <v>6.64</v>
      </c>
      <c r="G268">
        <v>2.69</v>
      </c>
      <c r="H268">
        <f t="shared" si="4"/>
        <v>1</v>
      </c>
    </row>
    <row r="269" spans="1:8" x14ac:dyDescent="0.25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  <c r="H269">
        <f t="shared" si="4"/>
        <v>2</v>
      </c>
    </row>
    <row r="270" spans="1:8" x14ac:dyDescent="0.25">
      <c r="A270" s="1">
        <v>44830</v>
      </c>
      <c r="B270" s="2">
        <v>0.26874999999999999</v>
      </c>
      <c r="C270" s="2">
        <v>0.76921296296296293</v>
      </c>
      <c r="D270">
        <v>1</v>
      </c>
      <c r="E270">
        <v>11.93</v>
      </c>
      <c r="F270">
        <v>7.93</v>
      </c>
      <c r="G270">
        <v>3.04</v>
      </c>
      <c r="H270">
        <f t="shared" si="4"/>
        <v>0</v>
      </c>
    </row>
    <row r="271" spans="1:8" x14ac:dyDescent="0.25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  <c r="H271">
        <f t="shared" si="4"/>
        <v>1</v>
      </c>
    </row>
    <row r="272" spans="1:8" x14ac:dyDescent="0.25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  <c r="H272">
        <f t="shared" si="4"/>
        <v>2</v>
      </c>
    </row>
    <row r="273" spans="1:8" x14ac:dyDescent="0.25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  <c r="H273">
        <f t="shared" si="4"/>
        <v>0</v>
      </c>
    </row>
    <row r="274" spans="1:8" x14ac:dyDescent="0.25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  <c r="H274">
        <f t="shared" si="4"/>
        <v>1</v>
      </c>
    </row>
    <row r="275" spans="1:8" x14ac:dyDescent="0.25">
      <c r="A275" s="1">
        <v>44835</v>
      </c>
      <c r="B275" s="2">
        <v>0.27456018518518521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  <c r="H275">
        <f t="shared" si="4"/>
        <v>0</v>
      </c>
    </row>
    <row r="276" spans="1:8" x14ac:dyDescent="0.25">
      <c r="A276" s="1">
        <v>44836</v>
      </c>
      <c r="B276" s="2">
        <v>0.27572916666666669</v>
      </c>
      <c r="C276" s="2">
        <v>0.75947916666666671</v>
      </c>
      <c r="D276">
        <v>2</v>
      </c>
      <c r="E276">
        <v>8.07</v>
      </c>
      <c r="F276">
        <v>6.79</v>
      </c>
      <c r="G276">
        <v>5.03</v>
      </c>
      <c r="H276">
        <f t="shared" si="4"/>
        <v>1</v>
      </c>
    </row>
    <row r="277" spans="1:8" x14ac:dyDescent="0.25">
      <c r="A277" s="1">
        <v>44837</v>
      </c>
      <c r="B277" s="2">
        <v>0.27689814814814817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  <c r="H277">
        <f t="shared" si="4"/>
        <v>0</v>
      </c>
    </row>
    <row r="278" spans="1:8" x14ac:dyDescent="0.25">
      <c r="A278" s="1">
        <v>44838</v>
      </c>
      <c r="B278" s="2">
        <v>0.27807870370370369</v>
      </c>
      <c r="C278" s="2">
        <v>0.75626157407407413</v>
      </c>
      <c r="D278">
        <v>4</v>
      </c>
      <c r="E278">
        <v>4.3899999999999997</v>
      </c>
      <c r="F278">
        <v>1.26</v>
      </c>
      <c r="G278">
        <v>1.19</v>
      </c>
      <c r="H278">
        <f t="shared" si="4"/>
        <v>0</v>
      </c>
    </row>
    <row r="279" spans="1:8" x14ac:dyDescent="0.25">
      <c r="A279" s="1">
        <v>44839</v>
      </c>
      <c r="B279" s="2">
        <v>0.27925925925925926</v>
      </c>
      <c r="C279" s="2">
        <v>0.75466435185185188</v>
      </c>
      <c r="D279">
        <v>4</v>
      </c>
      <c r="E279">
        <v>5.07</v>
      </c>
      <c r="F279">
        <v>2.68</v>
      </c>
      <c r="G279">
        <v>2.14</v>
      </c>
      <c r="H279">
        <f t="shared" si="4"/>
        <v>1</v>
      </c>
    </row>
    <row r="280" spans="1:8" x14ac:dyDescent="0.25">
      <c r="A280" s="1">
        <v>44840</v>
      </c>
      <c r="B280" s="2">
        <v>0.28043981481481484</v>
      </c>
      <c r="C280" s="2">
        <v>0.75306712962962963</v>
      </c>
      <c r="D280">
        <v>4</v>
      </c>
      <c r="E280">
        <v>5.66</v>
      </c>
      <c r="F280">
        <v>3.96</v>
      </c>
      <c r="G280">
        <v>2.1800000000000002</v>
      </c>
      <c r="H280">
        <f t="shared" si="4"/>
        <v>2</v>
      </c>
    </row>
    <row r="281" spans="1:8" x14ac:dyDescent="0.25">
      <c r="A281" s="1">
        <v>44841</v>
      </c>
      <c r="B281" s="2">
        <v>0.28162037037037035</v>
      </c>
      <c r="C281" s="2">
        <v>0.75148148148148153</v>
      </c>
      <c r="D281">
        <v>4</v>
      </c>
      <c r="E281">
        <v>5.19</v>
      </c>
      <c r="F281">
        <v>3.12</v>
      </c>
      <c r="G281">
        <v>4.0599999999999996</v>
      </c>
      <c r="H281">
        <f t="shared" si="4"/>
        <v>0</v>
      </c>
    </row>
    <row r="282" spans="1:8" x14ac:dyDescent="0.25">
      <c r="A282" s="1">
        <v>44842</v>
      </c>
      <c r="B282" s="2">
        <v>0.28281250000000002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  <c r="H282">
        <f t="shared" si="4"/>
        <v>0</v>
      </c>
    </row>
    <row r="283" spans="1:8" x14ac:dyDescent="0.25">
      <c r="A283" s="1">
        <v>44843</v>
      </c>
      <c r="B283" s="2">
        <v>0.28399305555555554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  <c r="H283">
        <f t="shared" si="4"/>
        <v>1</v>
      </c>
    </row>
    <row r="284" spans="1:8" x14ac:dyDescent="0.25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  <c r="H284">
        <f t="shared" si="4"/>
        <v>0</v>
      </c>
    </row>
    <row r="285" spans="1:8" x14ac:dyDescent="0.25">
      <c r="A285" s="1">
        <v>44845</v>
      </c>
      <c r="B285" s="2">
        <v>0.28638888888888892</v>
      </c>
      <c r="C285" s="2">
        <v>0.74519675925925921</v>
      </c>
      <c r="D285">
        <v>3</v>
      </c>
      <c r="E285">
        <v>5.86</v>
      </c>
      <c r="F285">
        <v>4.97</v>
      </c>
      <c r="G285">
        <v>4.0199999999999996</v>
      </c>
      <c r="H285">
        <f t="shared" si="4"/>
        <v>0</v>
      </c>
    </row>
    <row r="286" spans="1:8" x14ac:dyDescent="0.25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  <c r="H286">
        <f t="shared" si="4"/>
        <v>1</v>
      </c>
    </row>
    <row r="287" spans="1:8" x14ac:dyDescent="0.25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  <c r="H287">
        <f t="shared" si="4"/>
        <v>0</v>
      </c>
    </row>
    <row r="288" spans="1:8" x14ac:dyDescent="0.25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  <c r="H288">
        <f t="shared" si="4"/>
        <v>1</v>
      </c>
    </row>
    <row r="289" spans="1:8" x14ac:dyDescent="0.25">
      <c r="A289" s="1">
        <v>44849</v>
      </c>
      <c r="B289" s="2">
        <v>0.29121527777777778</v>
      </c>
      <c r="C289" s="2">
        <v>0.73903935185185188</v>
      </c>
      <c r="D289">
        <v>1</v>
      </c>
      <c r="E289">
        <v>8.56</v>
      </c>
      <c r="F289">
        <v>2.86</v>
      </c>
      <c r="G289">
        <v>1.61</v>
      </c>
      <c r="H289">
        <f t="shared" si="4"/>
        <v>0</v>
      </c>
    </row>
    <row r="290" spans="1:8" x14ac:dyDescent="0.25">
      <c r="A290" s="1">
        <v>44850</v>
      </c>
      <c r="B290" s="2">
        <v>0.29243055555555558</v>
      </c>
      <c r="C290" s="2">
        <v>0.73752314814814812</v>
      </c>
      <c r="D290">
        <v>0</v>
      </c>
      <c r="E290">
        <v>14.7</v>
      </c>
      <c r="F290">
        <v>5.42</v>
      </c>
      <c r="G290">
        <v>2.48</v>
      </c>
      <c r="H290">
        <f t="shared" si="4"/>
        <v>1</v>
      </c>
    </row>
    <row r="291" spans="1:8" x14ac:dyDescent="0.25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  <c r="H291">
        <f t="shared" si="4"/>
        <v>0</v>
      </c>
    </row>
    <row r="292" spans="1:8" x14ac:dyDescent="0.25">
      <c r="A292" s="1">
        <v>44852</v>
      </c>
      <c r="B292" s="2">
        <v>0.29486111111111113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  <c r="H292">
        <f t="shared" si="4"/>
        <v>0</v>
      </c>
    </row>
    <row r="293" spans="1:8" x14ac:dyDescent="0.25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  <c r="H293">
        <f t="shared" si="4"/>
        <v>1</v>
      </c>
    </row>
    <row r="294" spans="1:8" x14ac:dyDescent="0.25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  <c r="H294">
        <f t="shared" si="4"/>
        <v>2</v>
      </c>
    </row>
    <row r="295" spans="1:8" x14ac:dyDescent="0.25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  <c r="H295">
        <f t="shared" si="4"/>
        <v>0</v>
      </c>
    </row>
    <row r="296" spans="1:8" x14ac:dyDescent="0.25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  <c r="H296">
        <f t="shared" si="4"/>
        <v>1</v>
      </c>
    </row>
    <row r="297" spans="1:8" x14ac:dyDescent="0.25">
      <c r="A297" s="1">
        <v>44857</v>
      </c>
      <c r="B297" s="2">
        <v>0.30101851851851852</v>
      </c>
      <c r="C297" s="2">
        <v>0.72721064814814818</v>
      </c>
      <c r="D297">
        <v>7</v>
      </c>
      <c r="E297">
        <v>3.97</v>
      </c>
      <c r="F297">
        <v>1.64</v>
      </c>
      <c r="G297">
        <v>4.84</v>
      </c>
      <c r="H297">
        <f t="shared" si="4"/>
        <v>0</v>
      </c>
    </row>
    <row r="298" spans="1:8" x14ac:dyDescent="0.25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  <c r="H298">
        <f t="shared" si="4"/>
        <v>1</v>
      </c>
    </row>
    <row r="299" spans="1:8" x14ac:dyDescent="0.25">
      <c r="A299" s="1">
        <v>44859</v>
      </c>
      <c r="B299" s="2">
        <v>0.30349537037037039</v>
      </c>
      <c r="C299" s="2">
        <v>0.72437499999999999</v>
      </c>
      <c r="D299">
        <v>4</v>
      </c>
      <c r="E299">
        <v>4.58</v>
      </c>
      <c r="F299">
        <v>2.5299999999999998</v>
      </c>
      <c r="G299">
        <v>4.57</v>
      </c>
      <c r="H299">
        <f t="shared" si="4"/>
        <v>0</v>
      </c>
    </row>
    <row r="300" spans="1:8" x14ac:dyDescent="0.25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  <c r="H300">
        <f t="shared" si="4"/>
        <v>0</v>
      </c>
    </row>
    <row r="301" spans="1:8" x14ac:dyDescent="0.25">
      <c r="A301" s="1">
        <v>44861</v>
      </c>
      <c r="B301" s="2">
        <v>0.30599537037037039</v>
      </c>
      <c r="C301" s="2">
        <v>0.72159722222222222</v>
      </c>
      <c r="D301">
        <v>1</v>
      </c>
      <c r="E301">
        <v>8.7799999999999994</v>
      </c>
      <c r="F301">
        <v>2.09</v>
      </c>
      <c r="G301">
        <v>1.58</v>
      </c>
      <c r="H301">
        <f t="shared" si="4"/>
        <v>1</v>
      </c>
    </row>
    <row r="302" spans="1:8" x14ac:dyDescent="0.25">
      <c r="A302" s="1">
        <v>44862</v>
      </c>
      <c r="B302" s="2">
        <v>0.30724537037037036</v>
      </c>
      <c r="C302" s="2">
        <v>0.72023148148148153</v>
      </c>
      <c r="D302">
        <v>1</v>
      </c>
      <c r="E302">
        <v>8.06</v>
      </c>
      <c r="F302">
        <v>1.98</v>
      </c>
      <c r="G302">
        <v>1.08</v>
      </c>
      <c r="H302">
        <f t="shared" si="4"/>
        <v>0</v>
      </c>
    </row>
    <row r="303" spans="1:8" x14ac:dyDescent="0.25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  <c r="H303">
        <f t="shared" si="4"/>
        <v>0</v>
      </c>
    </row>
    <row r="304" spans="1:8" x14ac:dyDescent="0.25">
      <c r="A304" s="1">
        <v>44864</v>
      </c>
      <c r="B304" s="2">
        <v>0.26807870370370368</v>
      </c>
      <c r="C304" s="2">
        <v>0.67587962962962966</v>
      </c>
      <c r="D304">
        <v>3</v>
      </c>
      <c r="E304">
        <v>5.33</v>
      </c>
      <c r="F304">
        <v>2.98</v>
      </c>
      <c r="G304">
        <v>3.05</v>
      </c>
      <c r="H304">
        <f t="shared" si="4"/>
        <v>1</v>
      </c>
    </row>
    <row r="305" spans="1:8" x14ac:dyDescent="0.25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  <c r="H305">
        <f t="shared" si="4"/>
        <v>0</v>
      </c>
    </row>
    <row r="306" spans="1:8" x14ac:dyDescent="0.25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  <c r="H306">
        <f t="shared" si="4"/>
        <v>0</v>
      </c>
    </row>
    <row r="307" spans="1:8" x14ac:dyDescent="0.25">
      <c r="A307" s="1">
        <v>44867</v>
      </c>
      <c r="B307" s="2">
        <v>0.27184027777777775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  <c r="H307">
        <f t="shared" si="4"/>
        <v>1</v>
      </c>
    </row>
    <row r="308" spans="1:8" x14ac:dyDescent="0.25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  <c r="H308">
        <f t="shared" si="4"/>
        <v>0</v>
      </c>
    </row>
    <row r="309" spans="1:8" x14ac:dyDescent="0.25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  <c r="H309">
        <f t="shared" si="4"/>
        <v>1</v>
      </c>
    </row>
    <row r="310" spans="1:8" x14ac:dyDescent="0.25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  <c r="H310">
        <f t="shared" si="4"/>
        <v>2</v>
      </c>
    </row>
    <row r="311" spans="1:8" x14ac:dyDescent="0.25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  <c r="H311">
        <f t="shared" si="4"/>
        <v>3</v>
      </c>
    </row>
    <row r="312" spans="1:8" x14ac:dyDescent="0.25">
      <c r="A312" s="1">
        <v>44872</v>
      </c>
      <c r="B312" s="2">
        <v>0.27810185185185188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  <c r="H312">
        <f t="shared" si="4"/>
        <v>0</v>
      </c>
    </row>
    <row r="313" spans="1:8" x14ac:dyDescent="0.25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  <c r="H313">
        <f t="shared" si="4"/>
        <v>1</v>
      </c>
    </row>
    <row r="314" spans="1:8" x14ac:dyDescent="0.25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  <c r="H314">
        <f t="shared" si="4"/>
        <v>0</v>
      </c>
    </row>
    <row r="315" spans="1:8" x14ac:dyDescent="0.25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  <c r="H315">
        <f t="shared" si="4"/>
        <v>1</v>
      </c>
    </row>
    <row r="316" spans="1:8" x14ac:dyDescent="0.25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  <c r="H316">
        <f t="shared" si="4"/>
        <v>0</v>
      </c>
    </row>
    <row r="317" spans="1:8" x14ac:dyDescent="0.25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  <c r="H317">
        <f t="shared" si="4"/>
        <v>0</v>
      </c>
    </row>
    <row r="318" spans="1:8" x14ac:dyDescent="0.25">
      <c r="A318" s="1">
        <v>44878</v>
      </c>
      <c r="B318" s="2">
        <v>0.28554398148148147</v>
      </c>
      <c r="C318" s="2">
        <v>0.65925925925925921</v>
      </c>
      <c r="D318">
        <v>3</v>
      </c>
      <c r="E318">
        <v>4.16</v>
      </c>
      <c r="F318">
        <v>3.02</v>
      </c>
      <c r="G318">
        <v>4.1900000000000004</v>
      </c>
      <c r="H318">
        <f t="shared" si="4"/>
        <v>0</v>
      </c>
    </row>
    <row r="319" spans="1:8" x14ac:dyDescent="0.25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  <c r="H319">
        <f t="shared" si="4"/>
        <v>1</v>
      </c>
    </row>
    <row r="320" spans="1:8" x14ac:dyDescent="0.25">
      <c r="A320" s="1">
        <v>44880</v>
      </c>
      <c r="B320" s="2">
        <v>0.28797453703703701</v>
      </c>
      <c r="C320" s="2">
        <v>0.65725694444444449</v>
      </c>
      <c r="D320">
        <v>8</v>
      </c>
      <c r="E320">
        <v>1.38</v>
      </c>
      <c r="F320">
        <v>0.4</v>
      </c>
      <c r="G320">
        <v>6.48</v>
      </c>
      <c r="H320">
        <f t="shared" si="4"/>
        <v>0</v>
      </c>
    </row>
    <row r="321" spans="1:8" x14ac:dyDescent="0.25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  <c r="H321">
        <f t="shared" si="4"/>
        <v>1</v>
      </c>
    </row>
    <row r="322" spans="1:8" x14ac:dyDescent="0.25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  <c r="H322">
        <f t="shared" si="4"/>
        <v>2</v>
      </c>
    </row>
    <row r="323" spans="1:8" x14ac:dyDescent="0.25">
      <c r="A323" s="1">
        <v>44883</v>
      </c>
      <c r="B323" s="2">
        <v>0.2915740740740741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  <c r="H323">
        <f t="shared" si="4"/>
        <v>0</v>
      </c>
    </row>
    <row r="324" spans="1:8" x14ac:dyDescent="0.25">
      <c r="A324" s="1">
        <v>44884</v>
      </c>
      <c r="B324" s="2">
        <v>0.29276620370370371</v>
      </c>
      <c r="C324" s="2">
        <v>0.65356481481481477</v>
      </c>
      <c r="D324">
        <v>5</v>
      </c>
      <c r="E324">
        <v>3.6</v>
      </c>
      <c r="F324">
        <v>2.06</v>
      </c>
      <c r="G324">
        <v>2.72</v>
      </c>
      <c r="H324">
        <f t="shared" ref="H324:H366" si="5">IF(AND(D324&lt;=D323, E324&gt;=E323),H323+1,0)</f>
        <v>0</v>
      </c>
    </row>
    <row r="325" spans="1:8" x14ac:dyDescent="0.25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  <c r="H325">
        <f t="shared" si="5"/>
        <v>1</v>
      </c>
    </row>
    <row r="326" spans="1:8" x14ac:dyDescent="0.25">
      <c r="A326" s="1">
        <v>44886</v>
      </c>
      <c r="B326" s="2">
        <v>0.29509259259259257</v>
      </c>
      <c r="C326" s="2">
        <v>0.65188657407407402</v>
      </c>
      <c r="D326">
        <v>5</v>
      </c>
      <c r="E326">
        <v>3.16</v>
      </c>
      <c r="F326">
        <v>2.11</v>
      </c>
      <c r="G326">
        <v>4.08</v>
      </c>
      <c r="H326">
        <f t="shared" si="5"/>
        <v>0</v>
      </c>
    </row>
    <row r="327" spans="1:8" x14ac:dyDescent="0.25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  <c r="H327">
        <f t="shared" si="5"/>
        <v>1</v>
      </c>
    </row>
    <row r="328" spans="1:8" x14ac:dyDescent="0.25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  <c r="H328">
        <f t="shared" si="5"/>
        <v>0</v>
      </c>
    </row>
    <row r="329" spans="1:8" x14ac:dyDescent="0.25">
      <c r="A329" s="1">
        <v>44889</v>
      </c>
      <c r="B329" s="2">
        <v>0.29849537037037038</v>
      </c>
      <c r="C329" s="2">
        <v>0.64961805555555552</v>
      </c>
      <c r="D329">
        <v>6</v>
      </c>
      <c r="E329">
        <v>3.18</v>
      </c>
      <c r="F329">
        <v>1.37</v>
      </c>
      <c r="G329">
        <v>4.16</v>
      </c>
      <c r="H329">
        <f t="shared" si="5"/>
        <v>1</v>
      </c>
    </row>
    <row r="330" spans="1:8" x14ac:dyDescent="0.25">
      <c r="A330" s="1">
        <v>44890</v>
      </c>
      <c r="B330" s="2">
        <v>0.2996064814814815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  <c r="H330">
        <f t="shared" si="5"/>
        <v>0</v>
      </c>
    </row>
    <row r="331" spans="1:8" x14ac:dyDescent="0.25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  <c r="H331">
        <f t="shared" si="5"/>
        <v>1</v>
      </c>
    </row>
    <row r="332" spans="1:8" x14ac:dyDescent="0.25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  <c r="H332">
        <f t="shared" si="5"/>
        <v>0</v>
      </c>
    </row>
    <row r="333" spans="1:8" x14ac:dyDescent="0.25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  <c r="H333">
        <f t="shared" si="5"/>
        <v>0</v>
      </c>
    </row>
    <row r="334" spans="1:8" x14ac:dyDescent="0.25">
      <c r="A334" s="1">
        <v>44894</v>
      </c>
      <c r="B334" s="2">
        <v>0.30385416666666665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  <c r="H334">
        <f t="shared" si="5"/>
        <v>0</v>
      </c>
    </row>
    <row r="335" spans="1:8" x14ac:dyDescent="0.25">
      <c r="A335" s="1">
        <v>44895</v>
      </c>
      <c r="B335" s="2">
        <v>0.30487268518518518</v>
      </c>
      <c r="C335" s="2">
        <v>0.64597222222222217</v>
      </c>
      <c r="D335">
        <v>8</v>
      </c>
      <c r="E335">
        <v>1.1399999999999999</v>
      </c>
      <c r="F335">
        <v>0</v>
      </c>
      <c r="G335">
        <v>7.02</v>
      </c>
      <c r="H335">
        <f t="shared" si="5"/>
        <v>0</v>
      </c>
    </row>
    <row r="336" spans="1:8" x14ac:dyDescent="0.25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  <c r="H336">
        <f t="shared" si="5"/>
        <v>1</v>
      </c>
    </row>
    <row r="337" spans="1:8" x14ac:dyDescent="0.25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  <c r="H337">
        <f t="shared" si="5"/>
        <v>0</v>
      </c>
    </row>
    <row r="338" spans="1:8" x14ac:dyDescent="0.25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  <c r="H338">
        <f t="shared" si="5"/>
        <v>1</v>
      </c>
    </row>
    <row r="339" spans="1:8" x14ac:dyDescent="0.25">
      <c r="A339" s="1">
        <v>44899</v>
      </c>
      <c r="B339" s="2">
        <v>0.3087152777777778</v>
      </c>
      <c r="C339" s="2">
        <v>0.64425925925925931</v>
      </c>
      <c r="D339">
        <v>8</v>
      </c>
      <c r="E339">
        <v>1.32</v>
      </c>
      <c r="F339">
        <v>0.54</v>
      </c>
      <c r="G339">
        <v>5.16</v>
      </c>
      <c r="H339">
        <f t="shared" si="5"/>
        <v>0</v>
      </c>
    </row>
    <row r="340" spans="1:8" x14ac:dyDescent="0.25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  <c r="H340">
        <f t="shared" si="5"/>
        <v>1</v>
      </c>
    </row>
    <row r="341" spans="1:8" x14ac:dyDescent="0.25">
      <c r="A341" s="1">
        <v>44901</v>
      </c>
      <c r="B341" s="2">
        <v>0.31049768518518517</v>
      </c>
      <c r="C341" s="2">
        <v>0.64363425925925921</v>
      </c>
      <c r="D341">
        <v>7</v>
      </c>
      <c r="E341">
        <v>2.2000000000000002</v>
      </c>
      <c r="F341">
        <v>0.61</v>
      </c>
      <c r="G341">
        <v>4.92</v>
      </c>
      <c r="H341">
        <f t="shared" si="5"/>
        <v>0</v>
      </c>
    </row>
    <row r="342" spans="1:8" x14ac:dyDescent="0.25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  <c r="H342">
        <f t="shared" si="5"/>
        <v>1</v>
      </c>
    </row>
    <row r="343" spans="1:8" x14ac:dyDescent="0.25">
      <c r="A343" s="1">
        <v>44903</v>
      </c>
      <c r="B343" s="2">
        <v>0.31216435185185187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  <c r="H343">
        <f t="shared" si="5"/>
        <v>0</v>
      </c>
    </row>
    <row r="344" spans="1:8" x14ac:dyDescent="0.25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  <c r="H344">
        <f t="shared" si="5"/>
        <v>1</v>
      </c>
    </row>
    <row r="345" spans="1:8" x14ac:dyDescent="0.25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  <c r="H345">
        <f t="shared" si="5"/>
        <v>2</v>
      </c>
    </row>
    <row r="346" spans="1:8" x14ac:dyDescent="0.25">
      <c r="A346" s="1">
        <v>44906</v>
      </c>
      <c r="B346" s="2">
        <v>0.31444444444444447</v>
      </c>
      <c r="C346" s="2">
        <v>0.64275462962962959</v>
      </c>
      <c r="D346">
        <v>7</v>
      </c>
      <c r="E346">
        <v>2.11</v>
      </c>
      <c r="F346">
        <v>0.84</v>
      </c>
      <c r="G346">
        <v>5.38</v>
      </c>
      <c r="H346">
        <f t="shared" si="5"/>
        <v>0</v>
      </c>
    </row>
    <row r="347" spans="1:8" x14ac:dyDescent="0.25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  <c r="H347">
        <f t="shared" si="5"/>
        <v>0</v>
      </c>
    </row>
    <row r="348" spans="1:8" x14ac:dyDescent="0.25">
      <c r="A348" s="1">
        <v>44908</v>
      </c>
      <c r="B348" s="2">
        <v>0.31581018518518517</v>
      </c>
      <c r="C348" s="2">
        <v>0.64268518518518514</v>
      </c>
      <c r="D348">
        <v>7</v>
      </c>
      <c r="E348">
        <v>2.0299999999999998</v>
      </c>
      <c r="F348">
        <v>1.02</v>
      </c>
      <c r="G348">
        <v>6.12</v>
      </c>
      <c r="H348">
        <f t="shared" si="5"/>
        <v>1</v>
      </c>
    </row>
    <row r="349" spans="1:8" x14ac:dyDescent="0.25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  <c r="H349">
        <f t="shared" si="5"/>
        <v>0</v>
      </c>
    </row>
    <row r="350" spans="1:8" x14ac:dyDescent="0.25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  <c r="H350">
        <f t="shared" si="5"/>
        <v>1</v>
      </c>
    </row>
    <row r="351" spans="1:8" x14ac:dyDescent="0.25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  <c r="H351">
        <f t="shared" si="5"/>
        <v>0</v>
      </c>
    </row>
    <row r="352" spans="1:8" x14ac:dyDescent="0.25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  <c r="H352">
        <f t="shared" si="5"/>
        <v>1</v>
      </c>
    </row>
    <row r="353" spans="1:8" x14ac:dyDescent="0.25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  <c r="H353">
        <f t="shared" si="5"/>
        <v>2</v>
      </c>
    </row>
    <row r="354" spans="1:8" x14ac:dyDescent="0.25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  <c r="H354">
        <f t="shared" si="5"/>
        <v>0</v>
      </c>
    </row>
    <row r="355" spans="1:8" x14ac:dyDescent="0.25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  <c r="H355">
        <f t="shared" si="5"/>
        <v>1</v>
      </c>
    </row>
    <row r="356" spans="1:8" x14ac:dyDescent="0.25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  <c r="H356">
        <f t="shared" si="5"/>
        <v>2</v>
      </c>
    </row>
    <row r="357" spans="1:8" x14ac:dyDescent="0.25">
      <c r="A357" s="1">
        <v>44917</v>
      </c>
      <c r="B357" s="2">
        <v>0.32023148148148151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  <c r="H357">
        <f t="shared" si="5"/>
        <v>0</v>
      </c>
    </row>
    <row r="358" spans="1:8" x14ac:dyDescent="0.25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  <c r="H358">
        <f t="shared" si="5"/>
        <v>1</v>
      </c>
    </row>
    <row r="359" spans="1:8" x14ac:dyDescent="0.25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  <c r="H359">
        <f t="shared" si="5"/>
        <v>0</v>
      </c>
    </row>
    <row r="360" spans="1:8" x14ac:dyDescent="0.25">
      <c r="A360" s="1">
        <v>44920</v>
      </c>
      <c r="B360" s="2">
        <v>0.32103009259259258</v>
      </c>
      <c r="C360" s="2">
        <v>0.64564814814814819</v>
      </c>
      <c r="D360">
        <v>7</v>
      </c>
      <c r="E360">
        <v>2.92</v>
      </c>
      <c r="F360">
        <v>1.05</v>
      </c>
      <c r="G360">
        <v>4.1399999999999997</v>
      </c>
      <c r="H360">
        <f t="shared" si="5"/>
        <v>1</v>
      </c>
    </row>
    <row r="361" spans="1:8" x14ac:dyDescent="0.25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  <c r="H361">
        <f t="shared" si="5"/>
        <v>2</v>
      </c>
    </row>
    <row r="362" spans="1:8" x14ac:dyDescent="0.25">
      <c r="A362" s="1">
        <v>44922</v>
      </c>
      <c r="B362" s="2">
        <v>0.32136574074074076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  <c r="H362">
        <f t="shared" si="5"/>
        <v>3</v>
      </c>
    </row>
    <row r="363" spans="1:8" x14ac:dyDescent="0.25">
      <c r="A363" s="1">
        <v>44923</v>
      </c>
      <c r="B363" s="2">
        <v>0.32146990740740738</v>
      </c>
      <c r="C363" s="2">
        <v>0.64725694444444448</v>
      </c>
      <c r="D363">
        <v>8</v>
      </c>
      <c r="E363">
        <v>1.54</v>
      </c>
      <c r="F363">
        <v>0.36</v>
      </c>
      <c r="G363">
        <v>4.1900000000000004</v>
      </c>
      <c r="H363">
        <f t="shared" si="5"/>
        <v>0</v>
      </c>
    </row>
    <row r="364" spans="1:8" x14ac:dyDescent="0.25">
      <c r="A364" s="1">
        <v>44924</v>
      </c>
      <c r="B364" s="2">
        <v>0.32153935185185184</v>
      </c>
      <c r="C364" s="2">
        <v>0.64787037037037032</v>
      </c>
      <c r="D364">
        <v>8</v>
      </c>
      <c r="E364">
        <v>1.21</v>
      </c>
      <c r="F364">
        <v>0.24</v>
      </c>
      <c r="G364">
        <v>5.39</v>
      </c>
      <c r="H364">
        <f t="shared" si="5"/>
        <v>0</v>
      </c>
    </row>
    <row r="365" spans="1:8" x14ac:dyDescent="0.25">
      <c r="A365" s="1">
        <v>44925</v>
      </c>
      <c r="B365" s="2">
        <v>0.32156249999999997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  <c r="H365">
        <f t="shared" si="5"/>
        <v>1</v>
      </c>
    </row>
    <row r="366" spans="1:8" x14ac:dyDescent="0.25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  <c r="H366">
        <f t="shared" si="5"/>
        <v>0</v>
      </c>
    </row>
  </sheetData>
  <mergeCells count="1">
    <mergeCell ref="I147:I152"/>
  </mergeCells>
  <conditionalFormatting sqref="H1:H1048576">
    <cfRule type="cellIs" dxfId="0" priority="1" operator="equal">
      <formula>6</formula>
    </cfRule>
  </conditionalFormatting>
  <pageMargins left="0.7" right="0.7" top="0.75" bottom="0.75" header="0.3" footer="0.3"/>
  <pageSetup paperSize="0"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2421-C71C-4DC4-BF8A-FA63A5028677}">
  <dimension ref="A1:H366"/>
  <sheetViews>
    <sheetView topLeftCell="A2" zoomScale="160" zoomScaleNormal="160" workbookViewId="0">
      <selection sqref="A1:H366"/>
    </sheetView>
  </sheetViews>
  <sheetFormatPr defaultRowHeight="15" x14ac:dyDescent="0.25"/>
  <cols>
    <col min="1" max="1" width="12.7109375" customWidth="1"/>
    <col min="2" max="2" width="11.7109375" customWidth="1"/>
    <col min="3" max="3" width="11.42578125" customWidth="1"/>
    <col min="5" max="5" width="12.140625" bestFit="1" customWidth="1"/>
    <col min="6" max="6" width="10.5703125" bestFit="1" customWidth="1"/>
    <col min="7" max="7" width="11.28515625" bestFit="1" customWidth="1"/>
    <col min="8" max="8" width="21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  <row r="2" spans="1:8" x14ac:dyDescent="0.25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  <c r="H2">
        <f t="shared" ref="H2:H65" si="0">INT((C2-B2)*24)</f>
        <v>7</v>
      </c>
    </row>
    <row r="3" spans="1:8" x14ac:dyDescent="0.25">
      <c r="A3" s="1">
        <v>44563</v>
      </c>
      <c r="B3" s="2">
        <v>0.3213773148148148</v>
      </c>
      <c r="C3" s="2">
        <v>0.65083333333333337</v>
      </c>
      <c r="D3">
        <v>4</v>
      </c>
      <c r="E3">
        <v>4.47</v>
      </c>
      <c r="F3">
        <v>1.23</v>
      </c>
      <c r="G3">
        <v>3.99</v>
      </c>
      <c r="H3">
        <f t="shared" si="0"/>
        <v>7</v>
      </c>
    </row>
    <row r="4" spans="1:8" x14ac:dyDescent="0.25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  <c r="H4">
        <f t="shared" si="0"/>
        <v>7</v>
      </c>
    </row>
    <row r="5" spans="1:8" x14ac:dyDescent="0.25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  <c r="H5">
        <f t="shared" si="0"/>
        <v>7</v>
      </c>
    </row>
    <row r="6" spans="1:8" x14ac:dyDescent="0.25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  <c r="H6">
        <f t="shared" si="0"/>
        <v>7</v>
      </c>
    </row>
    <row r="7" spans="1:8" x14ac:dyDescent="0.25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  <c r="H7">
        <f t="shared" si="0"/>
        <v>8</v>
      </c>
    </row>
    <row r="8" spans="1:8" x14ac:dyDescent="0.25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  <c r="H8">
        <f t="shared" si="0"/>
        <v>8</v>
      </c>
    </row>
    <row r="9" spans="1:8" x14ac:dyDescent="0.25">
      <c r="A9" s="1">
        <v>44569</v>
      </c>
      <c r="B9" s="2">
        <v>0.31994212962962965</v>
      </c>
      <c r="C9" s="2">
        <v>0.65597222222222218</v>
      </c>
      <c r="D9">
        <v>1</v>
      </c>
      <c r="E9">
        <v>7.24</v>
      </c>
      <c r="F9">
        <v>2.58</v>
      </c>
      <c r="G9">
        <v>2.4700000000000002</v>
      </c>
      <c r="H9">
        <f t="shared" si="0"/>
        <v>8</v>
      </c>
    </row>
    <row r="10" spans="1:8" x14ac:dyDescent="0.25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  <c r="H10">
        <f t="shared" si="0"/>
        <v>8</v>
      </c>
    </row>
    <row r="11" spans="1:8" x14ac:dyDescent="0.25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  <c r="H11">
        <f t="shared" si="0"/>
        <v>8</v>
      </c>
    </row>
    <row r="12" spans="1:8" x14ac:dyDescent="0.25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  <c r="H12">
        <f t="shared" si="0"/>
        <v>8</v>
      </c>
    </row>
    <row r="13" spans="1:8" x14ac:dyDescent="0.25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  <c r="H13">
        <f t="shared" si="0"/>
        <v>8</v>
      </c>
    </row>
    <row r="14" spans="1:8" x14ac:dyDescent="0.25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  <c r="H14">
        <f t="shared" si="0"/>
        <v>8</v>
      </c>
    </row>
    <row r="15" spans="1:8" x14ac:dyDescent="0.25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  <c r="H15">
        <f t="shared" si="0"/>
        <v>8</v>
      </c>
    </row>
    <row r="16" spans="1:8" x14ac:dyDescent="0.25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  <c r="H16">
        <f t="shared" si="0"/>
        <v>8</v>
      </c>
    </row>
    <row r="17" spans="1:8" x14ac:dyDescent="0.25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  <c r="H17">
        <f t="shared" si="0"/>
        <v>8</v>
      </c>
    </row>
    <row r="18" spans="1:8" x14ac:dyDescent="0.25">
      <c r="A18" s="1">
        <v>44578</v>
      </c>
      <c r="B18" s="2">
        <v>0.31526620370370373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  <c r="H18">
        <f t="shared" si="0"/>
        <v>8</v>
      </c>
    </row>
    <row r="19" spans="1:8" x14ac:dyDescent="0.25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  <c r="H19">
        <f t="shared" si="0"/>
        <v>8</v>
      </c>
    </row>
    <row r="20" spans="1:8" x14ac:dyDescent="0.25">
      <c r="A20" s="1">
        <v>44580</v>
      </c>
      <c r="B20" s="2">
        <v>0.31384259259259262</v>
      </c>
      <c r="C20" s="2">
        <v>0.66766203703703708</v>
      </c>
      <c r="D20">
        <v>4</v>
      </c>
      <c r="E20">
        <v>3.53</v>
      </c>
      <c r="F20">
        <v>0.34</v>
      </c>
      <c r="G20">
        <v>1.25</v>
      </c>
      <c r="H20">
        <f t="shared" si="0"/>
        <v>8</v>
      </c>
    </row>
    <row r="21" spans="1:8" x14ac:dyDescent="0.25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  <c r="H21">
        <f t="shared" si="0"/>
        <v>8</v>
      </c>
    </row>
    <row r="22" spans="1:8" x14ac:dyDescent="0.25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  <c r="H22">
        <f t="shared" si="0"/>
        <v>8</v>
      </c>
    </row>
    <row r="23" spans="1:8" x14ac:dyDescent="0.25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  <c r="H23">
        <f t="shared" si="0"/>
        <v>8</v>
      </c>
    </row>
    <row r="24" spans="1:8" x14ac:dyDescent="0.25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  <c r="H24">
        <f t="shared" si="0"/>
        <v>8</v>
      </c>
    </row>
    <row r="25" spans="1:8" x14ac:dyDescent="0.25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  <c r="H25">
        <f t="shared" si="0"/>
        <v>8</v>
      </c>
    </row>
    <row r="26" spans="1:8" x14ac:dyDescent="0.25">
      <c r="A26" s="1">
        <v>44586</v>
      </c>
      <c r="B26" s="2">
        <v>0.30884259259259261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  <c r="H26">
        <f t="shared" si="0"/>
        <v>8</v>
      </c>
    </row>
    <row r="27" spans="1:8" x14ac:dyDescent="0.25">
      <c r="A27" s="1">
        <v>44587</v>
      </c>
      <c r="B27" s="2">
        <v>0.30791666666666667</v>
      </c>
      <c r="C27" s="2">
        <v>0.67612268518518515</v>
      </c>
      <c r="D27">
        <v>2</v>
      </c>
      <c r="E27">
        <v>5.1100000000000003</v>
      </c>
      <c r="F27">
        <v>2.02</v>
      </c>
      <c r="G27">
        <v>1.35</v>
      </c>
      <c r="H27">
        <f t="shared" si="0"/>
        <v>8</v>
      </c>
    </row>
    <row r="28" spans="1:8" x14ac:dyDescent="0.25">
      <c r="A28" s="1">
        <v>44588</v>
      </c>
      <c r="B28" s="2">
        <v>0.3069560185185185</v>
      </c>
      <c r="C28" s="2">
        <v>0.67737268518518523</v>
      </c>
      <c r="D28">
        <v>1</v>
      </c>
      <c r="E28">
        <v>4.97</v>
      </c>
      <c r="F28">
        <v>1.92</v>
      </c>
      <c r="G28">
        <v>2.0099999999999998</v>
      </c>
      <c r="H28">
        <f t="shared" si="0"/>
        <v>8</v>
      </c>
    </row>
    <row r="29" spans="1:8" x14ac:dyDescent="0.25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  <c r="H29">
        <f t="shared" si="0"/>
        <v>8</v>
      </c>
    </row>
    <row r="30" spans="1:8" x14ac:dyDescent="0.25">
      <c r="A30" s="1">
        <v>44590</v>
      </c>
      <c r="B30" s="2">
        <v>0.30494212962962963</v>
      </c>
      <c r="C30" s="2">
        <v>0.67988425925925922</v>
      </c>
      <c r="D30">
        <v>1</v>
      </c>
      <c r="E30">
        <v>5.76</v>
      </c>
      <c r="F30">
        <v>3.33</v>
      </c>
      <c r="G30">
        <v>2.0099999999999998</v>
      </c>
      <c r="H30">
        <f t="shared" si="0"/>
        <v>8</v>
      </c>
    </row>
    <row r="31" spans="1:8" x14ac:dyDescent="0.25">
      <c r="A31" s="1">
        <v>44591</v>
      </c>
      <c r="B31" s="2">
        <v>0.30391203703703706</v>
      </c>
      <c r="C31" s="2">
        <v>0.68115740740740738</v>
      </c>
      <c r="D31">
        <v>2</v>
      </c>
      <c r="E31">
        <v>5.97</v>
      </c>
      <c r="F31">
        <v>3.48</v>
      </c>
      <c r="G31">
        <v>1.93</v>
      </c>
      <c r="H31">
        <f t="shared" si="0"/>
        <v>9</v>
      </c>
    </row>
    <row r="32" spans="1:8" x14ac:dyDescent="0.25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  <c r="H32">
        <f t="shared" si="0"/>
        <v>9</v>
      </c>
    </row>
    <row r="33" spans="1:8" x14ac:dyDescent="0.25">
      <c r="A33" s="1">
        <v>44593</v>
      </c>
      <c r="B33" s="2">
        <v>0.30175925925925928</v>
      </c>
      <c r="C33" s="2">
        <v>0.68371527777777774</v>
      </c>
      <c r="D33">
        <v>1</v>
      </c>
      <c r="E33">
        <v>6.18</v>
      </c>
      <c r="F33">
        <v>1.34</v>
      </c>
      <c r="G33">
        <v>1.28</v>
      </c>
      <c r="H33">
        <f t="shared" si="0"/>
        <v>9</v>
      </c>
    </row>
    <row r="34" spans="1:8" x14ac:dyDescent="0.25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  <c r="H34">
        <f t="shared" si="0"/>
        <v>9</v>
      </c>
    </row>
    <row r="35" spans="1:8" x14ac:dyDescent="0.25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  <c r="H35">
        <f t="shared" si="0"/>
        <v>9</v>
      </c>
    </row>
    <row r="36" spans="1:8" x14ac:dyDescent="0.25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  <c r="H36">
        <f t="shared" si="0"/>
        <v>9</v>
      </c>
    </row>
    <row r="37" spans="1:8" x14ac:dyDescent="0.25">
      <c r="A37" s="1">
        <v>44597</v>
      </c>
      <c r="B37" s="2">
        <v>0.2971759259259259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  <c r="H37">
        <f t="shared" si="0"/>
        <v>9</v>
      </c>
    </row>
    <row r="38" spans="1:8" x14ac:dyDescent="0.25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  <c r="H38">
        <f t="shared" si="0"/>
        <v>9</v>
      </c>
    </row>
    <row r="39" spans="1:8" x14ac:dyDescent="0.25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  <c r="H39">
        <f t="shared" si="0"/>
        <v>9</v>
      </c>
    </row>
    <row r="40" spans="1:8" x14ac:dyDescent="0.25">
      <c r="A40" s="1">
        <v>44600</v>
      </c>
      <c r="B40" s="2">
        <v>0.29351851851851851</v>
      </c>
      <c r="C40" s="2">
        <v>0.69277777777777783</v>
      </c>
      <c r="D40">
        <v>1</v>
      </c>
      <c r="E40">
        <v>7.84</v>
      </c>
      <c r="F40">
        <v>2.63</v>
      </c>
      <c r="G40">
        <v>2.19</v>
      </c>
      <c r="H40">
        <f t="shared" si="0"/>
        <v>9</v>
      </c>
    </row>
    <row r="41" spans="1:8" x14ac:dyDescent="0.25">
      <c r="A41" s="1">
        <v>44601</v>
      </c>
      <c r="B41" s="2">
        <v>0.29226851851851854</v>
      </c>
      <c r="C41" s="2">
        <v>0.6940856481481481</v>
      </c>
      <c r="D41">
        <v>6</v>
      </c>
      <c r="E41">
        <v>2.93</v>
      </c>
      <c r="F41">
        <v>1.1299999999999999</v>
      </c>
      <c r="G41">
        <v>3.1</v>
      </c>
      <c r="H41">
        <f t="shared" si="0"/>
        <v>9</v>
      </c>
    </row>
    <row r="42" spans="1:8" x14ac:dyDescent="0.25">
      <c r="A42" s="1">
        <v>44602</v>
      </c>
      <c r="B42" s="2">
        <v>0.29098379629629628</v>
      </c>
      <c r="C42" s="2">
        <v>0.69538194444444446</v>
      </c>
      <c r="D42">
        <v>7</v>
      </c>
      <c r="E42">
        <v>1.24</v>
      </c>
      <c r="F42">
        <v>0.3</v>
      </c>
      <c r="G42">
        <v>2.14</v>
      </c>
      <c r="H42">
        <f t="shared" si="0"/>
        <v>9</v>
      </c>
    </row>
    <row r="43" spans="1:8" x14ac:dyDescent="0.25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  <c r="H43">
        <f t="shared" si="0"/>
        <v>9</v>
      </c>
    </row>
    <row r="44" spans="1:8" x14ac:dyDescent="0.25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  <c r="H44">
        <f t="shared" si="0"/>
        <v>9</v>
      </c>
    </row>
    <row r="45" spans="1:8" x14ac:dyDescent="0.25">
      <c r="A45" s="1">
        <v>44605</v>
      </c>
      <c r="B45" s="2">
        <v>0.28706018518518517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  <c r="H45">
        <f t="shared" si="0"/>
        <v>9</v>
      </c>
    </row>
    <row r="46" spans="1:8" x14ac:dyDescent="0.25">
      <c r="A46" s="1">
        <v>44606</v>
      </c>
      <c r="B46" s="2">
        <v>0.28570601851851851</v>
      </c>
      <c r="C46" s="2">
        <v>0.70059027777777783</v>
      </c>
      <c r="D46">
        <v>2</v>
      </c>
      <c r="E46">
        <v>5.62</v>
      </c>
      <c r="F46">
        <v>2.41</v>
      </c>
      <c r="G46">
        <v>2.59</v>
      </c>
      <c r="H46">
        <f t="shared" si="0"/>
        <v>9</v>
      </c>
    </row>
    <row r="47" spans="1:8" x14ac:dyDescent="0.25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  <c r="H47">
        <f t="shared" si="0"/>
        <v>10</v>
      </c>
    </row>
    <row r="48" spans="1:8" x14ac:dyDescent="0.25">
      <c r="A48" s="1">
        <v>44608</v>
      </c>
      <c r="B48" s="2">
        <v>0.28297453703703701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  <c r="H48">
        <f t="shared" si="0"/>
        <v>10</v>
      </c>
    </row>
    <row r="49" spans="1:8" x14ac:dyDescent="0.25">
      <c r="A49" s="1">
        <v>44609</v>
      </c>
      <c r="B49" s="2">
        <v>0.28158564814814813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  <c r="H49">
        <f t="shared" si="0"/>
        <v>10</v>
      </c>
    </row>
    <row r="50" spans="1:8" x14ac:dyDescent="0.25">
      <c r="A50" s="1">
        <v>44610</v>
      </c>
      <c r="B50" s="2">
        <v>0.2801851851851852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  <c r="H50">
        <f t="shared" si="0"/>
        <v>10</v>
      </c>
    </row>
    <row r="51" spans="1:8" x14ac:dyDescent="0.25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  <c r="H51">
        <f t="shared" si="0"/>
        <v>10</v>
      </c>
    </row>
    <row r="52" spans="1:8" x14ac:dyDescent="0.25">
      <c r="A52" s="1">
        <v>44612</v>
      </c>
      <c r="B52" s="2">
        <v>0.27733796296296298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  <c r="H52">
        <f t="shared" si="0"/>
        <v>10</v>
      </c>
    </row>
    <row r="53" spans="1:8" x14ac:dyDescent="0.25">
      <c r="A53" s="1">
        <v>44613</v>
      </c>
      <c r="B53" s="2">
        <v>0.27590277777777777</v>
      </c>
      <c r="C53" s="2">
        <v>0.70962962962962961</v>
      </c>
      <c r="D53">
        <v>0</v>
      </c>
      <c r="E53">
        <v>9.85</v>
      </c>
      <c r="F53">
        <v>3.02</v>
      </c>
      <c r="G53">
        <v>2.46</v>
      </c>
      <c r="H53">
        <f t="shared" si="0"/>
        <v>10</v>
      </c>
    </row>
    <row r="54" spans="1:8" x14ac:dyDescent="0.25">
      <c r="A54" s="1">
        <v>44614</v>
      </c>
      <c r="B54" s="2">
        <v>0.27444444444444444</v>
      </c>
      <c r="C54" s="2">
        <v>0.71091435185185181</v>
      </c>
      <c r="D54">
        <v>1</v>
      </c>
      <c r="E54">
        <v>9.2899999999999991</v>
      </c>
      <c r="F54">
        <v>2.79</v>
      </c>
      <c r="G54">
        <v>1.49</v>
      </c>
      <c r="H54">
        <f t="shared" si="0"/>
        <v>10</v>
      </c>
    </row>
    <row r="55" spans="1:8" x14ac:dyDescent="0.25">
      <c r="A55" s="1">
        <v>44615</v>
      </c>
      <c r="B55" s="2">
        <v>0.27297453703703706</v>
      </c>
      <c r="C55" s="2">
        <v>0.71219907407407412</v>
      </c>
      <c r="D55">
        <v>4</v>
      </c>
      <c r="E55">
        <v>2.57</v>
      </c>
      <c r="F55">
        <v>0.76</v>
      </c>
      <c r="G55">
        <v>4.03</v>
      </c>
      <c r="H55">
        <f t="shared" si="0"/>
        <v>10</v>
      </c>
    </row>
    <row r="56" spans="1:8" x14ac:dyDescent="0.25">
      <c r="A56" s="1">
        <v>44616</v>
      </c>
      <c r="B56" s="2">
        <v>0.27150462962962962</v>
      </c>
      <c r="C56" s="2">
        <v>0.71347222222222217</v>
      </c>
      <c r="D56">
        <v>0</v>
      </c>
      <c r="E56">
        <v>9.64</v>
      </c>
      <c r="F56">
        <v>3.82</v>
      </c>
      <c r="G56">
        <v>2.36</v>
      </c>
      <c r="H56">
        <f t="shared" si="0"/>
        <v>10</v>
      </c>
    </row>
    <row r="57" spans="1:8" x14ac:dyDescent="0.25">
      <c r="A57" s="1">
        <v>44617</v>
      </c>
      <c r="B57" s="2">
        <v>0.27001157407407406</v>
      </c>
      <c r="C57" s="2">
        <v>0.71474537037037034</v>
      </c>
      <c r="D57">
        <v>0</v>
      </c>
      <c r="E57">
        <v>9.35</v>
      </c>
      <c r="F57">
        <v>3.73</v>
      </c>
      <c r="G57">
        <v>2.1800000000000002</v>
      </c>
      <c r="H57">
        <f t="shared" si="0"/>
        <v>10</v>
      </c>
    </row>
    <row r="58" spans="1:8" x14ac:dyDescent="0.25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  <c r="H58">
        <f t="shared" si="0"/>
        <v>10</v>
      </c>
    </row>
    <row r="59" spans="1:8" x14ac:dyDescent="0.25">
      <c r="A59" s="1">
        <v>44619</v>
      </c>
      <c r="B59" s="2">
        <v>0.26700231481481479</v>
      </c>
      <c r="C59" s="2">
        <v>0.71728009259259262</v>
      </c>
      <c r="D59">
        <v>0</v>
      </c>
      <c r="E59">
        <v>9.77</v>
      </c>
      <c r="F59">
        <v>3.26</v>
      </c>
      <c r="G59">
        <v>1.3</v>
      </c>
      <c r="H59">
        <f t="shared" si="0"/>
        <v>10</v>
      </c>
    </row>
    <row r="60" spans="1:8" x14ac:dyDescent="0.25">
      <c r="A60" s="1">
        <v>44620</v>
      </c>
      <c r="B60" s="2">
        <v>0.26548611111111109</v>
      </c>
      <c r="C60" s="2">
        <v>0.71855324074074078</v>
      </c>
      <c r="D60">
        <v>5</v>
      </c>
      <c r="E60">
        <v>2.93</v>
      </c>
      <c r="F60">
        <v>1.03</v>
      </c>
      <c r="G60">
        <v>2.99</v>
      </c>
      <c r="H60">
        <f t="shared" si="0"/>
        <v>10</v>
      </c>
    </row>
    <row r="61" spans="1:8" x14ac:dyDescent="0.25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  <c r="H61">
        <f t="shared" si="0"/>
        <v>10</v>
      </c>
    </row>
    <row r="62" spans="1:8" x14ac:dyDescent="0.25">
      <c r="A62" s="1">
        <v>44622</v>
      </c>
      <c r="B62" s="2">
        <v>0.26243055555555556</v>
      </c>
      <c r="C62" s="2">
        <v>0.72106481481481477</v>
      </c>
      <c r="D62">
        <v>6</v>
      </c>
      <c r="E62">
        <v>2.99</v>
      </c>
      <c r="F62">
        <v>0.74</v>
      </c>
      <c r="G62">
        <v>1.48</v>
      </c>
      <c r="H62">
        <f t="shared" si="0"/>
        <v>11</v>
      </c>
    </row>
    <row r="63" spans="1:8" x14ac:dyDescent="0.25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  <c r="H63">
        <f t="shared" si="0"/>
        <v>11</v>
      </c>
    </row>
    <row r="64" spans="1:8" x14ac:dyDescent="0.25">
      <c r="A64" s="1">
        <v>44624</v>
      </c>
      <c r="B64" s="2">
        <v>0.25934027777777779</v>
      </c>
      <c r="C64" s="2">
        <v>0.72357638888888887</v>
      </c>
      <c r="D64">
        <v>0</v>
      </c>
      <c r="E64">
        <v>9.7100000000000009</v>
      </c>
      <c r="F64">
        <v>3.95</v>
      </c>
      <c r="G64">
        <v>1.96</v>
      </c>
      <c r="H64">
        <f t="shared" si="0"/>
        <v>11</v>
      </c>
    </row>
    <row r="65" spans="1:8" x14ac:dyDescent="0.25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  <c r="H65">
        <f t="shared" si="0"/>
        <v>11</v>
      </c>
    </row>
    <row r="66" spans="1:8" x14ac:dyDescent="0.25">
      <c r="A66" s="1">
        <v>44626</v>
      </c>
      <c r="B66" s="2">
        <v>0.25621527777777775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  <c r="H66">
        <f t="shared" ref="H66:H129" si="1">INT((C66-B66)*24)</f>
        <v>11</v>
      </c>
    </row>
    <row r="67" spans="1:8" x14ac:dyDescent="0.25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  <c r="H67">
        <f t="shared" si="1"/>
        <v>11</v>
      </c>
    </row>
    <row r="68" spans="1:8" x14ac:dyDescent="0.25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  <c r="H68">
        <f t="shared" si="1"/>
        <v>11</v>
      </c>
    </row>
    <row r="69" spans="1:8" x14ac:dyDescent="0.25">
      <c r="A69" s="1">
        <v>44629</v>
      </c>
      <c r="B69" s="2">
        <v>0.25148148148148147</v>
      </c>
      <c r="C69" s="2">
        <v>0.72979166666666662</v>
      </c>
      <c r="D69">
        <v>3</v>
      </c>
      <c r="E69">
        <v>3.29</v>
      </c>
      <c r="F69">
        <v>0.73</v>
      </c>
      <c r="G69">
        <v>2.4300000000000002</v>
      </c>
      <c r="H69">
        <f t="shared" si="1"/>
        <v>11</v>
      </c>
    </row>
    <row r="70" spans="1:8" x14ac:dyDescent="0.25">
      <c r="A70" s="1">
        <v>44630</v>
      </c>
      <c r="B70" s="2">
        <v>0.24989583333333334</v>
      </c>
      <c r="C70" s="2">
        <v>0.73103009259259255</v>
      </c>
      <c r="D70">
        <v>1</v>
      </c>
      <c r="E70">
        <v>7.92</v>
      </c>
      <c r="F70">
        <v>1.58</v>
      </c>
      <c r="G70">
        <v>1.63</v>
      </c>
      <c r="H70">
        <f t="shared" si="1"/>
        <v>11</v>
      </c>
    </row>
    <row r="71" spans="1:8" x14ac:dyDescent="0.25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  <c r="H71">
        <f t="shared" si="1"/>
        <v>11</v>
      </c>
    </row>
    <row r="72" spans="1:8" x14ac:dyDescent="0.25">
      <c r="A72" s="1">
        <v>44632</v>
      </c>
      <c r="B72" s="2">
        <v>0.2467013888888889</v>
      </c>
      <c r="C72" s="2">
        <v>0.73348379629629634</v>
      </c>
      <c r="D72">
        <v>0</v>
      </c>
      <c r="E72">
        <v>11.09</v>
      </c>
      <c r="F72">
        <v>3.46</v>
      </c>
      <c r="G72">
        <v>1.28</v>
      </c>
      <c r="H72">
        <f t="shared" si="1"/>
        <v>11</v>
      </c>
    </row>
    <row r="73" spans="1:8" x14ac:dyDescent="0.25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  <c r="H73">
        <f t="shared" si="1"/>
        <v>11</v>
      </c>
    </row>
    <row r="74" spans="1:8" x14ac:dyDescent="0.25">
      <c r="A74" s="1">
        <v>44634</v>
      </c>
      <c r="B74" s="2">
        <v>0.24349537037037036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  <c r="H74">
        <f t="shared" si="1"/>
        <v>11</v>
      </c>
    </row>
    <row r="75" spans="1:8" x14ac:dyDescent="0.25">
      <c r="A75" s="1">
        <v>44635</v>
      </c>
      <c r="B75" s="2">
        <v>0.24188657407407407</v>
      </c>
      <c r="C75" s="2">
        <v>0.73716435185185181</v>
      </c>
      <c r="D75">
        <v>6</v>
      </c>
      <c r="E75">
        <v>3.14</v>
      </c>
      <c r="F75">
        <v>1.73</v>
      </c>
      <c r="G75">
        <v>3.82</v>
      </c>
      <c r="H75">
        <f t="shared" si="1"/>
        <v>11</v>
      </c>
    </row>
    <row r="76" spans="1:8" x14ac:dyDescent="0.25">
      <c r="A76" s="1">
        <v>44636</v>
      </c>
      <c r="B76" s="2">
        <v>0.24027777777777778</v>
      </c>
      <c r="C76" s="2">
        <v>0.73837962962962966</v>
      </c>
      <c r="D76">
        <v>0</v>
      </c>
      <c r="E76">
        <v>12.41</v>
      </c>
      <c r="F76">
        <v>3.85</v>
      </c>
      <c r="G76">
        <v>0.67</v>
      </c>
      <c r="H76">
        <f t="shared" si="1"/>
        <v>11</v>
      </c>
    </row>
    <row r="77" spans="1:8" x14ac:dyDescent="0.25">
      <c r="A77" s="1">
        <v>44637</v>
      </c>
      <c r="B77" s="2">
        <v>0.23866898148148147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  <c r="H77">
        <f t="shared" si="1"/>
        <v>12</v>
      </c>
    </row>
    <row r="78" spans="1:8" x14ac:dyDescent="0.25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  <c r="H78">
        <f t="shared" si="1"/>
        <v>12</v>
      </c>
    </row>
    <row r="79" spans="1:8" x14ac:dyDescent="0.25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  <c r="H79">
        <f t="shared" si="1"/>
        <v>12</v>
      </c>
    </row>
    <row r="80" spans="1:8" x14ac:dyDescent="0.25">
      <c r="A80" s="1">
        <v>44640</v>
      </c>
      <c r="B80" s="2">
        <v>0.23380787037037037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  <c r="H80">
        <f t="shared" si="1"/>
        <v>12</v>
      </c>
    </row>
    <row r="81" spans="1:8" x14ac:dyDescent="0.25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  <c r="H81">
        <f t="shared" si="1"/>
        <v>12</v>
      </c>
    </row>
    <row r="82" spans="1:8" x14ac:dyDescent="0.25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  <c r="H82">
        <f t="shared" si="1"/>
        <v>12</v>
      </c>
    </row>
    <row r="83" spans="1:8" x14ac:dyDescent="0.25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  <c r="H83">
        <f t="shared" si="1"/>
        <v>12</v>
      </c>
    </row>
    <row r="84" spans="1:8" x14ac:dyDescent="0.25">
      <c r="A84" s="1">
        <v>44644</v>
      </c>
      <c r="B84" s="2">
        <v>0.2273148148148148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  <c r="H84">
        <f t="shared" si="1"/>
        <v>12</v>
      </c>
    </row>
    <row r="85" spans="1:8" x14ac:dyDescent="0.25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  <c r="H85">
        <f t="shared" si="1"/>
        <v>12</v>
      </c>
    </row>
    <row r="86" spans="1:8" x14ac:dyDescent="0.25">
      <c r="A86" s="1">
        <v>44646</v>
      </c>
      <c r="B86" s="2">
        <v>0.2240625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  <c r="H86">
        <f t="shared" si="1"/>
        <v>12</v>
      </c>
    </row>
    <row r="87" spans="1:8" x14ac:dyDescent="0.25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  <c r="H87">
        <f t="shared" si="1"/>
        <v>12</v>
      </c>
    </row>
    <row r="88" spans="1:8" x14ac:dyDescent="0.25">
      <c r="A88" s="1">
        <v>44648</v>
      </c>
      <c r="B88" s="2">
        <v>0.26248842592592592</v>
      </c>
      <c r="C88" s="2">
        <v>0.79456018518518523</v>
      </c>
      <c r="D88">
        <v>4</v>
      </c>
      <c r="E88">
        <v>4.42</v>
      </c>
      <c r="F88">
        <v>3.15</v>
      </c>
      <c r="G88">
        <v>3.62</v>
      </c>
      <c r="H88">
        <f t="shared" si="1"/>
        <v>12</v>
      </c>
    </row>
    <row r="89" spans="1:8" x14ac:dyDescent="0.25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  <c r="H89">
        <f t="shared" si="1"/>
        <v>12</v>
      </c>
    </row>
    <row r="90" spans="1:8" x14ac:dyDescent="0.25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  <c r="H90">
        <f t="shared" si="1"/>
        <v>12</v>
      </c>
    </row>
    <row r="91" spans="1:8" x14ac:dyDescent="0.25">
      <c r="A91" s="1">
        <v>44651</v>
      </c>
      <c r="B91" s="2">
        <v>0.25763888888888886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  <c r="H91">
        <f t="shared" si="1"/>
        <v>12</v>
      </c>
    </row>
    <row r="92" spans="1:8" x14ac:dyDescent="0.25">
      <c r="A92" s="1">
        <v>44652</v>
      </c>
      <c r="B92" s="2">
        <v>0.25601851851851853</v>
      </c>
      <c r="C92" s="2">
        <v>0.79936342592592591</v>
      </c>
      <c r="D92">
        <v>3</v>
      </c>
      <c r="E92">
        <v>5.21</v>
      </c>
      <c r="F92">
        <v>2.46</v>
      </c>
      <c r="G92">
        <v>2.89</v>
      </c>
      <c r="H92">
        <f t="shared" si="1"/>
        <v>13</v>
      </c>
    </row>
    <row r="93" spans="1:8" x14ac:dyDescent="0.25">
      <c r="A93" s="1">
        <v>44653</v>
      </c>
      <c r="B93" s="2">
        <v>0.25440972222222225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  <c r="H93">
        <f t="shared" si="1"/>
        <v>13</v>
      </c>
    </row>
    <row r="94" spans="1:8" x14ac:dyDescent="0.25">
      <c r="A94" s="1">
        <v>44654</v>
      </c>
      <c r="B94" s="2">
        <v>0.2528009259259259</v>
      </c>
      <c r="C94" s="2">
        <v>0.80175925925925928</v>
      </c>
      <c r="D94">
        <v>6</v>
      </c>
      <c r="E94">
        <v>2.3199999999999998</v>
      </c>
      <c r="F94">
        <v>1.08</v>
      </c>
      <c r="G94">
        <v>4.09</v>
      </c>
      <c r="H94">
        <f t="shared" si="1"/>
        <v>13</v>
      </c>
    </row>
    <row r="95" spans="1:8" x14ac:dyDescent="0.25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  <c r="H95">
        <f t="shared" si="1"/>
        <v>13</v>
      </c>
    </row>
    <row r="96" spans="1:8" x14ac:dyDescent="0.25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  <c r="H96">
        <f t="shared" si="1"/>
        <v>13</v>
      </c>
    </row>
    <row r="97" spans="1:8" x14ac:dyDescent="0.25">
      <c r="A97" s="1">
        <v>44657</v>
      </c>
      <c r="B97" s="2">
        <v>0.24800925925925926</v>
      </c>
      <c r="C97" s="2">
        <v>0.80535879629629625</v>
      </c>
      <c r="D97">
        <v>4</v>
      </c>
      <c r="E97">
        <v>3.57</v>
      </c>
      <c r="F97">
        <v>0.16</v>
      </c>
      <c r="G97">
        <v>2.94</v>
      </c>
      <c r="H97">
        <f t="shared" si="1"/>
        <v>13</v>
      </c>
    </row>
    <row r="98" spans="1:8" x14ac:dyDescent="0.25">
      <c r="A98" s="1">
        <v>44658</v>
      </c>
      <c r="B98" s="2">
        <v>0.24641203703703704</v>
      </c>
      <c r="C98" s="2">
        <v>0.80656249999999996</v>
      </c>
      <c r="D98">
        <v>2</v>
      </c>
      <c r="E98">
        <v>6.61</v>
      </c>
      <c r="F98">
        <v>2.5099999999999998</v>
      </c>
      <c r="G98">
        <v>1.34</v>
      </c>
      <c r="H98">
        <f t="shared" si="1"/>
        <v>13</v>
      </c>
    </row>
    <row r="99" spans="1:8" x14ac:dyDescent="0.25">
      <c r="A99" s="1">
        <v>44659</v>
      </c>
      <c r="B99" s="2">
        <v>0.24482638888888889</v>
      </c>
      <c r="C99" s="2">
        <v>0.80775462962962963</v>
      </c>
      <c r="D99">
        <v>0</v>
      </c>
      <c r="E99">
        <v>14.15</v>
      </c>
      <c r="F99">
        <v>3.32</v>
      </c>
      <c r="G99">
        <v>1.82</v>
      </c>
      <c r="H99">
        <f t="shared" si="1"/>
        <v>13</v>
      </c>
    </row>
    <row r="100" spans="1:8" x14ac:dyDescent="0.25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  <c r="H100">
        <f t="shared" si="1"/>
        <v>13</v>
      </c>
    </row>
    <row r="101" spans="1:8" x14ac:dyDescent="0.25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  <c r="H101">
        <f t="shared" si="1"/>
        <v>13</v>
      </c>
    </row>
    <row r="102" spans="1:8" x14ac:dyDescent="0.25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  <c r="H102">
        <f t="shared" si="1"/>
        <v>13</v>
      </c>
    </row>
    <row r="103" spans="1:8" x14ac:dyDescent="0.25">
      <c r="A103" s="1">
        <v>44663</v>
      </c>
      <c r="B103" s="2">
        <v>0.23854166666666668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  <c r="H103">
        <f t="shared" si="1"/>
        <v>13</v>
      </c>
    </row>
    <row r="104" spans="1:8" x14ac:dyDescent="0.25">
      <c r="A104" s="1">
        <v>44664</v>
      </c>
      <c r="B104" s="2">
        <v>0.23699074074074075</v>
      </c>
      <c r="C104" s="2">
        <v>0.81376157407407412</v>
      </c>
      <c r="D104">
        <v>1</v>
      </c>
      <c r="E104">
        <v>7.5</v>
      </c>
      <c r="F104">
        <v>3.12</v>
      </c>
      <c r="G104">
        <v>2.94</v>
      </c>
      <c r="H104">
        <f t="shared" si="1"/>
        <v>13</v>
      </c>
    </row>
    <row r="105" spans="1:8" x14ac:dyDescent="0.25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  <c r="H105">
        <f t="shared" si="1"/>
        <v>13</v>
      </c>
    </row>
    <row r="106" spans="1:8" x14ac:dyDescent="0.25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  <c r="H106">
        <f t="shared" si="1"/>
        <v>13</v>
      </c>
    </row>
    <row r="107" spans="1:8" x14ac:dyDescent="0.25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  <c r="H107">
        <f t="shared" si="1"/>
        <v>14</v>
      </c>
    </row>
    <row r="108" spans="1:8" x14ac:dyDescent="0.25">
      <c r="A108" s="1">
        <v>44668</v>
      </c>
      <c r="B108" s="2">
        <v>0.2308449074074074</v>
      </c>
      <c r="C108" s="2">
        <v>0.8185648148148148</v>
      </c>
      <c r="D108">
        <v>6</v>
      </c>
      <c r="E108">
        <v>2.34</v>
      </c>
      <c r="F108">
        <v>1.06</v>
      </c>
      <c r="G108">
        <v>2.46</v>
      </c>
      <c r="H108">
        <f t="shared" si="1"/>
        <v>14</v>
      </c>
    </row>
    <row r="109" spans="1:8" x14ac:dyDescent="0.25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  <c r="H109">
        <f t="shared" si="1"/>
        <v>14</v>
      </c>
    </row>
    <row r="110" spans="1:8" x14ac:dyDescent="0.25">
      <c r="A110" s="1">
        <v>44670</v>
      </c>
      <c r="B110" s="2">
        <v>0.22783564814814813</v>
      </c>
      <c r="C110" s="2">
        <v>0.82096064814814818</v>
      </c>
      <c r="D110">
        <v>4</v>
      </c>
      <c r="E110">
        <v>3.78</v>
      </c>
      <c r="F110">
        <v>2.0699999999999998</v>
      </c>
      <c r="G110">
        <v>2.93</v>
      </c>
      <c r="H110">
        <f t="shared" si="1"/>
        <v>14</v>
      </c>
    </row>
    <row r="111" spans="1:8" x14ac:dyDescent="0.25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  <c r="H111">
        <f t="shared" si="1"/>
        <v>14</v>
      </c>
    </row>
    <row r="112" spans="1:8" x14ac:dyDescent="0.25">
      <c r="A112" s="1">
        <v>44672</v>
      </c>
      <c r="B112" s="2">
        <v>0.22486111111111112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  <c r="H112">
        <f t="shared" si="1"/>
        <v>14</v>
      </c>
    </row>
    <row r="113" spans="1:8" x14ac:dyDescent="0.25">
      <c r="A113" s="1">
        <v>44673</v>
      </c>
      <c r="B113" s="2">
        <v>0.22337962962962962</v>
      </c>
      <c r="C113" s="2">
        <v>0.82456018518518515</v>
      </c>
      <c r="D113">
        <v>5</v>
      </c>
      <c r="E113">
        <v>2.54</v>
      </c>
      <c r="F113">
        <v>0.68</v>
      </c>
      <c r="G113">
        <v>3.58</v>
      </c>
      <c r="H113">
        <f t="shared" si="1"/>
        <v>14</v>
      </c>
    </row>
    <row r="114" spans="1:8" x14ac:dyDescent="0.25">
      <c r="A114" s="1">
        <v>44674</v>
      </c>
      <c r="B114" s="2">
        <v>0.22192129629629628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  <c r="H114">
        <f t="shared" si="1"/>
        <v>14</v>
      </c>
    </row>
    <row r="115" spans="1:8" x14ac:dyDescent="0.25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  <c r="H115">
        <f t="shared" si="1"/>
        <v>14</v>
      </c>
    </row>
    <row r="116" spans="1:8" x14ac:dyDescent="0.25">
      <c r="A116" s="1">
        <v>44676</v>
      </c>
      <c r="B116" s="2">
        <v>0.21903935185185186</v>
      </c>
      <c r="C116" s="2">
        <v>0.82814814814814819</v>
      </c>
      <c r="D116">
        <v>6</v>
      </c>
      <c r="E116">
        <v>3.09</v>
      </c>
      <c r="F116">
        <v>1.32</v>
      </c>
      <c r="G116">
        <v>3.52</v>
      </c>
      <c r="H116">
        <f t="shared" si="1"/>
        <v>14</v>
      </c>
    </row>
    <row r="117" spans="1:8" x14ac:dyDescent="0.25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  <c r="H117">
        <f t="shared" si="1"/>
        <v>14</v>
      </c>
    </row>
    <row r="118" spans="1:8" x14ac:dyDescent="0.25">
      <c r="A118" s="1">
        <v>44678</v>
      </c>
      <c r="B118" s="2">
        <v>0.2162037037037037</v>
      </c>
      <c r="C118" s="2">
        <v>0.83053240740740741</v>
      </c>
      <c r="D118">
        <v>2</v>
      </c>
      <c r="E118">
        <v>6.08</v>
      </c>
      <c r="F118">
        <v>2.34</v>
      </c>
      <c r="G118">
        <v>1.65</v>
      </c>
      <c r="H118">
        <f t="shared" si="1"/>
        <v>14</v>
      </c>
    </row>
    <row r="119" spans="1:8" x14ac:dyDescent="0.25">
      <c r="A119" s="1">
        <v>44679</v>
      </c>
      <c r="B119" s="2">
        <v>0.21480324074074075</v>
      </c>
      <c r="C119" s="2">
        <v>0.83171296296296293</v>
      </c>
      <c r="D119">
        <v>6</v>
      </c>
      <c r="E119">
        <v>3.61</v>
      </c>
      <c r="F119">
        <v>1.32</v>
      </c>
      <c r="G119">
        <v>2.14</v>
      </c>
      <c r="H119">
        <f t="shared" si="1"/>
        <v>14</v>
      </c>
    </row>
    <row r="120" spans="1:8" x14ac:dyDescent="0.25">
      <c r="A120" s="1">
        <v>44680</v>
      </c>
      <c r="B120" s="2">
        <v>0.21342592592592594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  <c r="H120">
        <f t="shared" si="1"/>
        <v>14</v>
      </c>
    </row>
    <row r="121" spans="1:8" x14ac:dyDescent="0.25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  <c r="H121">
        <f t="shared" si="1"/>
        <v>14</v>
      </c>
    </row>
    <row r="122" spans="1:8" x14ac:dyDescent="0.25">
      <c r="A122" s="1">
        <v>44682</v>
      </c>
      <c r="B122" s="2">
        <v>0.21070601851851853</v>
      </c>
      <c r="C122" s="2">
        <v>0.83526620370370375</v>
      </c>
      <c r="D122">
        <v>3</v>
      </c>
      <c r="E122">
        <v>4.0999999999999996</v>
      </c>
      <c r="F122">
        <v>2.16</v>
      </c>
      <c r="G122">
        <v>3.12</v>
      </c>
      <c r="H122">
        <f t="shared" si="1"/>
        <v>14</v>
      </c>
    </row>
    <row r="123" spans="1:8" x14ac:dyDescent="0.25">
      <c r="A123" s="1">
        <v>44683</v>
      </c>
      <c r="B123" s="2">
        <v>0.20936342592592594</v>
      </c>
      <c r="C123" s="2">
        <v>0.83644675925925926</v>
      </c>
      <c r="D123">
        <v>0</v>
      </c>
      <c r="E123">
        <v>12.23</v>
      </c>
      <c r="F123">
        <v>3.94</v>
      </c>
      <c r="G123">
        <v>2.0099999999999998</v>
      </c>
      <c r="H123">
        <f t="shared" si="1"/>
        <v>15</v>
      </c>
    </row>
    <row r="124" spans="1:8" x14ac:dyDescent="0.25">
      <c r="A124" s="1">
        <v>44684</v>
      </c>
      <c r="B124" s="2">
        <v>0.20804398148148148</v>
      </c>
      <c r="C124" s="2">
        <v>0.83762731481481478</v>
      </c>
      <c r="D124">
        <v>3</v>
      </c>
      <c r="E124">
        <v>5.28</v>
      </c>
      <c r="F124">
        <v>2.87</v>
      </c>
      <c r="G124">
        <v>2.58</v>
      </c>
      <c r="H124">
        <f t="shared" si="1"/>
        <v>15</v>
      </c>
    </row>
    <row r="125" spans="1:8" x14ac:dyDescent="0.25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  <c r="H125">
        <f t="shared" si="1"/>
        <v>15</v>
      </c>
    </row>
    <row r="126" spans="1:8" x14ac:dyDescent="0.25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  <c r="H126">
        <f t="shared" si="1"/>
        <v>15</v>
      </c>
    </row>
    <row r="127" spans="1:8" x14ac:dyDescent="0.25">
      <c r="A127" s="1">
        <v>44687</v>
      </c>
      <c r="B127" s="2">
        <v>0.20418981481481482</v>
      </c>
      <c r="C127" s="2">
        <v>0.84112268518518518</v>
      </c>
      <c r="D127">
        <v>1</v>
      </c>
      <c r="E127">
        <v>8.76</v>
      </c>
      <c r="F127">
        <v>3.15</v>
      </c>
      <c r="G127">
        <v>1.42</v>
      </c>
      <c r="H127">
        <f t="shared" si="1"/>
        <v>15</v>
      </c>
    </row>
    <row r="128" spans="1:8" x14ac:dyDescent="0.25">
      <c r="A128" s="1">
        <v>44688</v>
      </c>
      <c r="B128" s="2">
        <v>0.20293981481481482</v>
      </c>
      <c r="C128" s="2">
        <v>0.84226851851851847</v>
      </c>
      <c r="D128">
        <v>2</v>
      </c>
      <c r="E128">
        <v>5.66</v>
      </c>
      <c r="F128">
        <v>4.2</v>
      </c>
      <c r="G128">
        <v>2.94</v>
      </c>
      <c r="H128">
        <f t="shared" si="1"/>
        <v>15</v>
      </c>
    </row>
    <row r="129" spans="1:8" x14ac:dyDescent="0.25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  <c r="H129">
        <f t="shared" si="1"/>
        <v>15</v>
      </c>
    </row>
    <row r="130" spans="1:8" x14ac:dyDescent="0.25">
      <c r="A130" s="1">
        <v>44690</v>
      </c>
      <c r="B130" s="2">
        <v>0.20049768518518518</v>
      </c>
      <c r="C130" s="2">
        <v>0.84456018518518516</v>
      </c>
      <c r="D130">
        <v>7</v>
      </c>
      <c r="E130">
        <v>2.89</v>
      </c>
      <c r="F130">
        <v>0.59</v>
      </c>
      <c r="G130">
        <v>2.19</v>
      </c>
      <c r="H130">
        <f t="shared" ref="H130:H193" si="2">INT((C130-B130)*24)</f>
        <v>15</v>
      </c>
    </row>
    <row r="131" spans="1:8" x14ac:dyDescent="0.25">
      <c r="A131" s="1">
        <v>44691</v>
      </c>
      <c r="B131" s="2">
        <v>0.19930555555555557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  <c r="H131">
        <f t="shared" si="2"/>
        <v>15</v>
      </c>
    </row>
    <row r="132" spans="1:8" x14ac:dyDescent="0.25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  <c r="H132">
        <f t="shared" si="2"/>
        <v>15</v>
      </c>
    </row>
    <row r="133" spans="1:8" x14ac:dyDescent="0.25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  <c r="H133">
        <f t="shared" si="2"/>
        <v>15</v>
      </c>
    </row>
    <row r="134" spans="1:8" x14ac:dyDescent="0.25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  <c r="H134">
        <f t="shared" si="2"/>
        <v>15</v>
      </c>
    </row>
    <row r="135" spans="1:8" x14ac:dyDescent="0.25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  <c r="H135">
        <f t="shared" si="2"/>
        <v>15</v>
      </c>
    </row>
    <row r="136" spans="1:8" x14ac:dyDescent="0.25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  <c r="H136">
        <f t="shared" si="2"/>
        <v>15</v>
      </c>
    </row>
    <row r="137" spans="1:8" x14ac:dyDescent="0.25">
      <c r="A137" s="1">
        <v>44697</v>
      </c>
      <c r="B137" s="2">
        <v>0.19262731481481482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  <c r="H137">
        <f t="shared" si="2"/>
        <v>15</v>
      </c>
    </row>
    <row r="138" spans="1:8" x14ac:dyDescent="0.25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  <c r="H138">
        <f t="shared" si="2"/>
        <v>15</v>
      </c>
    </row>
    <row r="139" spans="1:8" x14ac:dyDescent="0.25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  <c r="H139">
        <f t="shared" si="2"/>
        <v>15</v>
      </c>
    </row>
    <row r="140" spans="1:8" x14ac:dyDescent="0.25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  <c r="H140">
        <f t="shared" si="2"/>
        <v>15</v>
      </c>
    </row>
    <row r="141" spans="1:8" x14ac:dyDescent="0.25">
      <c r="A141" s="1">
        <v>44701</v>
      </c>
      <c r="B141" s="2">
        <v>0.18864583333333335</v>
      </c>
      <c r="C141" s="2">
        <v>0.85652777777777778</v>
      </c>
      <c r="D141">
        <v>3</v>
      </c>
      <c r="E141">
        <v>6.62</v>
      </c>
      <c r="F141">
        <v>4.3</v>
      </c>
      <c r="G141">
        <v>2.2799999999999998</v>
      </c>
      <c r="H141">
        <f t="shared" si="2"/>
        <v>16</v>
      </c>
    </row>
    <row r="142" spans="1:8" x14ac:dyDescent="0.25">
      <c r="A142" s="1">
        <v>44702</v>
      </c>
      <c r="B142" s="2">
        <v>0.1877199074074074</v>
      </c>
      <c r="C142" s="2">
        <v>0.85754629629629631</v>
      </c>
      <c r="D142">
        <v>2</v>
      </c>
      <c r="E142">
        <v>5.03</v>
      </c>
      <c r="F142">
        <v>2.81</v>
      </c>
      <c r="G142">
        <v>3.05</v>
      </c>
      <c r="H142">
        <f t="shared" si="2"/>
        <v>16</v>
      </c>
    </row>
    <row r="143" spans="1:8" x14ac:dyDescent="0.25">
      <c r="A143" s="1">
        <v>44703</v>
      </c>
      <c r="B143" s="2">
        <v>0.18682870370370369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  <c r="H143">
        <f t="shared" si="2"/>
        <v>16</v>
      </c>
    </row>
    <row r="144" spans="1:8" x14ac:dyDescent="0.25">
      <c r="A144" s="1">
        <v>44704</v>
      </c>
      <c r="B144" s="2">
        <v>0.18594907407407407</v>
      </c>
      <c r="C144" s="2">
        <v>0.85952546296296295</v>
      </c>
      <c r="D144">
        <v>8</v>
      </c>
      <c r="E144">
        <v>1.36</v>
      </c>
      <c r="F144">
        <v>0.57999999999999996</v>
      </c>
      <c r="G144">
        <v>4.95</v>
      </c>
      <c r="H144">
        <f t="shared" si="2"/>
        <v>16</v>
      </c>
    </row>
    <row r="145" spans="1:8" x14ac:dyDescent="0.25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  <c r="H145">
        <f t="shared" si="2"/>
        <v>16</v>
      </c>
    </row>
    <row r="146" spans="1:8" x14ac:dyDescent="0.25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  <c r="H146">
        <f t="shared" si="2"/>
        <v>16</v>
      </c>
    </row>
    <row r="147" spans="1:8" x14ac:dyDescent="0.25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  <c r="H147">
        <f t="shared" si="2"/>
        <v>16</v>
      </c>
    </row>
    <row r="148" spans="1:8" x14ac:dyDescent="0.25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  <c r="H148">
        <f t="shared" si="2"/>
        <v>16</v>
      </c>
    </row>
    <row r="149" spans="1:8" x14ac:dyDescent="0.25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  <c r="H149">
        <f t="shared" si="2"/>
        <v>16</v>
      </c>
    </row>
    <row r="150" spans="1:8" x14ac:dyDescent="0.25">
      <c r="A150" s="1">
        <v>44710</v>
      </c>
      <c r="B150" s="2">
        <v>0.18135416666666668</v>
      </c>
      <c r="C150" s="2">
        <v>0.86504629629629626</v>
      </c>
      <c r="D150">
        <v>1</v>
      </c>
      <c r="E150">
        <v>15.38</v>
      </c>
      <c r="F150">
        <v>10.54</v>
      </c>
      <c r="G150">
        <v>2.16</v>
      </c>
      <c r="H150">
        <f t="shared" si="2"/>
        <v>16</v>
      </c>
    </row>
    <row r="151" spans="1:8" x14ac:dyDescent="0.25">
      <c r="A151" s="1">
        <v>44711</v>
      </c>
      <c r="B151" s="2">
        <v>0.18069444444444444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  <c r="H151">
        <f t="shared" si="2"/>
        <v>16</v>
      </c>
    </row>
    <row r="152" spans="1:8" x14ac:dyDescent="0.25">
      <c r="A152" s="1">
        <v>44712</v>
      </c>
      <c r="B152" s="2">
        <v>0.18006944444444445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  <c r="H152">
        <f t="shared" si="2"/>
        <v>16</v>
      </c>
    </row>
    <row r="153" spans="1:8" x14ac:dyDescent="0.25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  <c r="H153">
        <f t="shared" si="2"/>
        <v>16</v>
      </c>
    </row>
    <row r="154" spans="1:8" x14ac:dyDescent="0.25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  <c r="H154">
        <f t="shared" si="2"/>
        <v>16</v>
      </c>
    </row>
    <row r="155" spans="1:8" x14ac:dyDescent="0.25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  <c r="H155">
        <f t="shared" si="2"/>
        <v>16</v>
      </c>
    </row>
    <row r="156" spans="1:8" x14ac:dyDescent="0.25">
      <c r="A156" s="1">
        <v>44716</v>
      </c>
      <c r="B156" s="2">
        <v>0.17791666666666667</v>
      </c>
      <c r="C156" s="2">
        <v>0.8697569444444444</v>
      </c>
      <c r="D156">
        <v>2</v>
      </c>
      <c r="E156">
        <v>5.79</v>
      </c>
      <c r="F156">
        <v>1.35</v>
      </c>
      <c r="G156">
        <v>1.1200000000000001</v>
      </c>
      <c r="H156">
        <f t="shared" si="2"/>
        <v>16</v>
      </c>
    </row>
    <row r="157" spans="1:8" x14ac:dyDescent="0.25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  <c r="H157">
        <f t="shared" si="2"/>
        <v>16</v>
      </c>
    </row>
    <row r="158" spans="1:8" x14ac:dyDescent="0.25">
      <c r="A158" s="1">
        <v>44718</v>
      </c>
      <c r="B158" s="2">
        <v>0.17703703703703705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  <c r="H158">
        <f t="shared" si="2"/>
        <v>16</v>
      </c>
    </row>
    <row r="159" spans="1:8" x14ac:dyDescent="0.25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  <c r="H159">
        <f t="shared" si="2"/>
        <v>16</v>
      </c>
    </row>
    <row r="160" spans="1:8" x14ac:dyDescent="0.25">
      <c r="A160" s="1">
        <v>44720</v>
      </c>
      <c r="B160" s="2">
        <v>0.17631944444444445</v>
      </c>
      <c r="C160" s="2">
        <v>0.87237268518518518</v>
      </c>
      <c r="D160">
        <v>0</v>
      </c>
      <c r="E160">
        <v>12.57</v>
      </c>
      <c r="F160">
        <v>6.64</v>
      </c>
      <c r="G160">
        <v>3.26</v>
      </c>
      <c r="H160">
        <f t="shared" si="2"/>
        <v>16</v>
      </c>
    </row>
    <row r="161" spans="1:8" x14ac:dyDescent="0.25">
      <c r="A161" s="1">
        <v>44721</v>
      </c>
      <c r="B161" s="2">
        <v>0.17600694444444445</v>
      </c>
      <c r="C161" s="2">
        <v>0.8729513888888889</v>
      </c>
      <c r="D161">
        <v>4</v>
      </c>
      <c r="E161">
        <v>4.3</v>
      </c>
      <c r="F161">
        <v>2.36</v>
      </c>
      <c r="G161">
        <v>3.54</v>
      </c>
      <c r="H161">
        <f t="shared" si="2"/>
        <v>16</v>
      </c>
    </row>
    <row r="162" spans="1:8" x14ac:dyDescent="0.25">
      <c r="A162" s="1">
        <v>44722</v>
      </c>
      <c r="B162" s="2">
        <v>0.17572916666666666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  <c r="H162">
        <f t="shared" si="2"/>
        <v>16</v>
      </c>
    </row>
    <row r="163" spans="1:8" x14ac:dyDescent="0.25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  <c r="H163">
        <f t="shared" si="2"/>
        <v>16</v>
      </c>
    </row>
    <row r="164" spans="1:8" x14ac:dyDescent="0.25">
      <c r="A164" s="1">
        <v>44724</v>
      </c>
      <c r="B164" s="2">
        <v>0.17530092592592592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  <c r="H164">
        <f t="shared" si="2"/>
        <v>16</v>
      </c>
    </row>
    <row r="165" spans="1:8" x14ac:dyDescent="0.25">
      <c r="A165" s="1">
        <v>44725</v>
      </c>
      <c r="B165" s="2">
        <v>0.1751388888888889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  <c r="H165">
        <f t="shared" si="2"/>
        <v>16</v>
      </c>
    </row>
    <row r="166" spans="1:8" x14ac:dyDescent="0.25">
      <c r="A166" s="1">
        <v>44726</v>
      </c>
      <c r="B166" s="2">
        <v>0.17501157407407408</v>
      </c>
      <c r="C166" s="2">
        <v>0.87537037037037035</v>
      </c>
      <c r="D166">
        <v>0</v>
      </c>
      <c r="E166">
        <v>14.03</v>
      </c>
      <c r="F166">
        <v>5.68</v>
      </c>
      <c r="G166">
        <v>2.95</v>
      </c>
      <c r="H166">
        <f t="shared" si="2"/>
        <v>16</v>
      </c>
    </row>
    <row r="167" spans="1:8" x14ac:dyDescent="0.25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  <c r="H167">
        <f t="shared" si="2"/>
        <v>16</v>
      </c>
    </row>
    <row r="168" spans="1:8" x14ac:dyDescent="0.25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  <c r="H168">
        <f t="shared" si="2"/>
        <v>16</v>
      </c>
    </row>
    <row r="169" spans="1:8" x14ac:dyDescent="0.25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  <c r="H169">
        <f t="shared" si="2"/>
        <v>16</v>
      </c>
    </row>
    <row r="170" spans="1:8" x14ac:dyDescent="0.25">
      <c r="A170" s="1">
        <v>44730</v>
      </c>
      <c r="B170" s="2">
        <v>0.17488425925925927</v>
      </c>
      <c r="C170" s="2">
        <v>0.87668981481481478</v>
      </c>
      <c r="D170">
        <v>0</v>
      </c>
      <c r="E170">
        <v>11.1</v>
      </c>
      <c r="F170">
        <v>4.6399999999999997</v>
      </c>
      <c r="G170">
        <v>3.54</v>
      </c>
      <c r="H170">
        <f t="shared" si="2"/>
        <v>16</v>
      </c>
    </row>
    <row r="171" spans="1:8" x14ac:dyDescent="0.25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  <c r="H171">
        <f t="shared" si="2"/>
        <v>16</v>
      </c>
    </row>
    <row r="172" spans="1:8" x14ac:dyDescent="0.25">
      <c r="A172" s="1">
        <v>44732</v>
      </c>
      <c r="B172" s="2">
        <v>0.17504629629629628</v>
      </c>
      <c r="C172" s="2">
        <v>0.87712962962962959</v>
      </c>
      <c r="D172">
        <v>2</v>
      </c>
      <c r="E172">
        <v>8.8800000000000008</v>
      </c>
      <c r="F172">
        <v>6.14</v>
      </c>
      <c r="G172">
        <v>3.61</v>
      </c>
      <c r="H172">
        <f t="shared" si="2"/>
        <v>16</v>
      </c>
    </row>
    <row r="173" spans="1:8" x14ac:dyDescent="0.25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  <c r="H173">
        <f t="shared" si="2"/>
        <v>16</v>
      </c>
    </row>
    <row r="174" spans="1:8" x14ac:dyDescent="0.25">
      <c r="A174" s="1">
        <v>44734</v>
      </c>
      <c r="B174" s="2">
        <v>0.1753587962962963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  <c r="H174">
        <f t="shared" si="2"/>
        <v>16</v>
      </c>
    </row>
    <row r="175" spans="1:8" x14ac:dyDescent="0.25">
      <c r="A175" s="1">
        <v>44735</v>
      </c>
      <c r="B175" s="2">
        <v>0.17556712962962964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  <c r="H175">
        <f t="shared" si="2"/>
        <v>16</v>
      </c>
    </row>
    <row r="176" spans="1:8" x14ac:dyDescent="0.25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  <c r="H176">
        <f t="shared" si="2"/>
        <v>16</v>
      </c>
    </row>
    <row r="177" spans="1:8" x14ac:dyDescent="0.25">
      <c r="A177" s="1">
        <v>44737</v>
      </c>
      <c r="B177" s="2">
        <v>0.17608796296296297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  <c r="H177">
        <f t="shared" si="2"/>
        <v>16</v>
      </c>
    </row>
    <row r="178" spans="1:8" x14ac:dyDescent="0.25">
      <c r="A178" s="1">
        <v>44738</v>
      </c>
      <c r="B178" s="2">
        <v>0.17640046296296297</v>
      </c>
      <c r="C178" s="2">
        <v>0.8775694444444444</v>
      </c>
      <c r="D178">
        <v>1</v>
      </c>
      <c r="E178">
        <v>12.81</v>
      </c>
      <c r="F178">
        <v>7.18</v>
      </c>
      <c r="G178">
        <v>1.54</v>
      </c>
      <c r="H178">
        <f t="shared" si="2"/>
        <v>16</v>
      </c>
    </row>
    <row r="179" spans="1:8" x14ac:dyDescent="0.25">
      <c r="A179" s="1">
        <v>44739</v>
      </c>
      <c r="B179" s="2">
        <v>0.17674768518518519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  <c r="H179">
        <f t="shared" si="2"/>
        <v>16</v>
      </c>
    </row>
    <row r="180" spans="1:8" x14ac:dyDescent="0.25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  <c r="H180">
        <f t="shared" si="2"/>
        <v>16</v>
      </c>
    </row>
    <row r="181" spans="1:8" x14ac:dyDescent="0.25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  <c r="H181">
        <f t="shared" si="2"/>
        <v>16</v>
      </c>
    </row>
    <row r="182" spans="1:8" x14ac:dyDescent="0.25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  <c r="H182">
        <f t="shared" si="2"/>
        <v>16</v>
      </c>
    </row>
    <row r="183" spans="1:8" x14ac:dyDescent="0.25">
      <c r="A183" s="1">
        <v>44743</v>
      </c>
      <c r="B183" s="2">
        <v>0.17847222222222223</v>
      </c>
      <c r="C183" s="2">
        <v>0.87690972222222219</v>
      </c>
      <c r="D183">
        <v>2</v>
      </c>
      <c r="E183">
        <v>2.96</v>
      </c>
      <c r="F183">
        <v>1.54</v>
      </c>
      <c r="G183">
        <v>4.5199999999999996</v>
      </c>
      <c r="H183">
        <f t="shared" si="2"/>
        <v>16</v>
      </c>
    </row>
    <row r="184" spans="1:8" x14ac:dyDescent="0.25">
      <c r="A184" s="1">
        <v>44744</v>
      </c>
      <c r="B184" s="2">
        <v>0.17898148148148149</v>
      </c>
      <c r="C184" s="2">
        <v>0.87665509259259256</v>
      </c>
      <c r="D184">
        <v>0</v>
      </c>
      <c r="E184">
        <v>13.76</v>
      </c>
      <c r="F184">
        <v>7.09</v>
      </c>
      <c r="G184">
        <v>4.32</v>
      </c>
      <c r="H184">
        <f t="shared" si="2"/>
        <v>16</v>
      </c>
    </row>
    <row r="185" spans="1:8" x14ac:dyDescent="0.25">
      <c r="A185" s="1">
        <v>44745</v>
      </c>
      <c r="B185" s="2">
        <v>0.17952546296296296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  <c r="H185">
        <f t="shared" si="2"/>
        <v>16</v>
      </c>
    </row>
    <row r="186" spans="1:8" x14ac:dyDescent="0.25">
      <c r="A186" s="1">
        <v>44746</v>
      </c>
      <c r="B186" s="2">
        <v>0.18010416666666668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  <c r="H186">
        <f t="shared" si="2"/>
        <v>16</v>
      </c>
    </row>
    <row r="187" spans="1:8" x14ac:dyDescent="0.25">
      <c r="A187" s="1">
        <v>44747</v>
      </c>
      <c r="B187" s="2">
        <v>0.18069444444444444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  <c r="H187">
        <f t="shared" si="2"/>
        <v>16</v>
      </c>
    </row>
    <row r="188" spans="1:8" x14ac:dyDescent="0.25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  <c r="H188">
        <f t="shared" si="2"/>
        <v>16</v>
      </c>
    </row>
    <row r="189" spans="1:8" x14ac:dyDescent="0.25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  <c r="H189">
        <f t="shared" si="2"/>
        <v>16</v>
      </c>
    </row>
    <row r="190" spans="1:8" x14ac:dyDescent="0.25">
      <c r="A190" s="1">
        <v>44750</v>
      </c>
      <c r="B190" s="2">
        <v>0.18267361111111111</v>
      </c>
      <c r="C190" s="2">
        <v>0.87440972222222224</v>
      </c>
      <c r="D190">
        <v>1</v>
      </c>
      <c r="E190">
        <v>11.9</v>
      </c>
      <c r="F190">
        <v>7.34</v>
      </c>
      <c r="G190">
        <v>4.8099999999999996</v>
      </c>
      <c r="H190">
        <f t="shared" si="2"/>
        <v>16</v>
      </c>
    </row>
    <row r="191" spans="1:8" x14ac:dyDescent="0.25">
      <c r="A191" s="1">
        <v>44751</v>
      </c>
      <c r="B191" s="2">
        <v>0.18337962962962964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  <c r="H191">
        <f t="shared" si="2"/>
        <v>16</v>
      </c>
    </row>
    <row r="192" spans="1:8" x14ac:dyDescent="0.25">
      <c r="A192" s="1">
        <v>44752</v>
      </c>
      <c r="B192" s="2">
        <v>0.18412037037037038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  <c r="H192">
        <f t="shared" si="2"/>
        <v>16</v>
      </c>
    </row>
    <row r="193" spans="1:8" x14ac:dyDescent="0.25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  <c r="H193">
        <f t="shared" si="2"/>
        <v>16</v>
      </c>
    </row>
    <row r="194" spans="1:8" x14ac:dyDescent="0.25">
      <c r="A194" s="1">
        <v>44754</v>
      </c>
      <c r="B194" s="2">
        <v>0.18565972222222221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  <c r="H194">
        <f t="shared" ref="H194:H257" si="3">INT((C194-B194)*24)</f>
        <v>16</v>
      </c>
    </row>
    <row r="195" spans="1:8" x14ac:dyDescent="0.25">
      <c r="A195" s="1">
        <v>44755</v>
      </c>
      <c r="B195" s="2">
        <v>0.1864699074074074</v>
      </c>
      <c r="C195" s="2">
        <v>0.87155092592592598</v>
      </c>
      <c r="D195">
        <v>0</v>
      </c>
      <c r="E195">
        <v>17.22</v>
      </c>
      <c r="F195">
        <v>9.69</v>
      </c>
      <c r="G195">
        <v>2.84</v>
      </c>
      <c r="H195">
        <f t="shared" si="3"/>
        <v>16</v>
      </c>
    </row>
    <row r="196" spans="1:8" x14ac:dyDescent="0.25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  <c r="H196">
        <f t="shared" si="3"/>
        <v>16</v>
      </c>
    </row>
    <row r="197" spans="1:8" x14ac:dyDescent="0.25">
      <c r="A197" s="1">
        <v>44757</v>
      </c>
      <c r="B197" s="2">
        <v>0.18813657407407408</v>
      </c>
      <c r="C197" s="2">
        <v>0.87017361111111113</v>
      </c>
      <c r="D197">
        <v>1</v>
      </c>
      <c r="E197">
        <v>15.96</v>
      </c>
      <c r="F197">
        <v>11.95</v>
      </c>
      <c r="G197">
        <v>3.05</v>
      </c>
      <c r="H197">
        <f t="shared" si="3"/>
        <v>16</v>
      </c>
    </row>
    <row r="198" spans="1:8" x14ac:dyDescent="0.25">
      <c r="A198" s="1">
        <v>44758</v>
      </c>
      <c r="B198" s="2">
        <v>0.1890162037037037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  <c r="H198">
        <f t="shared" si="3"/>
        <v>16</v>
      </c>
    </row>
    <row r="199" spans="1:8" x14ac:dyDescent="0.25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  <c r="H199">
        <f t="shared" si="3"/>
        <v>16</v>
      </c>
    </row>
    <row r="200" spans="1:8" x14ac:dyDescent="0.25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  <c r="H200">
        <f t="shared" si="3"/>
        <v>16</v>
      </c>
    </row>
    <row r="201" spans="1:8" x14ac:dyDescent="0.25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  <c r="H201">
        <f t="shared" si="3"/>
        <v>16</v>
      </c>
    </row>
    <row r="202" spans="1:8" x14ac:dyDescent="0.25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  <c r="H202">
        <f t="shared" si="3"/>
        <v>16</v>
      </c>
    </row>
    <row r="203" spans="1:8" x14ac:dyDescent="0.25">
      <c r="A203" s="1">
        <v>44763</v>
      </c>
      <c r="B203" s="2">
        <v>0.19362268518518519</v>
      </c>
      <c r="C203" s="2">
        <v>0.86531250000000004</v>
      </c>
      <c r="D203">
        <v>0</v>
      </c>
      <c r="E203">
        <v>18.3</v>
      </c>
      <c r="F203">
        <v>10.96</v>
      </c>
      <c r="G203">
        <v>2.14</v>
      </c>
      <c r="H203">
        <f t="shared" si="3"/>
        <v>16</v>
      </c>
    </row>
    <row r="204" spans="1:8" x14ac:dyDescent="0.25">
      <c r="A204" s="1">
        <v>44764</v>
      </c>
      <c r="B204" s="2">
        <v>0.1945949074074074</v>
      </c>
      <c r="C204" s="2">
        <v>0.86439814814814819</v>
      </c>
      <c r="D204">
        <v>0</v>
      </c>
      <c r="E204">
        <v>17.04</v>
      </c>
      <c r="F204">
        <v>9.85</v>
      </c>
      <c r="G204">
        <v>2.2599999999999998</v>
      </c>
      <c r="H204">
        <f t="shared" si="3"/>
        <v>16</v>
      </c>
    </row>
    <row r="205" spans="1:8" x14ac:dyDescent="0.25">
      <c r="A205" s="1">
        <v>44765</v>
      </c>
      <c r="B205" s="2">
        <v>0.1955787037037037</v>
      </c>
      <c r="C205" s="2">
        <v>0.86346064814814816</v>
      </c>
      <c r="D205">
        <v>0</v>
      </c>
      <c r="E205">
        <v>18.850000000000001</v>
      </c>
      <c r="F205">
        <v>11.75</v>
      </c>
      <c r="G205">
        <v>2.94</v>
      </c>
      <c r="H205">
        <f t="shared" si="3"/>
        <v>16</v>
      </c>
    </row>
    <row r="206" spans="1:8" x14ac:dyDescent="0.25">
      <c r="A206" s="1">
        <v>44766</v>
      </c>
      <c r="B206" s="2">
        <v>0.19658564814814813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  <c r="H206">
        <f t="shared" si="3"/>
        <v>15</v>
      </c>
    </row>
    <row r="207" spans="1:8" x14ac:dyDescent="0.25">
      <c r="A207" s="1">
        <v>44767</v>
      </c>
      <c r="B207" s="2">
        <v>0.1975925925925926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  <c r="H207">
        <f t="shared" si="3"/>
        <v>15</v>
      </c>
    </row>
    <row r="208" spans="1:8" x14ac:dyDescent="0.25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  <c r="H208">
        <f t="shared" si="3"/>
        <v>15</v>
      </c>
    </row>
    <row r="209" spans="1:8" x14ac:dyDescent="0.25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  <c r="H209">
        <f t="shared" si="3"/>
        <v>15</v>
      </c>
    </row>
    <row r="210" spans="1:8" x14ac:dyDescent="0.25">
      <c r="A210" s="1">
        <v>44770</v>
      </c>
      <c r="B210" s="2">
        <v>0.20069444444444445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  <c r="H210">
        <f t="shared" si="3"/>
        <v>15</v>
      </c>
    </row>
    <row r="211" spans="1:8" x14ac:dyDescent="0.25">
      <c r="A211" s="1">
        <v>44771</v>
      </c>
      <c r="B211" s="2">
        <v>0.20175925925925925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  <c r="H211">
        <f t="shared" si="3"/>
        <v>15</v>
      </c>
    </row>
    <row r="212" spans="1:8" x14ac:dyDescent="0.25">
      <c r="A212" s="1">
        <v>44772</v>
      </c>
      <c r="B212" s="2">
        <v>0.20282407407407407</v>
      </c>
      <c r="C212" s="2">
        <v>0.85614583333333338</v>
      </c>
      <c r="D212">
        <v>1</v>
      </c>
      <c r="E212">
        <v>14.2</v>
      </c>
      <c r="F212">
        <v>10.59</v>
      </c>
      <c r="G212">
        <v>4.04</v>
      </c>
      <c r="H212">
        <f t="shared" si="3"/>
        <v>15</v>
      </c>
    </row>
    <row r="213" spans="1:8" x14ac:dyDescent="0.25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  <c r="H213">
        <f t="shared" si="3"/>
        <v>15</v>
      </c>
    </row>
    <row r="214" spans="1:8" x14ac:dyDescent="0.25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  <c r="H214">
        <f t="shared" si="3"/>
        <v>15</v>
      </c>
    </row>
    <row r="215" spans="1:8" x14ac:dyDescent="0.25">
      <c r="A215" s="1">
        <v>44775</v>
      </c>
      <c r="B215" s="2">
        <v>0.20606481481481481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  <c r="H215">
        <f t="shared" si="3"/>
        <v>15</v>
      </c>
    </row>
    <row r="216" spans="1:8" x14ac:dyDescent="0.25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  <c r="H216">
        <f t="shared" si="3"/>
        <v>15</v>
      </c>
    </row>
    <row r="217" spans="1:8" x14ac:dyDescent="0.25">
      <c r="A217" s="1">
        <v>44777</v>
      </c>
      <c r="B217" s="2">
        <v>0.20826388888888889</v>
      </c>
      <c r="C217" s="2">
        <v>0.85023148148148153</v>
      </c>
      <c r="D217">
        <v>0</v>
      </c>
      <c r="E217">
        <v>19.88</v>
      </c>
      <c r="F217">
        <v>10.14</v>
      </c>
      <c r="G217">
        <v>1.94</v>
      </c>
      <c r="H217">
        <f t="shared" si="3"/>
        <v>15</v>
      </c>
    </row>
    <row r="218" spans="1:8" x14ac:dyDescent="0.25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  <c r="H218">
        <f t="shared" si="3"/>
        <v>15</v>
      </c>
    </row>
    <row r="219" spans="1:8" x14ac:dyDescent="0.25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  <c r="H219">
        <f t="shared" si="3"/>
        <v>15</v>
      </c>
    </row>
    <row r="220" spans="1:8" x14ac:dyDescent="0.25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  <c r="H220">
        <f t="shared" si="3"/>
        <v>15</v>
      </c>
    </row>
    <row r="221" spans="1:8" x14ac:dyDescent="0.25">
      <c r="A221" s="1">
        <v>44781</v>
      </c>
      <c r="B221" s="2">
        <v>0.2127199074074074</v>
      </c>
      <c r="C221" s="2">
        <v>0.84513888888888888</v>
      </c>
      <c r="D221">
        <v>0</v>
      </c>
      <c r="E221">
        <v>15.21</v>
      </c>
      <c r="F221">
        <v>6.71</v>
      </c>
      <c r="G221">
        <v>3.21</v>
      </c>
      <c r="H221">
        <f t="shared" si="3"/>
        <v>15</v>
      </c>
    </row>
    <row r="222" spans="1:8" x14ac:dyDescent="0.25">
      <c r="A222" s="1">
        <v>44782</v>
      </c>
      <c r="B222" s="2">
        <v>0.21384259259259258</v>
      </c>
      <c r="C222" s="2">
        <v>0.84381944444444446</v>
      </c>
      <c r="D222">
        <v>0</v>
      </c>
      <c r="E222">
        <v>19.329999999999998</v>
      </c>
      <c r="F222">
        <v>10.19</v>
      </c>
      <c r="G222">
        <v>1.54</v>
      </c>
      <c r="H222">
        <f t="shared" si="3"/>
        <v>15</v>
      </c>
    </row>
    <row r="223" spans="1:8" x14ac:dyDescent="0.25">
      <c r="A223" s="1">
        <v>44783</v>
      </c>
      <c r="B223" s="2">
        <v>0.21497685185185186</v>
      </c>
      <c r="C223" s="2">
        <v>0.84248842592592588</v>
      </c>
      <c r="D223">
        <v>0</v>
      </c>
      <c r="E223">
        <v>19.829999999999998</v>
      </c>
      <c r="F223">
        <v>12.94</v>
      </c>
      <c r="G223">
        <v>3.94</v>
      </c>
      <c r="H223">
        <f t="shared" si="3"/>
        <v>15</v>
      </c>
    </row>
    <row r="224" spans="1:8" x14ac:dyDescent="0.25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  <c r="H224">
        <f t="shared" si="3"/>
        <v>15</v>
      </c>
    </row>
    <row r="225" spans="1:8" x14ac:dyDescent="0.25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  <c r="H225">
        <f t="shared" si="3"/>
        <v>14</v>
      </c>
    </row>
    <row r="226" spans="1:8" x14ac:dyDescent="0.25">
      <c r="A226" s="1">
        <v>44786</v>
      </c>
      <c r="B226" s="2">
        <v>0.21837962962962962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  <c r="H226">
        <f t="shared" si="3"/>
        <v>14</v>
      </c>
    </row>
    <row r="227" spans="1:8" x14ac:dyDescent="0.25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  <c r="H227">
        <f t="shared" si="3"/>
        <v>14</v>
      </c>
    </row>
    <row r="228" spans="1:8" x14ac:dyDescent="0.25">
      <c r="A228" s="1">
        <v>44788</v>
      </c>
      <c r="B228" s="2">
        <v>0.22065972222222222</v>
      </c>
      <c r="C228" s="2">
        <v>0.83559027777777772</v>
      </c>
      <c r="D228">
        <v>0</v>
      </c>
      <c r="E228">
        <v>19.920000000000002</v>
      </c>
      <c r="F228">
        <v>12.25</v>
      </c>
      <c r="G228">
        <v>1.77</v>
      </c>
      <c r="H228">
        <f t="shared" si="3"/>
        <v>14</v>
      </c>
    </row>
    <row r="229" spans="1:8" x14ac:dyDescent="0.25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  <c r="H229">
        <f t="shared" si="3"/>
        <v>14</v>
      </c>
    </row>
    <row r="230" spans="1:8" x14ac:dyDescent="0.25">
      <c r="A230" s="1">
        <v>44790</v>
      </c>
      <c r="B230" s="2">
        <v>0.22295138888888888</v>
      </c>
      <c r="C230" s="2">
        <v>0.83273148148148146</v>
      </c>
      <c r="D230">
        <v>0</v>
      </c>
      <c r="E230">
        <v>18.84</v>
      </c>
      <c r="F230">
        <v>10.64</v>
      </c>
      <c r="G230">
        <v>3.51</v>
      </c>
      <c r="H230">
        <f t="shared" si="3"/>
        <v>14</v>
      </c>
    </row>
    <row r="231" spans="1:8" x14ac:dyDescent="0.25">
      <c r="A231" s="1">
        <v>44791</v>
      </c>
      <c r="B231" s="2">
        <v>0.22409722222222223</v>
      </c>
      <c r="C231" s="2">
        <v>0.83127314814814812</v>
      </c>
      <c r="D231">
        <v>0</v>
      </c>
      <c r="E231">
        <v>18.97</v>
      </c>
      <c r="F231">
        <v>10.97</v>
      </c>
      <c r="G231">
        <v>3.09</v>
      </c>
      <c r="H231">
        <f t="shared" si="3"/>
        <v>14</v>
      </c>
    </row>
    <row r="232" spans="1:8" x14ac:dyDescent="0.25">
      <c r="A232" s="1">
        <v>44792</v>
      </c>
      <c r="B232" s="2">
        <v>0.22524305555555554</v>
      </c>
      <c r="C232" s="2">
        <v>0.82981481481481478</v>
      </c>
      <c r="D232">
        <v>1</v>
      </c>
      <c r="E232">
        <v>11.99</v>
      </c>
      <c r="F232">
        <v>7.68</v>
      </c>
      <c r="G232">
        <v>3.68</v>
      </c>
      <c r="H232">
        <f t="shared" si="3"/>
        <v>14</v>
      </c>
    </row>
    <row r="233" spans="1:8" x14ac:dyDescent="0.25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  <c r="H233">
        <f t="shared" si="3"/>
        <v>14</v>
      </c>
    </row>
    <row r="234" spans="1:8" x14ac:dyDescent="0.25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  <c r="H234">
        <f t="shared" si="3"/>
        <v>14</v>
      </c>
    </row>
    <row r="235" spans="1:8" x14ac:dyDescent="0.25">
      <c r="A235" s="1">
        <v>44795</v>
      </c>
      <c r="B235" s="2">
        <v>0.22868055555555555</v>
      </c>
      <c r="C235" s="2">
        <v>0.82535879629629627</v>
      </c>
      <c r="D235">
        <v>1</v>
      </c>
      <c r="E235">
        <v>14.17</v>
      </c>
      <c r="F235">
        <v>9.9700000000000006</v>
      </c>
      <c r="G235">
        <v>3.16</v>
      </c>
      <c r="H235">
        <f t="shared" si="3"/>
        <v>14</v>
      </c>
    </row>
    <row r="236" spans="1:8" x14ac:dyDescent="0.25">
      <c r="A236" s="1">
        <v>44796</v>
      </c>
      <c r="B236" s="2">
        <v>0.2298263888888889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  <c r="H236">
        <f t="shared" si="3"/>
        <v>14</v>
      </c>
    </row>
    <row r="237" spans="1:8" x14ac:dyDescent="0.25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  <c r="H237">
        <f t="shared" si="3"/>
        <v>14</v>
      </c>
    </row>
    <row r="238" spans="1:8" x14ac:dyDescent="0.25">
      <c r="A238" s="1">
        <v>44798</v>
      </c>
      <c r="B238" s="2">
        <v>0.23211805555555556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  <c r="H238">
        <f t="shared" si="3"/>
        <v>14</v>
      </c>
    </row>
    <row r="239" spans="1:8" x14ac:dyDescent="0.25">
      <c r="A239" s="1">
        <v>44799</v>
      </c>
      <c r="B239" s="2">
        <v>0.23326388888888888</v>
      </c>
      <c r="C239" s="2">
        <v>0.81927083333333328</v>
      </c>
      <c r="D239">
        <v>0</v>
      </c>
      <c r="E239">
        <v>16.829999999999998</v>
      </c>
      <c r="F239">
        <v>8.83</v>
      </c>
      <c r="G239">
        <v>3.07</v>
      </c>
      <c r="H239">
        <f t="shared" si="3"/>
        <v>14</v>
      </c>
    </row>
    <row r="240" spans="1:8" x14ac:dyDescent="0.25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  <c r="H240">
        <f t="shared" si="3"/>
        <v>13</v>
      </c>
    </row>
    <row r="241" spans="1:8" x14ac:dyDescent="0.25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  <c r="H241">
        <f t="shared" si="3"/>
        <v>13</v>
      </c>
    </row>
    <row r="242" spans="1:8" x14ac:dyDescent="0.25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  <c r="H242">
        <f t="shared" si="3"/>
        <v>13</v>
      </c>
    </row>
    <row r="243" spans="1:8" x14ac:dyDescent="0.25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  <c r="H243">
        <f t="shared" si="3"/>
        <v>13</v>
      </c>
    </row>
    <row r="244" spans="1:8" x14ac:dyDescent="0.25">
      <c r="A244" s="1">
        <v>44804</v>
      </c>
      <c r="B244" s="2">
        <v>0.23899305555555556</v>
      </c>
      <c r="C244" s="2">
        <v>0.81146990740740743</v>
      </c>
      <c r="D244">
        <v>0</v>
      </c>
      <c r="E244">
        <v>17.559999999999999</v>
      </c>
      <c r="F244">
        <v>9.49</v>
      </c>
      <c r="G244">
        <v>0.94</v>
      </c>
      <c r="H244">
        <f t="shared" si="3"/>
        <v>13</v>
      </c>
    </row>
    <row r="245" spans="1:8" x14ac:dyDescent="0.25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  <c r="H245">
        <f t="shared" si="3"/>
        <v>13</v>
      </c>
    </row>
    <row r="246" spans="1:8" x14ac:dyDescent="0.25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  <c r="H246">
        <f t="shared" si="3"/>
        <v>13</v>
      </c>
    </row>
    <row r="247" spans="1:8" x14ac:dyDescent="0.25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  <c r="H247">
        <f t="shared" si="3"/>
        <v>13</v>
      </c>
    </row>
    <row r="248" spans="1:8" x14ac:dyDescent="0.25">
      <c r="A248" s="1">
        <v>44808</v>
      </c>
      <c r="B248" s="2">
        <v>0.24356481481481482</v>
      </c>
      <c r="C248" s="2">
        <v>0.80510416666666662</v>
      </c>
      <c r="D248">
        <v>0</v>
      </c>
      <c r="E248">
        <v>19.399999999999999</v>
      </c>
      <c r="F248">
        <v>10.84</v>
      </c>
      <c r="G248">
        <v>0.84</v>
      </c>
      <c r="H248">
        <f t="shared" si="3"/>
        <v>13</v>
      </c>
    </row>
    <row r="249" spans="1:8" x14ac:dyDescent="0.25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  <c r="H249">
        <f t="shared" si="3"/>
        <v>13</v>
      </c>
    </row>
    <row r="250" spans="1:8" x14ac:dyDescent="0.25">
      <c r="A250" s="1">
        <v>44810</v>
      </c>
      <c r="B250" s="2">
        <v>0.24584490740740741</v>
      </c>
      <c r="C250" s="2">
        <v>0.80189814814814819</v>
      </c>
      <c r="D250">
        <v>2</v>
      </c>
      <c r="E250">
        <v>10.199999999999999</v>
      </c>
      <c r="F250">
        <v>6.94</v>
      </c>
      <c r="G250">
        <v>1.89</v>
      </c>
      <c r="H250">
        <f t="shared" si="3"/>
        <v>13</v>
      </c>
    </row>
    <row r="251" spans="1:8" x14ac:dyDescent="0.25">
      <c r="A251" s="1">
        <v>44811</v>
      </c>
      <c r="B251" s="2">
        <v>0.24699074074074073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  <c r="H251">
        <f t="shared" si="3"/>
        <v>13</v>
      </c>
    </row>
    <row r="252" spans="1:8" x14ac:dyDescent="0.25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  <c r="H252">
        <f t="shared" si="3"/>
        <v>13</v>
      </c>
    </row>
    <row r="253" spans="1:8" x14ac:dyDescent="0.25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  <c r="H253">
        <f t="shared" si="3"/>
        <v>13</v>
      </c>
    </row>
    <row r="254" spans="1:8" x14ac:dyDescent="0.25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  <c r="H254">
        <f t="shared" si="3"/>
        <v>13</v>
      </c>
    </row>
    <row r="255" spans="1:8" x14ac:dyDescent="0.25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  <c r="H255">
        <f t="shared" si="3"/>
        <v>13</v>
      </c>
    </row>
    <row r="256" spans="1:8" x14ac:dyDescent="0.25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  <c r="H256">
        <f t="shared" si="3"/>
        <v>12</v>
      </c>
    </row>
    <row r="257" spans="1:8" x14ac:dyDescent="0.25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  <c r="H257">
        <f t="shared" si="3"/>
        <v>12</v>
      </c>
    </row>
    <row r="258" spans="1:8" x14ac:dyDescent="0.25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  <c r="H258">
        <f t="shared" ref="H258:H321" si="4">INT((C258-B258)*24)</f>
        <v>12</v>
      </c>
    </row>
    <row r="259" spans="1:8" x14ac:dyDescent="0.25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  <c r="H259">
        <f t="shared" si="4"/>
        <v>12</v>
      </c>
    </row>
    <row r="260" spans="1:8" x14ac:dyDescent="0.25">
      <c r="A260" s="1">
        <v>44820</v>
      </c>
      <c r="B260" s="2">
        <v>0.25725694444444447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  <c r="H260">
        <f t="shared" si="4"/>
        <v>12</v>
      </c>
    </row>
    <row r="261" spans="1:8" x14ac:dyDescent="0.25">
      <c r="A261" s="1">
        <v>44821</v>
      </c>
      <c r="B261" s="2">
        <v>0.25840277777777776</v>
      </c>
      <c r="C261" s="2">
        <v>0.78396990740740746</v>
      </c>
      <c r="D261">
        <v>1</v>
      </c>
      <c r="E261">
        <v>13.43</v>
      </c>
      <c r="F261">
        <v>8.9700000000000006</v>
      </c>
      <c r="G261">
        <v>3.24</v>
      </c>
      <c r="H261">
        <f t="shared" si="4"/>
        <v>12</v>
      </c>
    </row>
    <row r="262" spans="1:8" x14ac:dyDescent="0.25">
      <c r="A262" s="1">
        <v>44822</v>
      </c>
      <c r="B262" s="2">
        <v>0.2595486111111111</v>
      </c>
      <c r="C262" s="2">
        <v>0.78232638888888884</v>
      </c>
      <c r="D262">
        <v>1</v>
      </c>
      <c r="E262">
        <v>12.57</v>
      </c>
      <c r="F262">
        <v>8.44</v>
      </c>
      <c r="G262">
        <v>3.16</v>
      </c>
      <c r="H262">
        <f t="shared" si="4"/>
        <v>12</v>
      </c>
    </row>
    <row r="263" spans="1:8" x14ac:dyDescent="0.25">
      <c r="A263" s="1">
        <v>44823</v>
      </c>
      <c r="B263" s="2">
        <v>0.26069444444444445</v>
      </c>
      <c r="C263" s="2">
        <v>0.78068287037037032</v>
      </c>
      <c r="D263">
        <v>2</v>
      </c>
      <c r="E263">
        <v>10.44</v>
      </c>
      <c r="F263">
        <v>7.84</v>
      </c>
      <c r="G263">
        <v>2.48</v>
      </c>
      <c r="H263">
        <f t="shared" si="4"/>
        <v>12</v>
      </c>
    </row>
    <row r="264" spans="1:8" x14ac:dyDescent="0.25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  <c r="H264">
        <f t="shared" si="4"/>
        <v>12</v>
      </c>
    </row>
    <row r="265" spans="1:8" x14ac:dyDescent="0.25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  <c r="H265">
        <f t="shared" si="4"/>
        <v>12</v>
      </c>
    </row>
    <row r="266" spans="1:8" x14ac:dyDescent="0.25">
      <c r="A266" s="1">
        <v>44826</v>
      </c>
      <c r="B266" s="2">
        <v>0.26414351851851853</v>
      </c>
      <c r="C266" s="2">
        <v>0.77576388888888892</v>
      </c>
      <c r="D266">
        <v>0</v>
      </c>
      <c r="E266">
        <v>16.510000000000002</v>
      </c>
      <c r="F266">
        <v>7.84</v>
      </c>
      <c r="G266">
        <v>0.84</v>
      </c>
      <c r="H266">
        <f t="shared" si="4"/>
        <v>12</v>
      </c>
    </row>
    <row r="267" spans="1:8" x14ac:dyDescent="0.25">
      <c r="A267" s="1">
        <v>44827</v>
      </c>
      <c r="B267" s="2">
        <v>0.26528935185185187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  <c r="H267">
        <f t="shared" si="4"/>
        <v>12</v>
      </c>
    </row>
    <row r="268" spans="1:8" x14ac:dyDescent="0.25">
      <c r="A268" s="1">
        <v>44828</v>
      </c>
      <c r="B268" s="2">
        <v>0.26643518518518516</v>
      </c>
      <c r="C268" s="2">
        <v>0.77248842592592593</v>
      </c>
      <c r="D268">
        <v>0</v>
      </c>
      <c r="E268">
        <v>15.85</v>
      </c>
      <c r="F268">
        <v>6.64</v>
      </c>
      <c r="G268">
        <v>2.69</v>
      </c>
      <c r="H268">
        <f t="shared" si="4"/>
        <v>12</v>
      </c>
    </row>
    <row r="269" spans="1:8" x14ac:dyDescent="0.25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  <c r="H269">
        <f t="shared" si="4"/>
        <v>12</v>
      </c>
    </row>
    <row r="270" spans="1:8" x14ac:dyDescent="0.25">
      <c r="A270" s="1">
        <v>44830</v>
      </c>
      <c r="B270" s="2">
        <v>0.26874999999999999</v>
      </c>
      <c r="C270" s="2">
        <v>0.76921296296296293</v>
      </c>
      <c r="D270">
        <v>1</v>
      </c>
      <c r="E270">
        <v>11.93</v>
      </c>
      <c r="F270">
        <v>7.93</v>
      </c>
      <c r="G270">
        <v>3.04</v>
      </c>
      <c r="H270">
        <f t="shared" si="4"/>
        <v>12</v>
      </c>
    </row>
    <row r="271" spans="1:8" x14ac:dyDescent="0.25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  <c r="H271">
        <f t="shared" si="4"/>
        <v>11</v>
      </c>
    </row>
    <row r="272" spans="1:8" x14ac:dyDescent="0.25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  <c r="H272">
        <f t="shared" si="4"/>
        <v>11</v>
      </c>
    </row>
    <row r="273" spans="1:8" x14ac:dyDescent="0.25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  <c r="H273">
        <f t="shared" si="4"/>
        <v>11</v>
      </c>
    </row>
    <row r="274" spans="1:8" x14ac:dyDescent="0.25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  <c r="H274">
        <f t="shared" si="4"/>
        <v>11</v>
      </c>
    </row>
    <row r="275" spans="1:8" x14ac:dyDescent="0.25">
      <c r="A275" s="1">
        <v>44835</v>
      </c>
      <c r="B275" s="2">
        <v>0.27456018518518521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  <c r="H275">
        <f t="shared" si="4"/>
        <v>11</v>
      </c>
    </row>
    <row r="276" spans="1:8" x14ac:dyDescent="0.25">
      <c r="A276" s="1">
        <v>44836</v>
      </c>
      <c r="B276" s="2">
        <v>0.27572916666666669</v>
      </c>
      <c r="C276" s="2">
        <v>0.75947916666666671</v>
      </c>
      <c r="D276">
        <v>2</v>
      </c>
      <c r="E276">
        <v>8.07</v>
      </c>
      <c r="F276">
        <v>6.79</v>
      </c>
      <c r="G276">
        <v>5.03</v>
      </c>
      <c r="H276">
        <f t="shared" si="4"/>
        <v>11</v>
      </c>
    </row>
    <row r="277" spans="1:8" x14ac:dyDescent="0.25">
      <c r="A277" s="1">
        <v>44837</v>
      </c>
      <c r="B277" s="2">
        <v>0.27689814814814817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  <c r="H277">
        <f t="shared" si="4"/>
        <v>11</v>
      </c>
    </row>
    <row r="278" spans="1:8" x14ac:dyDescent="0.25">
      <c r="A278" s="1">
        <v>44838</v>
      </c>
      <c r="B278" s="2">
        <v>0.27807870370370369</v>
      </c>
      <c r="C278" s="2">
        <v>0.75626157407407413</v>
      </c>
      <c r="D278">
        <v>4</v>
      </c>
      <c r="E278">
        <v>4.3899999999999997</v>
      </c>
      <c r="F278">
        <v>1.26</v>
      </c>
      <c r="G278">
        <v>1.19</v>
      </c>
      <c r="H278">
        <f t="shared" si="4"/>
        <v>11</v>
      </c>
    </row>
    <row r="279" spans="1:8" x14ac:dyDescent="0.25">
      <c r="A279" s="1">
        <v>44839</v>
      </c>
      <c r="B279" s="2">
        <v>0.27925925925925926</v>
      </c>
      <c r="C279" s="2">
        <v>0.75466435185185188</v>
      </c>
      <c r="D279">
        <v>4</v>
      </c>
      <c r="E279">
        <v>5.07</v>
      </c>
      <c r="F279">
        <v>2.68</v>
      </c>
      <c r="G279">
        <v>2.14</v>
      </c>
      <c r="H279">
        <f t="shared" si="4"/>
        <v>11</v>
      </c>
    </row>
    <row r="280" spans="1:8" x14ac:dyDescent="0.25">
      <c r="A280" s="1">
        <v>44840</v>
      </c>
      <c r="B280" s="2">
        <v>0.28043981481481484</v>
      </c>
      <c r="C280" s="2">
        <v>0.75306712962962963</v>
      </c>
      <c r="D280">
        <v>4</v>
      </c>
      <c r="E280">
        <v>5.66</v>
      </c>
      <c r="F280">
        <v>3.96</v>
      </c>
      <c r="G280">
        <v>2.1800000000000002</v>
      </c>
      <c r="H280">
        <f t="shared" si="4"/>
        <v>11</v>
      </c>
    </row>
    <row r="281" spans="1:8" x14ac:dyDescent="0.25">
      <c r="A281" s="1">
        <v>44841</v>
      </c>
      <c r="B281" s="2">
        <v>0.28162037037037035</v>
      </c>
      <c r="C281" s="2">
        <v>0.75148148148148153</v>
      </c>
      <c r="D281">
        <v>4</v>
      </c>
      <c r="E281">
        <v>5.19</v>
      </c>
      <c r="F281">
        <v>3.12</v>
      </c>
      <c r="G281">
        <v>4.0599999999999996</v>
      </c>
      <c r="H281">
        <f t="shared" si="4"/>
        <v>11</v>
      </c>
    </row>
    <row r="282" spans="1:8" x14ac:dyDescent="0.25">
      <c r="A282" s="1">
        <v>44842</v>
      </c>
      <c r="B282" s="2">
        <v>0.28281250000000002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  <c r="H282">
        <f t="shared" si="4"/>
        <v>11</v>
      </c>
    </row>
    <row r="283" spans="1:8" x14ac:dyDescent="0.25">
      <c r="A283" s="1">
        <v>44843</v>
      </c>
      <c r="B283" s="2">
        <v>0.28399305555555554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  <c r="H283">
        <f t="shared" si="4"/>
        <v>11</v>
      </c>
    </row>
    <row r="284" spans="1:8" x14ac:dyDescent="0.25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  <c r="H284">
        <f t="shared" si="4"/>
        <v>11</v>
      </c>
    </row>
    <row r="285" spans="1:8" x14ac:dyDescent="0.25">
      <c r="A285" s="1">
        <v>44845</v>
      </c>
      <c r="B285" s="2">
        <v>0.28638888888888892</v>
      </c>
      <c r="C285" s="2">
        <v>0.74519675925925921</v>
      </c>
      <c r="D285">
        <v>3</v>
      </c>
      <c r="E285">
        <v>5.86</v>
      </c>
      <c r="F285">
        <v>4.97</v>
      </c>
      <c r="G285">
        <v>4.0199999999999996</v>
      </c>
      <c r="H285">
        <f t="shared" si="4"/>
        <v>11</v>
      </c>
    </row>
    <row r="286" spans="1:8" x14ac:dyDescent="0.25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  <c r="H286">
        <f t="shared" si="4"/>
        <v>10</v>
      </c>
    </row>
    <row r="287" spans="1:8" x14ac:dyDescent="0.25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  <c r="H287">
        <f t="shared" si="4"/>
        <v>10</v>
      </c>
    </row>
    <row r="288" spans="1:8" x14ac:dyDescent="0.25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  <c r="H288">
        <f t="shared" si="4"/>
        <v>10</v>
      </c>
    </row>
    <row r="289" spans="1:8" x14ac:dyDescent="0.25">
      <c r="A289" s="1">
        <v>44849</v>
      </c>
      <c r="B289" s="2">
        <v>0.29121527777777778</v>
      </c>
      <c r="C289" s="2">
        <v>0.73903935185185188</v>
      </c>
      <c r="D289">
        <v>1</v>
      </c>
      <c r="E289">
        <v>8.56</v>
      </c>
      <c r="F289">
        <v>2.86</v>
      </c>
      <c r="G289">
        <v>1.61</v>
      </c>
      <c r="H289">
        <f t="shared" si="4"/>
        <v>10</v>
      </c>
    </row>
    <row r="290" spans="1:8" x14ac:dyDescent="0.25">
      <c r="A290" s="1">
        <v>44850</v>
      </c>
      <c r="B290" s="2">
        <v>0.29243055555555558</v>
      </c>
      <c r="C290" s="2">
        <v>0.73752314814814812</v>
      </c>
      <c r="D290">
        <v>0</v>
      </c>
      <c r="E290">
        <v>14.7</v>
      </c>
      <c r="F290">
        <v>5.42</v>
      </c>
      <c r="G290">
        <v>2.48</v>
      </c>
      <c r="H290">
        <f t="shared" si="4"/>
        <v>10</v>
      </c>
    </row>
    <row r="291" spans="1:8" x14ac:dyDescent="0.25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  <c r="H291">
        <f t="shared" si="4"/>
        <v>10</v>
      </c>
    </row>
    <row r="292" spans="1:8" x14ac:dyDescent="0.25">
      <c r="A292" s="1">
        <v>44852</v>
      </c>
      <c r="B292" s="2">
        <v>0.29486111111111113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  <c r="H292">
        <f t="shared" si="4"/>
        <v>10</v>
      </c>
    </row>
    <row r="293" spans="1:8" x14ac:dyDescent="0.25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  <c r="H293">
        <f t="shared" si="4"/>
        <v>10</v>
      </c>
    </row>
    <row r="294" spans="1:8" x14ac:dyDescent="0.25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  <c r="H294">
        <f t="shared" si="4"/>
        <v>10</v>
      </c>
    </row>
    <row r="295" spans="1:8" x14ac:dyDescent="0.25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  <c r="H295">
        <f t="shared" si="4"/>
        <v>10</v>
      </c>
    </row>
    <row r="296" spans="1:8" x14ac:dyDescent="0.25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  <c r="H296">
        <f t="shared" si="4"/>
        <v>10</v>
      </c>
    </row>
    <row r="297" spans="1:8" x14ac:dyDescent="0.25">
      <c r="A297" s="1">
        <v>44857</v>
      </c>
      <c r="B297" s="2">
        <v>0.30101851851851852</v>
      </c>
      <c r="C297" s="2">
        <v>0.72721064814814818</v>
      </c>
      <c r="D297">
        <v>7</v>
      </c>
      <c r="E297">
        <v>3.97</v>
      </c>
      <c r="F297">
        <v>1.64</v>
      </c>
      <c r="G297">
        <v>4.84</v>
      </c>
      <c r="H297">
        <f t="shared" si="4"/>
        <v>10</v>
      </c>
    </row>
    <row r="298" spans="1:8" x14ac:dyDescent="0.25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  <c r="H298">
        <f t="shared" si="4"/>
        <v>10</v>
      </c>
    </row>
    <row r="299" spans="1:8" x14ac:dyDescent="0.25">
      <c r="A299" s="1">
        <v>44859</v>
      </c>
      <c r="B299" s="2">
        <v>0.30349537037037039</v>
      </c>
      <c r="C299" s="2">
        <v>0.72437499999999999</v>
      </c>
      <c r="D299">
        <v>4</v>
      </c>
      <c r="E299">
        <v>4.58</v>
      </c>
      <c r="F299">
        <v>2.5299999999999998</v>
      </c>
      <c r="G299">
        <v>4.57</v>
      </c>
      <c r="H299">
        <f t="shared" si="4"/>
        <v>10</v>
      </c>
    </row>
    <row r="300" spans="1:8" x14ac:dyDescent="0.25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  <c r="H300">
        <f t="shared" si="4"/>
        <v>10</v>
      </c>
    </row>
    <row r="301" spans="1:8" x14ac:dyDescent="0.25">
      <c r="A301" s="1">
        <v>44861</v>
      </c>
      <c r="B301" s="2">
        <v>0.30599537037037039</v>
      </c>
      <c r="C301" s="2">
        <v>0.72159722222222222</v>
      </c>
      <c r="D301">
        <v>1</v>
      </c>
      <c r="E301">
        <v>8.7799999999999994</v>
      </c>
      <c r="F301">
        <v>2.09</v>
      </c>
      <c r="G301">
        <v>1.58</v>
      </c>
      <c r="H301">
        <f t="shared" si="4"/>
        <v>9</v>
      </c>
    </row>
    <row r="302" spans="1:8" x14ac:dyDescent="0.25">
      <c r="A302" s="1">
        <v>44862</v>
      </c>
      <c r="B302" s="2">
        <v>0.30724537037037036</v>
      </c>
      <c r="C302" s="2">
        <v>0.72023148148148153</v>
      </c>
      <c r="D302">
        <v>1</v>
      </c>
      <c r="E302">
        <v>8.06</v>
      </c>
      <c r="F302">
        <v>1.98</v>
      </c>
      <c r="G302">
        <v>1.08</v>
      </c>
      <c r="H302">
        <f t="shared" si="4"/>
        <v>9</v>
      </c>
    </row>
    <row r="303" spans="1:8" x14ac:dyDescent="0.25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  <c r="H303">
        <f t="shared" si="4"/>
        <v>9</v>
      </c>
    </row>
    <row r="304" spans="1:8" x14ac:dyDescent="0.25">
      <c r="A304" s="1">
        <v>44864</v>
      </c>
      <c r="B304" s="2">
        <v>0.26807870370370368</v>
      </c>
      <c r="C304" s="2">
        <v>0.67587962962962966</v>
      </c>
      <c r="D304">
        <v>3</v>
      </c>
      <c r="E304">
        <v>5.33</v>
      </c>
      <c r="F304">
        <v>2.98</v>
      </c>
      <c r="G304">
        <v>3.05</v>
      </c>
      <c r="H304">
        <f t="shared" si="4"/>
        <v>9</v>
      </c>
    </row>
    <row r="305" spans="1:8" x14ac:dyDescent="0.25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  <c r="H305">
        <f t="shared" si="4"/>
        <v>9</v>
      </c>
    </row>
    <row r="306" spans="1:8" x14ac:dyDescent="0.25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  <c r="H306">
        <f t="shared" si="4"/>
        <v>9</v>
      </c>
    </row>
    <row r="307" spans="1:8" x14ac:dyDescent="0.25">
      <c r="A307" s="1">
        <v>44867</v>
      </c>
      <c r="B307" s="2">
        <v>0.27184027777777775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  <c r="H307">
        <f t="shared" si="4"/>
        <v>9</v>
      </c>
    </row>
    <row r="308" spans="1:8" x14ac:dyDescent="0.25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  <c r="H308">
        <f t="shared" si="4"/>
        <v>9</v>
      </c>
    </row>
    <row r="309" spans="1:8" x14ac:dyDescent="0.25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  <c r="H309">
        <f t="shared" si="4"/>
        <v>9</v>
      </c>
    </row>
    <row r="310" spans="1:8" x14ac:dyDescent="0.25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  <c r="H310">
        <f t="shared" si="4"/>
        <v>9</v>
      </c>
    </row>
    <row r="311" spans="1:8" x14ac:dyDescent="0.25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  <c r="H311">
        <f t="shared" si="4"/>
        <v>9</v>
      </c>
    </row>
    <row r="312" spans="1:8" x14ac:dyDescent="0.25">
      <c r="A312" s="1">
        <v>44872</v>
      </c>
      <c r="B312" s="2">
        <v>0.27810185185185188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  <c r="H312">
        <f t="shared" si="4"/>
        <v>9</v>
      </c>
    </row>
    <row r="313" spans="1:8" x14ac:dyDescent="0.25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  <c r="H313">
        <f t="shared" si="4"/>
        <v>9</v>
      </c>
    </row>
    <row r="314" spans="1:8" x14ac:dyDescent="0.25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  <c r="H314">
        <f t="shared" si="4"/>
        <v>9</v>
      </c>
    </row>
    <row r="315" spans="1:8" x14ac:dyDescent="0.25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  <c r="H315">
        <f t="shared" si="4"/>
        <v>9</v>
      </c>
    </row>
    <row r="316" spans="1:8" x14ac:dyDescent="0.25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  <c r="H316">
        <f t="shared" si="4"/>
        <v>9</v>
      </c>
    </row>
    <row r="317" spans="1:8" x14ac:dyDescent="0.25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  <c r="H317">
        <f t="shared" si="4"/>
        <v>9</v>
      </c>
    </row>
    <row r="318" spans="1:8" x14ac:dyDescent="0.25">
      <c r="A318" s="1">
        <v>44878</v>
      </c>
      <c r="B318" s="2">
        <v>0.28554398148148147</v>
      </c>
      <c r="C318" s="2">
        <v>0.65925925925925921</v>
      </c>
      <c r="D318">
        <v>3</v>
      </c>
      <c r="E318">
        <v>4.16</v>
      </c>
      <c r="F318">
        <v>3.02</v>
      </c>
      <c r="G318">
        <v>4.1900000000000004</v>
      </c>
      <c r="H318">
        <f t="shared" si="4"/>
        <v>8</v>
      </c>
    </row>
    <row r="319" spans="1:8" x14ac:dyDescent="0.25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  <c r="H319">
        <f t="shared" si="4"/>
        <v>8</v>
      </c>
    </row>
    <row r="320" spans="1:8" x14ac:dyDescent="0.25">
      <c r="A320" s="1">
        <v>44880</v>
      </c>
      <c r="B320" s="2">
        <v>0.28797453703703701</v>
      </c>
      <c r="C320" s="2">
        <v>0.65725694444444449</v>
      </c>
      <c r="D320">
        <v>8</v>
      </c>
      <c r="E320">
        <v>1.38</v>
      </c>
      <c r="F320">
        <v>0.4</v>
      </c>
      <c r="G320">
        <v>6.48</v>
      </c>
      <c r="H320">
        <f t="shared" si="4"/>
        <v>8</v>
      </c>
    </row>
    <row r="321" spans="1:8" x14ac:dyDescent="0.25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  <c r="H321">
        <f t="shared" si="4"/>
        <v>8</v>
      </c>
    </row>
    <row r="322" spans="1:8" x14ac:dyDescent="0.25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  <c r="H322">
        <f t="shared" ref="H322:H366" si="5">INT((C322-B322)*24)</f>
        <v>8</v>
      </c>
    </row>
    <row r="323" spans="1:8" x14ac:dyDescent="0.25">
      <c r="A323" s="1">
        <v>44883</v>
      </c>
      <c r="B323" s="2">
        <v>0.2915740740740741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  <c r="H323">
        <f t="shared" si="5"/>
        <v>8</v>
      </c>
    </row>
    <row r="324" spans="1:8" x14ac:dyDescent="0.25">
      <c r="A324" s="1">
        <v>44884</v>
      </c>
      <c r="B324" s="2">
        <v>0.29276620370370371</v>
      </c>
      <c r="C324" s="2">
        <v>0.65356481481481477</v>
      </c>
      <c r="D324">
        <v>5</v>
      </c>
      <c r="E324">
        <v>3.6</v>
      </c>
      <c r="F324">
        <v>2.06</v>
      </c>
      <c r="G324">
        <v>2.72</v>
      </c>
      <c r="H324">
        <f t="shared" si="5"/>
        <v>8</v>
      </c>
    </row>
    <row r="325" spans="1:8" x14ac:dyDescent="0.25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  <c r="H325">
        <f t="shared" si="5"/>
        <v>8</v>
      </c>
    </row>
    <row r="326" spans="1:8" x14ac:dyDescent="0.25">
      <c r="A326" s="1">
        <v>44886</v>
      </c>
      <c r="B326" s="2">
        <v>0.29509259259259257</v>
      </c>
      <c r="C326" s="2">
        <v>0.65188657407407402</v>
      </c>
      <c r="D326">
        <v>5</v>
      </c>
      <c r="E326">
        <v>3.16</v>
      </c>
      <c r="F326">
        <v>2.11</v>
      </c>
      <c r="G326">
        <v>4.08</v>
      </c>
      <c r="H326">
        <f t="shared" si="5"/>
        <v>8</v>
      </c>
    </row>
    <row r="327" spans="1:8" x14ac:dyDescent="0.25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  <c r="H327">
        <f t="shared" si="5"/>
        <v>8</v>
      </c>
    </row>
    <row r="328" spans="1:8" x14ac:dyDescent="0.25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  <c r="H328">
        <f t="shared" si="5"/>
        <v>8</v>
      </c>
    </row>
    <row r="329" spans="1:8" x14ac:dyDescent="0.25">
      <c r="A329" s="1">
        <v>44889</v>
      </c>
      <c r="B329" s="2">
        <v>0.29849537037037038</v>
      </c>
      <c r="C329" s="2">
        <v>0.64961805555555552</v>
      </c>
      <c r="D329">
        <v>6</v>
      </c>
      <c r="E329">
        <v>3.18</v>
      </c>
      <c r="F329">
        <v>1.37</v>
      </c>
      <c r="G329">
        <v>4.16</v>
      </c>
      <c r="H329">
        <f t="shared" si="5"/>
        <v>8</v>
      </c>
    </row>
    <row r="330" spans="1:8" x14ac:dyDescent="0.25">
      <c r="A330" s="1">
        <v>44890</v>
      </c>
      <c r="B330" s="2">
        <v>0.2996064814814815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  <c r="H330">
        <f t="shared" si="5"/>
        <v>8</v>
      </c>
    </row>
    <row r="331" spans="1:8" x14ac:dyDescent="0.25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  <c r="H331">
        <f t="shared" si="5"/>
        <v>8</v>
      </c>
    </row>
    <row r="332" spans="1:8" x14ac:dyDescent="0.25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  <c r="H332">
        <f t="shared" si="5"/>
        <v>8</v>
      </c>
    </row>
    <row r="333" spans="1:8" x14ac:dyDescent="0.25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  <c r="H333">
        <f t="shared" si="5"/>
        <v>8</v>
      </c>
    </row>
    <row r="334" spans="1:8" x14ac:dyDescent="0.25">
      <c r="A334" s="1">
        <v>44894</v>
      </c>
      <c r="B334" s="2">
        <v>0.30385416666666665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  <c r="H334">
        <f t="shared" si="5"/>
        <v>8</v>
      </c>
    </row>
    <row r="335" spans="1:8" x14ac:dyDescent="0.25">
      <c r="A335" s="1">
        <v>44895</v>
      </c>
      <c r="B335" s="2">
        <v>0.30487268518518518</v>
      </c>
      <c r="C335" s="2">
        <v>0.64597222222222217</v>
      </c>
      <c r="D335">
        <v>8</v>
      </c>
      <c r="E335">
        <v>1.1399999999999999</v>
      </c>
      <c r="F335">
        <v>0</v>
      </c>
      <c r="G335">
        <v>7.02</v>
      </c>
      <c r="H335">
        <f t="shared" si="5"/>
        <v>8</v>
      </c>
    </row>
    <row r="336" spans="1:8" x14ac:dyDescent="0.25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  <c r="H336">
        <f t="shared" si="5"/>
        <v>8</v>
      </c>
    </row>
    <row r="337" spans="1:8" x14ac:dyDescent="0.25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  <c r="H337">
        <f t="shared" si="5"/>
        <v>8</v>
      </c>
    </row>
    <row r="338" spans="1:8" x14ac:dyDescent="0.25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  <c r="H338">
        <f t="shared" si="5"/>
        <v>8</v>
      </c>
    </row>
    <row r="339" spans="1:8" x14ac:dyDescent="0.25">
      <c r="A339" s="1">
        <v>44899</v>
      </c>
      <c r="B339" s="2">
        <v>0.3087152777777778</v>
      </c>
      <c r="C339" s="2">
        <v>0.64425925925925931</v>
      </c>
      <c r="D339">
        <v>8</v>
      </c>
      <c r="E339">
        <v>1.32</v>
      </c>
      <c r="F339">
        <v>0.54</v>
      </c>
      <c r="G339">
        <v>5.16</v>
      </c>
      <c r="H339">
        <f t="shared" si="5"/>
        <v>8</v>
      </c>
    </row>
    <row r="340" spans="1:8" x14ac:dyDescent="0.25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  <c r="H340">
        <f t="shared" si="5"/>
        <v>8</v>
      </c>
    </row>
    <row r="341" spans="1:8" x14ac:dyDescent="0.25">
      <c r="A341" s="1">
        <v>44901</v>
      </c>
      <c r="B341" s="2">
        <v>0.31049768518518517</v>
      </c>
      <c r="C341" s="2">
        <v>0.64363425925925921</v>
      </c>
      <c r="D341">
        <v>7</v>
      </c>
      <c r="E341">
        <v>2.2000000000000002</v>
      </c>
      <c r="F341">
        <v>0.61</v>
      </c>
      <c r="G341">
        <v>4.92</v>
      </c>
      <c r="H341">
        <f t="shared" si="5"/>
        <v>7</v>
      </c>
    </row>
    <row r="342" spans="1:8" x14ac:dyDescent="0.25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  <c r="H342">
        <f t="shared" si="5"/>
        <v>7</v>
      </c>
    </row>
    <row r="343" spans="1:8" x14ac:dyDescent="0.25">
      <c r="A343" s="1">
        <v>44903</v>
      </c>
      <c r="B343" s="2">
        <v>0.31216435185185187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  <c r="H343">
        <f t="shared" si="5"/>
        <v>7</v>
      </c>
    </row>
    <row r="344" spans="1:8" x14ac:dyDescent="0.25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  <c r="H344">
        <f t="shared" si="5"/>
        <v>7</v>
      </c>
    </row>
    <row r="345" spans="1:8" x14ac:dyDescent="0.25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  <c r="H345">
        <f t="shared" si="5"/>
        <v>7</v>
      </c>
    </row>
    <row r="346" spans="1:8" x14ac:dyDescent="0.25">
      <c r="A346" s="1">
        <v>44906</v>
      </c>
      <c r="B346" s="2">
        <v>0.31444444444444447</v>
      </c>
      <c r="C346" s="2">
        <v>0.64275462962962959</v>
      </c>
      <c r="D346">
        <v>7</v>
      </c>
      <c r="E346">
        <v>2.11</v>
      </c>
      <c r="F346">
        <v>0.84</v>
      </c>
      <c r="G346">
        <v>5.38</v>
      </c>
      <c r="H346">
        <f t="shared" si="5"/>
        <v>7</v>
      </c>
    </row>
    <row r="347" spans="1:8" x14ac:dyDescent="0.25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  <c r="H347">
        <f t="shared" si="5"/>
        <v>7</v>
      </c>
    </row>
    <row r="348" spans="1:8" x14ac:dyDescent="0.25">
      <c r="A348" s="1">
        <v>44908</v>
      </c>
      <c r="B348" s="2">
        <v>0.31581018518518517</v>
      </c>
      <c r="C348" s="2">
        <v>0.64268518518518514</v>
      </c>
      <c r="D348">
        <v>7</v>
      </c>
      <c r="E348">
        <v>2.0299999999999998</v>
      </c>
      <c r="F348">
        <v>1.02</v>
      </c>
      <c r="G348">
        <v>6.12</v>
      </c>
      <c r="H348">
        <f t="shared" si="5"/>
        <v>7</v>
      </c>
    </row>
    <row r="349" spans="1:8" x14ac:dyDescent="0.25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  <c r="H349">
        <f t="shared" si="5"/>
        <v>7</v>
      </c>
    </row>
    <row r="350" spans="1:8" x14ac:dyDescent="0.25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  <c r="H350">
        <f t="shared" si="5"/>
        <v>7</v>
      </c>
    </row>
    <row r="351" spans="1:8" x14ac:dyDescent="0.25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  <c r="H351">
        <f t="shared" si="5"/>
        <v>7</v>
      </c>
    </row>
    <row r="352" spans="1:8" x14ac:dyDescent="0.25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  <c r="H352">
        <f t="shared" si="5"/>
        <v>7</v>
      </c>
    </row>
    <row r="353" spans="1:8" x14ac:dyDescent="0.25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  <c r="H353">
        <f t="shared" si="5"/>
        <v>7</v>
      </c>
    </row>
    <row r="354" spans="1:8" x14ac:dyDescent="0.25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  <c r="H354">
        <f t="shared" si="5"/>
        <v>7</v>
      </c>
    </row>
    <row r="355" spans="1:8" x14ac:dyDescent="0.25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  <c r="H355">
        <f t="shared" si="5"/>
        <v>7</v>
      </c>
    </row>
    <row r="356" spans="1:8" x14ac:dyDescent="0.25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  <c r="H356">
        <f t="shared" si="5"/>
        <v>7</v>
      </c>
    </row>
    <row r="357" spans="1:8" x14ac:dyDescent="0.25">
      <c r="A357" s="1">
        <v>44917</v>
      </c>
      <c r="B357" s="2">
        <v>0.32023148148148151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  <c r="H357">
        <f t="shared" si="5"/>
        <v>7</v>
      </c>
    </row>
    <row r="358" spans="1:8" x14ac:dyDescent="0.25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  <c r="H358">
        <f t="shared" si="5"/>
        <v>7</v>
      </c>
    </row>
    <row r="359" spans="1:8" x14ac:dyDescent="0.25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  <c r="H359">
        <f t="shared" si="5"/>
        <v>7</v>
      </c>
    </row>
    <row r="360" spans="1:8" x14ac:dyDescent="0.25">
      <c r="A360" s="1">
        <v>44920</v>
      </c>
      <c r="B360" s="2">
        <v>0.32103009259259258</v>
      </c>
      <c r="C360" s="2">
        <v>0.64564814814814819</v>
      </c>
      <c r="D360">
        <v>7</v>
      </c>
      <c r="E360">
        <v>2.92</v>
      </c>
      <c r="F360">
        <v>1.05</v>
      </c>
      <c r="G360">
        <v>4.1399999999999997</v>
      </c>
      <c r="H360">
        <f t="shared" si="5"/>
        <v>7</v>
      </c>
    </row>
    <row r="361" spans="1:8" x14ac:dyDescent="0.25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  <c r="H361">
        <f t="shared" si="5"/>
        <v>7</v>
      </c>
    </row>
    <row r="362" spans="1:8" x14ac:dyDescent="0.25">
      <c r="A362" s="1">
        <v>44922</v>
      </c>
      <c r="B362" s="2">
        <v>0.32136574074074076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  <c r="H362">
        <f t="shared" si="5"/>
        <v>7</v>
      </c>
    </row>
    <row r="363" spans="1:8" x14ac:dyDescent="0.25">
      <c r="A363" s="1">
        <v>44923</v>
      </c>
      <c r="B363" s="2">
        <v>0.32146990740740738</v>
      </c>
      <c r="C363" s="2">
        <v>0.64725694444444448</v>
      </c>
      <c r="D363">
        <v>8</v>
      </c>
      <c r="E363">
        <v>1.54</v>
      </c>
      <c r="F363">
        <v>0.36</v>
      </c>
      <c r="G363">
        <v>4.1900000000000004</v>
      </c>
      <c r="H363">
        <f t="shared" si="5"/>
        <v>7</v>
      </c>
    </row>
    <row r="364" spans="1:8" x14ac:dyDescent="0.25">
      <c r="A364" s="1">
        <v>44924</v>
      </c>
      <c r="B364" s="2">
        <v>0.32153935185185184</v>
      </c>
      <c r="C364" s="2">
        <v>0.64787037037037032</v>
      </c>
      <c r="D364">
        <v>8</v>
      </c>
      <c r="E364">
        <v>1.21</v>
      </c>
      <c r="F364">
        <v>0.24</v>
      </c>
      <c r="G364">
        <v>5.39</v>
      </c>
      <c r="H364">
        <f t="shared" si="5"/>
        <v>7</v>
      </c>
    </row>
    <row r="365" spans="1:8" x14ac:dyDescent="0.25">
      <c r="A365" s="1">
        <v>44925</v>
      </c>
      <c r="B365" s="2">
        <v>0.32156249999999997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  <c r="H365">
        <f t="shared" si="5"/>
        <v>7</v>
      </c>
    </row>
    <row r="366" spans="1:8" x14ac:dyDescent="0.25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  <c r="H366">
        <f t="shared" si="5"/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3D25-1F5E-4F20-8D47-C4B6CCC0EA70}">
  <dimension ref="A3:D13"/>
  <sheetViews>
    <sheetView zoomScale="160" zoomScaleNormal="160" workbookViewId="0">
      <selection activeCell="I3" sqref="I3"/>
    </sheetView>
  </sheetViews>
  <sheetFormatPr defaultRowHeight="15" x14ac:dyDescent="0.25"/>
  <cols>
    <col min="1" max="1" width="17.85546875" bestFit="1" customWidth="1"/>
    <col min="2" max="2" width="18.7109375" bestFit="1" customWidth="1"/>
    <col min="3" max="3" width="17" bestFit="1" customWidth="1"/>
    <col min="4" max="4" width="17.85546875" bestFit="1" customWidth="1"/>
  </cols>
  <sheetData>
    <row r="3" spans="1:4" ht="27" customHeight="1" x14ac:dyDescent="0.25">
      <c r="A3" s="4" t="s">
        <v>18</v>
      </c>
      <c r="B3" t="s">
        <v>15</v>
      </c>
      <c r="C3" t="s">
        <v>16</v>
      </c>
      <c r="D3" t="s">
        <v>17</v>
      </c>
    </row>
    <row r="4" spans="1:4" x14ac:dyDescent="0.25">
      <c r="A4" s="3">
        <v>7</v>
      </c>
      <c r="B4">
        <v>2.8851612903225816</v>
      </c>
      <c r="C4">
        <v>1.0867741935483872</v>
      </c>
      <c r="D4">
        <v>4.9245161290322583</v>
      </c>
    </row>
    <row r="5" spans="1:4" x14ac:dyDescent="0.25">
      <c r="A5" s="3">
        <v>8</v>
      </c>
      <c r="B5">
        <v>3.8480851063829786</v>
      </c>
      <c r="C5">
        <v>1.6531914893617019</v>
      </c>
      <c r="D5">
        <v>3.3853191489361691</v>
      </c>
    </row>
    <row r="6" spans="1:4" x14ac:dyDescent="0.25">
      <c r="A6" s="3">
        <v>9</v>
      </c>
      <c r="B6">
        <v>5.4006060606060604</v>
      </c>
      <c r="C6">
        <v>2.5590909090909082</v>
      </c>
      <c r="D6">
        <v>3.1033333333333335</v>
      </c>
    </row>
    <row r="7" spans="1:4" x14ac:dyDescent="0.25">
      <c r="A7" s="3">
        <v>10</v>
      </c>
      <c r="B7">
        <v>6.9366666666666665</v>
      </c>
      <c r="C7">
        <v>3.0203333333333329</v>
      </c>
      <c r="D7">
        <v>2.8179999999999996</v>
      </c>
    </row>
    <row r="8" spans="1:4" x14ac:dyDescent="0.25">
      <c r="A8" s="3">
        <v>11</v>
      </c>
      <c r="B8">
        <v>7.1539999999999981</v>
      </c>
      <c r="C8">
        <v>3.4816666666666674</v>
      </c>
      <c r="D8">
        <v>2.6263333333333332</v>
      </c>
    </row>
    <row r="9" spans="1:4" x14ac:dyDescent="0.25">
      <c r="A9" s="3">
        <v>12</v>
      </c>
      <c r="B9">
        <v>11.322666666666665</v>
      </c>
      <c r="C9">
        <v>5.4006666666666669</v>
      </c>
      <c r="D9">
        <v>2.6583333333333337</v>
      </c>
    </row>
    <row r="10" spans="1:4" x14ac:dyDescent="0.25">
      <c r="A10" s="3">
        <v>13</v>
      </c>
      <c r="B10">
        <v>12.232258064516127</v>
      </c>
      <c r="C10">
        <v>6.347419354838709</v>
      </c>
      <c r="D10">
        <v>2.4974193548387102</v>
      </c>
    </row>
    <row r="11" spans="1:4" x14ac:dyDescent="0.25">
      <c r="A11" s="3">
        <v>14</v>
      </c>
      <c r="B11">
        <v>10.975483870967745</v>
      </c>
      <c r="C11">
        <v>5.5135483870967743</v>
      </c>
      <c r="D11">
        <v>2.5077419354838715</v>
      </c>
    </row>
    <row r="12" spans="1:4" x14ac:dyDescent="0.25">
      <c r="A12" s="3">
        <v>15</v>
      </c>
      <c r="B12">
        <v>13.208108108108107</v>
      </c>
      <c r="C12">
        <v>6.6997297297297296</v>
      </c>
      <c r="D12">
        <v>2.4445945945945948</v>
      </c>
    </row>
    <row r="13" spans="1:4" x14ac:dyDescent="0.25">
      <c r="A13" s="3">
        <v>16</v>
      </c>
      <c r="B13">
        <v>12.592615384615385</v>
      </c>
      <c r="C13">
        <v>6.7406153846153831</v>
      </c>
      <c r="D13">
        <v>2.7924615384615374</v>
      </c>
    </row>
  </sheetData>
  <pageMargins left="0.7" right="0.7" top="0.75" bottom="0.75" header="0.3" footer="0.3"/>
  <pageSetup paperSize="0" orientation="portrait" horizontalDpi="360" verticalDpi="36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C383C-971D-4349-9E90-83F30DA0F534}">
  <dimension ref="A1:M366"/>
  <sheetViews>
    <sheetView tabSelected="1" zoomScale="160" zoomScaleNormal="160" workbookViewId="0">
      <selection activeCell="M10" sqref="M10"/>
    </sheetView>
  </sheetViews>
  <sheetFormatPr defaultRowHeight="15" x14ac:dyDescent="0.25"/>
  <cols>
    <col min="1" max="1" width="12.5703125" customWidth="1"/>
    <col min="2" max="2" width="10.5703125" customWidth="1"/>
    <col min="3" max="3" width="10.42578125" customWidth="1"/>
    <col min="5" max="5" width="12.140625" bestFit="1" customWidth="1"/>
    <col min="6" max="6" width="10.5703125" bestFit="1" customWidth="1"/>
    <col min="7" max="7" width="11.28515625" bestFit="1" customWidth="1"/>
    <col min="8" max="8" width="13.140625" bestFit="1" customWidth="1"/>
    <col min="12" max="12" width="6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</row>
    <row r="2" spans="1:13" x14ac:dyDescent="0.25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  <c r="H2">
        <f>100 + F2*0.8 - G2</f>
        <v>98.072000000000003</v>
      </c>
    </row>
    <row r="3" spans="1:13" x14ac:dyDescent="0.25">
      <c r="A3" s="1">
        <v>44563</v>
      </c>
      <c r="B3" s="2">
        <v>0.3213773148148148</v>
      </c>
      <c r="C3" s="2">
        <v>0.65083333333333337</v>
      </c>
      <c r="D3">
        <v>4</v>
      </c>
      <c r="E3">
        <v>4.47</v>
      </c>
      <c r="F3">
        <v>1.23</v>
      </c>
      <c r="G3">
        <v>3.99</v>
      </c>
      <c r="H3">
        <f>H2 + F3*0.8 - G3</f>
        <v>95.066000000000003</v>
      </c>
    </row>
    <row r="4" spans="1:13" x14ac:dyDescent="0.25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  <c r="H4">
        <f t="shared" ref="H4:H67" si="0">H3 + F4*0.8 - G4</f>
        <v>96.298000000000002</v>
      </c>
    </row>
    <row r="5" spans="1:13" x14ac:dyDescent="0.25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  <c r="H5">
        <f t="shared" si="0"/>
        <v>92.054000000000002</v>
      </c>
    </row>
    <row r="6" spans="1:13" x14ac:dyDescent="0.25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  <c r="H6">
        <f t="shared" si="0"/>
        <v>92.378</v>
      </c>
    </row>
    <row r="7" spans="1:13" x14ac:dyDescent="0.25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  <c r="H7">
        <f t="shared" si="0"/>
        <v>92.4</v>
      </c>
      <c r="L7" t="s">
        <v>20</v>
      </c>
      <c r="M7">
        <f>COUNTIF(H2:H366,"&lt;50")</f>
        <v>71</v>
      </c>
    </row>
    <row r="8" spans="1:13" x14ac:dyDescent="0.25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  <c r="H8">
        <f t="shared" si="0"/>
        <v>92.052000000000007</v>
      </c>
      <c r="L8" t="s">
        <v>21</v>
      </c>
      <c r="M8">
        <f>ROUNDUP(100-MIN(H2:H366),0)</f>
        <v>67</v>
      </c>
    </row>
    <row r="9" spans="1:13" x14ac:dyDescent="0.25">
      <c r="A9" s="1">
        <v>44569</v>
      </c>
      <c r="B9" s="2">
        <v>0.31994212962962965</v>
      </c>
      <c r="C9" s="2">
        <v>0.65597222222222218</v>
      </c>
      <c r="D9">
        <v>1</v>
      </c>
      <c r="E9">
        <v>7.24</v>
      </c>
      <c r="F9">
        <v>2.58</v>
      </c>
      <c r="G9">
        <v>2.4700000000000002</v>
      </c>
      <c r="H9">
        <f t="shared" si="0"/>
        <v>91.646000000000015</v>
      </c>
    </row>
    <row r="10" spans="1:13" x14ac:dyDescent="0.25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  <c r="H10">
        <f t="shared" si="0"/>
        <v>91.888000000000019</v>
      </c>
    </row>
    <row r="11" spans="1:13" x14ac:dyDescent="0.25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  <c r="H11">
        <f t="shared" si="0"/>
        <v>90.336000000000027</v>
      </c>
    </row>
    <row r="12" spans="1:13" x14ac:dyDescent="0.25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  <c r="H12">
        <f t="shared" si="0"/>
        <v>87.486000000000033</v>
      </c>
    </row>
    <row r="13" spans="1:13" x14ac:dyDescent="0.25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  <c r="H13">
        <f t="shared" si="0"/>
        <v>84.322000000000031</v>
      </c>
    </row>
    <row r="14" spans="1:13" x14ac:dyDescent="0.25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  <c r="H14">
        <f t="shared" si="0"/>
        <v>84.838000000000022</v>
      </c>
    </row>
    <row r="15" spans="1:13" x14ac:dyDescent="0.25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  <c r="H15">
        <f t="shared" si="0"/>
        <v>84.054000000000016</v>
      </c>
    </row>
    <row r="16" spans="1:13" x14ac:dyDescent="0.25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  <c r="H16">
        <f t="shared" si="0"/>
        <v>82.204000000000022</v>
      </c>
    </row>
    <row r="17" spans="1:8" x14ac:dyDescent="0.25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  <c r="H17">
        <f t="shared" si="0"/>
        <v>83.744000000000028</v>
      </c>
    </row>
    <row r="18" spans="1:8" x14ac:dyDescent="0.25">
      <c r="A18" s="1">
        <v>44578</v>
      </c>
      <c r="B18" s="2">
        <v>0.31526620370370373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  <c r="H18">
        <f t="shared" si="0"/>
        <v>81.404000000000025</v>
      </c>
    </row>
    <row r="19" spans="1:8" x14ac:dyDescent="0.25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  <c r="H19">
        <f t="shared" si="0"/>
        <v>78.352000000000032</v>
      </c>
    </row>
    <row r="20" spans="1:8" x14ac:dyDescent="0.25">
      <c r="A20" s="1">
        <v>44580</v>
      </c>
      <c r="B20" s="2">
        <v>0.31384259259259262</v>
      </c>
      <c r="C20" s="2">
        <v>0.66766203703703708</v>
      </c>
      <c r="D20">
        <v>4</v>
      </c>
      <c r="E20">
        <v>3.53</v>
      </c>
      <c r="F20">
        <v>0.34</v>
      </c>
      <c r="G20">
        <v>1.25</v>
      </c>
      <c r="H20">
        <f t="shared" si="0"/>
        <v>77.374000000000038</v>
      </c>
    </row>
    <row r="21" spans="1:8" x14ac:dyDescent="0.25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  <c r="H21">
        <f t="shared" si="0"/>
        <v>77.956000000000046</v>
      </c>
    </row>
    <row r="22" spans="1:8" x14ac:dyDescent="0.25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  <c r="H22">
        <f t="shared" si="0"/>
        <v>75.362000000000052</v>
      </c>
    </row>
    <row r="23" spans="1:8" x14ac:dyDescent="0.25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  <c r="H23">
        <f t="shared" si="0"/>
        <v>73.766000000000048</v>
      </c>
    </row>
    <row r="24" spans="1:8" x14ac:dyDescent="0.25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  <c r="H24">
        <f t="shared" si="0"/>
        <v>74.364000000000047</v>
      </c>
    </row>
    <row r="25" spans="1:8" x14ac:dyDescent="0.25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  <c r="H25">
        <f t="shared" si="0"/>
        <v>74.286000000000044</v>
      </c>
    </row>
    <row r="26" spans="1:8" x14ac:dyDescent="0.25">
      <c r="A26" s="1">
        <v>44586</v>
      </c>
      <c r="B26" s="2">
        <v>0.30884259259259261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  <c r="H26">
        <f t="shared" si="0"/>
        <v>74.844000000000051</v>
      </c>
    </row>
    <row r="27" spans="1:8" x14ac:dyDescent="0.25">
      <c r="A27" s="1">
        <v>44587</v>
      </c>
      <c r="B27" s="2">
        <v>0.30791666666666667</v>
      </c>
      <c r="C27" s="2">
        <v>0.67612268518518515</v>
      </c>
      <c r="D27">
        <v>2</v>
      </c>
      <c r="E27">
        <v>5.1100000000000003</v>
      </c>
      <c r="F27">
        <v>2.02</v>
      </c>
      <c r="G27">
        <v>1.35</v>
      </c>
      <c r="H27">
        <f t="shared" si="0"/>
        <v>75.110000000000056</v>
      </c>
    </row>
    <row r="28" spans="1:8" x14ac:dyDescent="0.25">
      <c r="A28" s="1">
        <v>44588</v>
      </c>
      <c r="B28" s="2">
        <v>0.3069560185185185</v>
      </c>
      <c r="C28" s="2">
        <v>0.67737268518518523</v>
      </c>
      <c r="D28">
        <v>1</v>
      </c>
      <c r="E28">
        <v>4.97</v>
      </c>
      <c r="F28">
        <v>1.92</v>
      </c>
      <c r="G28">
        <v>2.0099999999999998</v>
      </c>
      <c r="H28">
        <f t="shared" si="0"/>
        <v>74.636000000000053</v>
      </c>
    </row>
    <row r="29" spans="1:8" x14ac:dyDescent="0.25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  <c r="H29">
        <f t="shared" si="0"/>
        <v>76.194000000000045</v>
      </c>
    </row>
    <row r="30" spans="1:8" x14ac:dyDescent="0.25">
      <c r="A30" s="1">
        <v>44590</v>
      </c>
      <c r="B30" s="2">
        <v>0.30494212962962963</v>
      </c>
      <c r="C30" s="2">
        <v>0.67988425925925922</v>
      </c>
      <c r="D30">
        <v>1</v>
      </c>
      <c r="E30">
        <v>5.76</v>
      </c>
      <c r="F30">
        <v>3.33</v>
      </c>
      <c r="G30">
        <v>2.0099999999999998</v>
      </c>
      <c r="H30">
        <f t="shared" si="0"/>
        <v>76.848000000000042</v>
      </c>
    </row>
    <row r="31" spans="1:8" x14ac:dyDescent="0.25">
      <c r="A31" s="1">
        <v>44591</v>
      </c>
      <c r="B31" s="2">
        <v>0.30391203703703706</v>
      </c>
      <c r="C31" s="2">
        <v>0.68115740740740738</v>
      </c>
      <c r="D31">
        <v>2</v>
      </c>
      <c r="E31">
        <v>5.97</v>
      </c>
      <c r="F31">
        <v>3.48</v>
      </c>
      <c r="G31">
        <v>1.93</v>
      </c>
      <c r="H31">
        <f t="shared" si="0"/>
        <v>77.702000000000041</v>
      </c>
    </row>
    <row r="32" spans="1:8" x14ac:dyDescent="0.25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  <c r="H32">
        <f t="shared" si="0"/>
        <v>78.634000000000043</v>
      </c>
    </row>
    <row r="33" spans="1:8" x14ac:dyDescent="0.25">
      <c r="A33" s="1">
        <v>44593</v>
      </c>
      <c r="B33" s="2">
        <v>0.30175925925925928</v>
      </c>
      <c r="C33" s="2">
        <v>0.68371527777777774</v>
      </c>
      <c r="D33">
        <v>1</v>
      </c>
      <c r="E33">
        <v>6.18</v>
      </c>
      <c r="F33">
        <v>1.34</v>
      </c>
      <c r="G33">
        <v>1.28</v>
      </c>
      <c r="H33">
        <f t="shared" si="0"/>
        <v>78.426000000000045</v>
      </c>
    </row>
    <row r="34" spans="1:8" x14ac:dyDescent="0.25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  <c r="H34">
        <f t="shared" si="0"/>
        <v>78.67200000000004</v>
      </c>
    </row>
    <row r="35" spans="1:8" x14ac:dyDescent="0.25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  <c r="H35">
        <f t="shared" si="0"/>
        <v>77.390000000000043</v>
      </c>
    </row>
    <row r="36" spans="1:8" x14ac:dyDescent="0.25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  <c r="H36">
        <f t="shared" si="0"/>
        <v>77.122000000000043</v>
      </c>
    </row>
    <row r="37" spans="1:8" x14ac:dyDescent="0.25">
      <c r="A37" s="1">
        <v>44597</v>
      </c>
      <c r="B37" s="2">
        <v>0.2971759259259259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  <c r="H37">
        <f t="shared" si="0"/>
        <v>75.726000000000042</v>
      </c>
    </row>
    <row r="38" spans="1:8" x14ac:dyDescent="0.25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  <c r="H38">
        <f t="shared" si="0"/>
        <v>74.698000000000036</v>
      </c>
    </row>
    <row r="39" spans="1:8" x14ac:dyDescent="0.25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  <c r="H39">
        <f t="shared" si="0"/>
        <v>73.966000000000037</v>
      </c>
    </row>
    <row r="40" spans="1:8" x14ac:dyDescent="0.25">
      <c r="A40" s="1">
        <v>44600</v>
      </c>
      <c r="B40" s="2">
        <v>0.29351851851851851</v>
      </c>
      <c r="C40" s="2">
        <v>0.69277777777777783</v>
      </c>
      <c r="D40">
        <v>1</v>
      </c>
      <c r="E40">
        <v>7.84</v>
      </c>
      <c r="F40">
        <v>2.63</v>
      </c>
      <c r="G40">
        <v>2.19</v>
      </c>
      <c r="H40">
        <f t="shared" si="0"/>
        <v>73.880000000000038</v>
      </c>
    </row>
    <row r="41" spans="1:8" x14ac:dyDescent="0.25">
      <c r="A41" s="1">
        <v>44601</v>
      </c>
      <c r="B41" s="2">
        <v>0.29226851851851854</v>
      </c>
      <c r="C41" s="2">
        <v>0.6940856481481481</v>
      </c>
      <c r="D41">
        <v>6</v>
      </c>
      <c r="E41">
        <v>2.93</v>
      </c>
      <c r="F41">
        <v>1.1299999999999999</v>
      </c>
      <c r="G41">
        <v>3.1</v>
      </c>
      <c r="H41">
        <f t="shared" si="0"/>
        <v>71.68400000000004</v>
      </c>
    </row>
    <row r="42" spans="1:8" x14ac:dyDescent="0.25">
      <c r="A42" s="1">
        <v>44602</v>
      </c>
      <c r="B42" s="2">
        <v>0.29098379629629628</v>
      </c>
      <c r="C42" s="2">
        <v>0.69538194444444446</v>
      </c>
      <c r="D42">
        <v>7</v>
      </c>
      <c r="E42">
        <v>1.24</v>
      </c>
      <c r="F42">
        <v>0.3</v>
      </c>
      <c r="G42">
        <v>2.14</v>
      </c>
      <c r="H42">
        <f t="shared" si="0"/>
        <v>69.784000000000034</v>
      </c>
    </row>
    <row r="43" spans="1:8" x14ac:dyDescent="0.25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  <c r="H43">
        <f t="shared" si="0"/>
        <v>64.924000000000035</v>
      </c>
    </row>
    <row r="44" spans="1:8" x14ac:dyDescent="0.25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  <c r="H44">
        <f t="shared" si="0"/>
        <v>65.484000000000037</v>
      </c>
    </row>
    <row r="45" spans="1:8" x14ac:dyDescent="0.25">
      <c r="A45" s="1">
        <v>44605</v>
      </c>
      <c r="B45" s="2">
        <v>0.28706018518518517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  <c r="H45">
        <f t="shared" si="0"/>
        <v>64.28000000000003</v>
      </c>
    </row>
    <row r="46" spans="1:8" x14ac:dyDescent="0.25">
      <c r="A46" s="1">
        <v>44606</v>
      </c>
      <c r="B46" s="2">
        <v>0.28570601851851851</v>
      </c>
      <c r="C46" s="2">
        <v>0.70059027777777783</v>
      </c>
      <c r="D46">
        <v>2</v>
      </c>
      <c r="E46">
        <v>5.62</v>
      </c>
      <c r="F46">
        <v>2.41</v>
      </c>
      <c r="G46">
        <v>2.59</v>
      </c>
      <c r="H46">
        <f t="shared" si="0"/>
        <v>63.618000000000023</v>
      </c>
    </row>
    <row r="47" spans="1:8" x14ac:dyDescent="0.25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  <c r="H47">
        <f t="shared" si="0"/>
        <v>61.712000000000025</v>
      </c>
    </row>
    <row r="48" spans="1:8" x14ac:dyDescent="0.25">
      <c r="A48" s="1">
        <v>44608</v>
      </c>
      <c r="B48" s="2">
        <v>0.28297453703703701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  <c r="H48">
        <f t="shared" si="0"/>
        <v>59.812000000000026</v>
      </c>
    </row>
    <row r="49" spans="1:8" x14ac:dyDescent="0.25">
      <c r="A49" s="1">
        <v>44609</v>
      </c>
      <c r="B49" s="2">
        <v>0.28158564814814813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  <c r="H49">
        <f t="shared" si="0"/>
        <v>60.396000000000029</v>
      </c>
    </row>
    <row r="50" spans="1:8" x14ac:dyDescent="0.25">
      <c r="A50" s="1">
        <v>44610</v>
      </c>
      <c r="B50" s="2">
        <v>0.2801851851851852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  <c r="H50">
        <f t="shared" si="0"/>
        <v>58.322000000000031</v>
      </c>
    </row>
    <row r="51" spans="1:8" x14ac:dyDescent="0.25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  <c r="H51">
        <f t="shared" si="0"/>
        <v>55.872000000000028</v>
      </c>
    </row>
    <row r="52" spans="1:8" x14ac:dyDescent="0.25">
      <c r="A52" s="1">
        <v>44612</v>
      </c>
      <c r="B52" s="2">
        <v>0.27733796296296298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  <c r="H52">
        <f t="shared" si="0"/>
        <v>56.104000000000028</v>
      </c>
    </row>
    <row r="53" spans="1:8" x14ac:dyDescent="0.25">
      <c r="A53" s="1">
        <v>44613</v>
      </c>
      <c r="B53" s="2">
        <v>0.27590277777777777</v>
      </c>
      <c r="C53" s="2">
        <v>0.70962962962962961</v>
      </c>
      <c r="D53">
        <v>0</v>
      </c>
      <c r="E53">
        <v>9.85</v>
      </c>
      <c r="F53">
        <v>3.02</v>
      </c>
      <c r="G53">
        <v>2.46</v>
      </c>
      <c r="H53">
        <f t="shared" si="0"/>
        <v>56.060000000000024</v>
      </c>
    </row>
    <row r="54" spans="1:8" x14ac:dyDescent="0.25">
      <c r="A54" s="1">
        <v>44614</v>
      </c>
      <c r="B54" s="2">
        <v>0.27444444444444444</v>
      </c>
      <c r="C54" s="2">
        <v>0.71091435185185181</v>
      </c>
      <c r="D54">
        <v>1</v>
      </c>
      <c r="E54">
        <v>9.2899999999999991</v>
      </c>
      <c r="F54">
        <v>2.79</v>
      </c>
      <c r="G54">
        <v>1.49</v>
      </c>
      <c r="H54">
        <f t="shared" si="0"/>
        <v>56.802000000000021</v>
      </c>
    </row>
    <row r="55" spans="1:8" x14ac:dyDescent="0.25">
      <c r="A55" s="1">
        <v>44615</v>
      </c>
      <c r="B55" s="2">
        <v>0.27297453703703706</v>
      </c>
      <c r="C55" s="2">
        <v>0.71219907407407412</v>
      </c>
      <c r="D55">
        <v>4</v>
      </c>
      <c r="E55">
        <v>2.57</v>
      </c>
      <c r="F55">
        <v>0.76</v>
      </c>
      <c r="G55">
        <v>4.03</v>
      </c>
      <c r="H55">
        <f t="shared" si="0"/>
        <v>53.380000000000017</v>
      </c>
    </row>
    <row r="56" spans="1:8" x14ac:dyDescent="0.25">
      <c r="A56" s="1">
        <v>44616</v>
      </c>
      <c r="B56" s="2">
        <v>0.27150462962962962</v>
      </c>
      <c r="C56" s="2">
        <v>0.71347222222222217</v>
      </c>
      <c r="D56">
        <v>0</v>
      </c>
      <c r="E56">
        <v>9.64</v>
      </c>
      <c r="F56">
        <v>3.82</v>
      </c>
      <c r="G56">
        <v>2.36</v>
      </c>
      <c r="H56">
        <f t="shared" si="0"/>
        <v>54.076000000000015</v>
      </c>
    </row>
    <row r="57" spans="1:8" x14ac:dyDescent="0.25">
      <c r="A57" s="1">
        <v>44617</v>
      </c>
      <c r="B57" s="2">
        <v>0.27001157407407406</v>
      </c>
      <c r="C57" s="2">
        <v>0.71474537037037034</v>
      </c>
      <c r="D57">
        <v>0</v>
      </c>
      <c r="E57">
        <v>9.35</v>
      </c>
      <c r="F57">
        <v>3.73</v>
      </c>
      <c r="G57">
        <v>2.1800000000000002</v>
      </c>
      <c r="H57">
        <f t="shared" si="0"/>
        <v>54.880000000000017</v>
      </c>
    </row>
    <row r="58" spans="1:8" x14ac:dyDescent="0.25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  <c r="H58">
        <f t="shared" si="0"/>
        <v>55.616000000000021</v>
      </c>
    </row>
    <row r="59" spans="1:8" x14ac:dyDescent="0.25">
      <c r="A59" s="1">
        <v>44619</v>
      </c>
      <c r="B59" s="2">
        <v>0.26700231481481479</v>
      </c>
      <c r="C59" s="2">
        <v>0.71728009259259262</v>
      </c>
      <c r="D59">
        <v>0</v>
      </c>
      <c r="E59">
        <v>9.77</v>
      </c>
      <c r="F59">
        <v>3.26</v>
      </c>
      <c r="G59">
        <v>1.3</v>
      </c>
      <c r="H59">
        <f t="shared" si="0"/>
        <v>56.924000000000021</v>
      </c>
    </row>
    <row r="60" spans="1:8" x14ac:dyDescent="0.25">
      <c r="A60" s="1">
        <v>44620</v>
      </c>
      <c r="B60" s="2">
        <v>0.26548611111111109</v>
      </c>
      <c r="C60" s="2">
        <v>0.71855324074074078</v>
      </c>
      <c r="D60">
        <v>5</v>
      </c>
      <c r="E60">
        <v>2.93</v>
      </c>
      <c r="F60">
        <v>1.03</v>
      </c>
      <c r="G60">
        <v>2.99</v>
      </c>
      <c r="H60">
        <f t="shared" si="0"/>
        <v>54.758000000000017</v>
      </c>
    </row>
    <row r="61" spans="1:8" x14ac:dyDescent="0.25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  <c r="H61">
        <f t="shared" si="0"/>
        <v>53.804000000000016</v>
      </c>
    </row>
    <row r="62" spans="1:8" x14ac:dyDescent="0.25">
      <c r="A62" s="1">
        <v>44622</v>
      </c>
      <c r="B62" s="2">
        <v>0.26243055555555556</v>
      </c>
      <c r="C62" s="2">
        <v>0.72106481481481477</v>
      </c>
      <c r="D62">
        <v>6</v>
      </c>
      <c r="E62">
        <v>2.99</v>
      </c>
      <c r="F62">
        <v>0.74</v>
      </c>
      <c r="G62">
        <v>1.48</v>
      </c>
      <c r="H62">
        <f t="shared" si="0"/>
        <v>52.916000000000018</v>
      </c>
    </row>
    <row r="63" spans="1:8" x14ac:dyDescent="0.25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  <c r="H63">
        <f t="shared" si="0"/>
        <v>49.822000000000017</v>
      </c>
    </row>
    <row r="64" spans="1:8" x14ac:dyDescent="0.25">
      <c r="A64" s="1">
        <v>44624</v>
      </c>
      <c r="B64" s="2">
        <v>0.25934027777777779</v>
      </c>
      <c r="C64" s="2">
        <v>0.72357638888888887</v>
      </c>
      <c r="D64">
        <v>0</v>
      </c>
      <c r="E64">
        <v>9.7100000000000009</v>
      </c>
      <c r="F64">
        <v>3.95</v>
      </c>
      <c r="G64">
        <v>1.96</v>
      </c>
      <c r="H64">
        <f t="shared" si="0"/>
        <v>51.022000000000013</v>
      </c>
    </row>
    <row r="65" spans="1:8" x14ac:dyDescent="0.25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  <c r="H65">
        <f t="shared" si="0"/>
        <v>51.910000000000011</v>
      </c>
    </row>
    <row r="66" spans="1:8" x14ac:dyDescent="0.25">
      <c r="A66" s="1">
        <v>44626</v>
      </c>
      <c r="B66" s="2">
        <v>0.25621527777777775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  <c r="H66">
        <f t="shared" si="0"/>
        <v>52.902000000000008</v>
      </c>
    </row>
    <row r="67" spans="1:8" x14ac:dyDescent="0.25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  <c r="H67">
        <f t="shared" si="0"/>
        <v>51.496000000000009</v>
      </c>
    </row>
    <row r="68" spans="1:8" x14ac:dyDescent="0.25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  <c r="H68">
        <f t="shared" ref="H68:H131" si="1">H67 + F68*0.8 - G68</f>
        <v>51.060000000000009</v>
      </c>
    </row>
    <row r="69" spans="1:8" x14ac:dyDescent="0.25">
      <c r="A69" s="1">
        <v>44629</v>
      </c>
      <c r="B69" s="2">
        <v>0.25148148148148147</v>
      </c>
      <c r="C69" s="2">
        <v>0.72979166666666662</v>
      </c>
      <c r="D69">
        <v>3</v>
      </c>
      <c r="E69">
        <v>3.29</v>
      </c>
      <c r="F69">
        <v>0.73</v>
      </c>
      <c r="G69">
        <v>2.4300000000000002</v>
      </c>
      <c r="H69">
        <f t="shared" si="1"/>
        <v>49.214000000000013</v>
      </c>
    </row>
    <row r="70" spans="1:8" x14ac:dyDescent="0.25">
      <c r="A70" s="1">
        <v>44630</v>
      </c>
      <c r="B70" s="2">
        <v>0.24989583333333334</v>
      </c>
      <c r="C70" s="2">
        <v>0.73103009259259255</v>
      </c>
      <c r="D70">
        <v>1</v>
      </c>
      <c r="E70">
        <v>7.92</v>
      </c>
      <c r="F70">
        <v>1.58</v>
      </c>
      <c r="G70">
        <v>1.63</v>
      </c>
      <c r="H70">
        <f t="shared" si="1"/>
        <v>48.848000000000013</v>
      </c>
    </row>
    <row r="71" spans="1:8" x14ac:dyDescent="0.25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  <c r="H71">
        <f t="shared" si="1"/>
        <v>46.798000000000016</v>
      </c>
    </row>
    <row r="72" spans="1:8" x14ac:dyDescent="0.25">
      <c r="A72" s="1">
        <v>44632</v>
      </c>
      <c r="B72" s="2">
        <v>0.2467013888888889</v>
      </c>
      <c r="C72" s="2">
        <v>0.73348379629629634</v>
      </c>
      <c r="D72">
        <v>0</v>
      </c>
      <c r="E72">
        <v>11.09</v>
      </c>
      <c r="F72">
        <v>3.46</v>
      </c>
      <c r="G72">
        <v>1.28</v>
      </c>
      <c r="H72">
        <f t="shared" si="1"/>
        <v>48.286000000000016</v>
      </c>
    </row>
    <row r="73" spans="1:8" x14ac:dyDescent="0.25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  <c r="H73">
        <f t="shared" si="1"/>
        <v>49.558000000000014</v>
      </c>
    </row>
    <row r="74" spans="1:8" x14ac:dyDescent="0.25">
      <c r="A74" s="1">
        <v>44634</v>
      </c>
      <c r="B74" s="2">
        <v>0.24349537037037036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  <c r="H74">
        <f t="shared" si="1"/>
        <v>48.610000000000014</v>
      </c>
    </row>
    <row r="75" spans="1:8" x14ac:dyDescent="0.25">
      <c r="A75" s="1">
        <v>44635</v>
      </c>
      <c r="B75" s="2">
        <v>0.24188657407407407</v>
      </c>
      <c r="C75" s="2">
        <v>0.73716435185185181</v>
      </c>
      <c r="D75">
        <v>6</v>
      </c>
      <c r="E75">
        <v>3.14</v>
      </c>
      <c r="F75">
        <v>1.73</v>
      </c>
      <c r="G75">
        <v>3.82</v>
      </c>
      <c r="H75">
        <f t="shared" si="1"/>
        <v>46.174000000000014</v>
      </c>
    </row>
    <row r="76" spans="1:8" x14ac:dyDescent="0.25">
      <c r="A76" s="1">
        <v>44636</v>
      </c>
      <c r="B76" s="2">
        <v>0.24027777777777778</v>
      </c>
      <c r="C76" s="2">
        <v>0.73837962962962966</v>
      </c>
      <c r="D76">
        <v>0</v>
      </c>
      <c r="E76">
        <v>12.41</v>
      </c>
      <c r="F76">
        <v>3.85</v>
      </c>
      <c r="G76">
        <v>0.67</v>
      </c>
      <c r="H76">
        <f t="shared" si="1"/>
        <v>48.58400000000001</v>
      </c>
    </row>
    <row r="77" spans="1:8" x14ac:dyDescent="0.25">
      <c r="A77" s="1">
        <v>44637</v>
      </c>
      <c r="B77" s="2">
        <v>0.23866898148148147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  <c r="H77">
        <f t="shared" si="1"/>
        <v>46.096000000000011</v>
      </c>
    </row>
    <row r="78" spans="1:8" x14ac:dyDescent="0.25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  <c r="H78">
        <f t="shared" si="1"/>
        <v>47.552000000000014</v>
      </c>
    </row>
    <row r="79" spans="1:8" x14ac:dyDescent="0.25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  <c r="H79">
        <f t="shared" si="1"/>
        <v>50.164000000000016</v>
      </c>
    </row>
    <row r="80" spans="1:8" x14ac:dyDescent="0.25">
      <c r="A80" s="1">
        <v>44640</v>
      </c>
      <c r="B80" s="2">
        <v>0.23380787037037037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  <c r="H80">
        <f t="shared" si="1"/>
        <v>52.240000000000016</v>
      </c>
    </row>
    <row r="81" spans="1:8" x14ac:dyDescent="0.25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  <c r="H81">
        <f t="shared" si="1"/>
        <v>50.070000000000014</v>
      </c>
    </row>
    <row r="82" spans="1:8" x14ac:dyDescent="0.25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  <c r="H82">
        <f t="shared" si="1"/>
        <v>48.018000000000015</v>
      </c>
    </row>
    <row r="83" spans="1:8" x14ac:dyDescent="0.25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  <c r="H83">
        <f t="shared" si="1"/>
        <v>49.404000000000011</v>
      </c>
    </row>
    <row r="84" spans="1:8" x14ac:dyDescent="0.25">
      <c r="A84" s="1">
        <v>44644</v>
      </c>
      <c r="B84" s="2">
        <v>0.2273148148148148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  <c r="H84">
        <f t="shared" si="1"/>
        <v>51.306000000000012</v>
      </c>
    </row>
    <row r="85" spans="1:8" x14ac:dyDescent="0.25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  <c r="H85">
        <f t="shared" si="1"/>
        <v>49.878000000000014</v>
      </c>
    </row>
    <row r="86" spans="1:8" x14ac:dyDescent="0.25">
      <c r="A86" s="1">
        <v>44646</v>
      </c>
      <c r="B86" s="2">
        <v>0.2240625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  <c r="H86">
        <f t="shared" si="1"/>
        <v>51.906000000000013</v>
      </c>
    </row>
    <row r="87" spans="1:8" x14ac:dyDescent="0.25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  <c r="H87">
        <f t="shared" si="1"/>
        <v>52.460000000000015</v>
      </c>
    </row>
    <row r="88" spans="1:8" x14ac:dyDescent="0.25">
      <c r="A88" s="1">
        <v>44648</v>
      </c>
      <c r="B88" s="2">
        <v>0.26248842592592592</v>
      </c>
      <c r="C88" s="2">
        <v>0.79456018518518523</v>
      </c>
      <c r="D88">
        <v>4</v>
      </c>
      <c r="E88">
        <v>4.42</v>
      </c>
      <c r="F88">
        <v>3.15</v>
      </c>
      <c r="G88">
        <v>3.62</v>
      </c>
      <c r="H88">
        <f t="shared" si="1"/>
        <v>51.360000000000021</v>
      </c>
    </row>
    <row r="89" spans="1:8" x14ac:dyDescent="0.25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  <c r="H89">
        <f t="shared" si="1"/>
        <v>48.950000000000017</v>
      </c>
    </row>
    <row r="90" spans="1:8" x14ac:dyDescent="0.25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  <c r="H90">
        <f t="shared" si="1"/>
        <v>49.972000000000016</v>
      </c>
    </row>
    <row r="91" spans="1:8" x14ac:dyDescent="0.25">
      <c r="A91" s="1">
        <v>44651</v>
      </c>
      <c r="B91" s="2">
        <v>0.25763888888888886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  <c r="H91">
        <f t="shared" si="1"/>
        <v>50.248000000000019</v>
      </c>
    </row>
    <row r="92" spans="1:8" x14ac:dyDescent="0.25">
      <c r="A92" s="1">
        <v>44652</v>
      </c>
      <c r="B92" s="2">
        <v>0.25601851851851853</v>
      </c>
      <c r="C92" s="2">
        <v>0.79936342592592591</v>
      </c>
      <c r="D92">
        <v>3</v>
      </c>
      <c r="E92">
        <v>5.21</v>
      </c>
      <c r="F92">
        <v>2.46</v>
      </c>
      <c r="G92">
        <v>2.89</v>
      </c>
      <c r="H92">
        <f t="shared" si="1"/>
        <v>49.326000000000022</v>
      </c>
    </row>
    <row r="93" spans="1:8" x14ac:dyDescent="0.25">
      <c r="A93" s="1">
        <v>44653</v>
      </c>
      <c r="B93" s="2">
        <v>0.25440972222222225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  <c r="H93">
        <f t="shared" si="1"/>
        <v>50.758000000000024</v>
      </c>
    </row>
    <row r="94" spans="1:8" x14ac:dyDescent="0.25">
      <c r="A94" s="1">
        <v>44654</v>
      </c>
      <c r="B94" s="2">
        <v>0.2528009259259259</v>
      </c>
      <c r="C94" s="2">
        <v>0.80175925925925928</v>
      </c>
      <c r="D94">
        <v>6</v>
      </c>
      <c r="E94">
        <v>2.3199999999999998</v>
      </c>
      <c r="F94">
        <v>1.08</v>
      </c>
      <c r="G94">
        <v>4.09</v>
      </c>
      <c r="H94">
        <f t="shared" si="1"/>
        <v>47.532000000000025</v>
      </c>
    </row>
    <row r="95" spans="1:8" x14ac:dyDescent="0.25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  <c r="H95">
        <f t="shared" si="1"/>
        <v>48.122000000000028</v>
      </c>
    </row>
    <row r="96" spans="1:8" x14ac:dyDescent="0.25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  <c r="H96">
        <f t="shared" si="1"/>
        <v>47.438000000000031</v>
      </c>
    </row>
    <row r="97" spans="1:8" x14ac:dyDescent="0.25">
      <c r="A97" s="1">
        <v>44657</v>
      </c>
      <c r="B97" s="2">
        <v>0.24800925925925926</v>
      </c>
      <c r="C97" s="2">
        <v>0.80535879629629625</v>
      </c>
      <c r="D97">
        <v>4</v>
      </c>
      <c r="E97">
        <v>3.57</v>
      </c>
      <c r="F97">
        <v>0.16</v>
      </c>
      <c r="G97">
        <v>2.94</v>
      </c>
      <c r="H97">
        <f t="shared" si="1"/>
        <v>44.626000000000033</v>
      </c>
    </row>
    <row r="98" spans="1:8" x14ac:dyDescent="0.25">
      <c r="A98" s="1">
        <v>44658</v>
      </c>
      <c r="B98" s="2">
        <v>0.24641203703703704</v>
      </c>
      <c r="C98" s="2">
        <v>0.80656249999999996</v>
      </c>
      <c r="D98">
        <v>2</v>
      </c>
      <c r="E98">
        <v>6.61</v>
      </c>
      <c r="F98">
        <v>2.5099999999999998</v>
      </c>
      <c r="G98">
        <v>1.34</v>
      </c>
      <c r="H98">
        <f t="shared" si="1"/>
        <v>45.294000000000032</v>
      </c>
    </row>
    <row r="99" spans="1:8" x14ac:dyDescent="0.25">
      <c r="A99" s="1">
        <v>44659</v>
      </c>
      <c r="B99" s="2">
        <v>0.24482638888888889</v>
      </c>
      <c r="C99" s="2">
        <v>0.80775462962962963</v>
      </c>
      <c r="D99">
        <v>0</v>
      </c>
      <c r="E99">
        <v>14.15</v>
      </c>
      <c r="F99">
        <v>3.32</v>
      </c>
      <c r="G99">
        <v>1.82</v>
      </c>
      <c r="H99">
        <f t="shared" si="1"/>
        <v>46.130000000000031</v>
      </c>
    </row>
    <row r="100" spans="1:8" x14ac:dyDescent="0.25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  <c r="H100">
        <f t="shared" si="1"/>
        <v>44.628000000000036</v>
      </c>
    </row>
    <row r="101" spans="1:8" x14ac:dyDescent="0.25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  <c r="H101">
        <f t="shared" si="1"/>
        <v>44.54800000000003</v>
      </c>
    </row>
    <row r="102" spans="1:8" x14ac:dyDescent="0.25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  <c r="H102">
        <f t="shared" si="1"/>
        <v>42.74000000000003</v>
      </c>
    </row>
    <row r="103" spans="1:8" x14ac:dyDescent="0.25">
      <c r="A103" s="1">
        <v>44663</v>
      </c>
      <c r="B103" s="2">
        <v>0.23854166666666668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  <c r="H103">
        <f t="shared" si="1"/>
        <v>42.722000000000037</v>
      </c>
    </row>
    <row r="104" spans="1:8" x14ac:dyDescent="0.25">
      <c r="A104" s="1">
        <v>44664</v>
      </c>
      <c r="B104" s="2">
        <v>0.23699074074074075</v>
      </c>
      <c r="C104" s="2">
        <v>0.81376157407407412</v>
      </c>
      <c r="D104">
        <v>1</v>
      </c>
      <c r="E104">
        <v>7.5</v>
      </c>
      <c r="F104">
        <v>3.12</v>
      </c>
      <c r="G104">
        <v>2.94</v>
      </c>
      <c r="H104">
        <f t="shared" si="1"/>
        <v>42.278000000000041</v>
      </c>
    </row>
    <row r="105" spans="1:8" x14ac:dyDescent="0.25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  <c r="H105">
        <f t="shared" si="1"/>
        <v>42.964000000000041</v>
      </c>
    </row>
    <row r="106" spans="1:8" x14ac:dyDescent="0.25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  <c r="H106">
        <f t="shared" si="1"/>
        <v>44.012000000000043</v>
      </c>
    </row>
    <row r="107" spans="1:8" x14ac:dyDescent="0.25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  <c r="H107">
        <f t="shared" si="1"/>
        <v>42.386000000000045</v>
      </c>
    </row>
    <row r="108" spans="1:8" x14ac:dyDescent="0.25">
      <c r="A108" s="1">
        <v>44668</v>
      </c>
      <c r="B108" s="2">
        <v>0.2308449074074074</v>
      </c>
      <c r="C108" s="2">
        <v>0.8185648148148148</v>
      </c>
      <c r="D108">
        <v>6</v>
      </c>
      <c r="E108">
        <v>2.34</v>
      </c>
      <c r="F108">
        <v>1.06</v>
      </c>
      <c r="G108">
        <v>2.46</v>
      </c>
      <c r="H108">
        <f t="shared" si="1"/>
        <v>40.774000000000044</v>
      </c>
    </row>
    <row r="109" spans="1:8" x14ac:dyDescent="0.25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  <c r="H109">
        <f t="shared" si="1"/>
        <v>38.796000000000042</v>
      </c>
    </row>
    <row r="110" spans="1:8" x14ac:dyDescent="0.25">
      <c r="A110" s="1">
        <v>44670</v>
      </c>
      <c r="B110" s="2">
        <v>0.22783564814814813</v>
      </c>
      <c r="C110" s="2">
        <v>0.82096064814814818</v>
      </c>
      <c r="D110">
        <v>4</v>
      </c>
      <c r="E110">
        <v>3.78</v>
      </c>
      <c r="F110">
        <v>2.0699999999999998</v>
      </c>
      <c r="G110">
        <v>2.93</v>
      </c>
      <c r="H110">
        <f t="shared" si="1"/>
        <v>37.522000000000041</v>
      </c>
    </row>
    <row r="111" spans="1:8" x14ac:dyDescent="0.25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  <c r="H111">
        <f t="shared" si="1"/>
        <v>37.518000000000036</v>
      </c>
    </row>
    <row r="112" spans="1:8" x14ac:dyDescent="0.25">
      <c r="A112" s="1">
        <v>44672</v>
      </c>
      <c r="B112" s="2">
        <v>0.22486111111111112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  <c r="H112">
        <f t="shared" si="1"/>
        <v>38.346000000000032</v>
      </c>
    </row>
    <row r="113" spans="1:8" x14ac:dyDescent="0.25">
      <c r="A113" s="1">
        <v>44673</v>
      </c>
      <c r="B113" s="2">
        <v>0.22337962962962962</v>
      </c>
      <c r="C113" s="2">
        <v>0.82456018518518515</v>
      </c>
      <c r="D113">
        <v>5</v>
      </c>
      <c r="E113">
        <v>2.54</v>
      </c>
      <c r="F113">
        <v>0.68</v>
      </c>
      <c r="G113">
        <v>3.58</v>
      </c>
      <c r="H113">
        <f t="shared" si="1"/>
        <v>35.310000000000031</v>
      </c>
    </row>
    <row r="114" spans="1:8" x14ac:dyDescent="0.25">
      <c r="A114" s="1">
        <v>44674</v>
      </c>
      <c r="B114" s="2">
        <v>0.22192129629629628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  <c r="H114">
        <f t="shared" si="1"/>
        <v>35.744000000000028</v>
      </c>
    </row>
    <row r="115" spans="1:8" x14ac:dyDescent="0.25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  <c r="H115">
        <f t="shared" si="1"/>
        <v>37.744000000000028</v>
      </c>
    </row>
    <row r="116" spans="1:8" x14ac:dyDescent="0.25">
      <c r="A116" s="1">
        <v>44676</v>
      </c>
      <c r="B116" s="2">
        <v>0.21903935185185186</v>
      </c>
      <c r="C116" s="2">
        <v>0.82814814814814819</v>
      </c>
      <c r="D116">
        <v>6</v>
      </c>
      <c r="E116">
        <v>3.09</v>
      </c>
      <c r="F116">
        <v>1.32</v>
      </c>
      <c r="G116">
        <v>3.52</v>
      </c>
      <c r="H116">
        <f t="shared" si="1"/>
        <v>35.280000000000022</v>
      </c>
    </row>
    <row r="117" spans="1:8" x14ac:dyDescent="0.25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  <c r="H117">
        <f t="shared" si="1"/>
        <v>35.958000000000027</v>
      </c>
    </row>
    <row r="118" spans="1:8" x14ac:dyDescent="0.25">
      <c r="A118" s="1">
        <v>44678</v>
      </c>
      <c r="B118" s="2">
        <v>0.2162037037037037</v>
      </c>
      <c r="C118" s="2">
        <v>0.83053240740740741</v>
      </c>
      <c r="D118">
        <v>2</v>
      </c>
      <c r="E118">
        <v>6.08</v>
      </c>
      <c r="F118">
        <v>2.34</v>
      </c>
      <c r="G118">
        <v>1.65</v>
      </c>
      <c r="H118">
        <f t="shared" si="1"/>
        <v>36.180000000000028</v>
      </c>
    </row>
    <row r="119" spans="1:8" x14ac:dyDescent="0.25">
      <c r="A119" s="1">
        <v>44679</v>
      </c>
      <c r="B119" s="2">
        <v>0.21480324074074075</v>
      </c>
      <c r="C119" s="2">
        <v>0.83171296296296293</v>
      </c>
      <c r="D119">
        <v>6</v>
      </c>
      <c r="E119">
        <v>3.61</v>
      </c>
      <c r="F119">
        <v>1.32</v>
      </c>
      <c r="G119">
        <v>2.14</v>
      </c>
      <c r="H119">
        <f t="shared" si="1"/>
        <v>35.096000000000025</v>
      </c>
    </row>
    <row r="120" spans="1:8" x14ac:dyDescent="0.25">
      <c r="A120" s="1">
        <v>44680</v>
      </c>
      <c r="B120" s="2">
        <v>0.21342592592592594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  <c r="H120">
        <f t="shared" si="1"/>
        <v>35.822000000000024</v>
      </c>
    </row>
    <row r="121" spans="1:8" x14ac:dyDescent="0.25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  <c r="H121">
        <f t="shared" si="1"/>
        <v>35.490000000000023</v>
      </c>
    </row>
    <row r="122" spans="1:8" x14ac:dyDescent="0.25">
      <c r="A122" s="1">
        <v>44682</v>
      </c>
      <c r="B122" s="2">
        <v>0.21070601851851853</v>
      </c>
      <c r="C122" s="2">
        <v>0.83526620370370375</v>
      </c>
      <c r="D122">
        <v>3</v>
      </c>
      <c r="E122">
        <v>4.0999999999999996</v>
      </c>
      <c r="F122">
        <v>2.16</v>
      </c>
      <c r="G122">
        <v>3.12</v>
      </c>
      <c r="H122">
        <f t="shared" si="1"/>
        <v>34.098000000000027</v>
      </c>
    </row>
    <row r="123" spans="1:8" x14ac:dyDescent="0.25">
      <c r="A123" s="1">
        <v>44683</v>
      </c>
      <c r="B123" s="2">
        <v>0.20936342592592594</v>
      </c>
      <c r="C123" s="2">
        <v>0.83644675925925926</v>
      </c>
      <c r="D123">
        <v>0</v>
      </c>
      <c r="E123">
        <v>12.23</v>
      </c>
      <c r="F123">
        <v>3.94</v>
      </c>
      <c r="G123">
        <v>2.0099999999999998</v>
      </c>
      <c r="H123">
        <f t="shared" si="1"/>
        <v>35.24000000000003</v>
      </c>
    </row>
    <row r="124" spans="1:8" x14ac:dyDescent="0.25">
      <c r="A124" s="1">
        <v>44684</v>
      </c>
      <c r="B124" s="2">
        <v>0.20804398148148148</v>
      </c>
      <c r="C124" s="2">
        <v>0.83762731481481478</v>
      </c>
      <c r="D124">
        <v>3</v>
      </c>
      <c r="E124">
        <v>5.28</v>
      </c>
      <c r="F124">
        <v>2.87</v>
      </c>
      <c r="G124">
        <v>2.58</v>
      </c>
      <c r="H124">
        <f t="shared" si="1"/>
        <v>34.956000000000031</v>
      </c>
    </row>
    <row r="125" spans="1:8" x14ac:dyDescent="0.25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  <c r="H125">
        <f t="shared" si="1"/>
        <v>36.642000000000031</v>
      </c>
    </row>
    <row r="126" spans="1:8" x14ac:dyDescent="0.25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  <c r="H126">
        <f t="shared" si="1"/>
        <v>38.210000000000029</v>
      </c>
    </row>
    <row r="127" spans="1:8" x14ac:dyDescent="0.25">
      <c r="A127" s="1">
        <v>44687</v>
      </c>
      <c r="B127" s="2">
        <v>0.20418981481481482</v>
      </c>
      <c r="C127" s="2">
        <v>0.84112268518518518</v>
      </c>
      <c r="D127">
        <v>1</v>
      </c>
      <c r="E127">
        <v>8.76</v>
      </c>
      <c r="F127">
        <v>3.15</v>
      </c>
      <c r="G127">
        <v>1.42</v>
      </c>
      <c r="H127">
        <f t="shared" si="1"/>
        <v>39.310000000000031</v>
      </c>
    </row>
    <row r="128" spans="1:8" x14ac:dyDescent="0.25">
      <c r="A128" s="1">
        <v>44688</v>
      </c>
      <c r="B128" s="2">
        <v>0.20293981481481482</v>
      </c>
      <c r="C128" s="2">
        <v>0.84226851851851847</v>
      </c>
      <c r="D128">
        <v>2</v>
      </c>
      <c r="E128">
        <v>5.66</v>
      </c>
      <c r="F128">
        <v>4.2</v>
      </c>
      <c r="G128">
        <v>2.94</v>
      </c>
      <c r="H128">
        <f t="shared" si="1"/>
        <v>39.730000000000032</v>
      </c>
    </row>
    <row r="129" spans="1:8" x14ac:dyDescent="0.25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  <c r="H129">
        <f t="shared" si="1"/>
        <v>41.184000000000033</v>
      </c>
    </row>
    <row r="130" spans="1:8" x14ac:dyDescent="0.25">
      <c r="A130" s="1">
        <v>44690</v>
      </c>
      <c r="B130" s="2">
        <v>0.20049768518518518</v>
      </c>
      <c r="C130" s="2">
        <v>0.84456018518518516</v>
      </c>
      <c r="D130">
        <v>7</v>
      </c>
      <c r="E130">
        <v>2.89</v>
      </c>
      <c r="F130">
        <v>0.59</v>
      </c>
      <c r="G130">
        <v>2.19</v>
      </c>
      <c r="H130">
        <f t="shared" si="1"/>
        <v>39.466000000000037</v>
      </c>
    </row>
    <row r="131" spans="1:8" x14ac:dyDescent="0.25">
      <c r="A131" s="1">
        <v>44691</v>
      </c>
      <c r="B131" s="2">
        <v>0.19930555555555557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  <c r="H131">
        <f t="shared" si="1"/>
        <v>39.17800000000004</v>
      </c>
    </row>
    <row r="132" spans="1:8" x14ac:dyDescent="0.25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  <c r="H132">
        <f t="shared" ref="H132:H195" si="2">H131 + F132*0.8 - G132</f>
        <v>39.55000000000004</v>
      </c>
    </row>
    <row r="133" spans="1:8" x14ac:dyDescent="0.25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  <c r="H133">
        <f t="shared" si="2"/>
        <v>40.25400000000004</v>
      </c>
    </row>
    <row r="134" spans="1:8" x14ac:dyDescent="0.25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  <c r="H134">
        <f t="shared" si="2"/>
        <v>43.724000000000039</v>
      </c>
    </row>
    <row r="135" spans="1:8" x14ac:dyDescent="0.25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  <c r="H135">
        <f t="shared" si="2"/>
        <v>40.802000000000035</v>
      </c>
    </row>
    <row r="136" spans="1:8" x14ac:dyDescent="0.25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  <c r="H136">
        <f t="shared" si="2"/>
        <v>41.674000000000035</v>
      </c>
    </row>
    <row r="137" spans="1:8" x14ac:dyDescent="0.25">
      <c r="A137" s="1">
        <v>44697</v>
      </c>
      <c r="B137" s="2">
        <v>0.19262731481481482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  <c r="H137">
        <f t="shared" si="2"/>
        <v>44.072000000000031</v>
      </c>
    </row>
    <row r="138" spans="1:8" x14ac:dyDescent="0.25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  <c r="H138">
        <f t="shared" si="2"/>
        <v>47.204000000000029</v>
      </c>
    </row>
    <row r="139" spans="1:8" x14ac:dyDescent="0.25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  <c r="H139">
        <f t="shared" si="2"/>
        <v>49.606000000000023</v>
      </c>
    </row>
    <row r="140" spans="1:8" x14ac:dyDescent="0.25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  <c r="H140">
        <f t="shared" si="2"/>
        <v>50.510000000000026</v>
      </c>
    </row>
    <row r="141" spans="1:8" x14ac:dyDescent="0.25">
      <c r="A141" s="1">
        <v>44701</v>
      </c>
      <c r="B141" s="2">
        <v>0.18864583333333335</v>
      </c>
      <c r="C141" s="2">
        <v>0.85652777777777778</v>
      </c>
      <c r="D141">
        <v>3</v>
      </c>
      <c r="E141">
        <v>6.62</v>
      </c>
      <c r="F141">
        <v>4.3</v>
      </c>
      <c r="G141">
        <v>2.2799999999999998</v>
      </c>
      <c r="H141">
        <f t="shared" si="2"/>
        <v>51.670000000000023</v>
      </c>
    </row>
    <row r="142" spans="1:8" x14ac:dyDescent="0.25">
      <c r="A142" s="1">
        <v>44702</v>
      </c>
      <c r="B142" s="2">
        <v>0.1877199074074074</v>
      </c>
      <c r="C142" s="2">
        <v>0.85754629629629631</v>
      </c>
      <c r="D142">
        <v>2</v>
      </c>
      <c r="E142">
        <v>5.03</v>
      </c>
      <c r="F142">
        <v>2.81</v>
      </c>
      <c r="G142">
        <v>3.05</v>
      </c>
      <c r="H142">
        <f t="shared" si="2"/>
        <v>50.868000000000023</v>
      </c>
    </row>
    <row r="143" spans="1:8" x14ac:dyDescent="0.25">
      <c r="A143" s="1">
        <v>44703</v>
      </c>
      <c r="B143" s="2">
        <v>0.18682870370370369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  <c r="H143">
        <f t="shared" si="2"/>
        <v>51.240000000000023</v>
      </c>
    </row>
    <row r="144" spans="1:8" x14ac:dyDescent="0.25">
      <c r="A144" s="1">
        <v>44704</v>
      </c>
      <c r="B144" s="2">
        <v>0.18594907407407407</v>
      </c>
      <c r="C144" s="2">
        <v>0.85952546296296295</v>
      </c>
      <c r="D144">
        <v>8</v>
      </c>
      <c r="E144">
        <v>1.36</v>
      </c>
      <c r="F144">
        <v>0.57999999999999996</v>
      </c>
      <c r="G144">
        <v>4.95</v>
      </c>
      <c r="H144">
        <f t="shared" si="2"/>
        <v>46.754000000000019</v>
      </c>
    </row>
    <row r="145" spans="1:8" x14ac:dyDescent="0.25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  <c r="H145">
        <f t="shared" si="2"/>
        <v>43.356000000000023</v>
      </c>
    </row>
    <row r="146" spans="1:8" x14ac:dyDescent="0.25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  <c r="H146">
        <f t="shared" si="2"/>
        <v>39.428000000000026</v>
      </c>
    </row>
    <row r="147" spans="1:8" x14ac:dyDescent="0.25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  <c r="H147">
        <f t="shared" si="2"/>
        <v>36.328000000000031</v>
      </c>
    </row>
    <row r="148" spans="1:8" x14ac:dyDescent="0.25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  <c r="H148">
        <f t="shared" si="2"/>
        <v>33.586000000000027</v>
      </c>
    </row>
    <row r="149" spans="1:8" x14ac:dyDescent="0.25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  <c r="H149">
        <f t="shared" si="2"/>
        <v>33.986000000000026</v>
      </c>
    </row>
    <row r="150" spans="1:8" x14ac:dyDescent="0.25">
      <c r="A150" s="1">
        <v>44710</v>
      </c>
      <c r="B150" s="2">
        <v>0.18135416666666668</v>
      </c>
      <c r="C150" s="2">
        <v>0.86504629629629626</v>
      </c>
      <c r="D150">
        <v>1</v>
      </c>
      <c r="E150">
        <v>15.38</v>
      </c>
      <c r="F150">
        <v>10.54</v>
      </c>
      <c r="G150">
        <v>2.16</v>
      </c>
      <c r="H150">
        <f t="shared" si="2"/>
        <v>40.258000000000024</v>
      </c>
    </row>
    <row r="151" spans="1:8" x14ac:dyDescent="0.25">
      <c r="A151" s="1">
        <v>44711</v>
      </c>
      <c r="B151" s="2">
        <v>0.18069444444444444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  <c r="H151">
        <f t="shared" si="2"/>
        <v>46.762000000000022</v>
      </c>
    </row>
    <row r="152" spans="1:8" x14ac:dyDescent="0.25">
      <c r="A152" s="1">
        <v>44712</v>
      </c>
      <c r="B152" s="2">
        <v>0.18006944444444445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  <c r="H152">
        <f t="shared" si="2"/>
        <v>53.892000000000024</v>
      </c>
    </row>
    <row r="153" spans="1:8" x14ac:dyDescent="0.25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  <c r="H153">
        <f t="shared" si="2"/>
        <v>55.892000000000024</v>
      </c>
    </row>
    <row r="154" spans="1:8" x14ac:dyDescent="0.25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  <c r="H154">
        <f t="shared" si="2"/>
        <v>55.480000000000025</v>
      </c>
    </row>
    <row r="155" spans="1:8" x14ac:dyDescent="0.25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  <c r="H155">
        <f t="shared" si="2"/>
        <v>62.524000000000022</v>
      </c>
    </row>
    <row r="156" spans="1:8" x14ac:dyDescent="0.25">
      <c r="A156" s="1">
        <v>44716</v>
      </c>
      <c r="B156" s="2">
        <v>0.17791666666666667</v>
      </c>
      <c r="C156" s="2">
        <v>0.8697569444444444</v>
      </c>
      <c r="D156">
        <v>2</v>
      </c>
      <c r="E156">
        <v>5.79</v>
      </c>
      <c r="F156">
        <v>1.35</v>
      </c>
      <c r="G156">
        <v>1.1200000000000001</v>
      </c>
      <c r="H156">
        <f t="shared" si="2"/>
        <v>62.484000000000023</v>
      </c>
    </row>
    <row r="157" spans="1:8" x14ac:dyDescent="0.25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  <c r="H157">
        <f t="shared" si="2"/>
        <v>63.932000000000023</v>
      </c>
    </row>
    <row r="158" spans="1:8" x14ac:dyDescent="0.25">
      <c r="A158" s="1">
        <v>44718</v>
      </c>
      <c r="B158" s="2">
        <v>0.17703703703703705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  <c r="H158">
        <f t="shared" si="2"/>
        <v>65.112000000000023</v>
      </c>
    </row>
    <row r="159" spans="1:8" x14ac:dyDescent="0.25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  <c r="H159">
        <f t="shared" si="2"/>
        <v>71.884000000000029</v>
      </c>
    </row>
    <row r="160" spans="1:8" x14ac:dyDescent="0.25">
      <c r="A160" s="1">
        <v>44720</v>
      </c>
      <c r="B160" s="2">
        <v>0.17631944444444445</v>
      </c>
      <c r="C160" s="2">
        <v>0.87237268518518518</v>
      </c>
      <c r="D160">
        <v>0</v>
      </c>
      <c r="E160">
        <v>12.57</v>
      </c>
      <c r="F160">
        <v>6.64</v>
      </c>
      <c r="G160">
        <v>3.26</v>
      </c>
      <c r="H160">
        <f t="shared" si="2"/>
        <v>73.936000000000021</v>
      </c>
    </row>
    <row r="161" spans="1:8" x14ac:dyDescent="0.25">
      <c r="A161" s="1">
        <v>44721</v>
      </c>
      <c r="B161" s="2">
        <v>0.17600694444444445</v>
      </c>
      <c r="C161" s="2">
        <v>0.8729513888888889</v>
      </c>
      <c r="D161">
        <v>4</v>
      </c>
      <c r="E161">
        <v>4.3</v>
      </c>
      <c r="F161">
        <v>2.36</v>
      </c>
      <c r="G161">
        <v>3.54</v>
      </c>
      <c r="H161">
        <f t="shared" si="2"/>
        <v>72.28400000000002</v>
      </c>
    </row>
    <row r="162" spans="1:8" x14ac:dyDescent="0.25">
      <c r="A162" s="1">
        <v>44722</v>
      </c>
      <c r="B162" s="2">
        <v>0.17572916666666666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  <c r="H162">
        <f t="shared" si="2"/>
        <v>74.596000000000032</v>
      </c>
    </row>
    <row r="163" spans="1:8" x14ac:dyDescent="0.25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  <c r="H163">
        <f t="shared" si="2"/>
        <v>75.268000000000029</v>
      </c>
    </row>
    <row r="164" spans="1:8" x14ac:dyDescent="0.25">
      <c r="A164" s="1">
        <v>44724</v>
      </c>
      <c r="B164" s="2">
        <v>0.17530092592592592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  <c r="H164">
        <f t="shared" si="2"/>
        <v>73.718000000000032</v>
      </c>
    </row>
    <row r="165" spans="1:8" x14ac:dyDescent="0.25">
      <c r="A165" s="1">
        <v>44725</v>
      </c>
      <c r="B165" s="2">
        <v>0.1751388888888889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  <c r="H165">
        <f t="shared" si="2"/>
        <v>74.412000000000035</v>
      </c>
    </row>
    <row r="166" spans="1:8" x14ac:dyDescent="0.25">
      <c r="A166" s="1">
        <v>44726</v>
      </c>
      <c r="B166" s="2">
        <v>0.17501157407407408</v>
      </c>
      <c r="C166" s="2">
        <v>0.87537037037037035</v>
      </c>
      <c r="D166">
        <v>0</v>
      </c>
      <c r="E166">
        <v>14.03</v>
      </c>
      <c r="F166">
        <v>5.68</v>
      </c>
      <c r="G166">
        <v>2.95</v>
      </c>
      <c r="H166">
        <f t="shared" si="2"/>
        <v>76.006000000000029</v>
      </c>
    </row>
    <row r="167" spans="1:8" x14ac:dyDescent="0.25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  <c r="H167">
        <f t="shared" si="2"/>
        <v>76.54800000000003</v>
      </c>
    </row>
    <row r="168" spans="1:8" x14ac:dyDescent="0.25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  <c r="H168">
        <f t="shared" si="2"/>
        <v>77.870000000000019</v>
      </c>
    </row>
    <row r="169" spans="1:8" x14ac:dyDescent="0.25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  <c r="H169">
        <f t="shared" si="2"/>
        <v>77.340000000000018</v>
      </c>
    </row>
    <row r="170" spans="1:8" x14ac:dyDescent="0.25">
      <c r="A170" s="1">
        <v>44730</v>
      </c>
      <c r="B170" s="2">
        <v>0.17488425925925927</v>
      </c>
      <c r="C170" s="2">
        <v>0.87668981481481478</v>
      </c>
      <c r="D170">
        <v>0</v>
      </c>
      <c r="E170">
        <v>11.1</v>
      </c>
      <c r="F170">
        <v>4.6399999999999997</v>
      </c>
      <c r="G170">
        <v>3.54</v>
      </c>
      <c r="H170">
        <f t="shared" si="2"/>
        <v>77.512000000000015</v>
      </c>
    </row>
    <row r="171" spans="1:8" x14ac:dyDescent="0.25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  <c r="H171">
        <f t="shared" si="2"/>
        <v>81.596000000000018</v>
      </c>
    </row>
    <row r="172" spans="1:8" x14ac:dyDescent="0.25">
      <c r="A172" s="1">
        <v>44732</v>
      </c>
      <c r="B172" s="2">
        <v>0.17504629629629628</v>
      </c>
      <c r="C172" s="2">
        <v>0.87712962962962959</v>
      </c>
      <c r="D172">
        <v>2</v>
      </c>
      <c r="E172">
        <v>8.8800000000000008</v>
      </c>
      <c r="F172">
        <v>6.14</v>
      </c>
      <c r="G172">
        <v>3.61</v>
      </c>
      <c r="H172">
        <f t="shared" si="2"/>
        <v>82.898000000000025</v>
      </c>
    </row>
    <row r="173" spans="1:8" x14ac:dyDescent="0.25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  <c r="H173">
        <f t="shared" si="2"/>
        <v>85.216000000000037</v>
      </c>
    </row>
    <row r="174" spans="1:8" x14ac:dyDescent="0.25">
      <c r="A174" s="1">
        <v>44734</v>
      </c>
      <c r="B174" s="2">
        <v>0.1753587962962963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  <c r="H174">
        <f t="shared" si="2"/>
        <v>86.006000000000043</v>
      </c>
    </row>
    <row r="175" spans="1:8" x14ac:dyDescent="0.25">
      <c r="A175" s="1">
        <v>44735</v>
      </c>
      <c r="B175" s="2">
        <v>0.17556712962962964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  <c r="H175">
        <f t="shared" si="2"/>
        <v>87.774000000000044</v>
      </c>
    </row>
    <row r="176" spans="1:8" x14ac:dyDescent="0.25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  <c r="H176">
        <f t="shared" si="2"/>
        <v>90.376000000000047</v>
      </c>
    </row>
    <row r="177" spans="1:8" x14ac:dyDescent="0.25">
      <c r="A177" s="1">
        <v>44737</v>
      </c>
      <c r="B177" s="2">
        <v>0.17608796296296297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  <c r="H177">
        <f t="shared" si="2"/>
        <v>89.878000000000057</v>
      </c>
    </row>
    <row r="178" spans="1:8" x14ac:dyDescent="0.25">
      <c r="A178" s="1">
        <v>44738</v>
      </c>
      <c r="B178" s="2">
        <v>0.17640046296296297</v>
      </c>
      <c r="C178" s="2">
        <v>0.8775694444444444</v>
      </c>
      <c r="D178">
        <v>1</v>
      </c>
      <c r="E178">
        <v>12.81</v>
      </c>
      <c r="F178">
        <v>7.18</v>
      </c>
      <c r="G178">
        <v>1.54</v>
      </c>
      <c r="H178">
        <f t="shared" si="2"/>
        <v>94.08200000000005</v>
      </c>
    </row>
    <row r="179" spans="1:8" x14ac:dyDescent="0.25">
      <c r="A179" s="1">
        <v>44739</v>
      </c>
      <c r="B179" s="2">
        <v>0.17674768518518519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  <c r="H179">
        <f t="shared" si="2"/>
        <v>94.246000000000052</v>
      </c>
    </row>
    <row r="180" spans="1:8" x14ac:dyDescent="0.25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  <c r="H180">
        <f t="shared" si="2"/>
        <v>95.598000000000042</v>
      </c>
    </row>
    <row r="181" spans="1:8" x14ac:dyDescent="0.25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  <c r="H181">
        <f t="shared" si="2"/>
        <v>100.48800000000004</v>
      </c>
    </row>
    <row r="182" spans="1:8" x14ac:dyDescent="0.25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  <c r="H182">
        <f t="shared" si="2"/>
        <v>100.61000000000004</v>
      </c>
    </row>
    <row r="183" spans="1:8" x14ac:dyDescent="0.25">
      <c r="A183" s="1">
        <v>44743</v>
      </c>
      <c r="B183" s="2">
        <v>0.17847222222222223</v>
      </c>
      <c r="C183" s="2">
        <v>0.87690972222222219</v>
      </c>
      <c r="D183">
        <v>2</v>
      </c>
      <c r="E183">
        <v>2.96</v>
      </c>
      <c r="F183">
        <v>1.54</v>
      </c>
      <c r="G183">
        <v>4.5199999999999996</v>
      </c>
      <c r="H183">
        <f t="shared" si="2"/>
        <v>97.322000000000045</v>
      </c>
    </row>
    <row r="184" spans="1:8" x14ac:dyDescent="0.25">
      <c r="A184" s="1">
        <v>44744</v>
      </c>
      <c r="B184" s="2">
        <v>0.17898148148148149</v>
      </c>
      <c r="C184" s="2">
        <v>0.87665509259259256</v>
      </c>
      <c r="D184">
        <v>0</v>
      </c>
      <c r="E184">
        <v>13.76</v>
      </c>
      <c r="F184">
        <v>7.09</v>
      </c>
      <c r="G184">
        <v>4.32</v>
      </c>
      <c r="H184">
        <f t="shared" si="2"/>
        <v>98.674000000000035</v>
      </c>
    </row>
    <row r="185" spans="1:8" x14ac:dyDescent="0.25">
      <c r="A185" s="1">
        <v>44745</v>
      </c>
      <c r="B185" s="2">
        <v>0.17952546296296296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  <c r="H185">
        <f t="shared" si="2"/>
        <v>104.24800000000003</v>
      </c>
    </row>
    <row r="186" spans="1:8" x14ac:dyDescent="0.25">
      <c r="A186" s="1">
        <v>44746</v>
      </c>
      <c r="B186" s="2">
        <v>0.18010416666666668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  <c r="H186">
        <f t="shared" si="2"/>
        <v>111.28000000000003</v>
      </c>
    </row>
    <row r="187" spans="1:8" x14ac:dyDescent="0.25">
      <c r="A187" s="1">
        <v>44747</v>
      </c>
      <c r="B187" s="2">
        <v>0.18069444444444444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  <c r="H187">
        <f t="shared" si="2"/>
        <v>117.76200000000003</v>
      </c>
    </row>
    <row r="188" spans="1:8" x14ac:dyDescent="0.25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  <c r="H188">
        <f t="shared" si="2"/>
        <v>122.55800000000002</v>
      </c>
    </row>
    <row r="189" spans="1:8" x14ac:dyDescent="0.25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  <c r="H189">
        <f t="shared" si="2"/>
        <v>126.97400000000003</v>
      </c>
    </row>
    <row r="190" spans="1:8" x14ac:dyDescent="0.25">
      <c r="A190" s="1">
        <v>44750</v>
      </c>
      <c r="B190" s="2">
        <v>0.18267361111111111</v>
      </c>
      <c r="C190" s="2">
        <v>0.87440972222222224</v>
      </c>
      <c r="D190">
        <v>1</v>
      </c>
      <c r="E190">
        <v>11.9</v>
      </c>
      <c r="F190">
        <v>7.34</v>
      </c>
      <c r="G190">
        <v>4.8099999999999996</v>
      </c>
      <c r="H190">
        <f t="shared" si="2"/>
        <v>128.03600000000003</v>
      </c>
    </row>
    <row r="191" spans="1:8" x14ac:dyDescent="0.25">
      <c r="A191" s="1">
        <v>44751</v>
      </c>
      <c r="B191" s="2">
        <v>0.18337962962962964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  <c r="H191">
        <f t="shared" si="2"/>
        <v>134.03800000000004</v>
      </c>
    </row>
    <row r="192" spans="1:8" x14ac:dyDescent="0.25">
      <c r="A192" s="1">
        <v>44752</v>
      </c>
      <c r="B192" s="2">
        <v>0.18412037037037038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  <c r="H192">
        <f t="shared" si="2"/>
        <v>140.92000000000004</v>
      </c>
    </row>
    <row r="193" spans="1:8" x14ac:dyDescent="0.25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  <c r="H193">
        <f t="shared" si="2"/>
        <v>148.95000000000005</v>
      </c>
    </row>
    <row r="194" spans="1:8" x14ac:dyDescent="0.25">
      <c r="A194" s="1">
        <v>44754</v>
      </c>
      <c r="B194" s="2">
        <v>0.18565972222222221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  <c r="H194">
        <f t="shared" si="2"/>
        <v>156.42400000000006</v>
      </c>
    </row>
    <row r="195" spans="1:8" x14ac:dyDescent="0.25">
      <c r="A195" s="1">
        <v>44755</v>
      </c>
      <c r="B195" s="2">
        <v>0.1864699074074074</v>
      </c>
      <c r="C195" s="2">
        <v>0.87155092592592598</v>
      </c>
      <c r="D195">
        <v>0</v>
      </c>
      <c r="E195">
        <v>17.22</v>
      </c>
      <c r="F195">
        <v>9.69</v>
      </c>
      <c r="G195">
        <v>2.84</v>
      </c>
      <c r="H195">
        <f t="shared" si="2"/>
        <v>161.33600000000007</v>
      </c>
    </row>
    <row r="196" spans="1:8" x14ac:dyDescent="0.25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  <c r="H196">
        <f t="shared" ref="H196:H259" si="3">H195 + F196*0.8 - G196</f>
        <v>165.47800000000007</v>
      </c>
    </row>
    <row r="197" spans="1:8" x14ac:dyDescent="0.25">
      <c r="A197" s="1">
        <v>44757</v>
      </c>
      <c r="B197" s="2">
        <v>0.18813657407407408</v>
      </c>
      <c r="C197" s="2">
        <v>0.87017361111111113</v>
      </c>
      <c r="D197">
        <v>1</v>
      </c>
      <c r="E197">
        <v>15.96</v>
      </c>
      <c r="F197">
        <v>11.95</v>
      </c>
      <c r="G197">
        <v>3.05</v>
      </c>
      <c r="H197">
        <f t="shared" si="3"/>
        <v>171.98800000000006</v>
      </c>
    </row>
    <row r="198" spans="1:8" x14ac:dyDescent="0.25">
      <c r="A198" s="1">
        <v>44758</v>
      </c>
      <c r="B198" s="2">
        <v>0.1890162037037037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  <c r="H198">
        <f t="shared" si="3"/>
        <v>176.97200000000007</v>
      </c>
    </row>
    <row r="199" spans="1:8" x14ac:dyDescent="0.25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  <c r="H199">
        <f t="shared" si="3"/>
        <v>184.65400000000005</v>
      </c>
    </row>
    <row r="200" spans="1:8" x14ac:dyDescent="0.25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  <c r="H200">
        <f t="shared" si="3"/>
        <v>190.07400000000007</v>
      </c>
    </row>
    <row r="201" spans="1:8" x14ac:dyDescent="0.25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  <c r="H201">
        <f t="shared" si="3"/>
        <v>194.80800000000008</v>
      </c>
    </row>
    <row r="202" spans="1:8" x14ac:dyDescent="0.25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  <c r="H202">
        <f t="shared" si="3"/>
        <v>200.80400000000009</v>
      </c>
    </row>
    <row r="203" spans="1:8" x14ac:dyDescent="0.25">
      <c r="A203" s="1">
        <v>44763</v>
      </c>
      <c r="B203" s="2">
        <v>0.19362268518518519</v>
      </c>
      <c r="C203" s="2">
        <v>0.86531250000000004</v>
      </c>
      <c r="D203">
        <v>0</v>
      </c>
      <c r="E203">
        <v>18.3</v>
      </c>
      <c r="F203">
        <v>10.96</v>
      </c>
      <c r="G203">
        <v>2.14</v>
      </c>
      <c r="H203">
        <f t="shared" si="3"/>
        <v>207.4320000000001</v>
      </c>
    </row>
    <row r="204" spans="1:8" x14ac:dyDescent="0.25">
      <c r="A204" s="1">
        <v>44764</v>
      </c>
      <c r="B204" s="2">
        <v>0.1945949074074074</v>
      </c>
      <c r="C204" s="2">
        <v>0.86439814814814819</v>
      </c>
      <c r="D204">
        <v>0</v>
      </c>
      <c r="E204">
        <v>17.04</v>
      </c>
      <c r="F204">
        <v>9.85</v>
      </c>
      <c r="G204">
        <v>2.2599999999999998</v>
      </c>
      <c r="H204">
        <f t="shared" si="3"/>
        <v>213.05200000000011</v>
      </c>
    </row>
    <row r="205" spans="1:8" x14ac:dyDescent="0.25">
      <c r="A205" s="1">
        <v>44765</v>
      </c>
      <c r="B205" s="2">
        <v>0.1955787037037037</v>
      </c>
      <c r="C205" s="2">
        <v>0.86346064814814816</v>
      </c>
      <c r="D205">
        <v>0</v>
      </c>
      <c r="E205">
        <v>18.850000000000001</v>
      </c>
      <c r="F205">
        <v>11.75</v>
      </c>
      <c r="G205">
        <v>2.94</v>
      </c>
      <c r="H205">
        <f t="shared" si="3"/>
        <v>219.51200000000011</v>
      </c>
    </row>
    <row r="206" spans="1:8" x14ac:dyDescent="0.25">
      <c r="A206" s="1">
        <v>44766</v>
      </c>
      <c r="B206" s="2">
        <v>0.19658564814814813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  <c r="H206">
        <f t="shared" si="3"/>
        <v>224.6160000000001</v>
      </c>
    </row>
    <row r="207" spans="1:8" x14ac:dyDescent="0.25">
      <c r="A207" s="1">
        <v>44767</v>
      </c>
      <c r="B207" s="2">
        <v>0.1975925925925926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  <c r="H207">
        <f t="shared" si="3"/>
        <v>228.15600000000009</v>
      </c>
    </row>
    <row r="208" spans="1:8" x14ac:dyDescent="0.25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  <c r="H208">
        <f t="shared" si="3"/>
        <v>233.22600000000008</v>
      </c>
    </row>
    <row r="209" spans="1:8" x14ac:dyDescent="0.25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  <c r="H209">
        <f t="shared" si="3"/>
        <v>238.3180000000001</v>
      </c>
    </row>
    <row r="210" spans="1:8" x14ac:dyDescent="0.25">
      <c r="A210" s="1">
        <v>44770</v>
      </c>
      <c r="B210" s="2">
        <v>0.20069444444444445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  <c r="H210">
        <f t="shared" si="3"/>
        <v>244.44000000000008</v>
      </c>
    </row>
    <row r="211" spans="1:8" x14ac:dyDescent="0.25">
      <c r="A211" s="1">
        <v>44771</v>
      </c>
      <c r="B211" s="2">
        <v>0.20175925925925925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  <c r="H211">
        <f t="shared" si="3"/>
        <v>250.93200000000007</v>
      </c>
    </row>
    <row r="212" spans="1:8" x14ac:dyDescent="0.25">
      <c r="A212" s="1">
        <v>44772</v>
      </c>
      <c r="B212" s="2">
        <v>0.20282407407407407</v>
      </c>
      <c r="C212" s="2">
        <v>0.85614583333333338</v>
      </c>
      <c r="D212">
        <v>1</v>
      </c>
      <c r="E212">
        <v>14.2</v>
      </c>
      <c r="F212">
        <v>10.59</v>
      </c>
      <c r="G212">
        <v>4.04</v>
      </c>
      <c r="H212">
        <f t="shared" si="3"/>
        <v>255.36400000000006</v>
      </c>
    </row>
    <row r="213" spans="1:8" x14ac:dyDescent="0.25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  <c r="H213">
        <f t="shared" si="3"/>
        <v>259.77600000000007</v>
      </c>
    </row>
    <row r="214" spans="1:8" x14ac:dyDescent="0.25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  <c r="H214">
        <f t="shared" si="3"/>
        <v>265.5800000000001</v>
      </c>
    </row>
    <row r="215" spans="1:8" x14ac:dyDescent="0.25">
      <c r="A215" s="1">
        <v>44775</v>
      </c>
      <c r="B215" s="2">
        <v>0.20606481481481481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  <c r="H215">
        <f t="shared" si="3"/>
        <v>270.69800000000009</v>
      </c>
    </row>
    <row r="216" spans="1:8" x14ac:dyDescent="0.25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  <c r="H216">
        <f t="shared" si="3"/>
        <v>275.14800000000008</v>
      </c>
    </row>
    <row r="217" spans="1:8" x14ac:dyDescent="0.25">
      <c r="A217" s="1">
        <v>44777</v>
      </c>
      <c r="B217" s="2">
        <v>0.20826388888888889</v>
      </c>
      <c r="C217" s="2">
        <v>0.85023148148148153</v>
      </c>
      <c r="D217">
        <v>0</v>
      </c>
      <c r="E217">
        <v>19.88</v>
      </c>
      <c r="F217">
        <v>10.14</v>
      </c>
      <c r="G217">
        <v>1.94</v>
      </c>
      <c r="H217">
        <f t="shared" si="3"/>
        <v>281.32000000000011</v>
      </c>
    </row>
    <row r="218" spans="1:8" x14ac:dyDescent="0.25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  <c r="H218">
        <f t="shared" si="3"/>
        <v>284.89400000000012</v>
      </c>
    </row>
    <row r="219" spans="1:8" x14ac:dyDescent="0.25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  <c r="H219">
        <f t="shared" si="3"/>
        <v>287.55200000000013</v>
      </c>
    </row>
    <row r="220" spans="1:8" x14ac:dyDescent="0.25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  <c r="H220">
        <f t="shared" si="3"/>
        <v>292.79000000000013</v>
      </c>
    </row>
    <row r="221" spans="1:8" x14ac:dyDescent="0.25">
      <c r="A221" s="1">
        <v>44781</v>
      </c>
      <c r="B221" s="2">
        <v>0.2127199074074074</v>
      </c>
      <c r="C221" s="2">
        <v>0.84513888888888888</v>
      </c>
      <c r="D221">
        <v>0</v>
      </c>
      <c r="E221">
        <v>15.21</v>
      </c>
      <c r="F221">
        <v>6.71</v>
      </c>
      <c r="G221">
        <v>3.21</v>
      </c>
      <c r="H221">
        <f t="shared" si="3"/>
        <v>294.94800000000015</v>
      </c>
    </row>
    <row r="222" spans="1:8" x14ac:dyDescent="0.25">
      <c r="A222" s="1">
        <v>44782</v>
      </c>
      <c r="B222" s="2">
        <v>0.21384259259259258</v>
      </c>
      <c r="C222" s="2">
        <v>0.84381944444444446</v>
      </c>
      <c r="D222">
        <v>0</v>
      </c>
      <c r="E222">
        <v>19.329999999999998</v>
      </c>
      <c r="F222">
        <v>10.19</v>
      </c>
      <c r="G222">
        <v>1.54</v>
      </c>
      <c r="H222">
        <f t="shared" si="3"/>
        <v>301.56000000000012</v>
      </c>
    </row>
    <row r="223" spans="1:8" x14ac:dyDescent="0.25">
      <c r="A223" s="1">
        <v>44783</v>
      </c>
      <c r="B223" s="2">
        <v>0.21497685185185186</v>
      </c>
      <c r="C223" s="2">
        <v>0.84248842592592588</v>
      </c>
      <c r="D223">
        <v>0</v>
      </c>
      <c r="E223">
        <v>19.829999999999998</v>
      </c>
      <c r="F223">
        <v>12.94</v>
      </c>
      <c r="G223">
        <v>3.94</v>
      </c>
      <c r="H223">
        <f t="shared" si="3"/>
        <v>307.97200000000009</v>
      </c>
    </row>
    <row r="224" spans="1:8" x14ac:dyDescent="0.25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  <c r="H224">
        <f t="shared" si="3"/>
        <v>310.9620000000001</v>
      </c>
    </row>
    <row r="225" spans="1:8" x14ac:dyDescent="0.25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  <c r="H225">
        <f t="shared" si="3"/>
        <v>312.3540000000001</v>
      </c>
    </row>
    <row r="226" spans="1:8" x14ac:dyDescent="0.25">
      <c r="A226" s="1">
        <v>44786</v>
      </c>
      <c r="B226" s="2">
        <v>0.21837962962962962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  <c r="H226">
        <f t="shared" si="3"/>
        <v>317.64800000000008</v>
      </c>
    </row>
    <row r="227" spans="1:8" x14ac:dyDescent="0.25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  <c r="H227">
        <f t="shared" si="3"/>
        <v>321.43400000000008</v>
      </c>
    </row>
    <row r="228" spans="1:8" x14ac:dyDescent="0.25">
      <c r="A228" s="1">
        <v>44788</v>
      </c>
      <c r="B228" s="2">
        <v>0.22065972222222222</v>
      </c>
      <c r="C228" s="2">
        <v>0.83559027777777772</v>
      </c>
      <c r="D228">
        <v>0</v>
      </c>
      <c r="E228">
        <v>19.920000000000002</v>
      </c>
      <c r="F228">
        <v>12.25</v>
      </c>
      <c r="G228">
        <v>1.77</v>
      </c>
      <c r="H228">
        <f t="shared" si="3"/>
        <v>329.46400000000011</v>
      </c>
    </row>
    <row r="229" spans="1:8" x14ac:dyDescent="0.25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  <c r="H229">
        <f t="shared" si="3"/>
        <v>333.25200000000012</v>
      </c>
    </row>
    <row r="230" spans="1:8" x14ac:dyDescent="0.25">
      <c r="A230" s="1">
        <v>44790</v>
      </c>
      <c r="B230" s="2">
        <v>0.22295138888888888</v>
      </c>
      <c r="C230" s="2">
        <v>0.83273148148148146</v>
      </c>
      <c r="D230">
        <v>0</v>
      </c>
      <c r="E230">
        <v>18.84</v>
      </c>
      <c r="F230">
        <v>10.64</v>
      </c>
      <c r="G230">
        <v>3.51</v>
      </c>
      <c r="H230">
        <f t="shared" si="3"/>
        <v>338.25400000000013</v>
      </c>
    </row>
    <row r="231" spans="1:8" x14ac:dyDescent="0.25">
      <c r="A231" s="1">
        <v>44791</v>
      </c>
      <c r="B231" s="2">
        <v>0.22409722222222223</v>
      </c>
      <c r="C231" s="2">
        <v>0.83127314814814812</v>
      </c>
      <c r="D231">
        <v>0</v>
      </c>
      <c r="E231">
        <v>18.97</v>
      </c>
      <c r="F231">
        <v>10.97</v>
      </c>
      <c r="G231">
        <v>3.09</v>
      </c>
      <c r="H231">
        <f t="shared" si="3"/>
        <v>343.94000000000017</v>
      </c>
    </row>
    <row r="232" spans="1:8" x14ac:dyDescent="0.25">
      <c r="A232" s="1">
        <v>44792</v>
      </c>
      <c r="B232" s="2">
        <v>0.22524305555555554</v>
      </c>
      <c r="C232" s="2">
        <v>0.82981481481481478</v>
      </c>
      <c r="D232">
        <v>1</v>
      </c>
      <c r="E232">
        <v>11.99</v>
      </c>
      <c r="F232">
        <v>7.68</v>
      </c>
      <c r="G232">
        <v>3.68</v>
      </c>
      <c r="H232">
        <f t="shared" si="3"/>
        <v>346.40400000000017</v>
      </c>
    </row>
    <row r="233" spans="1:8" x14ac:dyDescent="0.25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  <c r="H233">
        <f t="shared" si="3"/>
        <v>352.29600000000016</v>
      </c>
    </row>
    <row r="234" spans="1:8" x14ac:dyDescent="0.25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  <c r="H234">
        <f t="shared" si="3"/>
        <v>356.56800000000021</v>
      </c>
    </row>
    <row r="235" spans="1:8" x14ac:dyDescent="0.25">
      <c r="A235" s="1">
        <v>44795</v>
      </c>
      <c r="B235" s="2">
        <v>0.22868055555555555</v>
      </c>
      <c r="C235" s="2">
        <v>0.82535879629629627</v>
      </c>
      <c r="D235">
        <v>1</v>
      </c>
      <c r="E235">
        <v>14.17</v>
      </c>
      <c r="F235">
        <v>9.9700000000000006</v>
      </c>
      <c r="G235">
        <v>3.16</v>
      </c>
      <c r="H235">
        <f t="shared" si="3"/>
        <v>361.38400000000019</v>
      </c>
    </row>
    <row r="236" spans="1:8" x14ac:dyDescent="0.25">
      <c r="A236" s="1">
        <v>44796</v>
      </c>
      <c r="B236" s="2">
        <v>0.2298263888888889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  <c r="H236">
        <f t="shared" si="3"/>
        <v>364.72200000000015</v>
      </c>
    </row>
    <row r="237" spans="1:8" x14ac:dyDescent="0.25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  <c r="H237">
        <f t="shared" si="3"/>
        <v>370.07400000000013</v>
      </c>
    </row>
    <row r="238" spans="1:8" x14ac:dyDescent="0.25">
      <c r="A238" s="1">
        <v>44798</v>
      </c>
      <c r="B238" s="2">
        <v>0.23211805555555556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  <c r="H238">
        <f t="shared" si="3"/>
        <v>375.87800000000016</v>
      </c>
    </row>
    <row r="239" spans="1:8" x14ac:dyDescent="0.25">
      <c r="A239" s="1">
        <v>44799</v>
      </c>
      <c r="B239" s="2">
        <v>0.23326388888888888</v>
      </c>
      <c r="C239" s="2">
        <v>0.81927083333333328</v>
      </c>
      <c r="D239">
        <v>0</v>
      </c>
      <c r="E239">
        <v>16.829999999999998</v>
      </c>
      <c r="F239">
        <v>8.83</v>
      </c>
      <c r="G239">
        <v>3.07</v>
      </c>
      <c r="H239">
        <f t="shared" si="3"/>
        <v>379.87200000000018</v>
      </c>
    </row>
    <row r="240" spans="1:8" x14ac:dyDescent="0.25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  <c r="H240">
        <f t="shared" si="3"/>
        <v>386.13600000000019</v>
      </c>
    </row>
    <row r="241" spans="1:8" x14ac:dyDescent="0.25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  <c r="H241">
        <f t="shared" si="3"/>
        <v>391.72200000000021</v>
      </c>
    </row>
    <row r="242" spans="1:8" x14ac:dyDescent="0.25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  <c r="H242">
        <f t="shared" si="3"/>
        <v>398.25000000000023</v>
      </c>
    </row>
    <row r="243" spans="1:8" x14ac:dyDescent="0.25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  <c r="H243">
        <f t="shared" si="3"/>
        <v>404.44400000000019</v>
      </c>
    </row>
    <row r="244" spans="1:8" x14ac:dyDescent="0.25">
      <c r="A244" s="1">
        <v>44804</v>
      </c>
      <c r="B244" s="2">
        <v>0.23899305555555556</v>
      </c>
      <c r="C244" s="2">
        <v>0.81146990740740743</v>
      </c>
      <c r="D244">
        <v>0</v>
      </c>
      <c r="E244">
        <v>17.559999999999999</v>
      </c>
      <c r="F244">
        <v>9.49</v>
      </c>
      <c r="G244">
        <v>0.94</v>
      </c>
      <c r="H244">
        <f t="shared" si="3"/>
        <v>411.09600000000017</v>
      </c>
    </row>
    <row r="245" spans="1:8" x14ac:dyDescent="0.25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  <c r="H245">
        <f t="shared" si="3"/>
        <v>416.47400000000016</v>
      </c>
    </row>
    <row r="246" spans="1:8" x14ac:dyDescent="0.25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  <c r="H246">
        <f t="shared" si="3"/>
        <v>419.97200000000015</v>
      </c>
    </row>
    <row r="247" spans="1:8" x14ac:dyDescent="0.25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  <c r="H247">
        <f t="shared" si="3"/>
        <v>422.23400000000015</v>
      </c>
    </row>
    <row r="248" spans="1:8" x14ac:dyDescent="0.25">
      <c r="A248" s="1">
        <v>44808</v>
      </c>
      <c r="B248" s="2">
        <v>0.24356481481481482</v>
      </c>
      <c r="C248" s="2">
        <v>0.80510416666666662</v>
      </c>
      <c r="D248">
        <v>0</v>
      </c>
      <c r="E248">
        <v>19.399999999999999</v>
      </c>
      <c r="F248">
        <v>10.84</v>
      </c>
      <c r="G248">
        <v>0.84</v>
      </c>
      <c r="H248">
        <f t="shared" si="3"/>
        <v>430.0660000000002</v>
      </c>
    </row>
    <row r="249" spans="1:8" x14ac:dyDescent="0.25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  <c r="H249">
        <f t="shared" si="3"/>
        <v>434.03800000000018</v>
      </c>
    </row>
    <row r="250" spans="1:8" x14ac:dyDescent="0.25">
      <c r="A250" s="1">
        <v>44810</v>
      </c>
      <c r="B250" s="2">
        <v>0.24584490740740741</v>
      </c>
      <c r="C250" s="2">
        <v>0.80189814814814819</v>
      </c>
      <c r="D250">
        <v>2</v>
      </c>
      <c r="E250">
        <v>10.199999999999999</v>
      </c>
      <c r="F250">
        <v>6.94</v>
      </c>
      <c r="G250">
        <v>1.89</v>
      </c>
      <c r="H250">
        <f t="shared" si="3"/>
        <v>437.70000000000022</v>
      </c>
    </row>
    <row r="251" spans="1:8" x14ac:dyDescent="0.25">
      <c r="A251" s="1">
        <v>44811</v>
      </c>
      <c r="B251" s="2">
        <v>0.24699074074074073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  <c r="H251">
        <f t="shared" si="3"/>
        <v>444.49600000000021</v>
      </c>
    </row>
    <row r="252" spans="1:8" x14ac:dyDescent="0.25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  <c r="H252">
        <f t="shared" si="3"/>
        <v>448.33600000000018</v>
      </c>
    </row>
    <row r="253" spans="1:8" x14ac:dyDescent="0.25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  <c r="H253">
        <f t="shared" si="3"/>
        <v>451.85000000000019</v>
      </c>
    </row>
    <row r="254" spans="1:8" x14ac:dyDescent="0.25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  <c r="H254">
        <f t="shared" si="3"/>
        <v>459.32600000000019</v>
      </c>
    </row>
    <row r="255" spans="1:8" x14ac:dyDescent="0.25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  <c r="H255">
        <f t="shared" si="3"/>
        <v>466.10400000000021</v>
      </c>
    </row>
    <row r="256" spans="1:8" x14ac:dyDescent="0.25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  <c r="H256">
        <f t="shared" si="3"/>
        <v>470.01200000000023</v>
      </c>
    </row>
    <row r="257" spans="1:8" x14ac:dyDescent="0.25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  <c r="H257">
        <f t="shared" si="3"/>
        <v>474.75600000000026</v>
      </c>
    </row>
    <row r="258" spans="1:8" x14ac:dyDescent="0.25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  <c r="H258">
        <f t="shared" si="3"/>
        <v>476.83000000000027</v>
      </c>
    </row>
    <row r="259" spans="1:8" x14ac:dyDescent="0.25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  <c r="H259">
        <f t="shared" si="3"/>
        <v>481.15600000000029</v>
      </c>
    </row>
    <row r="260" spans="1:8" x14ac:dyDescent="0.25">
      <c r="A260" s="1">
        <v>44820</v>
      </c>
      <c r="B260" s="2">
        <v>0.25725694444444447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  <c r="H260">
        <f t="shared" ref="H260:H323" si="4">H259 + F260*0.8 - G260</f>
        <v>481.68000000000029</v>
      </c>
    </row>
    <row r="261" spans="1:8" x14ac:dyDescent="0.25">
      <c r="A261" s="1">
        <v>44821</v>
      </c>
      <c r="B261" s="2">
        <v>0.25840277777777776</v>
      </c>
      <c r="C261" s="2">
        <v>0.78396990740740746</v>
      </c>
      <c r="D261">
        <v>1</v>
      </c>
      <c r="E261">
        <v>13.43</v>
      </c>
      <c r="F261">
        <v>8.9700000000000006</v>
      </c>
      <c r="G261">
        <v>3.24</v>
      </c>
      <c r="H261">
        <f t="shared" si="4"/>
        <v>485.61600000000027</v>
      </c>
    </row>
    <row r="262" spans="1:8" x14ac:dyDescent="0.25">
      <c r="A262" s="1">
        <v>44822</v>
      </c>
      <c r="B262" s="2">
        <v>0.2595486111111111</v>
      </c>
      <c r="C262" s="2">
        <v>0.78232638888888884</v>
      </c>
      <c r="D262">
        <v>1</v>
      </c>
      <c r="E262">
        <v>12.57</v>
      </c>
      <c r="F262">
        <v>8.44</v>
      </c>
      <c r="G262">
        <v>3.16</v>
      </c>
      <c r="H262">
        <f t="shared" si="4"/>
        <v>489.20800000000025</v>
      </c>
    </row>
    <row r="263" spans="1:8" x14ac:dyDescent="0.25">
      <c r="A263" s="1">
        <v>44823</v>
      </c>
      <c r="B263" s="2">
        <v>0.26069444444444445</v>
      </c>
      <c r="C263" s="2">
        <v>0.78068287037037032</v>
      </c>
      <c r="D263">
        <v>2</v>
      </c>
      <c r="E263">
        <v>10.44</v>
      </c>
      <c r="F263">
        <v>7.84</v>
      </c>
      <c r="G263">
        <v>2.48</v>
      </c>
      <c r="H263">
        <f t="shared" si="4"/>
        <v>493.00000000000023</v>
      </c>
    </row>
    <row r="264" spans="1:8" x14ac:dyDescent="0.25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  <c r="H264">
        <f t="shared" si="4"/>
        <v>494.58000000000021</v>
      </c>
    </row>
    <row r="265" spans="1:8" x14ac:dyDescent="0.25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  <c r="H265">
        <f t="shared" si="4"/>
        <v>497.44000000000023</v>
      </c>
    </row>
    <row r="266" spans="1:8" x14ac:dyDescent="0.25">
      <c r="A266" s="1">
        <v>44826</v>
      </c>
      <c r="B266" s="2">
        <v>0.26414351851851853</v>
      </c>
      <c r="C266" s="2">
        <v>0.77576388888888892</v>
      </c>
      <c r="D266">
        <v>0</v>
      </c>
      <c r="E266">
        <v>16.510000000000002</v>
      </c>
      <c r="F266">
        <v>7.84</v>
      </c>
      <c r="G266">
        <v>0.84</v>
      </c>
      <c r="H266">
        <f t="shared" si="4"/>
        <v>502.87200000000024</v>
      </c>
    </row>
    <row r="267" spans="1:8" x14ac:dyDescent="0.25">
      <c r="A267" s="1">
        <v>44827</v>
      </c>
      <c r="B267" s="2">
        <v>0.26528935185185187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  <c r="H267">
        <f t="shared" si="4"/>
        <v>502.56800000000027</v>
      </c>
    </row>
    <row r="268" spans="1:8" x14ac:dyDescent="0.25">
      <c r="A268" s="1">
        <v>44828</v>
      </c>
      <c r="B268" s="2">
        <v>0.26643518518518516</v>
      </c>
      <c r="C268" s="2">
        <v>0.77248842592592593</v>
      </c>
      <c r="D268">
        <v>0</v>
      </c>
      <c r="E268">
        <v>15.85</v>
      </c>
      <c r="F268">
        <v>6.64</v>
      </c>
      <c r="G268">
        <v>2.69</v>
      </c>
      <c r="H268">
        <f t="shared" si="4"/>
        <v>505.19000000000028</v>
      </c>
    </row>
    <row r="269" spans="1:8" x14ac:dyDescent="0.25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  <c r="H269">
        <f t="shared" si="4"/>
        <v>511.00200000000029</v>
      </c>
    </row>
    <row r="270" spans="1:8" x14ac:dyDescent="0.25">
      <c r="A270" s="1">
        <v>44830</v>
      </c>
      <c r="B270" s="2">
        <v>0.26874999999999999</v>
      </c>
      <c r="C270" s="2">
        <v>0.76921296296296293</v>
      </c>
      <c r="D270">
        <v>1</v>
      </c>
      <c r="E270">
        <v>11.93</v>
      </c>
      <c r="F270">
        <v>7.93</v>
      </c>
      <c r="G270">
        <v>3.04</v>
      </c>
      <c r="H270">
        <f t="shared" si="4"/>
        <v>514.30600000000038</v>
      </c>
    </row>
    <row r="271" spans="1:8" x14ac:dyDescent="0.25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  <c r="H271">
        <f t="shared" si="4"/>
        <v>518.17800000000034</v>
      </c>
    </row>
    <row r="272" spans="1:8" x14ac:dyDescent="0.25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  <c r="H272">
        <f t="shared" si="4"/>
        <v>522.07800000000032</v>
      </c>
    </row>
    <row r="273" spans="1:8" x14ac:dyDescent="0.25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  <c r="H273">
        <f t="shared" si="4"/>
        <v>524.57600000000025</v>
      </c>
    </row>
    <row r="274" spans="1:8" x14ac:dyDescent="0.25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  <c r="H274">
        <f t="shared" si="4"/>
        <v>526.61200000000031</v>
      </c>
    </row>
    <row r="275" spans="1:8" x14ac:dyDescent="0.25">
      <c r="A275" s="1">
        <v>44835</v>
      </c>
      <c r="B275" s="2">
        <v>0.27456018518518521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  <c r="H275">
        <f t="shared" si="4"/>
        <v>526.99600000000032</v>
      </c>
    </row>
    <row r="276" spans="1:8" x14ac:dyDescent="0.25">
      <c r="A276" s="1">
        <v>44836</v>
      </c>
      <c r="B276" s="2">
        <v>0.27572916666666669</v>
      </c>
      <c r="C276" s="2">
        <v>0.75947916666666671</v>
      </c>
      <c r="D276">
        <v>2</v>
      </c>
      <c r="E276">
        <v>8.07</v>
      </c>
      <c r="F276">
        <v>6.79</v>
      </c>
      <c r="G276">
        <v>5.03</v>
      </c>
      <c r="H276">
        <f t="shared" si="4"/>
        <v>527.39800000000037</v>
      </c>
    </row>
    <row r="277" spans="1:8" x14ac:dyDescent="0.25">
      <c r="A277" s="1">
        <v>44837</v>
      </c>
      <c r="B277" s="2">
        <v>0.27689814814814817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  <c r="H277">
        <f t="shared" si="4"/>
        <v>526.49400000000037</v>
      </c>
    </row>
    <row r="278" spans="1:8" x14ac:dyDescent="0.25">
      <c r="A278" s="1">
        <v>44838</v>
      </c>
      <c r="B278" s="2">
        <v>0.27807870370370369</v>
      </c>
      <c r="C278" s="2">
        <v>0.75626157407407413</v>
      </c>
      <c r="D278">
        <v>4</v>
      </c>
      <c r="E278">
        <v>4.3899999999999997</v>
      </c>
      <c r="F278">
        <v>1.26</v>
      </c>
      <c r="G278">
        <v>1.19</v>
      </c>
      <c r="H278">
        <f t="shared" si="4"/>
        <v>526.31200000000035</v>
      </c>
    </row>
    <row r="279" spans="1:8" x14ac:dyDescent="0.25">
      <c r="A279" s="1">
        <v>44839</v>
      </c>
      <c r="B279" s="2">
        <v>0.27925925925925926</v>
      </c>
      <c r="C279" s="2">
        <v>0.75466435185185188</v>
      </c>
      <c r="D279">
        <v>4</v>
      </c>
      <c r="E279">
        <v>5.07</v>
      </c>
      <c r="F279">
        <v>2.68</v>
      </c>
      <c r="G279">
        <v>2.14</v>
      </c>
      <c r="H279">
        <f t="shared" si="4"/>
        <v>526.31600000000037</v>
      </c>
    </row>
    <row r="280" spans="1:8" x14ac:dyDescent="0.25">
      <c r="A280" s="1">
        <v>44840</v>
      </c>
      <c r="B280" s="2">
        <v>0.28043981481481484</v>
      </c>
      <c r="C280" s="2">
        <v>0.75306712962962963</v>
      </c>
      <c r="D280">
        <v>4</v>
      </c>
      <c r="E280">
        <v>5.66</v>
      </c>
      <c r="F280">
        <v>3.96</v>
      </c>
      <c r="G280">
        <v>2.1800000000000002</v>
      </c>
      <c r="H280">
        <f t="shared" si="4"/>
        <v>527.30400000000043</v>
      </c>
    </row>
    <row r="281" spans="1:8" x14ac:dyDescent="0.25">
      <c r="A281" s="1">
        <v>44841</v>
      </c>
      <c r="B281" s="2">
        <v>0.28162037037037035</v>
      </c>
      <c r="C281" s="2">
        <v>0.75148148148148153</v>
      </c>
      <c r="D281">
        <v>4</v>
      </c>
      <c r="E281">
        <v>5.19</v>
      </c>
      <c r="F281">
        <v>3.12</v>
      </c>
      <c r="G281">
        <v>4.0599999999999996</v>
      </c>
      <c r="H281">
        <f t="shared" si="4"/>
        <v>525.74000000000046</v>
      </c>
    </row>
    <row r="282" spans="1:8" x14ac:dyDescent="0.25">
      <c r="A282" s="1">
        <v>44842</v>
      </c>
      <c r="B282" s="2">
        <v>0.28281250000000002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  <c r="H282">
        <f t="shared" si="4"/>
        <v>522.80000000000052</v>
      </c>
    </row>
    <row r="283" spans="1:8" x14ac:dyDescent="0.25">
      <c r="A283" s="1">
        <v>44843</v>
      </c>
      <c r="B283" s="2">
        <v>0.28399305555555554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  <c r="H283">
        <f t="shared" si="4"/>
        <v>523.87000000000057</v>
      </c>
    </row>
    <row r="284" spans="1:8" x14ac:dyDescent="0.25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  <c r="H284">
        <f t="shared" si="4"/>
        <v>524.3400000000006</v>
      </c>
    </row>
    <row r="285" spans="1:8" x14ac:dyDescent="0.25">
      <c r="A285" s="1">
        <v>44845</v>
      </c>
      <c r="B285" s="2">
        <v>0.28638888888888892</v>
      </c>
      <c r="C285" s="2">
        <v>0.74519675925925921</v>
      </c>
      <c r="D285">
        <v>3</v>
      </c>
      <c r="E285">
        <v>5.86</v>
      </c>
      <c r="F285">
        <v>4.97</v>
      </c>
      <c r="G285">
        <v>4.0199999999999996</v>
      </c>
      <c r="H285">
        <f t="shared" si="4"/>
        <v>524.29600000000062</v>
      </c>
    </row>
    <row r="286" spans="1:8" x14ac:dyDescent="0.25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  <c r="H286">
        <f t="shared" si="4"/>
        <v>525.10400000000072</v>
      </c>
    </row>
    <row r="287" spans="1:8" x14ac:dyDescent="0.25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  <c r="H287">
        <f t="shared" si="4"/>
        <v>523.93800000000078</v>
      </c>
    </row>
    <row r="288" spans="1:8" x14ac:dyDescent="0.25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  <c r="H288">
        <f t="shared" si="4"/>
        <v>524.6580000000007</v>
      </c>
    </row>
    <row r="289" spans="1:8" x14ac:dyDescent="0.25">
      <c r="A289" s="1">
        <v>44849</v>
      </c>
      <c r="B289" s="2">
        <v>0.29121527777777778</v>
      </c>
      <c r="C289" s="2">
        <v>0.73903935185185188</v>
      </c>
      <c r="D289">
        <v>1</v>
      </c>
      <c r="E289">
        <v>8.56</v>
      </c>
      <c r="F289">
        <v>2.86</v>
      </c>
      <c r="G289">
        <v>1.61</v>
      </c>
      <c r="H289">
        <f t="shared" si="4"/>
        <v>525.33600000000069</v>
      </c>
    </row>
    <row r="290" spans="1:8" x14ac:dyDescent="0.25">
      <c r="A290" s="1">
        <v>44850</v>
      </c>
      <c r="B290" s="2">
        <v>0.29243055555555558</v>
      </c>
      <c r="C290" s="2">
        <v>0.73752314814814812</v>
      </c>
      <c r="D290">
        <v>0</v>
      </c>
      <c r="E290">
        <v>14.7</v>
      </c>
      <c r="F290">
        <v>5.42</v>
      </c>
      <c r="G290">
        <v>2.48</v>
      </c>
      <c r="H290">
        <f t="shared" si="4"/>
        <v>527.19200000000069</v>
      </c>
    </row>
    <row r="291" spans="1:8" x14ac:dyDescent="0.25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  <c r="H291">
        <f t="shared" si="4"/>
        <v>530.09800000000064</v>
      </c>
    </row>
    <row r="292" spans="1:8" x14ac:dyDescent="0.25">
      <c r="A292" s="1">
        <v>44852</v>
      </c>
      <c r="B292" s="2">
        <v>0.29486111111111113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  <c r="H292">
        <f t="shared" si="4"/>
        <v>528.52600000000064</v>
      </c>
    </row>
    <row r="293" spans="1:8" x14ac:dyDescent="0.25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  <c r="H293">
        <f t="shared" si="4"/>
        <v>526.4120000000006</v>
      </c>
    </row>
    <row r="294" spans="1:8" x14ac:dyDescent="0.25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  <c r="H294">
        <f t="shared" si="4"/>
        <v>527.33000000000061</v>
      </c>
    </row>
    <row r="295" spans="1:8" x14ac:dyDescent="0.25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  <c r="H295">
        <f t="shared" si="4"/>
        <v>527.00200000000063</v>
      </c>
    </row>
    <row r="296" spans="1:8" x14ac:dyDescent="0.25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  <c r="H296">
        <f t="shared" si="4"/>
        <v>529.70400000000063</v>
      </c>
    </row>
    <row r="297" spans="1:8" x14ac:dyDescent="0.25">
      <c r="A297" s="1">
        <v>44857</v>
      </c>
      <c r="B297" s="2">
        <v>0.30101851851851852</v>
      </c>
      <c r="C297" s="2">
        <v>0.72721064814814818</v>
      </c>
      <c r="D297">
        <v>7</v>
      </c>
      <c r="E297">
        <v>3.97</v>
      </c>
      <c r="F297">
        <v>1.64</v>
      </c>
      <c r="G297">
        <v>4.84</v>
      </c>
      <c r="H297">
        <f t="shared" si="4"/>
        <v>526.17600000000061</v>
      </c>
    </row>
    <row r="298" spans="1:8" x14ac:dyDescent="0.25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  <c r="H298">
        <f t="shared" si="4"/>
        <v>527.59600000000069</v>
      </c>
    </row>
    <row r="299" spans="1:8" x14ac:dyDescent="0.25">
      <c r="A299" s="1">
        <v>44859</v>
      </c>
      <c r="B299" s="2">
        <v>0.30349537037037039</v>
      </c>
      <c r="C299" s="2">
        <v>0.72437499999999999</v>
      </c>
      <c r="D299">
        <v>4</v>
      </c>
      <c r="E299">
        <v>4.58</v>
      </c>
      <c r="F299">
        <v>2.5299999999999998</v>
      </c>
      <c r="G299">
        <v>4.57</v>
      </c>
      <c r="H299">
        <f t="shared" si="4"/>
        <v>525.05000000000064</v>
      </c>
    </row>
    <row r="300" spans="1:8" x14ac:dyDescent="0.25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  <c r="H300">
        <f t="shared" si="4"/>
        <v>522.05800000000056</v>
      </c>
    </row>
    <row r="301" spans="1:8" x14ac:dyDescent="0.25">
      <c r="A301" s="1">
        <v>44861</v>
      </c>
      <c r="B301" s="2">
        <v>0.30599537037037039</v>
      </c>
      <c r="C301" s="2">
        <v>0.72159722222222222</v>
      </c>
      <c r="D301">
        <v>1</v>
      </c>
      <c r="E301">
        <v>8.7799999999999994</v>
      </c>
      <c r="F301">
        <v>2.09</v>
      </c>
      <c r="G301">
        <v>1.58</v>
      </c>
      <c r="H301">
        <f t="shared" si="4"/>
        <v>522.15000000000055</v>
      </c>
    </row>
    <row r="302" spans="1:8" x14ac:dyDescent="0.25">
      <c r="A302" s="1">
        <v>44862</v>
      </c>
      <c r="B302" s="2">
        <v>0.30724537037037036</v>
      </c>
      <c r="C302" s="2">
        <v>0.72023148148148153</v>
      </c>
      <c r="D302">
        <v>1</v>
      </c>
      <c r="E302">
        <v>8.06</v>
      </c>
      <c r="F302">
        <v>1.98</v>
      </c>
      <c r="G302">
        <v>1.08</v>
      </c>
      <c r="H302">
        <f t="shared" si="4"/>
        <v>522.65400000000045</v>
      </c>
    </row>
    <row r="303" spans="1:8" x14ac:dyDescent="0.25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  <c r="H303">
        <f t="shared" si="4"/>
        <v>522.60600000000045</v>
      </c>
    </row>
    <row r="304" spans="1:8" x14ac:dyDescent="0.25">
      <c r="A304" s="1">
        <v>44864</v>
      </c>
      <c r="B304" s="2">
        <v>0.26807870370370368</v>
      </c>
      <c r="C304" s="2">
        <v>0.67587962962962966</v>
      </c>
      <c r="D304">
        <v>3</v>
      </c>
      <c r="E304">
        <v>5.33</v>
      </c>
      <c r="F304">
        <v>2.98</v>
      </c>
      <c r="G304">
        <v>3.05</v>
      </c>
      <c r="H304">
        <f t="shared" si="4"/>
        <v>521.94000000000051</v>
      </c>
    </row>
    <row r="305" spans="1:8" x14ac:dyDescent="0.25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  <c r="H305">
        <f t="shared" si="4"/>
        <v>519.06600000000049</v>
      </c>
    </row>
    <row r="306" spans="1:8" x14ac:dyDescent="0.25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  <c r="H306">
        <f t="shared" si="4"/>
        <v>514.44200000000046</v>
      </c>
    </row>
    <row r="307" spans="1:8" x14ac:dyDescent="0.25">
      <c r="A307" s="1">
        <v>44867</v>
      </c>
      <c r="B307" s="2">
        <v>0.27184027777777775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  <c r="H307">
        <f t="shared" si="4"/>
        <v>514.94800000000043</v>
      </c>
    </row>
    <row r="308" spans="1:8" x14ac:dyDescent="0.25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  <c r="H308">
        <f t="shared" si="4"/>
        <v>511.53000000000048</v>
      </c>
    </row>
    <row r="309" spans="1:8" x14ac:dyDescent="0.25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  <c r="H309">
        <f t="shared" si="4"/>
        <v>510.23200000000048</v>
      </c>
    </row>
    <row r="310" spans="1:8" x14ac:dyDescent="0.25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  <c r="H310">
        <f t="shared" si="4"/>
        <v>507.83200000000051</v>
      </c>
    </row>
    <row r="311" spans="1:8" x14ac:dyDescent="0.25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  <c r="H311">
        <f t="shared" si="4"/>
        <v>507.25400000000053</v>
      </c>
    </row>
    <row r="312" spans="1:8" x14ac:dyDescent="0.25">
      <c r="A312" s="1">
        <v>44872</v>
      </c>
      <c r="B312" s="2">
        <v>0.27810185185185188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  <c r="H312">
        <f t="shared" si="4"/>
        <v>506.3420000000005</v>
      </c>
    </row>
    <row r="313" spans="1:8" x14ac:dyDescent="0.25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  <c r="H313">
        <f t="shared" si="4"/>
        <v>505.1160000000005</v>
      </c>
    </row>
    <row r="314" spans="1:8" x14ac:dyDescent="0.25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  <c r="H314">
        <f t="shared" si="4"/>
        <v>503.47600000000051</v>
      </c>
    </row>
    <row r="315" spans="1:8" x14ac:dyDescent="0.25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  <c r="H315">
        <f t="shared" si="4"/>
        <v>504.58400000000051</v>
      </c>
    </row>
    <row r="316" spans="1:8" x14ac:dyDescent="0.25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  <c r="H316">
        <f t="shared" si="4"/>
        <v>502.73600000000056</v>
      </c>
    </row>
    <row r="317" spans="1:8" x14ac:dyDescent="0.25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  <c r="H317">
        <f t="shared" si="4"/>
        <v>500.43800000000056</v>
      </c>
    </row>
    <row r="318" spans="1:8" x14ac:dyDescent="0.25">
      <c r="A318" s="1">
        <v>44878</v>
      </c>
      <c r="B318" s="2">
        <v>0.28554398148148147</v>
      </c>
      <c r="C318" s="2">
        <v>0.65925925925925921</v>
      </c>
      <c r="D318">
        <v>3</v>
      </c>
      <c r="E318">
        <v>4.16</v>
      </c>
      <c r="F318">
        <v>3.02</v>
      </c>
      <c r="G318">
        <v>4.1900000000000004</v>
      </c>
      <c r="H318">
        <f t="shared" si="4"/>
        <v>498.66400000000056</v>
      </c>
    </row>
    <row r="319" spans="1:8" x14ac:dyDescent="0.25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  <c r="H319">
        <f t="shared" si="4"/>
        <v>496.07600000000053</v>
      </c>
    </row>
    <row r="320" spans="1:8" x14ac:dyDescent="0.25">
      <c r="A320" s="1">
        <v>44880</v>
      </c>
      <c r="B320" s="2">
        <v>0.28797453703703701</v>
      </c>
      <c r="C320" s="2">
        <v>0.65725694444444449</v>
      </c>
      <c r="D320">
        <v>8</v>
      </c>
      <c r="E320">
        <v>1.38</v>
      </c>
      <c r="F320">
        <v>0.4</v>
      </c>
      <c r="G320">
        <v>6.48</v>
      </c>
      <c r="H320">
        <f t="shared" si="4"/>
        <v>489.91600000000051</v>
      </c>
    </row>
    <row r="321" spans="1:8" x14ac:dyDescent="0.25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  <c r="H321">
        <f t="shared" si="4"/>
        <v>486.15000000000055</v>
      </c>
    </row>
    <row r="322" spans="1:8" x14ac:dyDescent="0.25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  <c r="H322">
        <f t="shared" si="4"/>
        <v>484.44600000000054</v>
      </c>
    </row>
    <row r="323" spans="1:8" x14ac:dyDescent="0.25">
      <c r="A323" s="1">
        <v>44883</v>
      </c>
      <c r="B323" s="2">
        <v>0.2915740740740741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  <c r="H323">
        <f t="shared" si="4"/>
        <v>482.67000000000058</v>
      </c>
    </row>
    <row r="324" spans="1:8" x14ac:dyDescent="0.25">
      <c r="A324" s="1">
        <v>44884</v>
      </c>
      <c r="B324" s="2">
        <v>0.29276620370370371</v>
      </c>
      <c r="C324" s="2">
        <v>0.65356481481481477</v>
      </c>
      <c r="D324">
        <v>5</v>
      </c>
      <c r="E324">
        <v>3.6</v>
      </c>
      <c r="F324">
        <v>2.06</v>
      </c>
      <c r="G324">
        <v>2.72</v>
      </c>
      <c r="H324">
        <f t="shared" ref="H324:H366" si="5">H323 + F324*0.8 - G324</f>
        <v>481.59800000000058</v>
      </c>
    </row>
    <row r="325" spans="1:8" x14ac:dyDescent="0.25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  <c r="H325">
        <f t="shared" si="5"/>
        <v>481.71400000000057</v>
      </c>
    </row>
    <row r="326" spans="1:8" x14ac:dyDescent="0.25">
      <c r="A326" s="1">
        <v>44886</v>
      </c>
      <c r="B326" s="2">
        <v>0.29509259259259257</v>
      </c>
      <c r="C326" s="2">
        <v>0.65188657407407402</v>
      </c>
      <c r="D326">
        <v>5</v>
      </c>
      <c r="E326">
        <v>3.16</v>
      </c>
      <c r="F326">
        <v>2.11</v>
      </c>
      <c r="G326">
        <v>4.08</v>
      </c>
      <c r="H326">
        <f t="shared" si="5"/>
        <v>479.32200000000057</v>
      </c>
    </row>
    <row r="327" spans="1:8" x14ac:dyDescent="0.25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  <c r="H327">
        <f t="shared" si="5"/>
        <v>477.44000000000057</v>
      </c>
    </row>
    <row r="328" spans="1:8" x14ac:dyDescent="0.25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  <c r="H328">
        <f t="shared" si="5"/>
        <v>473.21800000000059</v>
      </c>
    </row>
    <row r="329" spans="1:8" x14ac:dyDescent="0.25">
      <c r="A329" s="1">
        <v>44889</v>
      </c>
      <c r="B329" s="2">
        <v>0.29849537037037038</v>
      </c>
      <c r="C329" s="2">
        <v>0.64961805555555552</v>
      </c>
      <c r="D329">
        <v>6</v>
      </c>
      <c r="E329">
        <v>3.18</v>
      </c>
      <c r="F329">
        <v>1.37</v>
      </c>
      <c r="G329">
        <v>4.16</v>
      </c>
      <c r="H329">
        <f t="shared" si="5"/>
        <v>470.15400000000056</v>
      </c>
    </row>
    <row r="330" spans="1:8" x14ac:dyDescent="0.25">
      <c r="A330" s="1">
        <v>44890</v>
      </c>
      <c r="B330" s="2">
        <v>0.2996064814814815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  <c r="H330">
        <f t="shared" si="5"/>
        <v>466.08200000000056</v>
      </c>
    </row>
    <row r="331" spans="1:8" x14ac:dyDescent="0.25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  <c r="H331">
        <f t="shared" si="5"/>
        <v>460.93000000000058</v>
      </c>
    </row>
    <row r="332" spans="1:8" x14ac:dyDescent="0.25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  <c r="H332">
        <f t="shared" si="5"/>
        <v>456.64600000000053</v>
      </c>
    </row>
    <row r="333" spans="1:8" x14ac:dyDescent="0.25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  <c r="H333">
        <f t="shared" si="5"/>
        <v>452.00200000000052</v>
      </c>
    </row>
    <row r="334" spans="1:8" x14ac:dyDescent="0.25">
      <c r="A334" s="1">
        <v>44894</v>
      </c>
      <c r="B334" s="2">
        <v>0.30385416666666665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  <c r="H334">
        <f t="shared" si="5"/>
        <v>448.26800000000054</v>
      </c>
    </row>
    <row r="335" spans="1:8" x14ac:dyDescent="0.25">
      <c r="A335" s="1">
        <v>44895</v>
      </c>
      <c r="B335" s="2">
        <v>0.30487268518518518</v>
      </c>
      <c r="C335" s="2">
        <v>0.64597222222222217</v>
      </c>
      <c r="D335">
        <v>8</v>
      </c>
      <c r="E335">
        <v>1.1399999999999999</v>
      </c>
      <c r="F335">
        <v>0</v>
      </c>
      <c r="G335">
        <v>7.02</v>
      </c>
      <c r="H335">
        <f t="shared" si="5"/>
        <v>441.24800000000056</v>
      </c>
    </row>
    <row r="336" spans="1:8" x14ac:dyDescent="0.25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  <c r="H336">
        <f t="shared" si="5"/>
        <v>436.0060000000006</v>
      </c>
    </row>
    <row r="337" spans="1:8" x14ac:dyDescent="0.25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  <c r="H337">
        <f t="shared" si="5"/>
        <v>431.41600000000057</v>
      </c>
    </row>
    <row r="338" spans="1:8" x14ac:dyDescent="0.25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  <c r="H338">
        <f t="shared" si="5"/>
        <v>428.39400000000057</v>
      </c>
    </row>
    <row r="339" spans="1:8" x14ac:dyDescent="0.25">
      <c r="A339" s="1">
        <v>44899</v>
      </c>
      <c r="B339" s="2">
        <v>0.3087152777777778</v>
      </c>
      <c r="C339" s="2">
        <v>0.64425925925925931</v>
      </c>
      <c r="D339">
        <v>8</v>
      </c>
      <c r="E339">
        <v>1.32</v>
      </c>
      <c r="F339">
        <v>0.54</v>
      </c>
      <c r="G339">
        <v>5.16</v>
      </c>
      <c r="H339">
        <f t="shared" si="5"/>
        <v>423.66600000000057</v>
      </c>
    </row>
    <row r="340" spans="1:8" x14ac:dyDescent="0.25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  <c r="H340">
        <f t="shared" si="5"/>
        <v>419.01800000000054</v>
      </c>
    </row>
    <row r="341" spans="1:8" x14ac:dyDescent="0.25">
      <c r="A341" s="1">
        <v>44901</v>
      </c>
      <c r="B341" s="2">
        <v>0.31049768518518517</v>
      </c>
      <c r="C341" s="2">
        <v>0.64363425925925921</v>
      </c>
      <c r="D341">
        <v>7</v>
      </c>
      <c r="E341">
        <v>2.2000000000000002</v>
      </c>
      <c r="F341">
        <v>0.61</v>
      </c>
      <c r="G341">
        <v>4.92</v>
      </c>
      <c r="H341">
        <f t="shared" si="5"/>
        <v>414.58600000000052</v>
      </c>
    </row>
    <row r="342" spans="1:8" x14ac:dyDescent="0.25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  <c r="H342">
        <f t="shared" si="5"/>
        <v>409.83600000000052</v>
      </c>
    </row>
    <row r="343" spans="1:8" x14ac:dyDescent="0.25">
      <c r="A343" s="1">
        <v>44903</v>
      </c>
      <c r="B343" s="2">
        <v>0.31216435185185187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  <c r="H343">
        <f t="shared" si="5"/>
        <v>406.53800000000052</v>
      </c>
    </row>
    <row r="344" spans="1:8" x14ac:dyDescent="0.25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  <c r="H344">
        <f t="shared" si="5"/>
        <v>403.42400000000055</v>
      </c>
    </row>
    <row r="345" spans="1:8" x14ac:dyDescent="0.25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  <c r="H345">
        <f t="shared" si="5"/>
        <v>399.68200000000053</v>
      </c>
    </row>
    <row r="346" spans="1:8" x14ac:dyDescent="0.25">
      <c r="A346" s="1">
        <v>44906</v>
      </c>
      <c r="B346" s="2">
        <v>0.31444444444444447</v>
      </c>
      <c r="C346" s="2">
        <v>0.64275462962962959</v>
      </c>
      <c r="D346">
        <v>7</v>
      </c>
      <c r="E346">
        <v>2.11</v>
      </c>
      <c r="F346">
        <v>0.84</v>
      </c>
      <c r="G346">
        <v>5.38</v>
      </c>
      <c r="H346">
        <f t="shared" si="5"/>
        <v>394.97400000000056</v>
      </c>
    </row>
    <row r="347" spans="1:8" x14ac:dyDescent="0.25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  <c r="H347">
        <f t="shared" si="5"/>
        <v>388.71400000000057</v>
      </c>
    </row>
    <row r="348" spans="1:8" x14ac:dyDescent="0.25">
      <c r="A348" s="1">
        <v>44908</v>
      </c>
      <c r="B348" s="2">
        <v>0.31581018518518517</v>
      </c>
      <c r="C348" s="2">
        <v>0.64268518518518514</v>
      </c>
      <c r="D348">
        <v>7</v>
      </c>
      <c r="E348">
        <v>2.0299999999999998</v>
      </c>
      <c r="F348">
        <v>1.02</v>
      </c>
      <c r="G348">
        <v>6.12</v>
      </c>
      <c r="H348">
        <f t="shared" si="5"/>
        <v>383.41000000000054</v>
      </c>
    </row>
    <row r="349" spans="1:8" x14ac:dyDescent="0.25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  <c r="H349">
        <f t="shared" si="5"/>
        <v>377.51200000000057</v>
      </c>
    </row>
    <row r="350" spans="1:8" x14ac:dyDescent="0.25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  <c r="H350">
        <f t="shared" si="5"/>
        <v>372.78400000000056</v>
      </c>
    </row>
    <row r="351" spans="1:8" x14ac:dyDescent="0.25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  <c r="H351">
        <f t="shared" si="5"/>
        <v>368.31400000000059</v>
      </c>
    </row>
    <row r="352" spans="1:8" x14ac:dyDescent="0.25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  <c r="H352">
        <f t="shared" si="5"/>
        <v>363.0540000000006</v>
      </c>
    </row>
    <row r="353" spans="1:8" x14ac:dyDescent="0.25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  <c r="H353">
        <f t="shared" si="5"/>
        <v>358.64400000000063</v>
      </c>
    </row>
    <row r="354" spans="1:8" x14ac:dyDescent="0.25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  <c r="H354">
        <f t="shared" si="5"/>
        <v>352.86000000000058</v>
      </c>
    </row>
    <row r="355" spans="1:8" x14ac:dyDescent="0.25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  <c r="H355">
        <f t="shared" si="5"/>
        <v>348.52600000000058</v>
      </c>
    </row>
    <row r="356" spans="1:8" x14ac:dyDescent="0.25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  <c r="H356">
        <f t="shared" si="5"/>
        <v>342.42800000000062</v>
      </c>
    </row>
    <row r="357" spans="1:8" x14ac:dyDescent="0.25">
      <c r="A357" s="1">
        <v>44917</v>
      </c>
      <c r="B357" s="2">
        <v>0.32023148148148151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  <c r="H357">
        <f t="shared" si="5"/>
        <v>337.71400000000062</v>
      </c>
    </row>
    <row r="358" spans="1:8" x14ac:dyDescent="0.25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  <c r="H358">
        <f t="shared" si="5"/>
        <v>334.17000000000064</v>
      </c>
    </row>
    <row r="359" spans="1:8" x14ac:dyDescent="0.25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  <c r="H359">
        <f t="shared" si="5"/>
        <v>328.17200000000065</v>
      </c>
    </row>
    <row r="360" spans="1:8" x14ac:dyDescent="0.25">
      <c r="A360" s="1">
        <v>44920</v>
      </c>
      <c r="B360" s="2">
        <v>0.32103009259259258</v>
      </c>
      <c r="C360" s="2">
        <v>0.64564814814814819</v>
      </c>
      <c r="D360">
        <v>7</v>
      </c>
      <c r="E360">
        <v>2.92</v>
      </c>
      <c r="F360">
        <v>1.05</v>
      </c>
      <c r="G360">
        <v>4.1399999999999997</v>
      </c>
      <c r="H360">
        <f t="shared" si="5"/>
        <v>324.87200000000064</v>
      </c>
    </row>
    <row r="361" spans="1:8" x14ac:dyDescent="0.25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  <c r="H361">
        <f t="shared" si="5"/>
        <v>321.48400000000066</v>
      </c>
    </row>
    <row r="362" spans="1:8" x14ac:dyDescent="0.25">
      <c r="A362" s="1">
        <v>44922</v>
      </c>
      <c r="B362" s="2">
        <v>0.32136574074074076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  <c r="H362">
        <f t="shared" si="5"/>
        <v>318.92200000000071</v>
      </c>
    </row>
    <row r="363" spans="1:8" x14ac:dyDescent="0.25">
      <c r="A363" s="1">
        <v>44923</v>
      </c>
      <c r="B363" s="2">
        <v>0.32146990740740738</v>
      </c>
      <c r="C363" s="2">
        <v>0.64725694444444448</v>
      </c>
      <c r="D363">
        <v>8</v>
      </c>
      <c r="E363">
        <v>1.54</v>
      </c>
      <c r="F363">
        <v>0.36</v>
      </c>
      <c r="G363">
        <v>4.1900000000000004</v>
      </c>
      <c r="H363">
        <f t="shared" si="5"/>
        <v>315.02000000000072</v>
      </c>
    </row>
    <row r="364" spans="1:8" x14ac:dyDescent="0.25">
      <c r="A364" s="1">
        <v>44924</v>
      </c>
      <c r="B364" s="2">
        <v>0.32153935185185184</v>
      </c>
      <c r="C364" s="2">
        <v>0.64787037037037032</v>
      </c>
      <c r="D364">
        <v>8</v>
      </c>
      <c r="E364">
        <v>1.21</v>
      </c>
      <c r="F364">
        <v>0.24</v>
      </c>
      <c r="G364">
        <v>5.39</v>
      </c>
      <c r="H364">
        <f t="shared" si="5"/>
        <v>309.82200000000074</v>
      </c>
    </row>
    <row r="365" spans="1:8" x14ac:dyDescent="0.25">
      <c r="A365" s="1">
        <v>44925</v>
      </c>
      <c r="B365" s="2">
        <v>0.32156249999999997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  <c r="H365">
        <f t="shared" si="5"/>
        <v>305.93800000000073</v>
      </c>
    </row>
    <row r="366" spans="1:8" x14ac:dyDescent="0.25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  <c r="H366">
        <f t="shared" si="5"/>
        <v>300.93200000000076</v>
      </c>
    </row>
  </sheetData>
  <pageMargins left="0.7" right="0.7" top="0.75" bottom="0.75" header="0.3" footer="0.3"/>
  <pageSetup paperSize="0"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31F269-4545-4098-ADA9-563CA30BAD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fotowoltaika</vt:lpstr>
      <vt:lpstr>6_1</vt:lpstr>
      <vt:lpstr>6_2</vt:lpstr>
      <vt:lpstr>6_3-pomoc</vt:lpstr>
      <vt:lpstr>6_3</vt:lpstr>
      <vt:lpstr>6_4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2026-07-23T16:50:26Z</dcterms:created>
  <dcterms:modified xsi:type="dcterms:W3CDTF">2026-07-23T17:45:28Z</dcterms:modified>
</cp:coreProperties>
</file>