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an\Desktop\Dane_2305\"/>
    </mc:Choice>
  </mc:AlternateContent>
  <xr:revisionPtr revIDLastSave="0" documentId="13_ncr:1_{400E0728-7718-4EA5-AD92-4FAE3B638C6A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owoce" sheetId="2" r:id="rId1"/>
    <sheet name="6_1" sheetId="1" r:id="rId2"/>
    <sheet name="6_2" sheetId="3" r:id="rId3"/>
    <sheet name="6_3" sheetId="4" r:id="rId4"/>
    <sheet name="6_4" sheetId="5" r:id="rId5"/>
  </sheets>
  <definedNames>
    <definedName name="ExternalData_1" localSheetId="1" hidden="1">'6_1'!$A$1:$D$154</definedName>
    <definedName name="ExternalData_1" localSheetId="2" hidden="1">'6_2'!$A$1:$D$154</definedName>
    <definedName name="ExternalData_1" localSheetId="3" hidden="1">'6_3'!$A$1:$D$154</definedName>
    <definedName name="ExternalData_1" localSheetId="4" hidden="1">'6_4'!$A$1:$D$154</definedName>
    <definedName name="ExternalData_1" localSheetId="0" hidden="1">owoce!$A$1:$D$154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5" l="1"/>
  <c r="R12" i="5"/>
  <c r="R1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G2" i="5"/>
  <c r="K2" i="5" s="1"/>
  <c r="G3" i="5" s="1"/>
  <c r="F2" i="5"/>
  <c r="J2" i="5" s="1"/>
  <c r="F3" i="5" s="1"/>
  <c r="E2" i="5"/>
  <c r="I2" i="5" s="1"/>
  <c r="E3" i="5" s="1"/>
  <c r="N6" i="4"/>
  <c r="N5" i="4"/>
  <c r="N4" i="4"/>
  <c r="E4" i="4"/>
  <c r="F4" i="4"/>
  <c r="G4" i="4"/>
  <c r="H4" i="4"/>
  <c r="I4" i="4"/>
  <c r="E5" i="4" s="1"/>
  <c r="J4" i="4"/>
  <c r="F5" i="4" s="1"/>
  <c r="J5" i="4" s="1"/>
  <c r="F6" i="4" s="1"/>
  <c r="K4" i="4"/>
  <c r="G5" i="4" s="1"/>
  <c r="K5" i="4" s="1"/>
  <c r="G6" i="4" s="1"/>
  <c r="H3" i="4"/>
  <c r="I3" i="4"/>
  <c r="J3" i="4"/>
  <c r="K3" i="4"/>
  <c r="G3" i="4"/>
  <c r="F3" i="4"/>
  <c r="E3" i="4"/>
  <c r="K2" i="4"/>
  <c r="J2" i="4"/>
  <c r="I2" i="4"/>
  <c r="H2" i="4"/>
  <c r="G2" i="4"/>
  <c r="F2" i="4"/>
  <c r="E2" i="4"/>
  <c r="H5" i="3"/>
  <c r="E75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K3" i="5" l="1"/>
  <c r="G4" i="5" s="1"/>
  <c r="I3" i="5"/>
  <c r="E4" i="5" s="1"/>
  <c r="H3" i="5"/>
  <c r="J3" i="5"/>
  <c r="F4" i="5" s="1"/>
  <c r="J4" i="5" s="1"/>
  <c r="F5" i="5" s="1"/>
  <c r="H2" i="5"/>
  <c r="H5" i="4"/>
  <c r="I5" i="4"/>
  <c r="E6" i="4" s="1"/>
  <c r="J6" i="4" s="1"/>
  <c r="F7" i="4" s="1"/>
  <c r="I4" i="5" l="1"/>
  <c r="E5" i="5" s="1"/>
  <c r="H4" i="5"/>
  <c r="K4" i="5"/>
  <c r="G5" i="5" s="1"/>
  <c r="H6" i="4"/>
  <c r="I6" i="4"/>
  <c r="E7" i="4" s="1"/>
  <c r="K6" i="4"/>
  <c r="G7" i="4" s="1"/>
  <c r="K5" i="5" l="1"/>
  <c r="G6" i="5" s="1"/>
  <c r="I5" i="5"/>
  <c r="E6" i="5" s="1"/>
  <c r="H5" i="5"/>
  <c r="J5" i="5"/>
  <c r="F6" i="5" s="1"/>
  <c r="J6" i="5" s="1"/>
  <c r="F7" i="5" s="1"/>
  <c r="H7" i="4"/>
  <c r="I7" i="4"/>
  <c r="E8" i="4" s="1"/>
  <c r="K7" i="4"/>
  <c r="G8" i="4" s="1"/>
  <c r="J7" i="4"/>
  <c r="F8" i="4" s="1"/>
  <c r="I6" i="5" l="1"/>
  <c r="E7" i="5" s="1"/>
  <c r="H6" i="5"/>
  <c r="K6" i="5"/>
  <c r="G7" i="5" s="1"/>
  <c r="J8" i="4"/>
  <c r="F9" i="4" s="1"/>
  <c r="K8" i="4"/>
  <c r="G9" i="4" s="1"/>
  <c r="H8" i="4"/>
  <c r="I8" i="4"/>
  <c r="E9" i="4" s="1"/>
  <c r="K7" i="5" l="1"/>
  <c r="G8" i="5" s="1"/>
  <c r="H7" i="5"/>
  <c r="I7" i="5"/>
  <c r="E8" i="5" s="1"/>
  <c r="J7" i="5"/>
  <c r="F8" i="5" s="1"/>
  <c r="J8" i="5" s="1"/>
  <c r="F9" i="5" s="1"/>
  <c r="H9" i="4"/>
  <c r="I9" i="4"/>
  <c r="E10" i="4" s="1"/>
  <c r="K9" i="4"/>
  <c r="G10" i="4" s="1"/>
  <c r="J9" i="4"/>
  <c r="F10" i="4" s="1"/>
  <c r="J10" i="4" s="1"/>
  <c r="F11" i="4" s="1"/>
  <c r="I8" i="5" l="1"/>
  <c r="E9" i="5" s="1"/>
  <c r="H8" i="5"/>
  <c r="K8" i="5"/>
  <c r="G9" i="5" s="1"/>
  <c r="K10" i="4"/>
  <c r="G11" i="4" s="1"/>
  <c r="H10" i="4"/>
  <c r="I10" i="4"/>
  <c r="E11" i="4" s="1"/>
  <c r="K9" i="5" l="1"/>
  <c r="G10" i="5" s="1"/>
  <c r="H9" i="5"/>
  <c r="I9" i="5"/>
  <c r="E10" i="5" s="1"/>
  <c r="J9" i="5"/>
  <c r="F10" i="5" s="1"/>
  <c r="J10" i="5" s="1"/>
  <c r="F11" i="5" s="1"/>
  <c r="K11" i="4"/>
  <c r="G12" i="4" s="1"/>
  <c r="H11" i="4"/>
  <c r="I11" i="4"/>
  <c r="E12" i="4" s="1"/>
  <c r="J11" i="4"/>
  <c r="F12" i="4" s="1"/>
  <c r="J12" i="4" s="1"/>
  <c r="F13" i="4" s="1"/>
  <c r="H10" i="5" l="1"/>
  <c r="I10" i="5"/>
  <c r="E11" i="5" s="1"/>
  <c r="K10" i="5"/>
  <c r="G11" i="5" s="1"/>
  <c r="K11" i="5" s="1"/>
  <c r="G12" i="5" s="1"/>
  <c r="I12" i="4"/>
  <c r="E13" i="4" s="1"/>
  <c r="H12" i="4"/>
  <c r="K12" i="4"/>
  <c r="G13" i="4" s="1"/>
  <c r="K13" i="4" s="1"/>
  <c r="G14" i="4" s="1"/>
  <c r="H11" i="5" l="1"/>
  <c r="I11" i="5"/>
  <c r="E12" i="5" s="1"/>
  <c r="J11" i="5"/>
  <c r="F12" i="5" s="1"/>
  <c r="H13" i="4"/>
  <c r="I13" i="4"/>
  <c r="E14" i="4" s="1"/>
  <c r="J13" i="4"/>
  <c r="F14" i="4" s="1"/>
  <c r="J14" i="4" s="1"/>
  <c r="F15" i="4" s="1"/>
  <c r="J12" i="5" l="1"/>
  <c r="F13" i="5" s="1"/>
  <c r="I12" i="5"/>
  <c r="E13" i="5" s="1"/>
  <c r="H12" i="5"/>
  <c r="K12" i="5"/>
  <c r="G13" i="5" s="1"/>
  <c r="K13" i="5" s="1"/>
  <c r="G14" i="5" s="1"/>
  <c r="H14" i="4"/>
  <c r="I14" i="4"/>
  <c r="E15" i="4" s="1"/>
  <c r="K14" i="4"/>
  <c r="G15" i="4" s="1"/>
  <c r="K15" i="4" s="1"/>
  <c r="G16" i="4" s="1"/>
  <c r="I13" i="5" l="1"/>
  <c r="E14" i="5" s="1"/>
  <c r="H13" i="5"/>
  <c r="J13" i="5"/>
  <c r="F14" i="5" s="1"/>
  <c r="H15" i="4"/>
  <c r="I15" i="4"/>
  <c r="E16" i="4" s="1"/>
  <c r="J15" i="4"/>
  <c r="F16" i="4" s="1"/>
  <c r="J16" i="4" s="1"/>
  <c r="F17" i="4" s="1"/>
  <c r="H14" i="5" l="1"/>
  <c r="I14" i="5"/>
  <c r="E15" i="5" s="1"/>
  <c r="K14" i="5"/>
  <c r="G15" i="5" s="1"/>
  <c r="J14" i="5"/>
  <c r="F15" i="5" s="1"/>
  <c r="K16" i="4"/>
  <c r="G17" i="4" s="1"/>
  <c r="H16" i="4"/>
  <c r="I16" i="4"/>
  <c r="E17" i="4" s="1"/>
  <c r="J15" i="5" l="1"/>
  <c r="F16" i="5" s="1"/>
  <c r="K15" i="5"/>
  <c r="G16" i="5" s="1"/>
  <c r="I15" i="5"/>
  <c r="E16" i="5" s="1"/>
  <c r="H15" i="5"/>
  <c r="H17" i="4"/>
  <c r="I17" i="4"/>
  <c r="E18" i="4" s="1"/>
  <c r="K17" i="4"/>
  <c r="G18" i="4" s="1"/>
  <c r="J17" i="4"/>
  <c r="F18" i="4" s="1"/>
  <c r="J18" i="4" s="1"/>
  <c r="F19" i="4" s="1"/>
  <c r="I16" i="5" l="1"/>
  <c r="E17" i="5" s="1"/>
  <c r="H16" i="5"/>
  <c r="K16" i="5"/>
  <c r="G17" i="5" s="1"/>
  <c r="J16" i="5"/>
  <c r="F17" i="5" s="1"/>
  <c r="K18" i="4"/>
  <c r="G19" i="4" s="1"/>
  <c r="H18" i="4"/>
  <c r="I18" i="4"/>
  <c r="E19" i="4" s="1"/>
  <c r="J17" i="5" l="1"/>
  <c r="F18" i="5" s="1"/>
  <c r="K17" i="5"/>
  <c r="G18" i="5" s="1"/>
  <c r="I17" i="5"/>
  <c r="E18" i="5" s="1"/>
  <c r="H17" i="5"/>
  <c r="H19" i="4"/>
  <c r="I19" i="4"/>
  <c r="E20" i="4" s="1"/>
  <c r="J19" i="4"/>
  <c r="F20" i="4" s="1"/>
  <c r="K19" i="4"/>
  <c r="G20" i="4" s="1"/>
  <c r="K20" i="4" s="1"/>
  <c r="G21" i="4" s="1"/>
  <c r="I18" i="5" l="1"/>
  <c r="E19" i="5" s="1"/>
  <c r="H18" i="5"/>
  <c r="K18" i="5"/>
  <c r="G19" i="5" s="1"/>
  <c r="J18" i="5"/>
  <c r="F19" i="5" s="1"/>
  <c r="J19" i="5" s="1"/>
  <c r="F20" i="5" s="1"/>
  <c r="J20" i="4"/>
  <c r="F21" i="4" s="1"/>
  <c r="H20" i="4"/>
  <c r="I20" i="4"/>
  <c r="E21" i="4" s="1"/>
  <c r="K19" i="5" l="1"/>
  <c r="G20" i="5" s="1"/>
  <c r="H19" i="5"/>
  <c r="I19" i="5"/>
  <c r="E20" i="5" s="1"/>
  <c r="H21" i="4"/>
  <c r="I21" i="4"/>
  <c r="E22" i="4" s="1"/>
  <c r="J21" i="4"/>
  <c r="F22" i="4" s="1"/>
  <c r="J22" i="4" s="1"/>
  <c r="F23" i="4" s="1"/>
  <c r="K21" i="4"/>
  <c r="G22" i="4" s="1"/>
  <c r="I20" i="5" l="1"/>
  <c r="E21" i="5" s="1"/>
  <c r="H20" i="5"/>
  <c r="K20" i="5"/>
  <c r="G21" i="5" s="1"/>
  <c r="J20" i="5"/>
  <c r="F21" i="5" s="1"/>
  <c r="K22" i="4"/>
  <c r="G23" i="4" s="1"/>
  <c r="H22" i="4"/>
  <c r="I22" i="4"/>
  <c r="E23" i="4" s="1"/>
  <c r="J23" i="4"/>
  <c r="F24" i="4" s="1"/>
  <c r="J21" i="5" l="1"/>
  <c r="F22" i="5" s="1"/>
  <c r="K21" i="5"/>
  <c r="G22" i="5" s="1"/>
  <c r="I21" i="5"/>
  <c r="E22" i="5" s="1"/>
  <c r="H21" i="5"/>
  <c r="H23" i="4"/>
  <c r="I23" i="4"/>
  <c r="E24" i="4" s="1"/>
  <c r="K23" i="4"/>
  <c r="G24" i="4" s="1"/>
  <c r="K24" i="4" s="1"/>
  <c r="G25" i="4" s="1"/>
  <c r="I22" i="5" l="1"/>
  <c r="E23" i="5" s="1"/>
  <c r="H22" i="5"/>
  <c r="K22" i="5"/>
  <c r="G23" i="5" s="1"/>
  <c r="J22" i="5"/>
  <c r="F23" i="5" s="1"/>
  <c r="I24" i="4"/>
  <c r="E25" i="4" s="1"/>
  <c r="H24" i="4"/>
  <c r="J24" i="4"/>
  <c r="F25" i="4" s="1"/>
  <c r="J25" i="4" s="1"/>
  <c r="F26" i="4" s="1"/>
  <c r="J23" i="5" l="1"/>
  <c r="F24" i="5" s="1"/>
  <c r="K23" i="5"/>
  <c r="G24" i="5" s="1"/>
  <c r="I23" i="5"/>
  <c r="E24" i="5" s="1"/>
  <c r="H23" i="5"/>
  <c r="H25" i="4"/>
  <c r="I25" i="4"/>
  <c r="E26" i="4" s="1"/>
  <c r="K25" i="4"/>
  <c r="G26" i="4" s="1"/>
  <c r="K26" i="4" s="1"/>
  <c r="G27" i="4" s="1"/>
  <c r="I24" i="5" l="1"/>
  <c r="E25" i="5" s="1"/>
  <c r="H24" i="5"/>
  <c r="K24" i="5"/>
  <c r="G25" i="5" s="1"/>
  <c r="J24" i="5"/>
  <c r="F25" i="5" s="1"/>
  <c r="H26" i="4"/>
  <c r="I26" i="4"/>
  <c r="E27" i="4" s="1"/>
  <c r="J26" i="4"/>
  <c r="F27" i="4" s="1"/>
  <c r="J27" i="4" s="1"/>
  <c r="F28" i="4" s="1"/>
  <c r="J25" i="5" l="1"/>
  <c r="F26" i="5" s="1"/>
  <c r="K25" i="5"/>
  <c r="G26" i="5" s="1"/>
  <c r="H25" i="5"/>
  <c r="I25" i="5"/>
  <c r="E26" i="5" s="1"/>
  <c r="H27" i="4"/>
  <c r="I27" i="4"/>
  <c r="E28" i="4" s="1"/>
  <c r="K27" i="4"/>
  <c r="G28" i="4" s="1"/>
  <c r="K28" i="4" s="1"/>
  <c r="G29" i="4" s="1"/>
  <c r="I26" i="5" l="1"/>
  <c r="E27" i="5" s="1"/>
  <c r="H26" i="5"/>
  <c r="K26" i="5"/>
  <c r="G27" i="5" s="1"/>
  <c r="J26" i="5"/>
  <c r="F27" i="5" s="1"/>
  <c r="H28" i="4"/>
  <c r="I28" i="4"/>
  <c r="E29" i="4" s="1"/>
  <c r="J28" i="4"/>
  <c r="F29" i="4" s="1"/>
  <c r="J29" i="4" s="1"/>
  <c r="F30" i="4" s="1"/>
  <c r="J27" i="5" l="1"/>
  <c r="F28" i="5" s="1"/>
  <c r="K27" i="5"/>
  <c r="G28" i="5" s="1"/>
  <c r="I27" i="5"/>
  <c r="E28" i="5" s="1"/>
  <c r="H27" i="5"/>
  <c r="H29" i="4"/>
  <c r="I29" i="4"/>
  <c r="E30" i="4" s="1"/>
  <c r="K29" i="4"/>
  <c r="G30" i="4" s="1"/>
  <c r="K30" i="4" s="1"/>
  <c r="G31" i="4" s="1"/>
  <c r="I28" i="5" l="1"/>
  <c r="E29" i="5" s="1"/>
  <c r="H28" i="5"/>
  <c r="K28" i="5"/>
  <c r="G29" i="5" s="1"/>
  <c r="J28" i="5"/>
  <c r="F29" i="5" s="1"/>
  <c r="H30" i="4"/>
  <c r="I30" i="4"/>
  <c r="E31" i="4" s="1"/>
  <c r="J30" i="4"/>
  <c r="F31" i="4" s="1"/>
  <c r="J31" i="4" s="1"/>
  <c r="F32" i="4" s="1"/>
  <c r="J29" i="5" l="1"/>
  <c r="F30" i="5" s="1"/>
  <c r="K29" i="5"/>
  <c r="G30" i="5" s="1"/>
  <c r="I29" i="5"/>
  <c r="E30" i="5" s="1"/>
  <c r="H29" i="5"/>
  <c r="K31" i="4"/>
  <c r="G32" i="4" s="1"/>
  <c r="H31" i="4"/>
  <c r="I31" i="4"/>
  <c r="E32" i="4" s="1"/>
  <c r="I30" i="5" l="1"/>
  <c r="E31" i="5" s="1"/>
  <c r="H30" i="5"/>
  <c r="K30" i="5"/>
  <c r="G31" i="5" s="1"/>
  <c r="J30" i="5"/>
  <c r="F31" i="5" s="1"/>
  <c r="H32" i="4"/>
  <c r="I32" i="4"/>
  <c r="E33" i="4" s="1"/>
  <c r="K32" i="4"/>
  <c r="G33" i="4" s="1"/>
  <c r="J32" i="4"/>
  <c r="F33" i="4" s="1"/>
  <c r="J33" i="4" s="1"/>
  <c r="F34" i="4" s="1"/>
  <c r="J31" i="5" l="1"/>
  <c r="F32" i="5" s="1"/>
  <c r="K31" i="5"/>
  <c r="G32" i="5" s="1"/>
  <c r="H31" i="5"/>
  <c r="I31" i="5"/>
  <c r="E32" i="5" s="1"/>
  <c r="K33" i="4"/>
  <c r="G34" i="4" s="1"/>
  <c r="H33" i="4"/>
  <c r="I33" i="4"/>
  <c r="E34" i="4" s="1"/>
  <c r="H32" i="5" l="1"/>
  <c r="I32" i="5"/>
  <c r="E33" i="5" s="1"/>
  <c r="K32" i="5"/>
  <c r="G33" i="5" s="1"/>
  <c r="J32" i="5"/>
  <c r="F33" i="5" s="1"/>
  <c r="H34" i="4"/>
  <c r="I34" i="4"/>
  <c r="E35" i="4" s="1"/>
  <c r="K34" i="4"/>
  <c r="G35" i="4" s="1"/>
  <c r="J34" i="4"/>
  <c r="F35" i="4" s="1"/>
  <c r="J35" i="4" s="1"/>
  <c r="F36" i="4" s="1"/>
  <c r="J33" i="5" l="1"/>
  <c r="F34" i="5" s="1"/>
  <c r="K33" i="5"/>
  <c r="G34" i="5" s="1"/>
  <c r="I33" i="5"/>
  <c r="E34" i="5" s="1"/>
  <c r="H33" i="5"/>
  <c r="K35" i="4"/>
  <c r="G36" i="4" s="1"/>
  <c r="H35" i="4"/>
  <c r="I35" i="4"/>
  <c r="E36" i="4" s="1"/>
  <c r="I34" i="5" l="1"/>
  <c r="E35" i="5" s="1"/>
  <c r="H34" i="5"/>
  <c r="J34" i="5"/>
  <c r="F35" i="5" s="1"/>
  <c r="K34" i="5"/>
  <c r="G35" i="5" s="1"/>
  <c r="I36" i="4"/>
  <c r="E37" i="4" s="1"/>
  <c r="H36" i="4"/>
  <c r="J36" i="4"/>
  <c r="F37" i="4" s="1"/>
  <c r="K36" i="4"/>
  <c r="G37" i="4" s="1"/>
  <c r="K37" i="4" s="1"/>
  <c r="G38" i="4" s="1"/>
  <c r="J35" i="5" l="1"/>
  <c r="F36" i="5" s="1"/>
  <c r="K35" i="5"/>
  <c r="G36" i="5" s="1"/>
  <c r="H35" i="5"/>
  <c r="I35" i="5"/>
  <c r="E36" i="5" s="1"/>
  <c r="J37" i="4"/>
  <c r="F38" i="4" s="1"/>
  <c r="H37" i="4"/>
  <c r="I37" i="4"/>
  <c r="E38" i="4" s="1"/>
  <c r="I36" i="5" l="1"/>
  <c r="E37" i="5" s="1"/>
  <c r="H36" i="5"/>
  <c r="K36" i="5"/>
  <c r="G37" i="5" s="1"/>
  <c r="J36" i="5"/>
  <c r="F37" i="5" s="1"/>
  <c r="H38" i="4"/>
  <c r="I38" i="4"/>
  <c r="E39" i="4" s="1"/>
  <c r="J38" i="4"/>
  <c r="F39" i="4" s="1"/>
  <c r="K38" i="4"/>
  <c r="G39" i="4" s="1"/>
  <c r="K39" i="4" s="1"/>
  <c r="G40" i="4" s="1"/>
  <c r="I37" i="5" l="1"/>
  <c r="E38" i="5" s="1"/>
  <c r="H37" i="5"/>
  <c r="J37" i="5"/>
  <c r="F38" i="5" s="1"/>
  <c r="K37" i="5"/>
  <c r="G38" i="5" s="1"/>
  <c r="J39" i="4"/>
  <c r="F40" i="4" s="1"/>
  <c r="H39" i="4"/>
  <c r="I39" i="4"/>
  <c r="E40" i="4" s="1"/>
  <c r="K40" i="4" s="1"/>
  <c r="G41" i="4" s="1"/>
  <c r="K38" i="5" l="1"/>
  <c r="G39" i="5" s="1"/>
  <c r="J38" i="5"/>
  <c r="F39" i="5" s="1"/>
  <c r="I38" i="5"/>
  <c r="E39" i="5" s="1"/>
  <c r="H38" i="5"/>
  <c r="H40" i="4"/>
  <c r="I40" i="4"/>
  <c r="E41" i="4" s="1"/>
  <c r="J40" i="4"/>
  <c r="F41" i="4" s="1"/>
  <c r="J41" i="4" s="1"/>
  <c r="F42" i="4" s="1"/>
  <c r="J39" i="5" l="1"/>
  <c r="F40" i="5" s="1"/>
  <c r="K39" i="5"/>
  <c r="G40" i="5" s="1"/>
  <c r="I39" i="5"/>
  <c r="E40" i="5" s="1"/>
  <c r="H39" i="5"/>
  <c r="H41" i="4"/>
  <c r="I41" i="4"/>
  <c r="E42" i="4" s="1"/>
  <c r="K41" i="4"/>
  <c r="G42" i="4" s="1"/>
  <c r="J40" i="5" l="1"/>
  <c r="F41" i="5" s="1"/>
  <c r="H40" i="5"/>
  <c r="I40" i="5"/>
  <c r="E41" i="5" s="1"/>
  <c r="K40" i="5"/>
  <c r="G41" i="5" s="1"/>
  <c r="K42" i="4"/>
  <c r="G43" i="4" s="1"/>
  <c r="H42" i="4"/>
  <c r="I42" i="4"/>
  <c r="E43" i="4" s="1"/>
  <c r="J42" i="4"/>
  <c r="F43" i="4" s="1"/>
  <c r="J43" i="4" s="1"/>
  <c r="F44" i="4" s="1"/>
  <c r="K41" i="5" l="1"/>
  <c r="G42" i="5" s="1"/>
  <c r="H41" i="5"/>
  <c r="I41" i="5"/>
  <c r="E42" i="5" s="1"/>
  <c r="J41" i="5"/>
  <c r="F42" i="5" s="1"/>
  <c r="H43" i="4"/>
  <c r="I43" i="4"/>
  <c r="E44" i="4" s="1"/>
  <c r="K43" i="4"/>
  <c r="G44" i="4" s="1"/>
  <c r="K44" i="4" s="1"/>
  <c r="G45" i="4" s="1"/>
  <c r="I42" i="5" l="1"/>
  <c r="E43" i="5" s="1"/>
  <c r="H42" i="5"/>
  <c r="J42" i="5"/>
  <c r="F43" i="5" s="1"/>
  <c r="K42" i="5"/>
  <c r="G43" i="5" s="1"/>
  <c r="K43" i="5" s="1"/>
  <c r="G44" i="5" s="1"/>
  <c r="H44" i="4"/>
  <c r="I44" i="4"/>
  <c r="E45" i="4" s="1"/>
  <c r="J44" i="4"/>
  <c r="F45" i="4" s="1"/>
  <c r="J45" i="4" s="1"/>
  <c r="F46" i="4" s="1"/>
  <c r="J43" i="5" l="1"/>
  <c r="F44" i="5" s="1"/>
  <c r="H43" i="5"/>
  <c r="I43" i="5"/>
  <c r="E44" i="5" s="1"/>
  <c r="H45" i="4"/>
  <c r="I45" i="4"/>
  <c r="E46" i="4" s="1"/>
  <c r="K45" i="4"/>
  <c r="G46" i="4" s="1"/>
  <c r="K46" i="4" s="1"/>
  <c r="G47" i="4" s="1"/>
  <c r="I44" i="5" l="1"/>
  <c r="E45" i="5" s="1"/>
  <c r="H44" i="5"/>
  <c r="J44" i="5"/>
  <c r="F45" i="5" s="1"/>
  <c r="K44" i="5"/>
  <c r="G45" i="5" s="1"/>
  <c r="J46" i="4"/>
  <c r="F47" i="4" s="1"/>
  <c r="H46" i="4"/>
  <c r="I46" i="4"/>
  <c r="E47" i="4" s="1"/>
  <c r="J45" i="5" l="1"/>
  <c r="F46" i="5" s="1"/>
  <c r="K45" i="5"/>
  <c r="G46" i="5" s="1"/>
  <c r="I45" i="5"/>
  <c r="E46" i="5" s="1"/>
  <c r="H45" i="5"/>
  <c r="H47" i="4"/>
  <c r="I47" i="4"/>
  <c r="E48" i="4" s="1"/>
  <c r="J47" i="4"/>
  <c r="F48" i="4" s="1"/>
  <c r="K47" i="4"/>
  <c r="G48" i="4" s="1"/>
  <c r="K48" i="4" s="1"/>
  <c r="G49" i="4" s="1"/>
  <c r="H46" i="5" l="1"/>
  <c r="I46" i="5"/>
  <c r="E47" i="5" s="1"/>
  <c r="K46" i="5"/>
  <c r="G47" i="5" s="1"/>
  <c r="J46" i="5"/>
  <c r="F47" i="5" s="1"/>
  <c r="J48" i="4"/>
  <c r="F49" i="4" s="1"/>
  <c r="I48" i="4"/>
  <c r="E49" i="4" s="1"/>
  <c r="K49" i="4" s="1"/>
  <c r="G50" i="4" s="1"/>
  <c r="H48" i="4"/>
  <c r="I47" i="5" l="1"/>
  <c r="E48" i="5" s="1"/>
  <c r="H47" i="5"/>
  <c r="J47" i="5"/>
  <c r="F48" i="5" s="1"/>
  <c r="K47" i="5"/>
  <c r="G48" i="5" s="1"/>
  <c r="H49" i="4"/>
  <c r="I49" i="4"/>
  <c r="E50" i="4" s="1"/>
  <c r="J49" i="4"/>
  <c r="F50" i="4" s="1"/>
  <c r="J50" i="4" s="1"/>
  <c r="F51" i="4" s="1"/>
  <c r="K48" i="5" l="1"/>
  <c r="G49" i="5" s="1"/>
  <c r="J48" i="5"/>
  <c r="F49" i="5" s="1"/>
  <c r="I48" i="5"/>
  <c r="E49" i="5" s="1"/>
  <c r="H48" i="5"/>
  <c r="H50" i="4"/>
  <c r="I50" i="4"/>
  <c r="E51" i="4" s="1"/>
  <c r="K50" i="4"/>
  <c r="G51" i="4" s="1"/>
  <c r="J49" i="5" l="1"/>
  <c r="F50" i="5" s="1"/>
  <c r="K49" i="5"/>
  <c r="G50" i="5" s="1"/>
  <c r="I49" i="5"/>
  <c r="E50" i="5" s="1"/>
  <c r="J50" i="5" s="1"/>
  <c r="F51" i="5" s="1"/>
  <c r="H49" i="5"/>
  <c r="H51" i="4"/>
  <c r="I51" i="4"/>
  <c r="E52" i="4" s="1"/>
  <c r="K51" i="4"/>
  <c r="G52" i="4" s="1"/>
  <c r="J51" i="4"/>
  <c r="F52" i="4" s="1"/>
  <c r="J52" i="4" s="1"/>
  <c r="F53" i="4" s="1"/>
  <c r="K50" i="5" l="1"/>
  <c r="G51" i="5" s="1"/>
  <c r="I50" i="5"/>
  <c r="E51" i="5" s="1"/>
  <c r="H50" i="5"/>
  <c r="H52" i="4"/>
  <c r="I52" i="4"/>
  <c r="E53" i="4" s="1"/>
  <c r="K52" i="4"/>
  <c r="G53" i="4" s="1"/>
  <c r="K53" i="4" s="1"/>
  <c r="G54" i="4" s="1"/>
  <c r="J51" i="5" l="1"/>
  <c r="F52" i="5" s="1"/>
  <c r="I51" i="5"/>
  <c r="E52" i="5" s="1"/>
  <c r="H51" i="5"/>
  <c r="K51" i="5"/>
  <c r="G52" i="5" s="1"/>
  <c r="J53" i="4"/>
  <c r="F54" i="4" s="1"/>
  <c r="H53" i="4"/>
  <c r="I53" i="4"/>
  <c r="E54" i="4" s="1"/>
  <c r="K52" i="5" l="1"/>
  <c r="G53" i="5" s="1"/>
  <c r="H52" i="5"/>
  <c r="I52" i="5"/>
  <c r="E53" i="5" s="1"/>
  <c r="J52" i="5"/>
  <c r="F53" i="5" s="1"/>
  <c r="H54" i="4"/>
  <c r="I54" i="4"/>
  <c r="E55" i="4" s="1"/>
  <c r="J54" i="4"/>
  <c r="F55" i="4" s="1"/>
  <c r="J55" i="4" s="1"/>
  <c r="F56" i="4" s="1"/>
  <c r="K54" i="4"/>
  <c r="G55" i="4" s="1"/>
  <c r="J53" i="5" l="1"/>
  <c r="F54" i="5" s="1"/>
  <c r="H53" i="5"/>
  <c r="I53" i="5"/>
  <c r="E54" i="5" s="1"/>
  <c r="K53" i="5"/>
  <c r="G54" i="5" s="1"/>
  <c r="K54" i="5" s="1"/>
  <c r="G55" i="5" s="1"/>
  <c r="K55" i="4"/>
  <c r="G56" i="4" s="1"/>
  <c r="H55" i="4"/>
  <c r="I55" i="4"/>
  <c r="E56" i="4" s="1"/>
  <c r="I54" i="5" l="1"/>
  <c r="E55" i="5" s="1"/>
  <c r="H54" i="5"/>
  <c r="J54" i="5"/>
  <c r="F55" i="5" s="1"/>
  <c r="H56" i="4"/>
  <c r="I56" i="4"/>
  <c r="E57" i="4" s="1"/>
  <c r="K56" i="4"/>
  <c r="G57" i="4" s="1"/>
  <c r="K57" i="4" s="1"/>
  <c r="G58" i="4" s="1"/>
  <c r="J56" i="4"/>
  <c r="F57" i="4" s="1"/>
  <c r="J57" i="4" s="1"/>
  <c r="F58" i="4" s="1"/>
  <c r="J55" i="5" l="1"/>
  <c r="F56" i="5" s="1"/>
  <c r="K55" i="5"/>
  <c r="G56" i="5" s="1"/>
  <c r="H55" i="5"/>
  <c r="I55" i="5"/>
  <c r="E56" i="5" s="1"/>
  <c r="H57" i="4"/>
  <c r="I57" i="4"/>
  <c r="E58" i="4" s="1"/>
  <c r="I56" i="5" l="1"/>
  <c r="E57" i="5" s="1"/>
  <c r="H56" i="5"/>
  <c r="K56" i="5"/>
  <c r="G57" i="5" s="1"/>
  <c r="J56" i="5"/>
  <c r="F57" i="5" s="1"/>
  <c r="H58" i="4"/>
  <c r="I58" i="4"/>
  <c r="E59" i="4" s="1"/>
  <c r="J58" i="4"/>
  <c r="F59" i="4" s="1"/>
  <c r="K58" i="4"/>
  <c r="G59" i="4" s="1"/>
  <c r="K59" i="4" s="1"/>
  <c r="G60" i="4" s="1"/>
  <c r="J57" i="5" l="1"/>
  <c r="F58" i="5" s="1"/>
  <c r="K57" i="5"/>
  <c r="G58" i="5" s="1"/>
  <c r="I57" i="5"/>
  <c r="E58" i="5" s="1"/>
  <c r="H57" i="5"/>
  <c r="J59" i="4"/>
  <c r="F60" i="4" s="1"/>
  <c r="H59" i="4"/>
  <c r="I59" i="4"/>
  <c r="E60" i="4" s="1"/>
  <c r="I58" i="5" l="1"/>
  <c r="E59" i="5" s="1"/>
  <c r="H58" i="5"/>
  <c r="J58" i="5"/>
  <c r="F59" i="5" s="1"/>
  <c r="K58" i="5"/>
  <c r="G59" i="5" s="1"/>
  <c r="K59" i="5" s="1"/>
  <c r="G60" i="5" s="1"/>
  <c r="I60" i="4"/>
  <c r="E61" i="4" s="1"/>
  <c r="H60" i="4"/>
  <c r="J60" i="4"/>
  <c r="F61" i="4" s="1"/>
  <c r="K60" i="4"/>
  <c r="G61" i="4" s="1"/>
  <c r="J59" i="5" l="1"/>
  <c r="F60" i="5" s="1"/>
  <c r="I59" i="5"/>
  <c r="E60" i="5" s="1"/>
  <c r="H59" i="5"/>
  <c r="K61" i="4"/>
  <c r="G62" i="4" s="1"/>
  <c r="J61" i="4"/>
  <c r="F62" i="4" s="1"/>
  <c r="H61" i="4"/>
  <c r="I61" i="4"/>
  <c r="E62" i="4" s="1"/>
  <c r="I60" i="5" l="1"/>
  <c r="E61" i="5" s="1"/>
  <c r="H60" i="5"/>
  <c r="J60" i="5"/>
  <c r="F61" i="5" s="1"/>
  <c r="K60" i="5"/>
  <c r="G61" i="5" s="1"/>
  <c r="H62" i="4"/>
  <c r="I62" i="4"/>
  <c r="E63" i="4" s="1"/>
  <c r="J62" i="4"/>
  <c r="F63" i="4" s="1"/>
  <c r="J63" i="4" s="1"/>
  <c r="F64" i="4" s="1"/>
  <c r="K62" i="4"/>
  <c r="G63" i="4" s="1"/>
  <c r="J61" i="5" l="1"/>
  <c r="F62" i="5" s="1"/>
  <c r="K61" i="5"/>
  <c r="G62" i="5" s="1"/>
  <c r="H61" i="5"/>
  <c r="I61" i="5"/>
  <c r="E62" i="5" s="1"/>
  <c r="K63" i="4"/>
  <c r="G64" i="4" s="1"/>
  <c r="H63" i="4"/>
  <c r="I63" i="4"/>
  <c r="E64" i="4" s="1"/>
  <c r="I62" i="5" l="1"/>
  <c r="E63" i="5" s="1"/>
  <c r="H62" i="5"/>
  <c r="K62" i="5"/>
  <c r="G63" i="5" s="1"/>
  <c r="J62" i="5"/>
  <c r="F63" i="5" s="1"/>
  <c r="H64" i="4"/>
  <c r="I64" i="4"/>
  <c r="E65" i="4" s="1"/>
  <c r="K64" i="4"/>
  <c r="G65" i="4" s="1"/>
  <c r="J64" i="4"/>
  <c r="F65" i="4" s="1"/>
  <c r="J65" i="4" s="1"/>
  <c r="F66" i="4" s="1"/>
  <c r="J63" i="5" l="1"/>
  <c r="F64" i="5" s="1"/>
  <c r="K63" i="5"/>
  <c r="G64" i="5" s="1"/>
  <c r="I63" i="5"/>
  <c r="E64" i="5" s="1"/>
  <c r="J64" i="5" s="1"/>
  <c r="F65" i="5" s="1"/>
  <c r="H63" i="5"/>
  <c r="K65" i="4"/>
  <c r="G66" i="4" s="1"/>
  <c r="H65" i="4"/>
  <c r="I65" i="4"/>
  <c r="E66" i="4" s="1"/>
  <c r="I64" i="5" l="1"/>
  <c r="E65" i="5" s="1"/>
  <c r="J65" i="5" s="1"/>
  <c r="F66" i="5" s="1"/>
  <c r="H64" i="5"/>
  <c r="K64" i="5"/>
  <c r="G65" i="5" s="1"/>
  <c r="H66" i="4"/>
  <c r="I66" i="4"/>
  <c r="E67" i="4" s="1"/>
  <c r="K66" i="4"/>
  <c r="G67" i="4" s="1"/>
  <c r="J66" i="4"/>
  <c r="F67" i="4" s="1"/>
  <c r="J67" i="4" s="1"/>
  <c r="F68" i="4" s="1"/>
  <c r="K65" i="5" l="1"/>
  <c r="G66" i="5" s="1"/>
  <c r="I65" i="5"/>
  <c r="E66" i="5" s="1"/>
  <c r="H65" i="5"/>
  <c r="K67" i="4"/>
  <c r="G68" i="4" s="1"/>
  <c r="H67" i="4"/>
  <c r="I67" i="4"/>
  <c r="E68" i="4" s="1"/>
  <c r="I66" i="5" l="1"/>
  <c r="E67" i="5" s="1"/>
  <c r="H66" i="5"/>
  <c r="K66" i="5"/>
  <c r="G67" i="5" s="1"/>
  <c r="J66" i="5"/>
  <c r="F67" i="5" s="1"/>
  <c r="H68" i="4"/>
  <c r="I68" i="4"/>
  <c r="E69" i="4" s="1"/>
  <c r="K68" i="4"/>
  <c r="G69" i="4" s="1"/>
  <c r="J68" i="4"/>
  <c r="F69" i="4" s="1"/>
  <c r="J69" i="4" s="1"/>
  <c r="F70" i="4" s="1"/>
  <c r="J67" i="5" l="1"/>
  <c r="F68" i="5" s="1"/>
  <c r="K67" i="5"/>
  <c r="G68" i="5" s="1"/>
  <c r="H67" i="5"/>
  <c r="I67" i="5"/>
  <c r="E68" i="5" s="1"/>
  <c r="H69" i="4"/>
  <c r="I69" i="4"/>
  <c r="E70" i="4" s="1"/>
  <c r="K69" i="4"/>
  <c r="G70" i="4" s="1"/>
  <c r="K70" i="4" s="1"/>
  <c r="G71" i="4" s="1"/>
  <c r="K68" i="5" l="1"/>
  <c r="G69" i="5" s="1"/>
  <c r="H68" i="5"/>
  <c r="I68" i="5"/>
  <c r="E69" i="5" s="1"/>
  <c r="J68" i="5"/>
  <c r="F69" i="5" s="1"/>
  <c r="H70" i="4"/>
  <c r="I70" i="4"/>
  <c r="E71" i="4" s="1"/>
  <c r="K71" i="4" s="1"/>
  <c r="G72" i="4" s="1"/>
  <c r="J70" i="4"/>
  <c r="F71" i="4" s="1"/>
  <c r="J71" i="4" s="1"/>
  <c r="F72" i="4" s="1"/>
  <c r="J69" i="5" l="1"/>
  <c r="F70" i="5" s="1"/>
  <c r="K69" i="5"/>
  <c r="G70" i="5" s="1"/>
  <c r="H69" i="5"/>
  <c r="I69" i="5"/>
  <c r="E70" i="5" s="1"/>
  <c r="H71" i="4"/>
  <c r="I71" i="4"/>
  <c r="E72" i="4" s="1"/>
  <c r="H70" i="5" l="1"/>
  <c r="I70" i="5"/>
  <c r="E71" i="5" s="1"/>
  <c r="J70" i="5"/>
  <c r="F71" i="5" s="1"/>
  <c r="K70" i="5"/>
  <c r="G71" i="5" s="1"/>
  <c r="I72" i="4"/>
  <c r="E73" i="4" s="1"/>
  <c r="H72" i="4"/>
  <c r="J72" i="4"/>
  <c r="F73" i="4" s="1"/>
  <c r="J73" i="4" s="1"/>
  <c r="F74" i="4" s="1"/>
  <c r="K72" i="4"/>
  <c r="G73" i="4" s="1"/>
  <c r="J71" i="5" l="1"/>
  <c r="F72" i="5" s="1"/>
  <c r="K71" i="5"/>
  <c r="G72" i="5" s="1"/>
  <c r="H71" i="5"/>
  <c r="I71" i="5"/>
  <c r="E72" i="5" s="1"/>
  <c r="J72" i="5"/>
  <c r="F73" i="5" s="1"/>
  <c r="K73" i="4"/>
  <c r="G74" i="4" s="1"/>
  <c r="H73" i="4"/>
  <c r="I73" i="4"/>
  <c r="E74" i="4" s="1"/>
  <c r="J74" i="4"/>
  <c r="F75" i="4" s="1"/>
  <c r="I72" i="5" l="1"/>
  <c r="E73" i="5" s="1"/>
  <c r="H72" i="5"/>
  <c r="K72" i="5"/>
  <c r="G73" i="5" s="1"/>
  <c r="K73" i="5" s="1"/>
  <c r="G74" i="5" s="1"/>
  <c r="H74" i="4"/>
  <c r="I74" i="4"/>
  <c r="E75" i="4" s="1"/>
  <c r="K74" i="4"/>
  <c r="G75" i="4" s="1"/>
  <c r="I73" i="5" l="1"/>
  <c r="E74" i="5" s="1"/>
  <c r="H73" i="5"/>
  <c r="J73" i="5"/>
  <c r="F74" i="5" s="1"/>
  <c r="H75" i="4"/>
  <c r="I75" i="4"/>
  <c r="E76" i="4" s="1"/>
  <c r="K75" i="4"/>
  <c r="G76" i="4" s="1"/>
  <c r="J75" i="4"/>
  <c r="F76" i="4" s="1"/>
  <c r="J76" i="4" s="1"/>
  <c r="F77" i="4" s="1"/>
  <c r="J74" i="5" l="1"/>
  <c r="F75" i="5" s="1"/>
  <c r="I74" i="5"/>
  <c r="E75" i="5" s="1"/>
  <c r="H74" i="5"/>
  <c r="K74" i="5"/>
  <c r="G75" i="5" s="1"/>
  <c r="K76" i="4"/>
  <c r="G77" i="4" s="1"/>
  <c r="H76" i="4"/>
  <c r="I76" i="4"/>
  <c r="E77" i="4" s="1"/>
  <c r="K75" i="5" l="1"/>
  <c r="G76" i="5" s="1"/>
  <c r="J75" i="5"/>
  <c r="F76" i="5" s="1"/>
  <c r="I75" i="5"/>
  <c r="E76" i="5" s="1"/>
  <c r="H75" i="5"/>
  <c r="H77" i="4"/>
  <c r="I77" i="4"/>
  <c r="E78" i="4" s="1"/>
  <c r="K77" i="4"/>
  <c r="G78" i="4" s="1"/>
  <c r="J77" i="4"/>
  <c r="F78" i="4" s="1"/>
  <c r="J78" i="4" s="1"/>
  <c r="F79" i="4" s="1"/>
  <c r="I76" i="5" l="1"/>
  <c r="E77" i="5" s="1"/>
  <c r="H76" i="5"/>
  <c r="K76" i="5"/>
  <c r="G77" i="5" s="1"/>
  <c r="J76" i="5"/>
  <c r="F77" i="5" s="1"/>
  <c r="J77" i="5" s="1"/>
  <c r="F78" i="5" s="1"/>
  <c r="K78" i="4"/>
  <c r="G79" i="4" s="1"/>
  <c r="H78" i="4"/>
  <c r="I78" i="4"/>
  <c r="E79" i="4" s="1"/>
  <c r="K77" i="5" l="1"/>
  <c r="G78" i="5" s="1"/>
  <c r="I77" i="5"/>
  <c r="E78" i="5" s="1"/>
  <c r="H77" i="5"/>
  <c r="H79" i="4"/>
  <c r="I79" i="4"/>
  <c r="E80" i="4" s="1"/>
  <c r="K79" i="4"/>
  <c r="G80" i="4" s="1"/>
  <c r="J79" i="4"/>
  <c r="F80" i="4" s="1"/>
  <c r="J80" i="4" s="1"/>
  <c r="F81" i="4" s="1"/>
  <c r="K78" i="5" l="1"/>
  <c r="G79" i="5" s="1"/>
  <c r="I78" i="5"/>
  <c r="E79" i="5" s="1"/>
  <c r="H78" i="5"/>
  <c r="J78" i="5"/>
  <c r="F79" i="5" s="1"/>
  <c r="J79" i="5" s="1"/>
  <c r="F80" i="5" s="1"/>
  <c r="K80" i="4"/>
  <c r="G81" i="4" s="1"/>
  <c r="H80" i="4"/>
  <c r="I80" i="4"/>
  <c r="E81" i="4" s="1"/>
  <c r="H79" i="5" l="1"/>
  <c r="I79" i="5"/>
  <c r="E80" i="5" s="1"/>
  <c r="K79" i="5"/>
  <c r="G80" i="5" s="1"/>
  <c r="K80" i="5" s="1"/>
  <c r="G81" i="5" s="1"/>
  <c r="H81" i="4"/>
  <c r="I81" i="4"/>
  <c r="E82" i="4" s="1"/>
  <c r="K81" i="4"/>
  <c r="G82" i="4" s="1"/>
  <c r="J81" i="4"/>
  <c r="F82" i="4" s="1"/>
  <c r="J82" i="4" s="1"/>
  <c r="F83" i="4" s="1"/>
  <c r="I80" i="5" l="1"/>
  <c r="E81" i="5" s="1"/>
  <c r="H80" i="5"/>
  <c r="J80" i="5"/>
  <c r="F81" i="5" s="1"/>
  <c r="J81" i="5" s="1"/>
  <c r="F82" i="5" s="1"/>
  <c r="K82" i="4"/>
  <c r="G83" i="4" s="1"/>
  <c r="H82" i="4"/>
  <c r="I82" i="4"/>
  <c r="E83" i="4" s="1"/>
  <c r="K81" i="5" l="1"/>
  <c r="G82" i="5" s="1"/>
  <c r="I81" i="5"/>
  <c r="E82" i="5" s="1"/>
  <c r="H81" i="5"/>
  <c r="H83" i="4"/>
  <c r="I83" i="4"/>
  <c r="E84" i="4" s="1"/>
  <c r="K83" i="4"/>
  <c r="G84" i="4" s="1"/>
  <c r="J83" i="4"/>
  <c r="F84" i="4" s="1"/>
  <c r="J84" i="4" s="1"/>
  <c r="F85" i="4" s="1"/>
  <c r="H82" i="5" l="1"/>
  <c r="I82" i="5"/>
  <c r="E83" i="5" s="1"/>
  <c r="K82" i="5"/>
  <c r="G83" i="5" s="1"/>
  <c r="J82" i="5"/>
  <c r="F83" i="5" s="1"/>
  <c r="J83" i="5" s="1"/>
  <c r="F84" i="5" s="1"/>
  <c r="K84" i="4"/>
  <c r="G85" i="4" s="1"/>
  <c r="I84" i="4"/>
  <c r="E85" i="4" s="1"/>
  <c r="H84" i="4"/>
  <c r="K83" i="5" l="1"/>
  <c r="G84" i="5" s="1"/>
  <c r="I83" i="5"/>
  <c r="E84" i="5" s="1"/>
  <c r="H83" i="5"/>
  <c r="H85" i="4"/>
  <c r="I85" i="4"/>
  <c r="E86" i="4" s="1"/>
  <c r="K85" i="4"/>
  <c r="G86" i="4" s="1"/>
  <c r="J85" i="4"/>
  <c r="F86" i="4" s="1"/>
  <c r="J86" i="4" s="1"/>
  <c r="F87" i="4" s="1"/>
  <c r="I84" i="5" l="1"/>
  <c r="E85" i="5" s="1"/>
  <c r="H84" i="5"/>
  <c r="J84" i="5"/>
  <c r="F85" i="5" s="1"/>
  <c r="K84" i="5"/>
  <c r="G85" i="5" s="1"/>
  <c r="K85" i="5" s="1"/>
  <c r="G86" i="5" s="1"/>
  <c r="H86" i="4"/>
  <c r="I86" i="4"/>
  <c r="E87" i="4" s="1"/>
  <c r="J87" i="4" s="1"/>
  <c r="F88" i="4" s="1"/>
  <c r="K86" i="4"/>
  <c r="G87" i="4" s="1"/>
  <c r="J85" i="5" l="1"/>
  <c r="F86" i="5" s="1"/>
  <c r="H85" i="5"/>
  <c r="I85" i="5"/>
  <c r="E86" i="5" s="1"/>
  <c r="K87" i="4"/>
  <c r="G88" i="4" s="1"/>
  <c r="H87" i="4"/>
  <c r="I87" i="4"/>
  <c r="E88" i="4" s="1"/>
  <c r="H86" i="5" l="1"/>
  <c r="I86" i="5"/>
  <c r="E87" i="5" s="1"/>
  <c r="K86" i="5"/>
  <c r="G87" i="5" s="1"/>
  <c r="J86" i="5"/>
  <c r="F87" i="5" s="1"/>
  <c r="J87" i="5" s="1"/>
  <c r="F88" i="5" s="1"/>
  <c r="H88" i="4"/>
  <c r="I88" i="4"/>
  <c r="E89" i="4" s="1"/>
  <c r="K88" i="4"/>
  <c r="G89" i="4" s="1"/>
  <c r="J88" i="4"/>
  <c r="F89" i="4" s="1"/>
  <c r="J89" i="4" s="1"/>
  <c r="F90" i="4" s="1"/>
  <c r="K87" i="5" l="1"/>
  <c r="G88" i="5" s="1"/>
  <c r="I87" i="5"/>
  <c r="E88" i="5" s="1"/>
  <c r="H87" i="5"/>
  <c r="H89" i="4"/>
  <c r="I89" i="4"/>
  <c r="E90" i="4" s="1"/>
  <c r="K89" i="4"/>
  <c r="G90" i="4" s="1"/>
  <c r="K90" i="4" s="1"/>
  <c r="G91" i="4" s="1"/>
  <c r="I88" i="5" l="1"/>
  <c r="E89" i="5" s="1"/>
  <c r="H88" i="5"/>
  <c r="K88" i="5"/>
  <c r="G89" i="5" s="1"/>
  <c r="K89" i="5" s="1"/>
  <c r="G90" i="5" s="1"/>
  <c r="J88" i="5"/>
  <c r="F89" i="5" s="1"/>
  <c r="J90" i="4"/>
  <c r="F91" i="4" s="1"/>
  <c r="H90" i="4"/>
  <c r="I90" i="4"/>
  <c r="E91" i="4" s="1"/>
  <c r="J89" i="5" l="1"/>
  <c r="F90" i="5" s="1"/>
  <c r="I89" i="5"/>
  <c r="E90" i="5" s="1"/>
  <c r="H89" i="5"/>
  <c r="H91" i="4"/>
  <c r="I91" i="4"/>
  <c r="E92" i="4" s="1"/>
  <c r="J91" i="4"/>
  <c r="F92" i="4" s="1"/>
  <c r="K91" i="4"/>
  <c r="G92" i="4" s="1"/>
  <c r="K92" i="4" s="1"/>
  <c r="G93" i="4" s="1"/>
  <c r="I90" i="5" l="1"/>
  <c r="E91" i="5" s="1"/>
  <c r="H90" i="5"/>
  <c r="J90" i="5"/>
  <c r="F91" i="5" s="1"/>
  <c r="K90" i="5"/>
  <c r="G91" i="5" s="1"/>
  <c r="K91" i="5" s="1"/>
  <c r="G92" i="5" s="1"/>
  <c r="J92" i="4"/>
  <c r="F93" i="4" s="1"/>
  <c r="H92" i="4"/>
  <c r="I92" i="4"/>
  <c r="E93" i="4" s="1"/>
  <c r="J91" i="5" l="1"/>
  <c r="F92" i="5" s="1"/>
  <c r="H91" i="5"/>
  <c r="I91" i="5"/>
  <c r="E92" i="5" s="1"/>
  <c r="H93" i="4"/>
  <c r="I93" i="4"/>
  <c r="E94" i="4" s="1"/>
  <c r="J93" i="4"/>
  <c r="F94" i="4" s="1"/>
  <c r="K93" i="4"/>
  <c r="G94" i="4" s="1"/>
  <c r="K94" i="4" s="1"/>
  <c r="G95" i="4" s="1"/>
  <c r="I92" i="5" l="1"/>
  <c r="E93" i="5" s="1"/>
  <c r="H92" i="5"/>
  <c r="J92" i="5"/>
  <c r="F93" i="5" s="1"/>
  <c r="K92" i="5"/>
  <c r="G93" i="5" s="1"/>
  <c r="K93" i="5" s="1"/>
  <c r="G94" i="5" s="1"/>
  <c r="J94" i="4"/>
  <c r="F95" i="4" s="1"/>
  <c r="H94" i="4"/>
  <c r="I94" i="4"/>
  <c r="E95" i="4" s="1"/>
  <c r="J93" i="5" l="1"/>
  <c r="F94" i="5" s="1"/>
  <c r="H93" i="5"/>
  <c r="I93" i="5"/>
  <c r="E94" i="5" s="1"/>
  <c r="H95" i="4"/>
  <c r="I95" i="4"/>
  <c r="E96" i="4" s="1"/>
  <c r="J95" i="4"/>
  <c r="F96" i="4" s="1"/>
  <c r="J96" i="4" s="1"/>
  <c r="F97" i="4" s="1"/>
  <c r="K95" i="4"/>
  <c r="G96" i="4" s="1"/>
  <c r="H94" i="5" l="1"/>
  <c r="I94" i="5"/>
  <c r="E95" i="5" s="1"/>
  <c r="J94" i="5"/>
  <c r="F95" i="5" s="1"/>
  <c r="K94" i="5"/>
  <c r="G95" i="5" s="1"/>
  <c r="K95" i="5" s="1"/>
  <c r="G96" i="5" s="1"/>
  <c r="K96" i="4"/>
  <c r="G97" i="4" s="1"/>
  <c r="I96" i="4"/>
  <c r="E97" i="4" s="1"/>
  <c r="H96" i="4"/>
  <c r="J95" i="5" l="1"/>
  <c r="F96" i="5" s="1"/>
  <c r="I95" i="5"/>
  <c r="E96" i="5" s="1"/>
  <c r="H95" i="5"/>
  <c r="K97" i="4"/>
  <c r="G98" i="4" s="1"/>
  <c r="H97" i="4"/>
  <c r="I97" i="4"/>
  <c r="E98" i="4" s="1"/>
  <c r="J97" i="4"/>
  <c r="F98" i="4" s="1"/>
  <c r="J98" i="4" s="1"/>
  <c r="F99" i="4" s="1"/>
  <c r="I96" i="5" l="1"/>
  <c r="E97" i="5" s="1"/>
  <c r="H96" i="5"/>
  <c r="K96" i="5"/>
  <c r="G97" i="5" s="1"/>
  <c r="J96" i="5"/>
  <c r="F97" i="5" s="1"/>
  <c r="H98" i="4"/>
  <c r="I98" i="4"/>
  <c r="E99" i="4" s="1"/>
  <c r="K98" i="4"/>
  <c r="G99" i="4" s="1"/>
  <c r="J97" i="5" l="1"/>
  <c r="F98" i="5" s="1"/>
  <c r="K97" i="5"/>
  <c r="G98" i="5" s="1"/>
  <c r="I97" i="5"/>
  <c r="E98" i="5" s="1"/>
  <c r="H97" i="5"/>
  <c r="H99" i="4"/>
  <c r="I99" i="4"/>
  <c r="E100" i="4" s="1"/>
  <c r="K99" i="4"/>
  <c r="G100" i="4" s="1"/>
  <c r="J99" i="4"/>
  <c r="F100" i="4" s="1"/>
  <c r="J100" i="4" s="1"/>
  <c r="F101" i="4" s="1"/>
  <c r="I98" i="5" l="1"/>
  <c r="E99" i="5" s="1"/>
  <c r="H98" i="5"/>
  <c r="J98" i="5"/>
  <c r="F99" i="5" s="1"/>
  <c r="K98" i="5"/>
  <c r="G99" i="5" s="1"/>
  <c r="K100" i="4"/>
  <c r="G101" i="4" s="1"/>
  <c r="H100" i="4"/>
  <c r="I100" i="4"/>
  <c r="E101" i="4" s="1"/>
  <c r="J99" i="5" l="1"/>
  <c r="F100" i="5" s="1"/>
  <c r="K99" i="5"/>
  <c r="G100" i="5" s="1"/>
  <c r="I99" i="5"/>
  <c r="E100" i="5" s="1"/>
  <c r="H99" i="5"/>
  <c r="H101" i="4"/>
  <c r="I101" i="4"/>
  <c r="E102" i="4" s="1"/>
  <c r="J101" i="4"/>
  <c r="F102" i="4" s="1"/>
  <c r="K101" i="4"/>
  <c r="G102" i="4" s="1"/>
  <c r="K102" i="4" s="1"/>
  <c r="G103" i="4" s="1"/>
  <c r="I100" i="5" l="1"/>
  <c r="E101" i="5" s="1"/>
  <c r="H100" i="5"/>
  <c r="K100" i="5"/>
  <c r="G101" i="5" s="1"/>
  <c r="J100" i="5"/>
  <c r="F101" i="5" s="1"/>
  <c r="J102" i="4"/>
  <c r="F103" i="4" s="1"/>
  <c r="H102" i="4"/>
  <c r="I102" i="4"/>
  <c r="E103" i="4" s="1"/>
  <c r="J101" i="5" l="1"/>
  <c r="F102" i="5" s="1"/>
  <c r="K101" i="5"/>
  <c r="G102" i="5" s="1"/>
  <c r="I101" i="5"/>
  <c r="E102" i="5" s="1"/>
  <c r="H101" i="5"/>
  <c r="H103" i="4"/>
  <c r="I103" i="4"/>
  <c r="E104" i="4" s="1"/>
  <c r="J103" i="4"/>
  <c r="F104" i="4" s="1"/>
  <c r="K103" i="4"/>
  <c r="G104" i="4" s="1"/>
  <c r="K104" i="4" s="1"/>
  <c r="G105" i="4" s="1"/>
  <c r="I102" i="5" l="1"/>
  <c r="E103" i="5" s="1"/>
  <c r="H102" i="5"/>
  <c r="K102" i="5"/>
  <c r="G103" i="5" s="1"/>
  <c r="J102" i="5"/>
  <c r="F103" i="5" s="1"/>
  <c r="K105" i="4"/>
  <c r="G106" i="4" s="1"/>
  <c r="J104" i="4"/>
  <c r="F105" i="4" s="1"/>
  <c r="H104" i="4"/>
  <c r="I104" i="4"/>
  <c r="E105" i="4" s="1"/>
  <c r="J103" i="5" l="1"/>
  <c r="F104" i="5" s="1"/>
  <c r="K103" i="5"/>
  <c r="G104" i="5" s="1"/>
  <c r="H103" i="5"/>
  <c r="I103" i="5"/>
  <c r="E104" i="5" s="1"/>
  <c r="H105" i="4"/>
  <c r="I105" i="4"/>
  <c r="E106" i="4" s="1"/>
  <c r="J105" i="4"/>
  <c r="F106" i="4" s="1"/>
  <c r="J106" i="4" s="1"/>
  <c r="F107" i="4" s="1"/>
  <c r="I104" i="5" l="1"/>
  <c r="E105" i="5" s="1"/>
  <c r="H104" i="5"/>
  <c r="K104" i="5"/>
  <c r="G105" i="5" s="1"/>
  <c r="J104" i="5"/>
  <c r="F105" i="5" s="1"/>
  <c r="H106" i="4"/>
  <c r="I106" i="4"/>
  <c r="E107" i="4" s="1"/>
  <c r="K106" i="4"/>
  <c r="G107" i="4" s="1"/>
  <c r="K107" i="4" s="1"/>
  <c r="G108" i="4" s="1"/>
  <c r="J105" i="5" l="1"/>
  <c r="F106" i="5" s="1"/>
  <c r="K105" i="5"/>
  <c r="G106" i="5" s="1"/>
  <c r="H105" i="5"/>
  <c r="I105" i="5"/>
  <c r="E106" i="5" s="1"/>
  <c r="K108" i="4"/>
  <c r="G109" i="4" s="1"/>
  <c r="H107" i="4"/>
  <c r="I107" i="4"/>
  <c r="E108" i="4" s="1"/>
  <c r="J107" i="4"/>
  <c r="F108" i="4" s="1"/>
  <c r="J108" i="4" s="1"/>
  <c r="F109" i="4" s="1"/>
  <c r="H106" i="5" l="1"/>
  <c r="I106" i="5"/>
  <c r="E107" i="5" s="1"/>
  <c r="K106" i="5"/>
  <c r="G107" i="5" s="1"/>
  <c r="J106" i="5"/>
  <c r="F107" i="5" s="1"/>
  <c r="I108" i="4"/>
  <c r="E109" i="4" s="1"/>
  <c r="H108" i="4"/>
  <c r="J107" i="5" l="1"/>
  <c r="F108" i="5" s="1"/>
  <c r="K107" i="5"/>
  <c r="G108" i="5" s="1"/>
  <c r="I107" i="5"/>
  <c r="E108" i="5" s="1"/>
  <c r="H107" i="5"/>
  <c r="H109" i="4"/>
  <c r="I109" i="4"/>
  <c r="E110" i="4" s="1"/>
  <c r="J109" i="4"/>
  <c r="F110" i="4" s="1"/>
  <c r="J110" i="4" s="1"/>
  <c r="F111" i="4" s="1"/>
  <c r="K109" i="4"/>
  <c r="G110" i="4" s="1"/>
  <c r="K110" i="4" s="1"/>
  <c r="G111" i="4" s="1"/>
  <c r="K108" i="5" l="1"/>
  <c r="G109" i="5" s="1"/>
  <c r="J108" i="5"/>
  <c r="F109" i="5" s="1"/>
  <c r="I108" i="5"/>
  <c r="E109" i="5" s="1"/>
  <c r="H108" i="5"/>
  <c r="H110" i="4"/>
  <c r="I110" i="4"/>
  <c r="E111" i="4" s="1"/>
  <c r="I109" i="5" l="1"/>
  <c r="E110" i="5" s="1"/>
  <c r="H109" i="5"/>
  <c r="J109" i="5"/>
  <c r="F110" i="5" s="1"/>
  <c r="K109" i="5"/>
  <c r="G110" i="5" s="1"/>
  <c r="H111" i="4"/>
  <c r="I111" i="4"/>
  <c r="E112" i="4" s="1"/>
  <c r="K111" i="4"/>
  <c r="G112" i="4" s="1"/>
  <c r="J111" i="4"/>
  <c r="F112" i="4" s="1"/>
  <c r="J112" i="4" s="1"/>
  <c r="F113" i="4" s="1"/>
  <c r="K110" i="5" l="1"/>
  <c r="G111" i="5" s="1"/>
  <c r="J110" i="5"/>
  <c r="F111" i="5" s="1"/>
  <c r="I110" i="5"/>
  <c r="E111" i="5" s="1"/>
  <c r="H110" i="5"/>
  <c r="K112" i="4"/>
  <c r="G113" i="4" s="1"/>
  <c r="H112" i="4"/>
  <c r="I112" i="4"/>
  <c r="E113" i="4" s="1"/>
  <c r="J113" i="4"/>
  <c r="F114" i="4" s="1"/>
  <c r="I111" i="5" l="1"/>
  <c r="E112" i="5" s="1"/>
  <c r="H111" i="5"/>
  <c r="J111" i="5"/>
  <c r="F112" i="5" s="1"/>
  <c r="K111" i="5"/>
  <c r="G112" i="5" s="1"/>
  <c r="H113" i="4"/>
  <c r="I113" i="4"/>
  <c r="E114" i="4" s="1"/>
  <c r="K113" i="4"/>
  <c r="G114" i="4" s="1"/>
  <c r="K114" i="4" s="1"/>
  <c r="G115" i="4" s="1"/>
  <c r="J112" i="5" l="1"/>
  <c r="F113" i="5" s="1"/>
  <c r="K112" i="5"/>
  <c r="G113" i="5" s="1"/>
  <c r="I112" i="5"/>
  <c r="E113" i="5" s="1"/>
  <c r="H112" i="5"/>
  <c r="H114" i="4"/>
  <c r="I114" i="4"/>
  <c r="E115" i="4" s="1"/>
  <c r="J114" i="4"/>
  <c r="F115" i="4" s="1"/>
  <c r="J115" i="4" s="1"/>
  <c r="F116" i="4" s="1"/>
  <c r="I113" i="5" l="1"/>
  <c r="E114" i="5" s="1"/>
  <c r="H113" i="5"/>
  <c r="J113" i="5"/>
  <c r="F114" i="5" s="1"/>
  <c r="K113" i="5"/>
  <c r="G114" i="5" s="1"/>
  <c r="K114" i="5" s="1"/>
  <c r="G115" i="5" s="1"/>
  <c r="H115" i="4"/>
  <c r="I115" i="4"/>
  <c r="E116" i="4" s="1"/>
  <c r="K115" i="4"/>
  <c r="G116" i="4" s="1"/>
  <c r="K116" i="4" s="1"/>
  <c r="G117" i="4" s="1"/>
  <c r="J114" i="5" l="1"/>
  <c r="F115" i="5" s="1"/>
  <c r="I114" i="5"/>
  <c r="E115" i="5" s="1"/>
  <c r="H114" i="5"/>
  <c r="H116" i="4"/>
  <c r="I116" i="4"/>
  <c r="E117" i="4" s="1"/>
  <c r="J116" i="4"/>
  <c r="F117" i="4" s="1"/>
  <c r="H115" i="5" l="1"/>
  <c r="I115" i="5"/>
  <c r="E116" i="5" s="1"/>
  <c r="J115" i="5"/>
  <c r="F116" i="5" s="1"/>
  <c r="K115" i="5"/>
  <c r="G116" i="5" s="1"/>
  <c r="K116" i="5" s="1"/>
  <c r="G117" i="5" s="1"/>
  <c r="H117" i="4"/>
  <c r="I117" i="4"/>
  <c r="E118" i="4" s="1"/>
  <c r="J117" i="4"/>
  <c r="F118" i="4" s="1"/>
  <c r="K117" i="4"/>
  <c r="G118" i="4" s="1"/>
  <c r="K118" i="4" s="1"/>
  <c r="G119" i="4" s="1"/>
  <c r="J116" i="5" l="1"/>
  <c r="F117" i="5" s="1"/>
  <c r="I116" i="5"/>
  <c r="E117" i="5" s="1"/>
  <c r="K117" i="5" s="1"/>
  <c r="G118" i="5" s="1"/>
  <c r="H116" i="5"/>
  <c r="J118" i="4"/>
  <c r="F119" i="4" s="1"/>
  <c r="H118" i="4"/>
  <c r="I118" i="4"/>
  <c r="E119" i="4" s="1"/>
  <c r="I117" i="5" l="1"/>
  <c r="E118" i="5" s="1"/>
  <c r="H117" i="5"/>
  <c r="J117" i="5"/>
  <c r="F118" i="5" s="1"/>
  <c r="J118" i="5" s="1"/>
  <c r="F119" i="5" s="1"/>
  <c r="H119" i="4"/>
  <c r="I119" i="4"/>
  <c r="E120" i="4" s="1"/>
  <c r="J119" i="4"/>
  <c r="F120" i="4" s="1"/>
  <c r="K119" i="4"/>
  <c r="G120" i="4" s="1"/>
  <c r="K120" i="4" s="1"/>
  <c r="G121" i="4" s="1"/>
  <c r="H118" i="5" l="1"/>
  <c r="I118" i="5"/>
  <c r="E119" i="5" s="1"/>
  <c r="K118" i="5"/>
  <c r="G119" i="5" s="1"/>
  <c r="K119" i="5" s="1"/>
  <c r="G120" i="5" s="1"/>
  <c r="J120" i="4"/>
  <c r="F121" i="4" s="1"/>
  <c r="I120" i="4"/>
  <c r="E121" i="4" s="1"/>
  <c r="H120" i="4"/>
  <c r="I119" i="5" l="1"/>
  <c r="E120" i="5" s="1"/>
  <c r="H119" i="5"/>
  <c r="J119" i="5"/>
  <c r="F120" i="5" s="1"/>
  <c r="H121" i="4"/>
  <c r="I121" i="4"/>
  <c r="E122" i="4" s="1"/>
  <c r="J121" i="4"/>
  <c r="F122" i="4" s="1"/>
  <c r="J122" i="4" s="1"/>
  <c r="F123" i="4" s="1"/>
  <c r="K121" i="4"/>
  <c r="G122" i="4" s="1"/>
  <c r="J120" i="5" l="1"/>
  <c r="F121" i="5" s="1"/>
  <c r="I120" i="5"/>
  <c r="E121" i="5" s="1"/>
  <c r="H120" i="5"/>
  <c r="K120" i="5"/>
  <c r="G121" i="5" s="1"/>
  <c r="K121" i="5" s="1"/>
  <c r="G122" i="5" s="1"/>
  <c r="K122" i="4"/>
  <c r="G123" i="4" s="1"/>
  <c r="H122" i="4"/>
  <c r="I122" i="4"/>
  <c r="E123" i="4" s="1"/>
  <c r="H121" i="5" l="1"/>
  <c r="I121" i="5"/>
  <c r="E122" i="5" s="1"/>
  <c r="J121" i="5"/>
  <c r="F122" i="5" s="1"/>
  <c r="H123" i="4"/>
  <c r="I123" i="4"/>
  <c r="E124" i="4" s="1"/>
  <c r="K123" i="4"/>
  <c r="G124" i="4" s="1"/>
  <c r="J123" i="4"/>
  <c r="F124" i="4" s="1"/>
  <c r="J124" i="4" s="1"/>
  <c r="F125" i="4" s="1"/>
  <c r="J122" i="5" l="1"/>
  <c r="F123" i="5" s="1"/>
  <c r="I122" i="5"/>
  <c r="E123" i="5" s="1"/>
  <c r="H122" i="5"/>
  <c r="K122" i="5"/>
  <c r="G123" i="5" s="1"/>
  <c r="K123" i="5" s="1"/>
  <c r="G124" i="5" s="1"/>
  <c r="K124" i="4"/>
  <c r="G125" i="4" s="1"/>
  <c r="H124" i="4"/>
  <c r="I124" i="4"/>
  <c r="E125" i="4" s="1"/>
  <c r="I123" i="5" l="1"/>
  <c r="E124" i="5" s="1"/>
  <c r="H123" i="5"/>
  <c r="J123" i="5"/>
  <c r="F124" i="5" s="1"/>
  <c r="J124" i="5" s="1"/>
  <c r="F125" i="5" s="1"/>
  <c r="H125" i="4"/>
  <c r="I125" i="4"/>
  <c r="E126" i="4" s="1"/>
  <c r="J125" i="4"/>
  <c r="F126" i="4" s="1"/>
  <c r="J126" i="4" s="1"/>
  <c r="F127" i="4" s="1"/>
  <c r="K125" i="4"/>
  <c r="G126" i="4" s="1"/>
  <c r="K126" i="4" s="1"/>
  <c r="G127" i="4" s="1"/>
  <c r="I124" i="5" l="1"/>
  <c r="E125" i="5" s="1"/>
  <c r="H124" i="5"/>
  <c r="K124" i="5"/>
  <c r="G125" i="5" s="1"/>
  <c r="H126" i="4"/>
  <c r="I126" i="4"/>
  <c r="E127" i="4" s="1"/>
  <c r="J127" i="4"/>
  <c r="F128" i="4" s="1"/>
  <c r="K125" i="5" l="1"/>
  <c r="G126" i="5" s="1"/>
  <c r="I125" i="5"/>
  <c r="E126" i="5" s="1"/>
  <c r="H125" i="5"/>
  <c r="J125" i="5"/>
  <c r="F126" i="5" s="1"/>
  <c r="J126" i="5" s="1"/>
  <c r="F127" i="5" s="1"/>
  <c r="H127" i="4"/>
  <c r="I127" i="4"/>
  <c r="E128" i="4" s="1"/>
  <c r="K127" i="4"/>
  <c r="G128" i="4" s="1"/>
  <c r="K128" i="4" s="1"/>
  <c r="G129" i="4" s="1"/>
  <c r="I126" i="5" l="1"/>
  <c r="E127" i="5" s="1"/>
  <c r="H126" i="5"/>
  <c r="K126" i="5"/>
  <c r="G127" i="5" s="1"/>
  <c r="H128" i="4"/>
  <c r="I128" i="4"/>
  <c r="E129" i="4" s="1"/>
  <c r="J128" i="4"/>
  <c r="F129" i="4" s="1"/>
  <c r="J129" i="4" s="1"/>
  <c r="F130" i="4" s="1"/>
  <c r="K127" i="5" l="1"/>
  <c r="G128" i="5" s="1"/>
  <c r="J127" i="5"/>
  <c r="F128" i="5" s="1"/>
  <c r="H127" i="5"/>
  <c r="I127" i="5"/>
  <c r="E128" i="5" s="1"/>
  <c r="H129" i="4"/>
  <c r="I129" i="4"/>
  <c r="E130" i="4" s="1"/>
  <c r="K129" i="4"/>
  <c r="G130" i="4" s="1"/>
  <c r="K130" i="4" s="1"/>
  <c r="G131" i="4" s="1"/>
  <c r="I128" i="5" l="1"/>
  <c r="E129" i="5" s="1"/>
  <c r="H128" i="5"/>
  <c r="J128" i="5"/>
  <c r="F129" i="5" s="1"/>
  <c r="K128" i="5"/>
  <c r="G129" i="5" s="1"/>
  <c r="H130" i="4"/>
  <c r="I130" i="4"/>
  <c r="E131" i="4" s="1"/>
  <c r="J130" i="4"/>
  <c r="F131" i="4" s="1"/>
  <c r="J131" i="4" s="1"/>
  <c r="F132" i="4" s="1"/>
  <c r="K129" i="5" l="1"/>
  <c r="G130" i="5" s="1"/>
  <c r="J129" i="5"/>
  <c r="F130" i="5" s="1"/>
  <c r="H129" i="5"/>
  <c r="I129" i="5"/>
  <c r="E130" i="5" s="1"/>
  <c r="K131" i="4"/>
  <c r="G132" i="4" s="1"/>
  <c r="H131" i="4"/>
  <c r="I131" i="4"/>
  <c r="E132" i="4" s="1"/>
  <c r="H130" i="5" l="1"/>
  <c r="I130" i="5"/>
  <c r="E131" i="5" s="1"/>
  <c r="J130" i="5"/>
  <c r="F131" i="5" s="1"/>
  <c r="K130" i="5"/>
  <c r="G131" i="5" s="1"/>
  <c r="I132" i="4"/>
  <c r="E133" i="4" s="1"/>
  <c r="H132" i="4"/>
  <c r="J132" i="4"/>
  <c r="F133" i="4" s="1"/>
  <c r="K132" i="4"/>
  <c r="G133" i="4" s="1"/>
  <c r="K133" i="4" s="1"/>
  <c r="G134" i="4" s="1"/>
  <c r="K131" i="5" l="1"/>
  <c r="G132" i="5" s="1"/>
  <c r="J131" i="5"/>
  <c r="F132" i="5" s="1"/>
  <c r="H131" i="5"/>
  <c r="I131" i="5"/>
  <c r="E132" i="5" s="1"/>
  <c r="J133" i="4"/>
  <c r="F134" i="4" s="1"/>
  <c r="H133" i="4"/>
  <c r="I133" i="4"/>
  <c r="E134" i="4" s="1"/>
  <c r="K132" i="5" l="1"/>
  <c r="G133" i="5" s="1"/>
  <c r="I132" i="5"/>
  <c r="E133" i="5" s="1"/>
  <c r="H132" i="5"/>
  <c r="J132" i="5"/>
  <c r="F133" i="5" s="1"/>
  <c r="J133" i="5" s="1"/>
  <c r="F134" i="5" s="1"/>
  <c r="H134" i="4"/>
  <c r="I134" i="4"/>
  <c r="E135" i="4" s="1"/>
  <c r="J134" i="4"/>
  <c r="F135" i="4" s="1"/>
  <c r="J135" i="4" s="1"/>
  <c r="F136" i="4" s="1"/>
  <c r="K134" i="4"/>
  <c r="G135" i="4" s="1"/>
  <c r="K135" i="4" s="1"/>
  <c r="G136" i="4" s="1"/>
  <c r="H133" i="5" l="1"/>
  <c r="I133" i="5"/>
  <c r="E134" i="5" s="1"/>
  <c r="K133" i="5"/>
  <c r="G134" i="5" s="1"/>
  <c r="H135" i="4"/>
  <c r="I135" i="4"/>
  <c r="E136" i="4" s="1"/>
  <c r="K134" i="5" l="1"/>
  <c r="G135" i="5" s="1"/>
  <c r="I134" i="5"/>
  <c r="E135" i="5" s="1"/>
  <c r="H134" i="5"/>
  <c r="J134" i="5"/>
  <c r="F135" i="5" s="1"/>
  <c r="H136" i="4"/>
  <c r="I136" i="4"/>
  <c r="E137" i="4" s="1"/>
  <c r="K136" i="4"/>
  <c r="G137" i="4" s="1"/>
  <c r="J136" i="4"/>
  <c r="F137" i="4" s="1"/>
  <c r="J137" i="4" s="1"/>
  <c r="F138" i="4" s="1"/>
  <c r="J135" i="5" l="1"/>
  <c r="F136" i="5" s="1"/>
  <c r="I135" i="5"/>
  <c r="E136" i="5" s="1"/>
  <c r="H135" i="5"/>
  <c r="K135" i="5"/>
  <c r="G136" i="5" s="1"/>
  <c r="K137" i="4"/>
  <c r="G138" i="4" s="1"/>
  <c r="H137" i="4"/>
  <c r="I137" i="4"/>
  <c r="E138" i="4" s="1"/>
  <c r="J138" i="4"/>
  <c r="F139" i="4" s="1"/>
  <c r="K136" i="5" l="1"/>
  <c r="G137" i="5" s="1"/>
  <c r="J136" i="5"/>
  <c r="F137" i="5" s="1"/>
  <c r="I136" i="5"/>
  <c r="E137" i="5" s="1"/>
  <c r="H136" i="5"/>
  <c r="H138" i="4"/>
  <c r="I138" i="4"/>
  <c r="E139" i="4" s="1"/>
  <c r="K138" i="4"/>
  <c r="G139" i="4" s="1"/>
  <c r="K139" i="4" s="1"/>
  <c r="G140" i="4" s="1"/>
  <c r="I137" i="5" l="1"/>
  <c r="E138" i="5" s="1"/>
  <c r="H137" i="5"/>
  <c r="K137" i="5"/>
  <c r="G138" i="5" s="1"/>
  <c r="J137" i="5"/>
  <c r="F138" i="5" s="1"/>
  <c r="J139" i="4"/>
  <c r="F140" i="4" s="1"/>
  <c r="J140" i="4" s="1"/>
  <c r="F141" i="4" s="1"/>
  <c r="H139" i="4"/>
  <c r="I139" i="4"/>
  <c r="E140" i="4" s="1"/>
  <c r="K138" i="5" l="1"/>
  <c r="G139" i="5" s="1"/>
  <c r="J138" i="5"/>
  <c r="F139" i="5" s="1"/>
  <c r="I138" i="5"/>
  <c r="E139" i="5" s="1"/>
  <c r="H138" i="5"/>
  <c r="H140" i="4"/>
  <c r="I140" i="4"/>
  <c r="E141" i="4" s="1"/>
  <c r="K140" i="4"/>
  <c r="G141" i="4" s="1"/>
  <c r="K141" i="4" s="1"/>
  <c r="G142" i="4" s="1"/>
  <c r="J139" i="5" l="1"/>
  <c r="F140" i="5" s="1"/>
  <c r="K139" i="5"/>
  <c r="G140" i="5" s="1"/>
  <c r="H139" i="5"/>
  <c r="I139" i="5"/>
  <c r="E140" i="5" s="1"/>
  <c r="H141" i="4"/>
  <c r="I141" i="4"/>
  <c r="E142" i="4" s="1"/>
  <c r="J141" i="4"/>
  <c r="F142" i="4" s="1"/>
  <c r="J142" i="4" s="1"/>
  <c r="F143" i="4" s="1"/>
  <c r="K140" i="5" l="1"/>
  <c r="G141" i="5" s="1"/>
  <c r="H140" i="5"/>
  <c r="I140" i="5"/>
  <c r="E141" i="5" s="1"/>
  <c r="J140" i="5"/>
  <c r="F141" i="5" s="1"/>
  <c r="H142" i="4"/>
  <c r="I142" i="4"/>
  <c r="E143" i="4" s="1"/>
  <c r="K142" i="4"/>
  <c r="G143" i="4" s="1"/>
  <c r="J141" i="5" l="1"/>
  <c r="F142" i="5" s="1"/>
  <c r="J142" i="5" s="1"/>
  <c r="F143" i="5" s="1"/>
  <c r="H141" i="5"/>
  <c r="I141" i="5"/>
  <c r="E142" i="5" s="1"/>
  <c r="K141" i="5"/>
  <c r="G142" i="5" s="1"/>
  <c r="H143" i="4"/>
  <c r="I143" i="4"/>
  <c r="E144" i="4" s="1"/>
  <c r="J143" i="4"/>
  <c r="F144" i="4" s="1"/>
  <c r="J144" i="4" s="1"/>
  <c r="F145" i="4" s="1"/>
  <c r="K143" i="4"/>
  <c r="G144" i="4" s="1"/>
  <c r="K144" i="4" s="1"/>
  <c r="G145" i="4" s="1"/>
  <c r="K142" i="5" l="1"/>
  <c r="G143" i="5" s="1"/>
  <c r="K143" i="5" s="1"/>
  <c r="G144" i="5" s="1"/>
  <c r="H142" i="5"/>
  <c r="I142" i="5"/>
  <c r="E143" i="5" s="1"/>
  <c r="I144" i="4"/>
  <c r="E145" i="4" s="1"/>
  <c r="H144" i="4"/>
  <c r="K145" i="4"/>
  <c r="G146" i="4" s="1"/>
  <c r="J143" i="5" l="1"/>
  <c r="F144" i="5" s="1"/>
  <c r="H143" i="5"/>
  <c r="I143" i="5"/>
  <c r="E144" i="5" s="1"/>
  <c r="H145" i="4"/>
  <c r="I145" i="4"/>
  <c r="E146" i="4" s="1"/>
  <c r="J145" i="4"/>
  <c r="F146" i="4" s="1"/>
  <c r="J146" i="4" s="1"/>
  <c r="F147" i="4" s="1"/>
  <c r="I144" i="5" l="1"/>
  <c r="E145" i="5" s="1"/>
  <c r="H144" i="5"/>
  <c r="K144" i="5"/>
  <c r="G145" i="5" s="1"/>
  <c r="J144" i="5"/>
  <c r="F145" i="5" s="1"/>
  <c r="H146" i="4"/>
  <c r="I146" i="4"/>
  <c r="E147" i="4" s="1"/>
  <c r="K146" i="4"/>
  <c r="G147" i="4" s="1"/>
  <c r="K147" i="4" s="1"/>
  <c r="G148" i="4" s="1"/>
  <c r="I145" i="5" l="1"/>
  <c r="E146" i="5" s="1"/>
  <c r="H145" i="5"/>
  <c r="J145" i="5"/>
  <c r="F146" i="5" s="1"/>
  <c r="K145" i="5"/>
  <c r="G146" i="5" s="1"/>
  <c r="K146" i="5" s="1"/>
  <c r="G147" i="5" s="1"/>
  <c r="H147" i="4"/>
  <c r="I147" i="4"/>
  <c r="E148" i="4" s="1"/>
  <c r="J147" i="4"/>
  <c r="F148" i="4" s="1"/>
  <c r="J148" i="4" s="1"/>
  <c r="F149" i="4" s="1"/>
  <c r="J146" i="5" l="1"/>
  <c r="F147" i="5" s="1"/>
  <c r="I146" i="5"/>
  <c r="E147" i="5" s="1"/>
  <c r="H146" i="5"/>
  <c r="H148" i="4"/>
  <c r="I148" i="4"/>
  <c r="E149" i="4" s="1"/>
  <c r="K148" i="4"/>
  <c r="G149" i="4" s="1"/>
  <c r="K149" i="4" s="1"/>
  <c r="G150" i="4" s="1"/>
  <c r="I147" i="5" l="1"/>
  <c r="E148" i="5" s="1"/>
  <c r="H147" i="5"/>
  <c r="J147" i="5"/>
  <c r="F148" i="5" s="1"/>
  <c r="K147" i="5"/>
  <c r="G148" i="5" s="1"/>
  <c r="H149" i="4"/>
  <c r="I149" i="4"/>
  <c r="E150" i="4" s="1"/>
  <c r="J149" i="4"/>
  <c r="F150" i="4" s="1"/>
  <c r="J150" i="4" s="1"/>
  <c r="F151" i="4" s="1"/>
  <c r="K148" i="5" l="1"/>
  <c r="G149" i="5" s="1"/>
  <c r="J148" i="5"/>
  <c r="F149" i="5" s="1"/>
  <c r="H148" i="5"/>
  <c r="I148" i="5"/>
  <c r="E149" i="5" s="1"/>
  <c r="H150" i="4"/>
  <c r="I150" i="4"/>
  <c r="E151" i="4" s="1"/>
  <c r="K150" i="4"/>
  <c r="G151" i="4" s="1"/>
  <c r="K151" i="4" s="1"/>
  <c r="G152" i="4" s="1"/>
  <c r="J149" i="5" l="1"/>
  <c r="F150" i="5" s="1"/>
  <c r="I149" i="5"/>
  <c r="E150" i="5" s="1"/>
  <c r="H149" i="5"/>
  <c r="K149" i="5"/>
  <c r="G150" i="5" s="1"/>
  <c r="H151" i="4"/>
  <c r="I151" i="4"/>
  <c r="E152" i="4" s="1"/>
  <c r="J151" i="4"/>
  <c r="F152" i="4" s="1"/>
  <c r="J152" i="4" s="1"/>
  <c r="F153" i="4" s="1"/>
  <c r="K150" i="5" l="1"/>
  <c r="G151" i="5" s="1"/>
  <c r="I150" i="5"/>
  <c r="E151" i="5" s="1"/>
  <c r="H150" i="5"/>
  <c r="J150" i="5"/>
  <c r="F151" i="5" s="1"/>
  <c r="I152" i="4"/>
  <c r="E153" i="4" s="1"/>
  <c r="H152" i="4"/>
  <c r="K152" i="4"/>
  <c r="G153" i="4" s="1"/>
  <c r="K153" i="4" s="1"/>
  <c r="G154" i="4" s="1"/>
  <c r="J151" i="5" l="1"/>
  <c r="F152" i="5" s="1"/>
  <c r="H151" i="5"/>
  <c r="I151" i="5"/>
  <c r="E152" i="5" s="1"/>
  <c r="K151" i="5"/>
  <c r="G152" i="5" s="1"/>
  <c r="K152" i="5" s="1"/>
  <c r="G153" i="5" s="1"/>
  <c r="I153" i="4"/>
  <c r="E154" i="4" s="1"/>
  <c r="H153" i="4"/>
  <c r="J153" i="4"/>
  <c r="F154" i="4" s="1"/>
  <c r="J154" i="4" s="1"/>
  <c r="I152" i="5" l="1"/>
  <c r="E153" i="5" s="1"/>
  <c r="H152" i="5"/>
  <c r="J152" i="5"/>
  <c r="F153" i="5" s="1"/>
  <c r="J153" i="5" s="1"/>
  <c r="F154" i="5" s="1"/>
  <c r="H154" i="4"/>
  <c r="I154" i="4"/>
  <c r="K154" i="4"/>
  <c r="I153" i="5" l="1"/>
  <c r="E154" i="5" s="1"/>
  <c r="H153" i="5"/>
  <c r="K153" i="5"/>
  <c r="G154" i="5" s="1"/>
  <c r="K154" i="5" l="1"/>
  <c r="I154" i="5"/>
  <c r="H154" i="5"/>
  <c r="J15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25D134-FD03-4B79-920C-FE86C6D813C6}" keepAlive="1" name="Zapytanie — owoce" description="Połączenie z zapytaniem „owoce” w skoroszycie." type="5" refreshedVersion="8" background="1" saveData="1">
    <dbPr connection="Provider=Microsoft.Mashup.OleDb.1;Data Source=$Workbook$;Location=owoce;Extended Properties=&quot;&quot;" command="SELECT * FROM [owoce]"/>
  </connection>
  <connection id="2" xr16:uid="{EBE0387D-01FC-4E51-96C2-10B474EC34DA}" keepAlive="1" name="Zapytanie — owoce (2)" description="Połączenie z zapytaniem „owoce (2)” w skoroszycie." type="5" refreshedVersion="8" background="1" saveData="1">
    <dbPr connection="Provider=Microsoft.Mashup.OleDb.1;Data Source=$Workbook$;Location=&quot;owoce (2)&quot;;Extended Properties=&quot;&quot;" command="SELECT * FROM [owoce (2)]"/>
  </connection>
  <connection id="3" xr16:uid="{8348B783-0860-4800-BB4B-8FCE435E3C0F}" keepAlive="1" name="Zapytanie — owoce (3)" description="Połączenie z zapytaniem „owoce (3)” w skoroszycie." type="5" refreshedVersion="8" background="1" saveData="1">
    <dbPr connection="Provider=Microsoft.Mashup.OleDb.1;Data Source=$Workbook$;Location=&quot;owoce (3)&quot;;Extended Properties=&quot;&quot;" command="SELECT * FROM [owoce (3)]"/>
  </connection>
  <connection id="4" xr16:uid="{B624AC08-D886-4D9D-9591-67F403C063F7}" keepAlive="1" name="Zapytanie — owoce (4)" description="Połączenie z zapytaniem „owoce (4)” w skoroszycie." type="5" refreshedVersion="8" background="1" saveData="1">
    <dbPr connection="Provider=Microsoft.Mashup.OleDb.1;Data Source=$Workbook$;Location=&quot;owoce (4)&quot;;Extended Properties=&quot;&quot;" command="SELECT * FROM [owoce (4)]"/>
  </connection>
  <connection id="5" xr16:uid="{F8CB237E-A368-4104-B953-A2CE017BB701}" keepAlive="1" name="Zapytanie — owoce (5)" description="Połączenie z zapytaniem „owoce (5)” w skoroszycie." type="5" refreshedVersion="8" background="1" saveData="1">
    <dbPr connection="Provider=Microsoft.Mashup.OleDb.1;Data Source=$Workbook$;Location=&quot;owoce (5)&quot;;Extended Properties=&quot;&quot;" command="SELECT * FROM [owoce (5)]"/>
  </connection>
</connections>
</file>

<file path=xl/sharedStrings.xml><?xml version="1.0" encoding="utf-8"?>
<sst xmlns="http://schemas.openxmlformats.org/spreadsheetml/2006/main" count="54" uniqueCount="31">
  <si>
    <t>data</t>
  </si>
  <si>
    <t>dostawa_malin</t>
  </si>
  <si>
    <t>dostawa_truskawek</t>
  </si>
  <si>
    <t>dostawa_porzeczek</t>
  </si>
  <si>
    <t>May</t>
  </si>
  <si>
    <t>Czerwiec</t>
  </si>
  <si>
    <t>Lipiec</t>
  </si>
  <si>
    <t>Sierpień</t>
  </si>
  <si>
    <t>Wrzesień</t>
  </si>
  <si>
    <t>Miesiąc</t>
  </si>
  <si>
    <t>Maliny</t>
  </si>
  <si>
    <t>Truskawki</t>
  </si>
  <si>
    <t>Porzeczki</t>
  </si>
  <si>
    <t>Liczba dni:</t>
  </si>
  <si>
    <t>Czy_najwiecej_porzeczek</t>
  </si>
  <si>
    <t>stan_malin</t>
  </si>
  <si>
    <t>stan_truskawek</t>
  </si>
  <si>
    <t>stan_porzeczek</t>
  </si>
  <si>
    <t>jaka_konfitura</t>
  </si>
  <si>
    <t>reszta_m</t>
  </si>
  <si>
    <t>reszta_t</t>
  </si>
  <si>
    <t>reszta_p</t>
  </si>
  <si>
    <t>Ile malinowo-truskawkowych:</t>
  </si>
  <si>
    <t>Ile malinowo-porzeczkowych:</t>
  </si>
  <si>
    <t>Ile truskawkowo-porzeczkowych:</t>
  </si>
  <si>
    <t>Produkcja malinowo-truskawkowej</t>
  </si>
  <si>
    <t>Produkcja malinowo-porzeczkowej</t>
  </si>
  <si>
    <t>Produkcja truskawkowo-porzeczkowej</t>
  </si>
  <si>
    <t>Malinowo-Truskawkowa:</t>
  </si>
  <si>
    <t>Malinowo-Porzeczkowa:</t>
  </si>
  <si>
    <t>Truskawkowo-Porzeczkowa: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</si>
</sst>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166" fontId="0" fillId="0" borderId="0" xfId="0" applyNumberFormat="1" applyAlignment="1">
      <alignment horizontal="left"/>
    </xf>
    <xf numFmtId="0" fontId="0" fillId="2" borderId="1" xfId="0" applyFill="1" applyBorder="1"/>
    <xf numFmtId="0" fontId="0" fillId="3" borderId="1" xfId="0" applyFill="1" applyBorder="1"/>
  </cellXfs>
  <cellStyles count="1">
    <cellStyle name="Normalny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[6.xlsx]6_1!Tabela przestawna1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</a:t>
            </a:r>
            <a:r>
              <a:rPr lang="en-GB" baseline="0"/>
              <a:t> dostarczonych kilogramów malin, truskawek i porzeczek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'6_1'!$J$5</c:f>
              <c:strCache>
                <c:ptCount val="1"/>
                <c:pt idx="0">
                  <c:v>Maliny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'6_1'!$I$6:$I$10</c:f>
              <c:strCache>
                <c:ptCount val="5"/>
                <c:pt idx="0">
                  <c:v>May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'6_1'!$J$6:$J$10</c:f>
              <c:numCache>
                <c:formatCode>General</c:formatCode>
                <c:ptCount val="5"/>
                <c:pt idx="0">
                  <c:v>9238</c:v>
                </c:pt>
                <c:pt idx="1">
                  <c:v>9485</c:v>
                </c:pt>
                <c:pt idx="2">
                  <c:v>11592</c:v>
                </c:pt>
                <c:pt idx="3">
                  <c:v>11045</c:v>
                </c:pt>
                <c:pt idx="4">
                  <c:v>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E-4A4C-8260-943EFB73A9C2}"/>
            </c:ext>
          </c:extLst>
        </c:ser>
        <c:ser>
          <c:idx val="1"/>
          <c:order val="1"/>
          <c:tx>
            <c:strRef>
              <c:f>'6_1'!$K$5</c:f>
              <c:strCache>
                <c:ptCount val="1"/>
                <c:pt idx="0">
                  <c:v>Truskawki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'6_1'!$I$6:$I$10</c:f>
              <c:strCache>
                <c:ptCount val="5"/>
                <c:pt idx="0">
                  <c:v>May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'6_1'!$K$6:$K$10</c:f>
              <c:numCache>
                <c:formatCode>General</c:formatCode>
                <c:ptCount val="5"/>
                <c:pt idx="0">
                  <c:v>9287</c:v>
                </c:pt>
                <c:pt idx="1">
                  <c:v>8916</c:v>
                </c:pt>
                <c:pt idx="2">
                  <c:v>11339</c:v>
                </c:pt>
                <c:pt idx="3">
                  <c:v>11386</c:v>
                </c:pt>
                <c:pt idx="4">
                  <c:v>7476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9E-4A4C-8260-943EFB73A9C2}"/>
            </c:ext>
          </c:extLst>
        </c:ser>
        <c:ser>
          <c:idx val="2"/>
          <c:order val="2"/>
          <c:tx>
            <c:strRef>
              <c:f>'6_1'!$L$5</c:f>
              <c:strCache>
                <c:ptCount val="1"/>
                <c:pt idx="0">
                  <c:v>Porzeczki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'6_1'!$I$6:$I$10</c:f>
              <c:strCache>
                <c:ptCount val="5"/>
                <c:pt idx="0">
                  <c:v>May</c:v>
                </c:pt>
                <c:pt idx="1">
                  <c:v>Czerwiec</c:v>
                </c:pt>
                <c:pt idx="2">
                  <c:v>Lipiec</c:v>
                </c:pt>
                <c:pt idx="3">
                  <c:v>Sierpień</c:v>
                </c:pt>
                <c:pt idx="4">
                  <c:v>Wrzesień</c:v>
                </c:pt>
              </c:strCache>
            </c:strRef>
          </c:cat>
          <c:val>
            <c:numRef>
              <c:f>'6_1'!$L$6:$L$10</c:f>
              <c:numCache>
                <c:formatCode>General</c:formatCode>
                <c:ptCount val="5"/>
                <c:pt idx="0">
                  <c:v>3309</c:v>
                </c:pt>
                <c:pt idx="1">
                  <c:v>5081</c:v>
                </c:pt>
                <c:pt idx="2">
                  <c:v>10567</c:v>
                </c:pt>
                <c:pt idx="3">
                  <c:v>11078</c:v>
                </c:pt>
                <c:pt idx="4">
                  <c:v>6355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9E-4A4C-8260-943EFB73A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946447"/>
        <c:axId val="371412399"/>
      </c:barChart>
      <c:catAx>
        <c:axId val="38394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Miesi</a:t>
                </a:r>
                <a:r>
                  <a:rPr lang="en-GB" baseline="0"/>
                  <a:t>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412399"/>
        <c:crosses val="autoZero"/>
        <c:auto val="1"/>
        <c:lblAlgn val="ctr"/>
        <c:lblOffset val="100"/>
        <c:noMultiLvlLbl val="0"/>
      </c:catAx>
      <c:valAx>
        <c:axId val="3714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Ilość</a:t>
                </a:r>
                <a:r>
                  <a:rPr lang="en-GB" baseline="0"/>
                  <a:t> kilogramów owoców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94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597142</xdr:colOff>
      <xdr:row>11</xdr:row>
      <xdr:rowOff>145072</xdr:rowOff>
    </xdr:from>
    <xdr:to>
      <xdr:col>14</xdr:col>
      <xdr:colOff>7326</xdr:colOff>
      <xdr:row>35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114B525-7B5F-CD17-16C0-64188DEFC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47.521738194446" createdVersion="8" refreshedVersion="8" minRefreshableVersion="3" recordCount="153" xr:uid="{3097F292-04FE-4E05-A6DF-88821C5D6049}">
  <cacheSource type="worksheet">
    <worksheetSource name="owoce3"/>
  </cacheSource>
  <cacheFields count="6">
    <cacheField name="data" numFmtId="14">
      <sharedItems containsSemiMixedTypes="0" containsNonDate="0" containsDate="1" containsString="0" minDate="2020-05-01T00:00:00" maxDate="2020-10-01T00:00:00" count="153"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par="5"/>
    </cacheField>
    <cacheField name="dostawa_malin" numFmtId="0">
      <sharedItems containsSemiMixedTypes="0" containsString="0" containsNumber="1" containsInteger="1" minValue="142" maxValue="495"/>
    </cacheField>
    <cacheField name="dostawa_truskawek" numFmtId="0">
      <sharedItems containsSemiMixedTypes="0" containsString="0" containsNumber="1" containsInteger="1" minValue="102" maxValue="490"/>
    </cacheField>
    <cacheField name="dostawa_porzeczek" numFmtId="0">
      <sharedItems containsSemiMixedTypes="0" containsString="0" containsNumber="1" containsInteger="1" minValue="72" maxValue="555"/>
    </cacheField>
    <cacheField name="Dni (data)" numFmtId="0" databaseField="0">
      <fieldGroup base="0">
        <rangePr groupBy="days" startDate="2020-05-01T00:00:00" endDate="2020-10-01T00:00:00"/>
        <groupItems count="368">
          <s v="&lt;01/05/20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10/2020"/>
        </groupItems>
      </fieldGroup>
    </cacheField>
    <cacheField name="Miesiące (data)" numFmtId="0" databaseField="0">
      <fieldGroup base="0">
        <rangePr groupBy="months" startDate="2020-05-01T00:00:00" endDate="2020-10-01T00:00:00"/>
        <groupItems count="14">
          <s v="&lt;01/05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10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11"/>
    <n v="281"/>
    <n v="88"/>
  </r>
  <r>
    <x v="1"/>
    <n v="393"/>
    <n v="313"/>
    <n v="83"/>
  </r>
  <r>
    <x v="2"/>
    <n v="389"/>
    <n v="315"/>
    <n v="104"/>
  </r>
  <r>
    <x v="3"/>
    <n v="308"/>
    <n v="221"/>
    <n v="119"/>
  </r>
  <r>
    <x v="4"/>
    <n v="387"/>
    <n v="275"/>
    <n v="72"/>
  </r>
  <r>
    <x v="5"/>
    <n v="294"/>
    <n v="366"/>
    <n v="99"/>
  </r>
  <r>
    <x v="6"/>
    <n v="389"/>
    <n v="288"/>
    <n v="87"/>
  </r>
  <r>
    <x v="7"/>
    <n v="259"/>
    <n v="361"/>
    <n v="112"/>
  </r>
  <r>
    <x v="8"/>
    <n v="369"/>
    <n v="233"/>
    <n v="110"/>
  </r>
  <r>
    <x v="9"/>
    <n v="263"/>
    <n v="393"/>
    <n v="75"/>
  </r>
  <r>
    <x v="10"/>
    <n v="239"/>
    <n v="347"/>
    <n v="94"/>
  </r>
  <r>
    <x v="11"/>
    <n v="282"/>
    <n v="338"/>
    <n v="86"/>
  </r>
  <r>
    <x v="12"/>
    <n v="306"/>
    <n v="273"/>
    <n v="75"/>
  </r>
  <r>
    <x v="13"/>
    <n v="251"/>
    <n v="325"/>
    <n v="89"/>
  </r>
  <r>
    <x v="14"/>
    <n v="224"/>
    <n v="352"/>
    <n v="97"/>
  </r>
  <r>
    <x v="15"/>
    <n v="233"/>
    <n v="270"/>
    <n v="94"/>
  </r>
  <r>
    <x v="16"/>
    <n v="345"/>
    <n v="275"/>
    <n v="90"/>
  </r>
  <r>
    <x v="17"/>
    <n v="232"/>
    <n v="228"/>
    <n v="107"/>
  </r>
  <r>
    <x v="18"/>
    <n v="238"/>
    <n v="394"/>
    <n v="105"/>
  </r>
  <r>
    <x v="19"/>
    <n v="378"/>
    <n v="311"/>
    <n v="110"/>
  </r>
  <r>
    <x v="20"/>
    <n v="281"/>
    <n v="354"/>
    <n v="121"/>
  </r>
  <r>
    <x v="21"/>
    <n v="390"/>
    <n v="267"/>
    <n v="124"/>
  </r>
  <r>
    <x v="22"/>
    <n v="308"/>
    <n v="337"/>
    <n v="105"/>
  </r>
  <r>
    <x v="23"/>
    <n v="391"/>
    <n v="238"/>
    <n v="113"/>
  </r>
  <r>
    <x v="24"/>
    <n v="241"/>
    <n v="283"/>
    <n v="140"/>
  </r>
  <r>
    <x v="25"/>
    <n v="249"/>
    <n v="275"/>
    <n v="118"/>
  </r>
  <r>
    <x v="26"/>
    <n v="298"/>
    <n v="263"/>
    <n v="145"/>
  </r>
  <r>
    <x v="27"/>
    <n v="254"/>
    <n v="241"/>
    <n v="149"/>
  </r>
  <r>
    <x v="28"/>
    <n v="329"/>
    <n v="323"/>
    <n v="134"/>
  </r>
  <r>
    <x v="29"/>
    <n v="213"/>
    <n v="221"/>
    <n v="119"/>
  </r>
  <r>
    <x v="30"/>
    <n v="294"/>
    <n v="326"/>
    <n v="145"/>
  </r>
  <r>
    <x v="31"/>
    <n v="225"/>
    <n v="206"/>
    <n v="122"/>
  </r>
  <r>
    <x v="32"/>
    <n v="264"/>
    <n v="355"/>
    <n v="134"/>
  </r>
  <r>
    <x v="33"/>
    <n v="253"/>
    <n v="271"/>
    <n v="142"/>
  </r>
  <r>
    <x v="34"/>
    <n v="352"/>
    <n v="207"/>
    <n v="125"/>
  </r>
  <r>
    <x v="35"/>
    <n v="269"/>
    <n v="248"/>
    <n v="137"/>
  </r>
  <r>
    <x v="36"/>
    <n v="242"/>
    <n v="247"/>
    <n v="125"/>
  </r>
  <r>
    <x v="37"/>
    <n v="327"/>
    <n v="262"/>
    <n v="103"/>
  </r>
  <r>
    <x v="38"/>
    <n v="316"/>
    <n v="253"/>
    <n v="134"/>
  </r>
  <r>
    <x v="39"/>
    <n v="294"/>
    <n v="249"/>
    <n v="137"/>
  </r>
  <r>
    <x v="40"/>
    <n v="270"/>
    <n v="206"/>
    <n v="146"/>
  </r>
  <r>
    <x v="41"/>
    <n v="349"/>
    <n v="301"/>
    <n v="138"/>
  </r>
  <r>
    <x v="42"/>
    <n v="224"/>
    <n v="385"/>
    <n v="138"/>
  </r>
  <r>
    <x v="43"/>
    <n v="309"/>
    <n v="204"/>
    <n v="140"/>
  </r>
  <r>
    <x v="44"/>
    <n v="246"/>
    <n v="275"/>
    <n v="130"/>
  </r>
  <r>
    <x v="45"/>
    <n v="241"/>
    <n v="247"/>
    <n v="166"/>
  </r>
  <r>
    <x v="46"/>
    <n v="365"/>
    <n v="256"/>
    <n v="132"/>
  </r>
  <r>
    <x v="47"/>
    <n v="225"/>
    <n v="392"/>
    <n v="158"/>
  </r>
  <r>
    <x v="48"/>
    <n v="335"/>
    <n v="254"/>
    <n v="173"/>
  </r>
  <r>
    <x v="49"/>
    <n v="376"/>
    <n v="258"/>
    <n v="151"/>
  </r>
  <r>
    <x v="50"/>
    <n v="310"/>
    <n v="248"/>
    <n v="173"/>
  </r>
  <r>
    <x v="51"/>
    <n v="408"/>
    <n v="250"/>
    <n v="242"/>
  </r>
  <r>
    <x v="52"/>
    <n v="256"/>
    <n v="393"/>
    <n v="219"/>
  </r>
  <r>
    <x v="53"/>
    <n v="322"/>
    <n v="425"/>
    <n v="215"/>
  </r>
  <r>
    <x v="54"/>
    <n v="447"/>
    <n v="385"/>
    <n v="212"/>
  </r>
  <r>
    <x v="55"/>
    <n v="408"/>
    <n v="260"/>
    <n v="225"/>
  </r>
  <r>
    <x v="56"/>
    <n v="283"/>
    <n v="396"/>
    <n v="221"/>
  </r>
  <r>
    <x v="57"/>
    <n v="414"/>
    <n v="314"/>
    <n v="220"/>
  </r>
  <r>
    <x v="58"/>
    <n v="442"/>
    <n v="449"/>
    <n v="245"/>
  </r>
  <r>
    <x v="59"/>
    <n v="269"/>
    <n v="370"/>
    <n v="242"/>
  </r>
  <r>
    <x v="60"/>
    <n v="444"/>
    <n v="350"/>
    <n v="236"/>
  </r>
  <r>
    <x v="61"/>
    <n v="425"/>
    <n v="342"/>
    <n v="237"/>
  </r>
  <r>
    <x v="62"/>
    <n v="377"/>
    <n v="290"/>
    <n v="240"/>
  </r>
  <r>
    <x v="63"/>
    <n v="382"/>
    <n v="360"/>
    <n v="203"/>
  </r>
  <r>
    <x v="64"/>
    <n v="287"/>
    <n v="428"/>
    <n v="204"/>
  </r>
  <r>
    <x v="65"/>
    <n v="429"/>
    <n v="394"/>
    <n v="246"/>
  </r>
  <r>
    <x v="66"/>
    <n v="287"/>
    <n v="356"/>
    <n v="233"/>
  </r>
  <r>
    <x v="67"/>
    <n v="421"/>
    <n v="292"/>
    <n v="226"/>
  </r>
  <r>
    <x v="68"/>
    <n v="334"/>
    <n v="353"/>
    <n v="282"/>
  </r>
  <r>
    <x v="69"/>
    <n v="282"/>
    <n v="329"/>
    <n v="262"/>
  </r>
  <r>
    <x v="70"/>
    <n v="356"/>
    <n v="331"/>
    <n v="290"/>
  </r>
  <r>
    <x v="71"/>
    <n v="307"/>
    <n v="394"/>
    <n v="256"/>
  </r>
  <r>
    <x v="72"/>
    <n v="441"/>
    <n v="271"/>
    <n v="292"/>
  </r>
  <r>
    <x v="73"/>
    <n v="407"/>
    <n v="311"/>
    <n v="280"/>
  </r>
  <r>
    <x v="74"/>
    <n v="480"/>
    <n v="342"/>
    <n v="292"/>
  </r>
  <r>
    <x v="75"/>
    <n v="494"/>
    <n v="310"/>
    <n v="275"/>
  </r>
  <r>
    <x v="76"/>
    <n v="493"/>
    <n v="431"/>
    <n v="283"/>
  </r>
  <r>
    <x v="77"/>
    <n v="302"/>
    <n v="415"/>
    <n v="297"/>
  </r>
  <r>
    <x v="78"/>
    <n v="331"/>
    <n v="353"/>
    <n v="373"/>
  </r>
  <r>
    <x v="79"/>
    <n v="486"/>
    <n v="323"/>
    <n v="359"/>
  </r>
  <r>
    <x v="80"/>
    <n v="360"/>
    <n v="331"/>
    <n v="445"/>
  </r>
  <r>
    <x v="81"/>
    <n v="391"/>
    <n v="455"/>
    <n v="427"/>
  </r>
  <r>
    <x v="82"/>
    <n v="327"/>
    <n v="471"/>
    <n v="423"/>
  </r>
  <r>
    <x v="83"/>
    <n v="355"/>
    <n v="490"/>
    <n v="449"/>
  </r>
  <r>
    <x v="84"/>
    <n v="360"/>
    <n v="339"/>
    <n v="470"/>
  </r>
  <r>
    <x v="85"/>
    <n v="303"/>
    <n v="404"/>
    <n v="434"/>
  </r>
  <r>
    <x v="86"/>
    <n v="310"/>
    <n v="332"/>
    <n v="536"/>
  </r>
  <r>
    <x v="87"/>
    <n v="435"/>
    <n v="406"/>
    <n v="421"/>
  </r>
  <r>
    <x v="88"/>
    <n v="344"/>
    <n v="348"/>
    <n v="555"/>
  </r>
  <r>
    <x v="89"/>
    <n v="303"/>
    <n v="335"/>
    <n v="436"/>
  </r>
  <r>
    <x v="90"/>
    <n v="433"/>
    <n v="425"/>
    <n v="422"/>
  </r>
  <r>
    <x v="91"/>
    <n v="350"/>
    <n v="378"/>
    <n v="419"/>
  </r>
  <r>
    <x v="92"/>
    <n v="396"/>
    <n v="466"/>
    <n v="434"/>
  </r>
  <r>
    <x v="93"/>
    <n v="495"/>
    <n v="410"/>
    <n v="418"/>
  </r>
  <r>
    <x v="94"/>
    <n v="420"/>
    <n v="328"/>
    <n v="422"/>
  </r>
  <r>
    <x v="95"/>
    <n v="411"/>
    <n v="481"/>
    <n v="445"/>
  </r>
  <r>
    <x v="96"/>
    <n v="317"/>
    <n v="434"/>
    <n v="411"/>
  </r>
  <r>
    <x v="97"/>
    <n v="342"/>
    <n v="465"/>
    <n v="417"/>
  </r>
  <r>
    <x v="98"/>
    <n v="450"/>
    <n v="318"/>
    <n v="490"/>
  </r>
  <r>
    <x v="99"/>
    <n v="343"/>
    <n v="329"/>
    <n v="345"/>
  </r>
  <r>
    <x v="100"/>
    <n v="287"/>
    <n v="328"/>
    <n v="377"/>
  </r>
  <r>
    <x v="101"/>
    <n v="298"/>
    <n v="401"/>
    <n v="416"/>
  </r>
  <r>
    <x v="102"/>
    <n v="429"/>
    <n v="348"/>
    <n v="426"/>
  </r>
  <r>
    <x v="103"/>
    <n v="417"/>
    <n v="457"/>
    <n v="438"/>
  </r>
  <r>
    <x v="104"/>
    <n v="384"/>
    <n v="330"/>
    <n v="292"/>
  </r>
  <r>
    <x v="105"/>
    <n v="370"/>
    <n v="388"/>
    <n v="390"/>
  </r>
  <r>
    <x v="106"/>
    <n v="436"/>
    <n v="298"/>
    <n v="420"/>
  </r>
  <r>
    <x v="107"/>
    <n v="303"/>
    <n v="429"/>
    <n v="407"/>
  </r>
  <r>
    <x v="108"/>
    <n v="449"/>
    <n v="444"/>
    <n v="425"/>
  </r>
  <r>
    <x v="109"/>
    <n v="300"/>
    <n v="358"/>
    <n v="377"/>
  </r>
  <r>
    <x v="110"/>
    <n v="307"/>
    <n v="417"/>
    <n v="405"/>
  </r>
  <r>
    <x v="111"/>
    <n v="314"/>
    <n v="340"/>
    <n v="345"/>
  </r>
  <r>
    <x v="112"/>
    <n v="379"/>
    <n v="288"/>
    <n v="353"/>
  </r>
  <r>
    <x v="113"/>
    <n v="405"/>
    <n v="454"/>
    <n v="342"/>
  </r>
  <r>
    <x v="114"/>
    <n v="407"/>
    <n v="300"/>
    <n v="365"/>
  </r>
  <r>
    <x v="115"/>
    <n v="432"/>
    <n v="423"/>
    <n v="221"/>
  </r>
  <r>
    <x v="116"/>
    <n v="405"/>
    <n v="449"/>
    <n v="231"/>
  </r>
  <r>
    <x v="117"/>
    <n v="162"/>
    <n v="294"/>
    <n v="255"/>
  </r>
  <r>
    <x v="118"/>
    <n v="297"/>
    <n v="341"/>
    <n v="223"/>
  </r>
  <r>
    <x v="119"/>
    <n v="226"/>
    <n v="329"/>
    <n v="261"/>
  </r>
  <r>
    <x v="120"/>
    <n v="226"/>
    <n v="256"/>
    <n v="239"/>
  </r>
  <r>
    <x v="121"/>
    <n v="287"/>
    <n v="217"/>
    <n v="262"/>
  </r>
  <r>
    <x v="122"/>
    <n v="351"/>
    <n v="266"/>
    <n v="226"/>
  </r>
  <r>
    <x v="123"/>
    <n v="214"/>
    <n v="260"/>
    <n v="241"/>
  </r>
  <r>
    <x v="124"/>
    <n v="282"/>
    <n v="227"/>
    <n v="258"/>
  </r>
  <r>
    <x v="125"/>
    <n v="257"/>
    <n v="251"/>
    <n v="252"/>
  </r>
  <r>
    <x v="126"/>
    <n v="172"/>
    <n v="171"/>
    <n v="268"/>
  </r>
  <r>
    <x v="127"/>
    <n v="197"/>
    <n v="326"/>
    <n v="224"/>
  </r>
  <r>
    <x v="128"/>
    <n v="292"/>
    <n v="329"/>
    <n v="255"/>
  </r>
  <r>
    <x v="129"/>
    <n v="172"/>
    <n v="216"/>
    <n v="199"/>
  </r>
  <r>
    <x v="130"/>
    <n v="258"/>
    <n v="291"/>
    <n v="220"/>
  </r>
  <r>
    <x v="131"/>
    <n v="276"/>
    <n v="347"/>
    <n v="197"/>
  </r>
  <r>
    <x v="132"/>
    <n v="210"/>
    <n v="333"/>
    <n v="218"/>
  </r>
  <r>
    <x v="133"/>
    <n v="168"/>
    <n v="211"/>
    <n v="180"/>
  </r>
  <r>
    <x v="134"/>
    <n v="196"/>
    <n v="348"/>
    <n v="225"/>
  </r>
  <r>
    <x v="135"/>
    <n v="284"/>
    <n v="226"/>
    <n v="197"/>
  </r>
  <r>
    <x v="136"/>
    <n v="162"/>
    <n v="345"/>
    <n v="194"/>
  </r>
  <r>
    <x v="137"/>
    <n v="212"/>
    <n v="184"/>
    <n v="183"/>
  </r>
  <r>
    <x v="138"/>
    <n v="165"/>
    <n v="232"/>
    <n v="202"/>
  </r>
  <r>
    <x v="139"/>
    <n v="163"/>
    <n v="314"/>
    <n v="213"/>
  </r>
  <r>
    <x v="140"/>
    <n v="200"/>
    <n v="307"/>
    <n v="206"/>
  </r>
  <r>
    <x v="141"/>
    <n v="201"/>
    <n v="274"/>
    <n v="210"/>
  </r>
  <r>
    <x v="142"/>
    <n v="269"/>
    <n v="278"/>
    <n v="228"/>
  </r>
  <r>
    <x v="143"/>
    <n v="188"/>
    <n v="195"/>
    <n v="207"/>
  </r>
  <r>
    <x v="144"/>
    <n v="142"/>
    <n v="249"/>
    <n v="202"/>
  </r>
  <r>
    <x v="145"/>
    <n v="232"/>
    <n v="116"/>
    <n v="195"/>
  </r>
  <r>
    <x v="146"/>
    <n v="296"/>
    <n v="102"/>
    <n v="192"/>
  </r>
  <r>
    <x v="147"/>
    <n v="161"/>
    <n v="151"/>
    <n v="216"/>
  </r>
  <r>
    <x v="148"/>
    <n v="162"/>
    <n v="261"/>
    <n v="184"/>
  </r>
  <r>
    <x v="149"/>
    <n v="216"/>
    <n v="147"/>
    <n v="204"/>
  </r>
  <r>
    <x v="150"/>
    <n v="282"/>
    <n v="297"/>
    <n v="195"/>
  </r>
  <r>
    <x v="151"/>
    <n v="214"/>
    <n v="198"/>
    <n v="200"/>
  </r>
  <r>
    <x v="152"/>
    <n v="289"/>
    <n v="290"/>
    <n v="1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EEE79C-F74A-43BB-AF68-7AA9D6E93E25}" name="Tabela przestawna1" cacheId="4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5" rowHeaderCaption="Miesiąc">
  <location ref="I5:L10" firstHeaderRow="0" firstDataRow="1" firstDataCol="1"/>
  <pivotFields count="6">
    <pivotField numFmtId="14" showAll="0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numFmtId="166" showAll="0">
      <items count="15">
        <item sd="0" x="0"/>
        <item sd="0" x="1"/>
        <item sd="0" x="2"/>
        <item sd="0" x="3"/>
        <item sd="0" x="4"/>
        <item sd="0" x="5"/>
        <item n="Czerwiec" sd="0" x="6"/>
        <item n="Lipiec" sd="0" x="7"/>
        <item n="Sierpień" sd="0" x="8"/>
        <item n="Wrzesień"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 v="5"/>
    </i>
    <i>
      <x v="6"/>
    </i>
    <i>
      <x v="7"/>
    </i>
    <i>
      <x v="8"/>
    </i>
    <i>
      <x v="9"/>
    </i>
  </rowItems>
  <colFields count="1">
    <field x="-2"/>
  </colFields>
  <colItems count="3">
    <i>
      <x/>
    </i>
    <i i="1">
      <x v="1"/>
    </i>
    <i i="2">
      <x v="2"/>
    </i>
  </colItems>
  <dataFields count="3">
    <dataField name="Maliny" fld="1" baseField="0" baseItem="0"/>
    <dataField name="Truskawki" fld="2" baseField="0" baseItem="0"/>
    <dataField name="Porzeczki" fld="3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835142-950D-4370-A6E4-EAE78F834819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8D653FE-27D0-40D2-BE86-0E22BFBE11F4}" autoFormatId="16" applyNumberFormats="0" applyBorderFormats="0" applyFontFormats="0" applyPatternFormats="0" applyAlignmentFormats="0" applyWidthHeightFormats="0">
  <queryTableRefresh nextId="5">
    <queryTableFields count="4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B2ABDAA-326D-4B7A-9DA7-FDB037F4B47A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  <queryTableField id="5" dataBound="0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7B98E37-1E07-4A53-A0D3-DA5D9DDFC8BA}" autoFormatId="16" applyNumberFormats="0" applyBorderFormats="0" applyFontFormats="0" applyPatternFormats="0" applyAlignmentFormats="0" applyWidthHeightFormats="0">
  <queryTableRefresh nextId="12" unboundColumnsRight="7">
    <queryTableFields count="11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81BB73F-37B5-4C4D-A126-70DF968F1AE0}" autoFormatId="16" applyNumberFormats="0" applyBorderFormats="0" applyFontFormats="0" applyPatternFormats="0" applyAlignmentFormats="0" applyWidthHeightFormats="0">
  <queryTableRefresh nextId="15" unboundColumnsRight="10">
    <queryTableFields count="14">
      <queryTableField id="1" name="data" tableColumnId="1"/>
      <queryTableField id="2" name="dostawa_malin" tableColumnId="2"/>
      <queryTableField id="3" name="dostawa_truskawek" tableColumnId="3"/>
      <queryTableField id="4" name="dostawa_porzeczek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63CA51-7D00-4346-B32A-7D375680C7C1}" name="owoce" displayName="owoce" ref="A1:D154" tableType="queryTable" totalsRowShown="0">
  <autoFilter ref="A1:D154" xr:uid="{0C63CA51-7D00-4346-B32A-7D375680C7C1}"/>
  <tableColumns count="4">
    <tableColumn id="1" xr3:uid="{960FB429-97A0-48DA-B462-F0611B5A882A}" uniqueName="1" name="data" queryTableFieldId="1" dataDxfId="8"/>
    <tableColumn id="2" xr3:uid="{3BC3F7B6-CAC7-41E9-9E9E-F8C433A60E27}" uniqueName="2" name="dostawa_malin" queryTableFieldId="2"/>
    <tableColumn id="3" xr3:uid="{920BAD09-F4A3-4960-8B06-9B994D931CDB}" uniqueName="3" name="dostawa_truskawek" queryTableFieldId="3"/>
    <tableColumn id="4" xr3:uid="{DF17A630-1345-4EE4-B49D-4EF42E0D4DFA}" uniqueName="4" name="dostawa_porzeczek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C241B9-9C3A-4079-8B3A-4AF8BF86D6DF}" name="owoce3" displayName="owoce3" ref="A1:D154" tableType="queryTable" totalsRowShown="0">
  <autoFilter ref="A1:D154" xr:uid="{CCC241B9-9C3A-4079-8B3A-4AF8BF86D6DF}"/>
  <tableColumns count="4">
    <tableColumn id="1" xr3:uid="{2A519993-A53D-4B33-8516-C630912E61FD}" uniqueName="1" name="data" queryTableFieldId="1" dataDxfId="7"/>
    <tableColumn id="2" xr3:uid="{6995330F-8243-4EBE-8082-E25FA49F5B03}" uniqueName="2" name="dostawa_malin" queryTableFieldId="2"/>
    <tableColumn id="3" xr3:uid="{9C9EB3AD-0ECC-4347-8C84-9FAB23D3C2B6}" uniqueName="3" name="dostawa_truskawek" queryTableFieldId="3"/>
    <tableColumn id="4" xr3:uid="{27695400-A564-4AE1-A817-A78B9627D9BA}" uniqueName="4" name="dostawa_porzeczek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B4625D-6B08-4D27-A147-BF870458A3E6}" name="owoce4" displayName="owoce4" ref="A1:E154" tableType="queryTable" totalsRowShown="0">
  <autoFilter ref="A1:E154" xr:uid="{4EB4625D-6B08-4D27-A147-BF870458A3E6}"/>
  <tableColumns count="5">
    <tableColumn id="1" xr3:uid="{8AD01DB5-273F-4FF7-8544-415A3CBF22A6}" uniqueName="1" name="data" queryTableFieldId="1" dataDxfId="6"/>
    <tableColumn id="2" xr3:uid="{D691185C-33B7-42EE-92A1-0E2F716E8F0C}" uniqueName="2" name="dostawa_malin" queryTableFieldId="2"/>
    <tableColumn id="3" xr3:uid="{B33ADA07-DDE6-458B-AF5F-A0CC15E63821}" uniqueName="3" name="dostawa_truskawek" queryTableFieldId="3"/>
    <tableColumn id="4" xr3:uid="{AD71B2CB-DEA1-45DA-A83C-8ACAD4AF25ED}" uniqueName="4" name="dostawa_porzeczek" queryTableFieldId="4"/>
    <tableColumn id="5" xr3:uid="{419018F9-C8C7-402F-8F93-B3DDF70E732F}" uniqueName="5" name="Czy_najwiecej_porzeczek" queryTableFieldId="5" dataDxfId="5">
      <calculatedColumnFormula>IF(D2&gt;C2,IF(D2&gt;B2, 1, 0),0)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415CBB-3B76-412D-803E-F9FEDFEA1BAE}" name="owoce5" displayName="owoce5" ref="A1:K154" tableType="queryTable" totalsRowShown="0">
  <autoFilter ref="A1:K154" xr:uid="{82415CBB-3B76-412D-803E-F9FEDFEA1BAE}"/>
  <tableColumns count="11">
    <tableColumn id="1" xr3:uid="{31A6C038-B72B-47AE-9415-D2FC2DD57A9A}" uniqueName="1" name="data" queryTableFieldId="1" dataDxfId="4"/>
    <tableColumn id="2" xr3:uid="{CBA91D16-BE24-4B77-A296-A02D998084D5}" uniqueName="2" name="dostawa_malin" queryTableFieldId="2"/>
    <tableColumn id="3" xr3:uid="{B876477C-3B38-4759-8C96-BF52E85C1A9E}" uniqueName="3" name="dostawa_truskawek" queryTableFieldId="3"/>
    <tableColumn id="4" xr3:uid="{59837150-105E-4534-93C8-A91122A557C6}" uniqueName="4" name="dostawa_porzeczek" queryTableFieldId="4"/>
    <tableColumn id="5" xr3:uid="{62F583FB-BD79-46DD-807D-D4ECF245BD5E}" uniqueName="5" name="stan_malin" queryTableFieldId="5"/>
    <tableColumn id="6" xr3:uid="{B4FA27E2-3547-43CB-B20C-38A815D3D184}" uniqueName="6" name="stan_truskawek" queryTableFieldId="6"/>
    <tableColumn id="7" xr3:uid="{575E232D-D0AD-4142-A321-1A6CC81E26C3}" uniqueName="7" name="stan_porzeczek" queryTableFieldId="7"/>
    <tableColumn id="8" xr3:uid="{B0C6807B-7DB5-4E49-AF5F-93D30AC740CA}" uniqueName="8" name="jaka_konfitura" queryTableFieldId="8"/>
    <tableColumn id="9" xr3:uid="{9515F924-45D5-4CFE-961A-CD1E495EC693}" uniqueName="9" name="reszta_m" queryTableFieldId="9"/>
    <tableColumn id="10" xr3:uid="{0AB2B9FB-61A8-4100-8FEE-51BC95A4A4FF}" uniqueName="10" name="reszta_t" queryTableFieldId="10"/>
    <tableColumn id="11" xr3:uid="{75837316-1B5D-49DE-A723-46C3BDBA390A}" uniqueName="11" name="reszta_p" queryTableField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53A706-8333-4400-B0A1-23A62C50E41B}" name="owoce56" displayName="owoce56" ref="A1:N154" tableType="queryTable" totalsRowShown="0">
  <autoFilter ref="A1:N154" xr:uid="{DA53A706-8333-4400-B0A1-23A62C50E41B}"/>
  <tableColumns count="14">
    <tableColumn id="1" xr3:uid="{89FA3A67-E2D3-4D62-B183-4AAB79416E2D}" uniqueName="1" name="data" queryTableFieldId="1" dataDxfId="3"/>
    <tableColumn id="2" xr3:uid="{F5BE7881-882D-4AB6-89FC-D806314CBBC6}" uniqueName="2" name="dostawa_malin" queryTableFieldId="2"/>
    <tableColumn id="3" xr3:uid="{7409D197-6A21-41A6-BCFC-324421D0FFEA}" uniqueName="3" name="dostawa_truskawek" queryTableFieldId="3"/>
    <tableColumn id="4" xr3:uid="{7E9174FC-A7B8-4DC2-BA07-5577B71F8C93}" uniqueName="4" name="dostawa_porzeczek" queryTableFieldId="4"/>
    <tableColumn id="5" xr3:uid="{6435A728-53A8-4258-B22F-B226348602FD}" uniqueName="5" name="stan_malin" queryTableFieldId="5"/>
    <tableColumn id="6" xr3:uid="{456A8296-60E0-4570-99A7-CFB743221E87}" uniqueName="6" name="stan_truskawek" queryTableFieldId="6"/>
    <tableColumn id="7" xr3:uid="{1A348993-BCA4-4AF1-AFF3-297CC08E4C5E}" uniqueName="7" name="stan_porzeczek" queryTableFieldId="7"/>
    <tableColumn id="8" xr3:uid="{C3EF9CD3-6C3F-424D-8AF0-91D74DD5999D}" uniqueName="8" name="jaka_konfitura" queryTableFieldId="8">
      <calculatedColumnFormula>IF(E2=MIN(E2:G2), "Truskawkowo-Porzeczkowa", IF(F2=MIN(E2:G2), "Malinowo-Porzeczkowa", "Malinowo-Truskawkowa"))</calculatedColumnFormula>
    </tableColumn>
    <tableColumn id="9" xr3:uid="{C31E9CC6-D532-433A-AF34-64FA73436939}" uniqueName="9" name="reszta_m" queryTableFieldId="9">
      <calculatedColumnFormula>IF(E2=MIN($E2:$G2), E2, E2-MEDIAN($E2:G2))</calculatedColumnFormula>
    </tableColumn>
    <tableColumn id="10" xr3:uid="{E4AABBFF-982C-444B-B61D-928F25425A56}" uniqueName="10" name="reszta_t" queryTableFieldId="10">
      <calculatedColumnFormula>IF(F2=MIN($E2:$G2), F2, F2-MEDIAN($E2:G2))</calculatedColumnFormula>
    </tableColumn>
    <tableColumn id="11" xr3:uid="{71CE25CC-518F-47C2-9B13-1E150FAD361F}" uniqueName="11" name="reszta_p" queryTableFieldId="11">
      <calculatedColumnFormula>IF(G2=MIN($E2:$G2), G2, G2-MEDIAN($E2:G2))</calculatedColumnFormula>
    </tableColumn>
    <tableColumn id="12" xr3:uid="{383C9D97-FC82-4746-9826-7ECF4CF6EF04}" uniqueName="12" name="Produkcja malinowo-truskawkowej" queryTableFieldId="12" dataDxfId="2">
      <calculatedColumnFormula>IF(H2="Malinowo-Truskawkowa", MEDIAN($E2:$G2), 0)</calculatedColumnFormula>
    </tableColumn>
    <tableColumn id="13" xr3:uid="{1B8AF2D8-79C9-4298-B813-908046A45D88}" uniqueName="13" name="Produkcja malinowo-porzeczkowej" queryTableFieldId="13" dataDxfId="1">
      <calculatedColumnFormula>IF(H2="Malinowo-Porzeczkowa", MEDIAN($E2:$G2), 0)</calculatedColumnFormula>
    </tableColumn>
    <tableColumn id="14" xr3:uid="{7A97211C-B46F-4490-B0CD-6B533E8AC19E}" uniqueName="14" name="Produkcja truskawkowo-porzeczkowej" queryTableFieldId="14" dataDxfId="0">
      <calculatedColumnFormula>IF(H2="Truskawkowo-Porzeczkowa", MEDIAN($E2:$G2),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D2E6-C49D-49BF-BE3E-E01FEA24B3FF}">
  <dimension ref="A1:D154"/>
  <sheetViews>
    <sheetView topLeftCell="A127" zoomScale="175" zoomScaleNormal="175" workbookViewId="0">
      <selection sqref="A1:D154"/>
    </sheetView>
  </sheetViews>
  <sheetFormatPr defaultRowHeight="15" x14ac:dyDescent="0.25"/>
  <cols>
    <col min="1" max="1" width="14.7109375" customWidth="1"/>
    <col min="2" max="2" width="16.85546875" bestFit="1" customWidth="1"/>
    <col min="3" max="3" width="21.140625" bestFit="1" customWidth="1"/>
    <col min="4" max="4" width="2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43952</v>
      </c>
      <c r="B2">
        <v>211</v>
      </c>
      <c r="C2">
        <v>281</v>
      </c>
      <c r="D2">
        <v>88</v>
      </c>
    </row>
    <row r="3" spans="1:4" x14ac:dyDescent="0.25">
      <c r="A3" s="1">
        <v>43953</v>
      </c>
      <c r="B3">
        <v>393</v>
      </c>
      <c r="C3">
        <v>313</v>
      </c>
      <c r="D3">
        <v>83</v>
      </c>
    </row>
    <row r="4" spans="1:4" x14ac:dyDescent="0.25">
      <c r="A4" s="1">
        <v>43954</v>
      </c>
      <c r="B4">
        <v>389</v>
      </c>
      <c r="C4">
        <v>315</v>
      </c>
      <c r="D4">
        <v>104</v>
      </c>
    </row>
    <row r="5" spans="1:4" x14ac:dyDescent="0.25">
      <c r="A5" s="1">
        <v>43955</v>
      </c>
      <c r="B5">
        <v>308</v>
      </c>
      <c r="C5">
        <v>221</v>
      </c>
      <c r="D5">
        <v>119</v>
      </c>
    </row>
    <row r="6" spans="1:4" x14ac:dyDescent="0.25">
      <c r="A6" s="1">
        <v>43956</v>
      </c>
      <c r="B6">
        <v>387</v>
      </c>
      <c r="C6">
        <v>275</v>
      </c>
      <c r="D6">
        <v>72</v>
      </c>
    </row>
    <row r="7" spans="1:4" x14ac:dyDescent="0.25">
      <c r="A7" s="1">
        <v>43957</v>
      </c>
      <c r="B7">
        <v>294</v>
      </c>
      <c r="C7">
        <v>366</v>
      </c>
      <c r="D7">
        <v>99</v>
      </c>
    </row>
    <row r="8" spans="1:4" x14ac:dyDescent="0.25">
      <c r="A8" s="1">
        <v>43958</v>
      </c>
      <c r="B8">
        <v>389</v>
      </c>
      <c r="C8">
        <v>288</v>
      </c>
      <c r="D8">
        <v>87</v>
      </c>
    </row>
    <row r="9" spans="1:4" x14ac:dyDescent="0.25">
      <c r="A9" s="1">
        <v>43959</v>
      </c>
      <c r="B9">
        <v>259</v>
      </c>
      <c r="C9">
        <v>361</v>
      </c>
      <c r="D9">
        <v>112</v>
      </c>
    </row>
    <row r="10" spans="1:4" x14ac:dyDescent="0.25">
      <c r="A10" s="1">
        <v>43960</v>
      </c>
      <c r="B10">
        <v>369</v>
      </c>
      <c r="C10">
        <v>233</v>
      </c>
      <c r="D10">
        <v>110</v>
      </c>
    </row>
    <row r="11" spans="1:4" x14ac:dyDescent="0.25">
      <c r="A11" s="1">
        <v>43961</v>
      </c>
      <c r="B11">
        <v>263</v>
      </c>
      <c r="C11">
        <v>393</v>
      </c>
      <c r="D11">
        <v>75</v>
      </c>
    </row>
    <row r="12" spans="1:4" x14ac:dyDescent="0.25">
      <c r="A12" s="1">
        <v>43962</v>
      </c>
      <c r="B12">
        <v>239</v>
      </c>
      <c r="C12">
        <v>347</v>
      </c>
      <c r="D12">
        <v>94</v>
      </c>
    </row>
    <row r="13" spans="1:4" x14ac:dyDescent="0.25">
      <c r="A13" s="1">
        <v>43963</v>
      </c>
      <c r="B13">
        <v>282</v>
      </c>
      <c r="C13">
        <v>338</v>
      </c>
      <c r="D13">
        <v>86</v>
      </c>
    </row>
    <row r="14" spans="1:4" x14ac:dyDescent="0.25">
      <c r="A14" s="1">
        <v>43964</v>
      </c>
      <c r="B14">
        <v>306</v>
      </c>
      <c r="C14">
        <v>273</v>
      </c>
      <c r="D14">
        <v>75</v>
      </c>
    </row>
    <row r="15" spans="1:4" x14ac:dyDescent="0.25">
      <c r="A15" s="1">
        <v>43965</v>
      </c>
      <c r="B15">
        <v>251</v>
      </c>
      <c r="C15">
        <v>325</v>
      </c>
      <c r="D15">
        <v>89</v>
      </c>
    </row>
    <row r="16" spans="1:4" x14ac:dyDescent="0.25">
      <c r="A16" s="1">
        <v>43966</v>
      </c>
      <c r="B16">
        <v>224</v>
      </c>
      <c r="C16">
        <v>352</v>
      </c>
      <c r="D16">
        <v>97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4"/>
  <sheetViews>
    <sheetView zoomScale="130" zoomScaleNormal="130" workbookViewId="0">
      <selection activeCell="R10" sqref="R10"/>
    </sheetView>
  </sheetViews>
  <sheetFormatPr defaultRowHeight="15" x14ac:dyDescent="0.25"/>
  <cols>
    <col min="1" max="1" width="14.28515625" customWidth="1"/>
    <col min="2" max="2" width="16.85546875" bestFit="1" customWidth="1"/>
    <col min="3" max="3" width="21.140625" bestFit="1" customWidth="1"/>
    <col min="4" max="4" width="20.85546875" bestFit="1" customWidth="1"/>
    <col min="9" max="9" width="17.7109375" bestFit="1" customWidth="1"/>
    <col min="10" max="10" width="21.42578125" bestFit="1" customWidth="1"/>
    <col min="11" max="11" width="25.7109375" bestFit="1" customWidth="1"/>
    <col min="12" max="12" width="2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</row>
    <row r="2" spans="1:12" x14ac:dyDescent="0.25">
      <c r="A2" s="1">
        <v>43952</v>
      </c>
      <c r="B2">
        <v>211</v>
      </c>
      <c r="C2">
        <v>281</v>
      </c>
      <c r="D2">
        <v>88</v>
      </c>
    </row>
    <row r="3" spans="1:12" x14ac:dyDescent="0.25">
      <c r="A3" s="1">
        <v>43953</v>
      </c>
      <c r="B3">
        <v>393</v>
      </c>
      <c r="C3">
        <v>313</v>
      </c>
      <c r="D3">
        <v>83</v>
      </c>
    </row>
    <row r="4" spans="1:12" x14ac:dyDescent="0.25">
      <c r="A4" s="1">
        <v>43954</v>
      </c>
      <c r="B4">
        <v>389</v>
      </c>
      <c r="C4">
        <v>315</v>
      </c>
      <c r="D4">
        <v>104</v>
      </c>
    </row>
    <row r="5" spans="1:12" x14ac:dyDescent="0.25">
      <c r="A5" s="1">
        <v>43955</v>
      </c>
      <c r="B5">
        <v>308</v>
      </c>
      <c r="C5">
        <v>221</v>
      </c>
      <c r="D5">
        <v>119</v>
      </c>
      <c r="I5" s="2" t="s">
        <v>9</v>
      </c>
      <c r="J5" t="s">
        <v>10</v>
      </c>
      <c r="K5" t="s">
        <v>11</v>
      </c>
      <c r="L5" t="s">
        <v>12</v>
      </c>
    </row>
    <row r="6" spans="1:12" x14ac:dyDescent="0.25">
      <c r="A6" s="1">
        <v>43956</v>
      </c>
      <c r="B6">
        <v>387</v>
      </c>
      <c r="C6">
        <v>275</v>
      </c>
      <c r="D6">
        <v>72</v>
      </c>
      <c r="I6" s="4" t="s">
        <v>4</v>
      </c>
      <c r="J6" s="3">
        <v>9238</v>
      </c>
      <c r="K6" s="3">
        <v>9287</v>
      </c>
      <c r="L6" s="3">
        <v>3309</v>
      </c>
    </row>
    <row r="7" spans="1:12" x14ac:dyDescent="0.25">
      <c r="A7" s="1">
        <v>43957</v>
      </c>
      <c r="B7">
        <v>294</v>
      </c>
      <c r="C7">
        <v>366</v>
      </c>
      <c r="D7">
        <v>99</v>
      </c>
      <c r="I7" s="4" t="s">
        <v>5</v>
      </c>
      <c r="J7" s="3">
        <v>9485</v>
      </c>
      <c r="K7" s="3">
        <v>8916</v>
      </c>
      <c r="L7" s="3">
        <v>5081</v>
      </c>
    </row>
    <row r="8" spans="1:12" x14ac:dyDescent="0.25">
      <c r="A8" s="1">
        <v>43958</v>
      </c>
      <c r="B8">
        <v>389</v>
      </c>
      <c r="C8">
        <v>288</v>
      </c>
      <c r="D8">
        <v>87</v>
      </c>
      <c r="I8" s="4" t="s">
        <v>6</v>
      </c>
      <c r="J8" s="3">
        <v>11592</v>
      </c>
      <c r="K8" s="3">
        <v>11339</v>
      </c>
      <c r="L8" s="3">
        <v>10567</v>
      </c>
    </row>
    <row r="9" spans="1:12" x14ac:dyDescent="0.25">
      <c r="A9" s="1">
        <v>43959</v>
      </c>
      <c r="B9">
        <v>259</v>
      </c>
      <c r="C9">
        <v>361</v>
      </c>
      <c r="D9">
        <v>112</v>
      </c>
      <c r="I9" s="4" t="s">
        <v>7</v>
      </c>
      <c r="J9" s="3">
        <v>11045</v>
      </c>
      <c r="K9" s="3">
        <v>11386</v>
      </c>
      <c r="L9" s="3">
        <v>11078</v>
      </c>
    </row>
    <row r="10" spans="1:12" x14ac:dyDescent="0.25">
      <c r="A10" s="1">
        <v>43960</v>
      </c>
      <c r="B10">
        <v>369</v>
      </c>
      <c r="C10">
        <v>233</v>
      </c>
      <c r="D10">
        <v>110</v>
      </c>
      <c r="I10" s="4" t="s">
        <v>8</v>
      </c>
      <c r="J10" s="3">
        <v>6532</v>
      </c>
      <c r="K10" s="3">
        <v>7476</v>
      </c>
      <c r="L10" s="3">
        <v>6355</v>
      </c>
    </row>
    <row r="11" spans="1:12" x14ac:dyDescent="0.25">
      <c r="A11" s="1">
        <v>43961</v>
      </c>
      <c r="B11">
        <v>263</v>
      </c>
      <c r="C11">
        <v>393</v>
      </c>
      <c r="D11">
        <v>75</v>
      </c>
    </row>
    <row r="12" spans="1:12" x14ac:dyDescent="0.25">
      <c r="A12" s="1">
        <v>43962</v>
      </c>
      <c r="B12">
        <v>239</v>
      </c>
      <c r="C12">
        <v>347</v>
      </c>
      <c r="D12">
        <v>94</v>
      </c>
    </row>
    <row r="13" spans="1:12" x14ac:dyDescent="0.25">
      <c r="A13" s="1">
        <v>43963</v>
      </c>
      <c r="B13">
        <v>282</v>
      </c>
      <c r="C13">
        <v>338</v>
      </c>
      <c r="D13">
        <v>86</v>
      </c>
    </row>
    <row r="14" spans="1:12" x14ac:dyDescent="0.25">
      <c r="A14" s="1">
        <v>43964</v>
      </c>
      <c r="B14">
        <v>306</v>
      </c>
      <c r="C14">
        <v>273</v>
      </c>
      <c r="D14">
        <v>75</v>
      </c>
    </row>
    <row r="15" spans="1:12" x14ac:dyDescent="0.25">
      <c r="A15" s="1">
        <v>43965</v>
      </c>
      <c r="B15">
        <v>251</v>
      </c>
      <c r="C15">
        <v>325</v>
      </c>
      <c r="D15">
        <v>89</v>
      </c>
    </row>
    <row r="16" spans="1:12" x14ac:dyDescent="0.25">
      <c r="A16" s="1">
        <v>43966</v>
      </c>
      <c r="B16">
        <v>224</v>
      </c>
      <c r="C16">
        <v>352</v>
      </c>
      <c r="D16">
        <v>97</v>
      </c>
    </row>
    <row r="17" spans="1:4" x14ac:dyDescent="0.25">
      <c r="A17" s="1">
        <v>43967</v>
      </c>
      <c r="B17">
        <v>233</v>
      </c>
      <c r="C17">
        <v>270</v>
      </c>
      <c r="D17">
        <v>94</v>
      </c>
    </row>
    <row r="18" spans="1:4" x14ac:dyDescent="0.25">
      <c r="A18" s="1">
        <v>43968</v>
      </c>
      <c r="B18">
        <v>345</v>
      </c>
      <c r="C18">
        <v>275</v>
      </c>
      <c r="D18">
        <v>90</v>
      </c>
    </row>
    <row r="19" spans="1:4" x14ac:dyDescent="0.25">
      <c r="A19" s="1">
        <v>43969</v>
      </c>
      <c r="B19">
        <v>232</v>
      </c>
      <c r="C19">
        <v>228</v>
      </c>
      <c r="D19">
        <v>107</v>
      </c>
    </row>
    <row r="20" spans="1:4" x14ac:dyDescent="0.25">
      <c r="A20" s="1">
        <v>43970</v>
      </c>
      <c r="B20">
        <v>238</v>
      </c>
      <c r="C20">
        <v>394</v>
      </c>
      <c r="D20">
        <v>105</v>
      </c>
    </row>
    <row r="21" spans="1:4" x14ac:dyDescent="0.25">
      <c r="A21" s="1">
        <v>43971</v>
      </c>
      <c r="B21">
        <v>378</v>
      </c>
      <c r="C21">
        <v>311</v>
      </c>
      <c r="D21">
        <v>110</v>
      </c>
    </row>
    <row r="22" spans="1:4" x14ac:dyDescent="0.25">
      <c r="A22" s="1">
        <v>43972</v>
      </c>
      <c r="B22">
        <v>281</v>
      </c>
      <c r="C22">
        <v>354</v>
      </c>
      <c r="D22">
        <v>121</v>
      </c>
    </row>
    <row r="23" spans="1:4" x14ac:dyDescent="0.25">
      <c r="A23" s="1">
        <v>43973</v>
      </c>
      <c r="B23">
        <v>390</v>
      </c>
      <c r="C23">
        <v>267</v>
      </c>
      <c r="D23">
        <v>124</v>
      </c>
    </row>
    <row r="24" spans="1:4" x14ac:dyDescent="0.25">
      <c r="A24" s="1">
        <v>43974</v>
      </c>
      <c r="B24">
        <v>308</v>
      </c>
      <c r="C24">
        <v>337</v>
      </c>
      <c r="D24">
        <v>105</v>
      </c>
    </row>
    <row r="25" spans="1:4" x14ac:dyDescent="0.25">
      <c r="A25" s="1">
        <v>43975</v>
      </c>
      <c r="B25">
        <v>391</v>
      </c>
      <c r="C25">
        <v>238</v>
      </c>
      <c r="D25">
        <v>113</v>
      </c>
    </row>
    <row r="26" spans="1:4" x14ac:dyDescent="0.25">
      <c r="A26" s="1">
        <v>43976</v>
      </c>
      <c r="B26">
        <v>241</v>
      </c>
      <c r="C26">
        <v>283</v>
      </c>
      <c r="D26">
        <v>140</v>
      </c>
    </row>
    <row r="27" spans="1:4" x14ac:dyDescent="0.25">
      <c r="A27" s="1">
        <v>43977</v>
      </c>
      <c r="B27">
        <v>249</v>
      </c>
      <c r="C27">
        <v>275</v>
      </c>
      <c r="D27">
        <v>118</v>
      </c>
    </row>
    <row r="28" spans="1:4" x14ac:dyDescent="0.25">
      <c r="A28" s="1">
        <v>43978</v>
      </c>
      <c r="B28">
        <v>298</v>
      </c>
      <c r="C28">
        <v>263</v>
      </c>
      <c r="D28">
        <v>145</v>
      </c>
    </row>
    <row r="29" spans="1:4" x14ac:dyDescent="0.25">
      <c r="A29" s="1">
        <v>43979</v>
      </c>
      <c r="B29">
        <v>254</v>
      </c>
      <c r="C29">
        <v>241</v>
      </c>
      <c r="D29">
        <v>149</v>
      </c>
    </row>
    <row r="30" spans="1:4" x14ac:dyDescent="0.25">
      <c r="A30" s="1">
        <v>43980</v>
      </c>
      <c r="B30">
        <v>329</v>
      </c>
      <c r="C30">
        <v>323</v>
      </c>
      <c r="D30">
        <v>134</v>
      </c>
    </row>
    <row r="31" spans="1:4" x14ac:dyDescent="0.25">
      <c r="A31" s="1">
        <v>43981</v>
      </c>
      <c r="B31">
        <v>213</v>
      </c>
      <c r="C31">
        <v>221</v>
      </c>
      <c r="D31">
        <v>119</v>
      </c>
    </row>
    <row r="32" spans="1:4" x14ac:dyDescent="0.25">
      <c r="A32" s="1">
        <v>43982</v>
      </c>
      <c r="B32">
        <v>294</v>
      </c>
      <c r="C32">
        <v>326</v>
      </c>
      <c r="D32">
        <v>145</v>
      </c>
    </row>
    <row r="33" spans="1:4" x14ac:dyDescent="0.25">
      <c r="A33" s="1">
        <v>43983</v>
      </c>
      <c r="B33">
        <v>225</v>
      </c>
      <c r="C33">
        <v>206</v>
      </c>
      <c r="D33">
        <v>122</v>
      </c>
    </row>
    <row r="34" spans="1:4" x14ac:dyDescent="0.25">
      <c r="A34" s="1">
        <v>43984</v>
      </c>
      <c r="B34">
        <v>264</v>
      </c>
      <c r="C34">
        <v>355</v>
      </c>
      <c r="D34">
        <v>134</v>
      </c>
    </row>
    <row r="35" spans="1:4" x14ac:dyDescent="0.25">
      <c r="A35" s="1">
        <v>43985</v>
      </c>
      <c r="B35">
        <v>253</v>
      </c>
      <c r="C35">
        <v>271</v>
      </c>
      <c r="D35">
        <v>142</v>
      </c>
    </row>
    <row r="36" spans="1:4" x14ac:dyDescent="0.25">
      <c r="A36" s="1">
        <v>43986</v>
      </c>
      <c r="B36">
        <v>352</v>
      </c>
      <c r="C36">
        <v>207</v>
      </c>
      <c r="D36">
        <v>125</v>
      </c>
    </row>
    <row r="37" spans="1:4" x14ac:dyDescent="0.25">
      <c r="A37" s="1">
        <v>43987</v>
      </c>
      <c r="B37">
        <v>269</v>
      </c>
      <c r="C37">
        <v>248</v>
      </c>
      <c r="D37">
        <v>137</v>
      </c>
    </row>
    <row r="38" spans="1:4" x14ac:dyDescent="0.25">
      <c r="A38" s="1">
        <v>43988</v>
      </c>
      <c r="B38">
        <v>242</v>
      </c>
      <c r="C38">
        <v>247</v>
      </c>
      <c r="D38">
        <v>125</v>
      </c>
    </row>
    <row r="39" spans="1:4" x14ac:dyDescent="0.25">
      <c r="A39" s="1">
        <v>43989</v>
      </c>
      <c r="B39">
        <v>327</v>
      </c>
      <c r="C39">
        <v>262</v>
      </c>
      <c r="D39">
        <v>103</v>
      </c>
    </row>
    <row r="40" spans="1:4" x14ac:dyDescent="0.25">
      <c r="A40" s="1">
        <v>43990</v>
      </c>
      <c r="B40">
        <v>316</v>
      </c>
      <c r="C40">
        <v>253</v>
      </c>
      <c r="D40">
        <v>134</v>
      </c>
    </row>
    <row r="41" spans="1:4" x14ac:dyDescent="0.25">
      <c r="A41" s="1">
        <v>43991</v>
      </c>
      <c r="B41">
        <v>294</v>
      </c>
      <c r="C41">
        <v>249</v>
      </c>
      <c r="D41">
        <v>137</v>
      </c>
    </row>
    <row r="42" spans="1:4" x14ac:dyDescent="0.25">
      <c r="A42" s="1">
        <v>43992</v>
      </c>
      <c r="B42">
        <v>270</v>
      </c>
      <c r="C42">
        <v>206</v>
      </c>
      <c r="D42">
        <v>146</v>
      </c>
    </row>
    <row r="43" spans="1:4" x14ac:dyDescent="0.25">
      <c r="A43" s="1">
        <v>43993</v>
      </c>
      <c r="B43">
        <v>349</v>
      </c>
      <c r="C43">
        <v>301</v>
      </c>
      <c r="D43">
        <v>138</v>
      </c>
    </row>
    <row r="44" spans="1:4" x14ac:dyDescent="0.25">
      <c r="A44" s="1">
        <v>43994</v>
      </c>
      <c r="B44">
        <v>224</v>
      </c>
      <c r="C44">
        <v>385</v>
      </c>
      <c r="D44">
        <v>138</v>
      </c>
    </row>
    <row r="45" spans="1:4" x14ac:dyDescent="0.25">
      <c r="A45" s="1">
        <v>43995</v>
      </c>
      <c r="B45">
        <v>309</v>
      </c>
      <c r="C45">
        <v>204</v>
      </c>
      <c r="D45">
        <v>140</v>
      </c>
    </row>
    <row r="46" spans="1:4" x14ac:dyDescent="0.25">
      <c r="A46" s="1">
        <v>43996</v>
      </c>
      <c r="B46">
        <v>246</v>
      </c>
      <c r="C46">
        <v>275</v>
      </c>
      <c r="D46">
        <v>130</v>
      </c>
    </row>
    <row r="47" spans="1:4" x14ac:dyDescent="0.25">
      <c r="A47" s="1">
        <v>43997</v>
      </c>
      <c r="B47">
        <v>241</v>
      </c>
      <c r="C47">
        <v>247</v>
      </c>
      <c r="D47">
        <v>166</v>
      </c>
    </row>
    <row r="48" spans="1:4" x14ac:dyDescent="0.25">
      <c r="A48" s="1">
        <v>43998</v>
      </c>
      <c r="B48">
        <v>365</v>
      </c>
      <c r="C48">
        <v>256</v>
      </c>
      <c r="D48">
        <v>132</v>
      </c>
    </row>
    <row r="49" spans="1:4" x14ac:dyDescent="0.25">
      <c r="A49" s="1">
        <v>43999</v>
      </c>
      <c r="B49">
        <v>225</v>
      </c>
      <c r="C49">
        <v>392</v>
      </c>
      <c r="D49">
        <v>158</v>
      </c>
    </row>
    <row r="50" spans="1:4" x14ac:dyDescent="0.25">
      <c r="A50" s="1">
        <v>44000</v>
      </c>
      <c r="B50">
        <v>335</v>
      </c>
      <c r="C50">
        <v>254</v>
      </c>
      <c r="D50">
        <v>173</v>
      </c>
    </row>
    <row r="51" spans="1:4" x14ac:dyDescent="0.25">
      <c r="A51" s="1">
        <v>44001</v>
      </c>
      <c r="B51">
        <v>376</v>
      </c>
      <c r="C51">
        <v>258</v>
      </c>
      <c r="D51">
        <v>151</v>
      </c>
    </row>
    <row r="52" spans="1:4" x14ac:dyDescent="0.25">
      <c r="A52" s="1">
        <v>44002</v>
      </c>
      <c r="B52">
        <v>310</v>
      </c>
      <c r="C52">
        <v>248</v>
      </c>
      <c r="D52">
        <v>173</v>
      </c>
    </row>
    <row r="53" spans="1:4" x14ac:dyDescent="0.25">
      <c r="A53" s="1">
        <v>44003</v>
      </c>
      <c r="B53">
        <v>408</v>
      </c>
      <c r="C53">
        <v>250</v>
      </c>
      <c r="D53">
        <v>242</v>
      </c>
    </row>
    <row r="54" spans="1:4" x14ac:dyDescent="0.25">
      <c r="A54" s="1">
        <v>44004</v>
      </c>
      <c r="B54">
        <v>256</v>
      </c>
      <c r="C54">
        <v>393</v>
      </c>
      <c r="D54">
        <v>219</v>
      </c>
    </row>
    <row r="55" spans="1:4" x14ac:dyDescent="0.25">
      <c r="A55" s="1">
        <v>44005</v>
      </c>
      <c r="B55">
        <v>322</v>
      </c>
      <c r="C55">
        <v>425</v>
      </c>
      <c r="D55">
        <v>215</v>
      </c>
    </row>
    <row r="56" spans="1:4" x14ac:dyDescent="0.25">
      <c r="A56" s="1">
        <v>44006</v>
      </c>
      <c r="B56">
        <v>447</v>
      </c>
      <c r="C56">
        <v>385</v>
      </c>
      <c r="D56">
        <v>212</v>
      </c>
    </row>
    <row r="57" spans="1:4" x14ac:dyDescent="0.25">
      <c r="A57" s="1">
        <v>44007</v>
      </c>
      <c r="B57">
        <v>408</v>
      </c>
      <c r="C57">
        <v>260</v>
      </c>
      <c r="D57">
        <v>225</v>
      </c>
    </row>
    <row r="58" spans="1:4" x14ac:dyDescent="0.25">
      <c r="A58" s="1">
        <v>44008</v>
      </c>
      <c r="B58">
        <v>283</v>
      </c>
      <c r="C58">
        <v>396</v>
      </c>
      <c r="D58">
        <v>221</v>
      </c>
    </row>
    <row r="59" spans="1:4" x14ac:dyDescent="0.25">
      <c r="A59" s="1">
        <v>44009</v>
      </c>
      <c r="B59">
        <v>414</v>
      </c>
      <c r="C59">
        <v>314</v>
      </c>
      <c r="D59">
        <v>220</v>
      </c>
    </row>
    <row r="60" spans="1:4" x14ac:dyDescent="0.25">
      <c r="A60" s="1">
        <v>44010</v>
      </c>
      <c r="B60">
        <v>442</v>
      </c>
      <c r="C60">
        <v>449</v>
      </c>
      <c r="D60">
        <v>245</v>
      </c>
    </row>
    <row r="61" spans="1:4" x14ac:dyDescent="0.25">
      <c r="A61" s="1">
        <v>44011</v>
      </c>
      <c r="B61">
        <v>269</v>
      </c>
      <c r="C61">
        <v>370</v>
      </c>
      <c r="D61">
        <v>242</v>
      </c>
    </row>
    <row r="62" spans="1:4" x14ac:dyDescent="0.25">
      <c r="A62" s="1">
        <v>44012</v>
      </c>
      <c r="B62">
        <v>444</v>
      </c>
      <c r="C62">
        <v>350</v>
      </c>
      <c r="D62">
        <v>236</v>
      </c>
    </row>
    <row r="63" spans="1:4" x14ac:dyDescent="0.25">
      <c r="A63" s="1">
        <v>44013</v>
      </c>
      <c r="B63">
        <v>425</v>
      </c>
      <c r="C63">
        <v>342</v>
      </c>
      <c r="D63">
        <v>237</v>
      </c>
    </row>
    <row r="64" spans="1:4" x14ac:dyDescent="0.25">
      <c r="A64" s="1">
        <v>44014</v>
      </c>
      <c r="B64">
        <v>377</v>
      </c>
      <c r="C64">
        <v>290</v>
      </c>
      <c r="D64">
        <v>240</v>
      </c>
    </row>
    <row r="65" spans="1:4" x14ac:dyDescent="0.25">
      <c r="A65" s="1">
        <v>44015</v>
      </c>
      <c r="B65">
        <v>382</v>
      </c>
      <c r="C65">
        <v>360</v>
      </c>
      <c r="D65">
        <v>203</v>
      </c>
    </row>
    <row r="66" spans="1:4" x14ac:dyDescent="0.25">
      <c r="A66" s="1">
        <v>44016</v>
      </c>
      <c r="B66">
        <v>287</v>
      </c>
      <c r="C66">
        <v>428</v>
      </c>
      <c r="D66">
        <v>204</v>
      </c>
    </row>
    <row r="67" spans="1:4" x14ac:dyDescent="0.25">
      <c r="A67" s="1">
        <v>44017</v>
      </c>
      <c r="B67">
        <v>429</v>
      </c>
      <c r="C67">
        <v>394</v>
      </c>
      <c r="D67">
        <v>246</v>
      </c>
    </row>
    <row r="68" spans="1:4" x14ac:dyDescent="0.25">
      <c r="A68" s="1">
        <v>44018</v>
      </c>
      <c r="B68">
        <v>287</v>
      </c>
      <c r="C68">
        <v>356</v>
      </c>
      <c r="D68">
        <v>233</v>
      </c>
    </row>
    <row r="69" spans="1:4" x14ac:dyDescent="0.25">
      <c r="A69" s="1">
        <v>44019</v>
      </c>
      <c r="B69">
        <v>421</v>
      </c>
      <c r="C69">
        <v>292</v>
      </c>
      <c r="D69">
        <v>226</v>
      </c>
    </row>
    <row r="70" spans="1:4" x14ac:dyDescent="0.25">
      <c r="A70" s="1">
        <v>44020</v>
      </c>
      <c r="B70">
        <v>334</v>
      </c>
      <c r="C70">
        <v>353</v>
      </c>
      <c r="D70">
        <v>282</v>
      </c>
    </row>
    <row r="71" spans="1:4" x14ac:dyDescent="0.25">
      <c r="A71" s="1">
        <v>44021</v>
      </c>
      <c r="B71">
        <v>282</v>
      </c>
      <c r="C71">
        <v>329</v>
      </c>
      <c r="D71">
        <v>262</v>
      </c>
    </row>
    <row r="72" spans="1:4" x14ac:dyDescent="0.25">
      <c r="A72" s="1">
        <v>44022</v>
      </c>
      <c r="B72">
        <v>356</v>
      </c>
      <c r="C72">
        <v>331</v>
      </c>
      <c r="D72">
        <v>290</v>
      </c>
    </row>
    <row r="73" spans="1:4" x14ac:dyDescent="0.25">
      <c r="A73" s="1">
        <v>44023</v>
      </c>
      <c r="B73">
        <v>307</v>
      </c>
      <c r="C73">
        <v>394</v>
      </c>
      <c r="D73">
        <v>256</v>
      </c>
    </row>
    <row r="74" spans="1:4" x14ac:dyDescent="0.25">
      <c r="A74" s="1">
        <v>44024</v>
      </c>
      <c r="B74">
        <v>441</v>
      </c>
      <c r="C74">
        <v>271</v>
      </c>
      <c r="D74">
        <v>292</v>
      </c>
    </row>
    <row r="75" spans="1:4" x14ac:dyDescent="0.25">
      <c r="A75" s="1">
        <v>44025</v>
      </c>
      <c r="B75">
        <v>407</v>
      </c>
      <c r="C75">
        <v>311</v>
      </c>
      <c r="D75">
        <v>280</v>
      </c>
    </row>
    <row r="76" spans="1:4" x14ac:dyDescent="0.25">
      <c r="A76" s="1">
        <v>44026</v>
      </c>
      <c r="B76">
        <v>480</v>
      </c>
      <c r="C76">
        <v>342</v>
      </c>
      <c r="D76">
        <v>292</v>
      </c>
    </row>
    <row r="77" spans="1:4" x14ac:dyDescent="0.25">
      <c r="A77" s="1">
        <v>44027</v>
      </c>
      <c r="B77">
        <v>494</v>
      </c>
      <c r="C77">
        <v>310</v>
      </c>
      <c r="D77">
        <v>275</v>
      </c>
    </row>
    <row r="78" spans="1:4" x14ac:dyDescent="0.25">
      <c r="A78" s="1">
        <v>44028</v>
      </c>
      <c r="B78">
        <v>493</v>
      </c>
      <c r="C78">
        <v>431</v>
      </c>
      <c r="D78">
        <v>283</v>
      </c>
    </row>
    <row r="79" spans="1:4" x14ac:dyDescent="0.25">
      <c r="A79" s="1">
        <v>44029</v>
      </c>
      <c r="B79">
        <v>302</v>
      </c>
      <c r="C79">
        <v>415</v>
      </c>
      <c r="D79">
        <v>297</v>
      </c>
    </row>
    <row r="80" spans="1:4" x14ac:dyDescent="0.25">
      <c r="A80" s="1">
        <v>44030</v>
      </c>
      <c r="B80">
        <v>331</v>
      </c>
      <c r="C80">
        <v>353</v>
      </c>
      <c r="D80">
        <v>373</v>
      </c>
    </row>
    <row r="81" spans="1:4" x14ac:dyDescent="0.25">
      <c r="A81" s="1">
        <v>44031</v>
      </c>
      <c r="B81">
        <v>486</v>
      </c>
      <c r="C81">
        <v>323</v>
      </c>
      <c r="D81">
        <v>359</v>
      </c>
    </row>
    <row r="82" spans="1:4" x14ac:dyDescent="0.25">
      <c r="A82" s="1">
        <v>44032</v>
      </c>
      <c r="B82">
        <v>360</v>
      </c>
      <c r="C82">
        <v>331</v>
      </c>
      <c r="D82">
        <v>445</v>
      </c>
    </row>
    <row r="83" spans="1:4" x14ac:dyDescent="0.25">
      <c r="A83" s="1">
        <v>44033</v>
      </c>
      <c r="B83">
        <v>391</v>
      </c>
      <c r="C83">
        <v>455</v>
      </c>
      <c r="D83">
        <v>427</v>
      </c>
    </row>
    <row r="84" spans="1:4" x14ac:dyDescent="0.25">
      <c r="A84" s="1">
        <v>44034</v>
      </c>
      <c r="B84">
        <v>327</v>
      </c>
      <c r="C84">
        <v>471</v>
      </c>
      <c r="D84">
        <v>423</v>
      </c>
    </row>
    <row r="85" spans="1:4" x14ac:dyDescent="0.25">
      <c r="A85" s="1">
        <v>44035</v>
      </c>
      <c r="B85">
        <v>355</v>
      </c>
      <c r="C85">
        <v>490</v>
      </c>
      <c r="D85">
        <v>449</v>
      </c>
    </row>
    <row r="86" spans="1:4" x14ac:dyDescent="0.25">
      <c r="A86" s="1">
        <v>44036</v>
      </c>
      <c r="B86">
        <v>360</v>
      </c>
      <c r="C86">
        <v>339</v>
      </c>
      <c r="D86">
        <v>470</v>
      </c>
    </row>
    <row r="87" spans="1:4" x14ac:dyDescent="0.25">
      <c r="A87" s="1">
        <v>44037</v>
      </c>
      <c r="B87">
        <v>303</v>
      </c>
      <c r="C87">
        <v>404</v>
      </c>
      <c r="D87">
        <v>434</v>
      </c>
    </row>
    <row r="88" spans="1:4" x14ac:dyDescent="0.25">
      <c r="A88" s="1">
        <v>44038</v>
      </c>
      <c r="B88">
        <v>310</v>
      </c>
      <c r="C88">
        <v>332</v>
      </c>
      <c r="D88">
        <v>536</v>
      </c>
    </row>
    <row r="89" spans="1:4" x14ac:dyDescent="0.25">
      <c r="A89" s="1">
        <v>44039</v>
      </c>
      <c r="B89">
        <v>435</v>
      </c>
      <c r="C89">
        <v>406</v>
      </c>
      <c r="D89">
        <v>421</v>
      </c>
    </row>
    <row r="90" spans="1:4" x14ac:dyDescent="0.25">
      <c r="A90" s="1">
        <v>44040</v>
      </c>
      <c r="B90">
        <v>344</v>
      </c>
      <c r="C90">
        <v>348</v>
      </c>
      <c r="D90">
        <v>555</v>
      </c>
    </row>
    <row r="91" spans="1:4" x14ac:dyDescent="0.25">
      <c r="A91" s="1">
        <v>44041</v>
      </c>
      <c r="B91">
        <v>303</v>
      </c>
      <c r="C91">
        <v>335</v>
      </c>
      <c r="D91">
        <v>436</v>
      </c>
    </row>
    <row r="92" spans="1:4" x14ac:dyDescent="0.25">
      <c r="A92" s="1">
        <v>44042</v>
      </c>
      <c r="B92">
        <v>433</v>
      </c>
      <c r="C92">
        <v>425</v>
      </c>
      <c r="D92">
        <v>422</v>
      </c>
    </row>
    <row r="93" spans="1:4" x14ac:dyDescent="0.25">
      <c r="A93" s="1">
        <v>44043</v>
      </c>
      <c r="B93">
        <v>350</v>
      </c>
      <c r="C93">
        <v>378</v>
      </c>
      <c r="D93">
        <v>419</v>
      </c>
    </row>
    <row r="94" spans="1:4" x14ac:dyDescent="0.25">
      <c r="A94" s="1">
        <v>44044</v>
      </c>
      <c r="B94">
        <v>396</v>
      </c>
      <c r="C94">
        <v>466</v>
      </c>
      <c r="D94">
        <v>434</v>
      </c>
    </row>
    <row r="95" spans="1:4" x14ac:dyDescent="0.25">
      <c r="A95" s="1">
        <v>44045</v>
      </c>
      <c r="B95">
        <v>495</v>
      </c>
      <c r="C95">
        <v>410</v>
      </c>
      <c r="D95">
        <v>418</v>
      </c>
    </row>
    <row r="96" spans="1:4" x14ac:dyDescent="0.25">
      <c r="A96" s="1">
        <v>44046</v>
      </c>
      <c r="B96">
        <v>420</v>
      </c>
      <c r="C96">
        <v>328</v>
      </c>
      <c r="D96">
        <v>422</v>
      </c>
    </row>
    <row r="97" spans="1:4" x14ac:dyDescent="0.25">
      <c r="A97" s="1">
        <v>44047</v>
      </c>
      <c r="B97">
        <v>411</v>
      </c>
      <c r="C97">
        <v>481</v>
      </c>
      <c r="D97">
        <v>445</v>
      </c>
    </row>
    <row r="98" spans="1:4" x14ac:dyDescent="0.25">
      <c r="A98" s="1">
        <v>44048</v>
      </c>
      <c r="B98">
        <v>317</v>
      </c>
      <c r="C98">
        <v>434</v>
      </c>
      <c r="D98">
        <v>411</v>
      </c>
    </row>
    <row r="99" spans="1:4" x14ac:dyDescent="0.25">
      <c r="A99" s="1">
        <v>44049</v>
      </c>
      <c r="B99">
        <v>342</v>
      </c>
      <c r="C99">
        <v>465</v>
      </c>
      <c r="D99">
        <v>417</v>
      </c>
    </row>
    <row r="100" spans="1:4" x14ac:dyDescent="0.25">
      <c r="A100" s="1">
        <v>44050</v>
      </c>
      <c r="B100">
        <v>450</v>
      </c>
      <c r="C100">
        <v>318</v>
      </c>
      <c r="D100">
        <v>490</v>
      </c>
    </row>
    <row r="101" spans="1:4" x14ac:dyDescent="0.25">
      <c r="A101" s="1">
        <v>44051</v>
      </c>
      <c r="B101">
        <v>343</v>
      </c>
      <c r="C101">
        <v>329</v>
      </c>
      <c r="D101">
        <v>345</v>
      </c>
    </row>
    <row r="102" spans="1:4" x14ac:dyDescent="0.25">
      <c r="A102" s="1">
        <v>44052</v>
      </c>
      <c r="B102">
        <v>287</v>
      </c>
      <c r="C102">
        <v>328</v>
      </c>
      <c r="D102">
        <v>377</v>
      </c>
    </row>
    <row r="103" spans="1:4" x14ac:dyDescent="0.25">
      <c r="A103" s="1">
        <v>44053</v>
      </c>
      <c r="B103">
        <v>298</v>
      </c>
      <c r="C103">
        <v>401</v>
      </c>
      <c r="D103">
        <v>416</v>
      </c>
    </row>
    <row r="104" spans="1:4" x14ac:dyDescent="0.25">
      <c r="A104" s="1">
        <v>44054</v>
      </c>
      <c r="B104">
        <v>429</v>
      </c>
      <c r="C104">
        <v>348</v>
      </c>
      <c r="D104">
        <v>426</v>
      </c>
    </row>
    <row r="105" spans="1:4" x14ac:dyDescent="0.25">
      <c r="A105" s="1">
        <v>44055</v>
      </c>
      <c r="B105">
        <v>417</v>
      </c>
      <c r="C105">
        <v>457</v>
      </c>
      <c r="D105">
        <v>438</v>
      </c>
    </row>
    <row r="106" spans="1:4" x14ac:dyDescent="0.25">
      <c r="A106" s="1">
        <v>44056</v>
      </c>
      <c r="B106">
        <v>384</v>
      </c>
      <c r="C106">
        <v>330</v>
      </c>
      <c r="D106">
        <v>292</v>
      </c>
    </row>
    <row r="107" spans="1:4" x14ac:dyDescent="0.25">
      <c r="A107" s="1">
        <v>44057</v>
      </c>
      <c r="B107">
        <v>370</v>
      </c>
      <c r="C107">
        <v>388</v>
      </c>
      <c r="D107">
        <v>390</v>
      </c>
    </row>
    <row r="108" spans="1:4" x14ac:dyDescent="0.25">
      <c r="A108" s="1">
        <v>44058</v>
      </c>
      <c r="B108">
        <v>436</v>
      </c>
      <c r="C108">
        <v>298</v>
      </c>
      <c r="D108">
        <v>420</v>
      </c>
    </row>
    <row r="109" spans="1:4" x14ac:dyDescent="0.25">
      <c r="A109" s="1">
        <v>44059</v>
      </c>
      <c r="B109">
        <v>303</v>
      </c>
      <c r="C109">
        <v>429</v>
      </c>
      <c r="D109">
        <v>407</v>
      </c>
    </row>
    <row r="110" spans="1:4" x14ac:dyDescent="0.25">
      <c r="A110" s="1">
        <v>44060</v>
      </c>
      <c r="B110">
        <v>449</v>
      </c>
      <c r="C110">
        <v>444</v>
      </c>
      <c r="D110">
        <v>425</v>
      </c>
    </row>
    <row r="111" spans="1:4" x14ac:dyDescent="0.25">
      <c r="A111" s="1">
        <v>44061</v>
      </c>
      <c r="B111">
        <v>300</v>
      </c>
      <c r="C111">
        <v>358</v>
      </c>
      <c r="D111">
        <v>377</v>
      </c>
    </row>
    <row r="112" spans="1:4" x14ac:dyDescent="0.25">
      <c r="A112" s="1">
        <v>44062</v>
      </c>
      <c r="B112">
        <v>307</v>
      </c>
      <c r="C112">
        <v>417</v>
      </c>
      <c r="D112">
        <v>405</v>
      </c>
    </row>
    <row r="113" spans="1:4" x14ac:dyDescent="0.25">
      <c r="A113" s="1">
        <v>44063</v>
      </c>
      <c r="B113">
        <v>314</v>
      </c>
      <c r="C113">
        <v>340</v>
      </c>
      <c r="D113">
        <v>345</v>
      </c>
    </row>
    <row r="114" spans="1:4" x14ac:dyDescent="0.25">
      <c r="A114" s="1">
        <v>44064</v>
      </c>
      <c r="B114">
        <v>379</v>
      </c>
      <c r="C114">
        <v>288</v>
      </c>
      <c r="D114">
        <v>353</v>
      </c>
    </row>
    <row r="115" spans="1:4" x14ac:dyDescent="0.25">
      <c r="A115" s="1">
        <v>44065</v>
      </c>
      <c r="B115">
        <v>405</v>
      </c>
      <c r="C115">
        <v>454</v>
      </c>
      <c r="D115">
        <v>342</v>
      </c>
    </row>
    <row r="116" spans="1:4" x14ac:dyDescent="0.25">
      <c r="A116" s="1">
        <v>44066</v>
      </c>
      <c r="B116">
        <v>407</v>
      </c>
      <c r="C116">
        <v>300</v>
      </c>
      <c r="D116">
        <v>365</v>
      </c>
    </row>
    <row r="117" spans="1:4" x14ac:dyDescent="0.25">
      <c r="A117" s="1">
        <v>44067</v>
      </c>
      <c r="B117">
        <v>432</v>
      </c>
      <c r="C117">
        <v>423</v>
      </c>
      <c r="D117">
        <v>221</v>
      </c>
    </row>
    <row r="118" spans="1:4" x14ac:dyDescent="0.25">
      <c r="A118" s="1">
        <v>44068</v>
      </c>
      <c r="B118">
        <v>405</v>
      </c>
      <c r="C118">
        <v>449</v>
      </c>
      <c r="D118">
        <v>231</v>
      </c>
    </row>
    <row r="119" spans="1:4" x14ac:dyDescent="0.25">
      <c r="A119" s="1">
        <v>44069</v>
      </c>
      <c r="B119">
        <v>162</v>
      </c>
      <c r="C119">
        <v>294</v>
      </c>
      <c r="D119">
        <v>255</v>
      </c>
    </row>
    <row r="120" spans="1:4" x14ac:dyDescent="0.25">
      <c r="A120" s="1">
        <v>44070</v>
      </c>
      <c r="B120">
        <v>297</v>
      </c>
      <c r="C120">
        <v>341</v>
      </c>
      <c r="D120">
        <v>223</v>
      </c>
    </row>
    <row r="121" spans="1:4" x14ac:dyDescent="0.25">
      <c r="A121" s="1">
        <v>44071</v>
      </c>
      <c r="B121">
        <v>226</v>
      </c>
      <c r="C121">
        <v>329</v>
      </c>
      <c r="D121">
        <v>261</v>
      </c>
    </row>
    <row r="122" spans="1:4" x14ac:dyDescent="0.25">
      <c r="A122" s="1">
        <v>44072</v>
      </c>
      <c r="B122">
        <v>226</v>
      </c>
      <c r="C122">
        <v>256</v>
      </c>
      <c r="D122">
        <v>239</v>
      </c>
    </row>
    <row r="123" spans="1:4" x14ac:dyDescent="0.25">
      <c r="A123" s="1">
        <v>44073</v>
      </c>
      <c r="B123">
        <v>287</v>
      </c>
      <c r="C123">
        <v>217</v>
      </c>
      <c r="D123">
        <v>262</v>
      </c>
    </row>
    <row r="124" spans="1:4" x14ac:dyDescent="0.25">
      <c r="A124" s="1">
        <v>44074</v>
      </c>
      <c r="B124">
        <v>351</v>
      </c>
      <c r="C124">
        <v>266</v>
      </c>
      <c r="D124">
        <v>226</v>
      </c>
    </row>
    <row r="125" spans="1:4" x14ac:dyDescent="0.25">
      <c r="A125" s="1">
        <v>44075</v>
      </c>
      <c r="B125">
        <v>214</v>
      </c>
      <c r="C125">
        <v>260</v>
      </c>
      <c r="D125">
        <v>241</v>
      </c>
    </row>
    <row r="126" spans="1:4" x14ac:dyDescent="0.25">
      <c r="A126" s="1">
        <v>44076</v>
      </c>
      <c r="B126">
        <v>282</v>
      </c>
      <c r="C126">
        <v>227</v>
      </c>
      <c r="D126">
        <v>258</v>
      </c>
    </row>
    <row r="127" spans="1:4" x14ac:dyDescent="0.25">
      <c r="A127" s="1">
        <v>44077</v>
      </c>
      <c r="B127">
        <v>257</v>
      </c>
      <c r="C127">
        <v>251</v>
      </c>
      <c r="D127">
        <v>252</v>
      </c>
    </row>
    <row r="128" spans="1:4" x14ac:dyDescent="0.25">
      <c r="A128" s="1">
        <v>44078</v>
      </c>
      <c r="B128">
        <v>172</v>
      </c>
      <c r="C128">
        <v>171</v>
      </c>
      <c r="D128">
        <v>268</v>
      </c>
    </row>
    <row r="129" spans="1:4" x14ac:dyDescent="0.25">
      <c r="A129" s="1">
        <v>44079</v>
      </c>
      <c r="B129">
        <v>197</v>
      </c>
      <c r="C129">
        <v>326</v>
      </c>
      <c r="D129">
        <v>224</v>
      </c>
    </row>
    <row r="130" spans="1:4" x14ac:dyDescent="0.25">
      <c r="A130" s="1">
        <v>44080</v>
      </c>
      <c r="B130">
        <v>292</v>
      </c>
      <c r="C130">
        <v>329</v>
      </c>
      <c r="D130">
        <v>255</v>
      </c>
    </row>
    <row r="131" spans="1:4" x14ac:dyDescent="0.25">
      <c r="A131" s="1">
        <v>44081</v>
      </c>
      <c r="B131">
        <v>172</v>
      </c>
      <c r="C131">
        <v>216</v>
      </c>
      <c r="D131">
        <v>199</v>
      </c>
    </row>
    <row r="132" spans="1:4" x14ac:dyDescent="0.25">
      <c r="A132" s="1">
        <v>44082</v>
      </c>
      <c r="B132">
        <v>258</v>
      </c>
      <c r="C132">
        <v>291</v>
      </c>
      <c r="D132">
        <v>220</v>
      </c>
    </row>
    <row r="133" spans="1:4" x14ac:dyDescent="0.25">
      <c r="A133" s="1">
        <v>44083</v>
      </c>
      <c r="B133">
        <v>276</v>
      </c>
      <c r="C133">
        <v>347</v>
      </c>
      <c r="D133">
        <v>197</v>
      </c>
    </row>
    <row r="134" spans="1:4" x14ac:dyDescent="0.25">
      <c r="A134" s="1">
        <v>44084</v>
      </c>
      <c r="B134">
        <v>210</v>
      </c>
      <c r="C134">
        <v>333</v>
      </c>
      <c r="D134">
        <v>218</v>
      </c>
    </row>
    <row r="135" spans="1:4" x14ac:dyDescent="0.25">
      <c r="A135" s="1">
        <v>44085</v>
      </c>
      <c r="B135">
        <v>168</v>
      </c>
      <c r="C135">
        <v>211</v>
      </c>
      <c r="D135">
        <v>180</v>
      </c>
    </row>
    <row r="136" spans="1:4" x14ac:dyDescent="0.25">
      <c r="A136" s="1">
        <v>44086</v>
      </c>
      <c r="B136">
        <v>196</v>
      </c>
      <c r="C136">
        <v>348</v>
      </c>
      <c r="D136">
        <v>225</v>
      </c>
    </row>
    <row r="137" spans="1:4" x14ac:dyDescent="0.25">
      <c r="A137" s="1">
        <v>44087</v>
      </c>
      <c r="B137">
        <v>284</v>
      </c>
      <c r="C137">
        <v>226</v>
      </c>
      <c r="D137">
        <v>197</v>
      </c>
    </row>
    <row r="138" spans="1:4" x14ac:dyDescent="0.25">
      <c r="A138" s="1">
        <v>44088</v>
      </c>
      <c r="B138">
        <v>162</v>
      </c>
      <c r="C138">
        <v>345</v>
      </c>
      <c r="D138">
        <v>194</v>
      </c>
    </row>
    <row r="139" spans="1:4" x14ac:dyDescent="0.25">
      <c r="A139" s="1">
        <v>44089</v>
      </c>
      <c r="B139">
        <v>212</v>
      </c>
      <c r="C139">
        <v>184</v>
      </c>
      <c r="D139">
        <v>183</v>
      </c>
    </row>
    <row r="140" spans="1:4" x14ac:dyDescent="0.25">
      <c r="A140" s="1">
        <v>44090</v>
      </c>
      <c r="B140">
        <v>165</v>
      </c>
      <c r="C140">
        <v>232</v>
      </c>
      <c r="D140">
        <v>202</v>
      </c>
    </row>
    <row r="141" spans="1:4" x14ac:dyDescent="0.25">
      <c r="A141" s="1">
        <v>44091</v>
      </c>
      <c r="B141">
        <v>163</v>
      </c>
      <c r="C141">
        <v>314</v>
      </c>
      <c r="D141">
        <v>213</v>
      </c>
    </row>
    <row r="142" spans="1:4" x14ac:dyDescent="0.25">
      <c r="A142" s="1">
        <v>44092</v>
      </c>
      <c r="B142">
        <v>200</v>
      </c>
      <c r="C142">
        <v>307</v>
      </c>
      <c r="D142">
        <v>206</v>
      </c>
    </row>
    <row r="143" spans="1:4" x14ac:dyDescent="0.25">
      <c r="A143" s="1">
        <v>44093</v>
      </c>
      <c r="B143">
        <v>201</v>
      </c>
      <c r="C143">
        <v>274</v>
      </c>
      <c r="D143">
        <v>210</v>
      </c>
    </row>
    <row r="144" spans="1:4" x14ac:dyDescent="0.25">
      <c r="A144" s="1">
        <v>44094</v>
      </c>
      <c r="B144">
        <v>269</v>
      </c>
      <c r="C144">
        <v>278</v>
      </c>
      <c r="D144">
        <v>228</v>
      </c>
    </row>
    <row r="145" spans="1:4" x14ac:dyDescent="0.25">
      <c r="A145" s="1">
        <v>44095</v>
      </c>
      <c r="B145">
        <v>188</v>
      </c>
      <c r="C145">
        <v>195</v>
      </c>
      <c r="D145">
        <v>207</v>
      </c>
    </row>
    <row r="146" spans="1:4" x14ac:dyDescent="0.25">
      <c r="A146" s="1">
        <v>44096</v>
      </c>
      <c r="B146">
        <v>142</v>
      </c>
      <c r="C146">
        <v>249</v>
      </c>
      <c r="D146">
        <v>202</v>
      </c>
    </row>
    <row r="147" spans="1:4" x14ac:dyDescent="0.25">
      <c r="A147" s="1">
        <v>44097</v>
      </c>
      <c r="B147">
        <v>232</v>
      </c>
      <c r="C147">
        <v>116</v>
      </c>
      <c r="D147">
        <v>195</v>
      </c>
    </row>
    <row r="148" spans="1:4" x14ac:dyDescent="0.25">
      <c r="A148" s="1">
        <v>44098</v>
      </c>
      <c r="B148">
        <v>296</v>
      </c>
      <c r="C148">
        <v>102</v>
      </c>
      <c r="D148">
        <v>192</v>
      </c>
    </row>
    <row r="149" spans="1:4" x14ac:dyDescent="0.25">
      <c r="A149" s="1">
        <v>44099</v>
      </c>
      <c r="B149">
        <v>161</v>
      </c>
      <c r="C149">
        <v>151</v>
      </c>
      <c r="D149">
        <v>216</v>
      </c>
    </row>
    <row r="150" spans="1:4" x14ac:dyDescent="0.25">
      <c r="A150" s="1">
        <v>44100</v>
      </c>
      <c r="B150">
        <v>162</v>
      </c>
      <c r="C150">
        <v>261</v>
      </c>
      <c r="D150">
        <v>184</v>
      </c>
    </row>
    <row r="151" spans="1:4" x14ac:dyDescent="0.25">
      <c r="A151" s="1">
        <v>44101</v>
      </c>
      <c r="B151">
        <v>216</v>
      </c>
      <c r="C151">
        <v>147</v>
      </c>
      <c r="D151">
        <v>204</v>
      </c>
    </row>
    <row r="152" spans="1:4" x14ac:dyDescent="0.25">
      <c r="A152" s="1">
        <v>44102</v>
      </c>
      <c r="B152">
        <v>282</v>
      </c>
      <c r="C152">
        <v>297</v>
      </c>
      <c r="D152">
        <v>195</v>
      </c>
    </row>
    <row r="153" spans="1:4" x14ac:dyDescent="0.25">
      <c r="A153" s="1">
        <v>44103</v>
      </c>
      <c r="B153">
        <v>214</v>
      </c>
      <c r="C153">
        <v>198</v>
      </c>
      <c r="D153">
        <v>200</v>
      </c>
    </row>
    <row r="154" spans="1:4" x14ac:dyDescent="0.25">
      <c r="A154" s="1">
        <v>44104</v>
      </c>
      <c r="B154">
        <v>289</v>
      </c>
      <c r="C154">
        <v>290</v>
      </c>
      <c r="D154">
        <v>190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7731-F4BE-4A77-B336-CEC51D1F23E8}">
  <dimension ref="A1:H154"/>
  <sheetViews>
    <sheetView zoomScale="145" zoomScaleNormal="145" workbookViewId="0">
      <selection activeCell="H6" sqref="H6"/>
    </sheetView>
  </sheetViews>
  <sheetFormatPr defaultRowHeight="15" x14ac:dyDescent="0.25"/>
  <cols>
    <col min="1" max="1" width="12.7109375" customWidth="1"/>
    <col min="2" max="2" width="16.85546875" bestFit="1" customWidth="1"/>
    <col min="3" max="3" width="21.140625" bestFit="1" customWidth="1"/>
    <col min="4" max="4" width="20.85546875" bestFit="1" customWidth="1"/>
    <col min="5" max="5" width="26.140625" bestFit="1" customWidth="1"/>
    <col min="7" max="8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8" x14ac:dyDescent="0.25">
      <c r="A2" s="1">
        <v>43952</v>
      </c>
      <c r="B2">
        <v>211</v>
      </c>
      <c r="C2">
        <v>281</v>
      </c>
      <c r="D2">
        <v>88</v>
      </c>
      <c r="E2">
        <f t="shared" ref="E2:E33" si="0">IF(D2&gt;C2,IF(D2&gt;B2, 1, 0),0)</f>
        <v>0</v>
      </c>
    </row>
    <row r="3" spans="1:8" x14ac:dyDescent="0.25">
      <c r="A3" s="1">
        <v>43953</v>
      </c>
      <c r="B3">
        <v>393</v>
      </c>
      <c r="C3">
        <v>313</v>
      </c>
      <c r="D3">
        <v>83</v>
      </c>
      <c r="E3">
        <f t="shared" si="0"/>
        <v>0</v>
      </c>
    </row>
    <row r="4" spans="1:8" x14ac:dyDescent="0.25">
      <c r="A4" s="1">
        <v>43954</v>
      </c>
      <c r="B4">
        <v>389</v>
      </c>
      <c r="C4">
        <v>315</v>
      </c>
      <c r="D4">
        <v>104</v>
      </c>
      <c r="E4">
        <f t="shared" si="0"/>
        <v>0</v>
      </c>
    </row>
    <row r="5" spans="1:8" x14ac:dyDescent="0.25">
      <c r="A5" s="1">
        <v>43955</v>
      </c>
      <c r="B5">
        <v>308</v>
      </c>
      <c r="C5">
        <v>221</v>
      </c>
      <c r="D5">
        <v>119</v>
      </c>
      <c r="E5">
        <f t="shared" si="0"/>
        <v>0</v>
      </c>
      <c r="G5" t="s">
        <v>13</v>
      </c>
      <c r="H5">
        <f>COUNTIF(E2:E154,1)</f>
        <v>19</v>
      </c>
    </row>
    <row r="6" spans="1:8" x14ac:dyDescent="0.25">
      <c r="A6" s="1">
        <v>43956</v>
      </c>
      <c r="B6">
        <v>387</v>
      </c>
      <c r="C6">
        <v>275</v>
      </c>
      <c r="D6">
        <v>72</v>
      </c>
      <c r="E6">
        <f t="shared" si="0"/>
        <v>0</v>
      </c>
    </row>
    <row r="7" spans="1:8" x14ac:dyDescent="0.25">
      <c r="A7" s="1">
        <v>43957</v>
      </c>
      <c r="B7">
        <v>294</v>
      </c>
      <c r="C7">
        <v>366</v>
      </c>
      <c r="D7">
        <v>99</v>
      </c>
      <c r="E7">
        <f t="shared" si="0"/>
        <v>0</v>
      </c>
    </row>
    <row r="8" spans="1:8" x14ac:dyDescent="0.25">
      <c r="A8" s="1">
        <v>43958</v>
      </c>
      <c r="B8">
        <v>389</v>
      </c>
      <c r="C8">
        <v>288</v>
      </c>
      <c r="D8">
        <v>87</v>
      </c>
      <c r="E8">
        <f t="shared" si="0"/>
        <v>0</v>
      </c>
    </row>
    <row r="9" spans="1:8" x14ac:dyDescent="0.25">
      <c r="A9" s="1">
        <v>43959</v>
      </c>
      <c r="B9">
        <v>259</v>
      </c>
      <c r="C9">
        <v>361</v>
      </c>
      <c r="D9">
        <v>112</v>
      </c>
      <c r="E9">
        <f t="shared" si="0"/>
        <v>0</v>
      </c>
    </row>
    <row r="10" spans="1:8" x14ac:dyDescent="0.25">
      <c r="A10" s="1">
        <v>43960</v>
      </c>
      <c r="B10">
        <v>369</v>
      </c>
      <c r="C10">
        <v>233</v>
      </c>
      <c r="D10">
        <v>110</v>
      </c>
      <c r="E10">
        <f t="shared" si="0"/>
        <v>0</v>
      </c>
    </row>
    <row r="11" spans="1:8" x14ac:dyDescent="0.25">
      <c r="A11" s="1">
        <v>43961</v>
      </c>
      <c r="B11">
        <v>263</v>
      </c>
      <c r="C11">
        <v>393</v>
      </c>
      <c r="D11">
        <v>75</v>
      </c>
      <c r="E11">
        <f t="shared" si="0"/>
        <v>0</v>
      </c>
    </row>
    <row r="12" spans="1:8" x14ac:dyDescent="0.25">
      <c r="A12" s="1">
        <v>43962</v>
      </c>
      <c r="B12">
        <v>239</v>
      </c>
      <c r="C12">
        <v>347</v>
      </c>
      <c r="D12">
        <v>94</v>
      </c>
      <c r="E12">
        <f t="shared" si="0"/>
        <v>0</v>
      </c>
    </row>
    <row r="13" spans="1:8" x14ac:dyDescent="0.25">
      <c r="A13" s="1">
        <v>43963</v>
      </c>
      <c r="B13">
        <v>282</v>
      </c>
      <c r="C13">
        <v>338</v>
      </c>
      <c r="D13">
        <v>86</v>
      </c>
      <c r="E13">
        <f t="shared" si="0"/>
        <v>0</v>
      </c>
    </row>
    <row r="14" spans="1:8" x14ac:dyDescent="0.25">
      <c r="A14" s="1">
        <v>43964</v>
      </c>
      <c r="B14">
        <v>306</v>
      </c>
      <c r="C14">
        <v>273</v>
      </c>
      <c r="D14">
        <v>75</v>
      </c>
      <c r="E14">
        <f t="shared" si="0"/>
        <v>0</v>
      </c>
    </row>
    <row r="15" spans="1:8" x14ac:dyDescent="0.25">
      <c r="A15" s="1">
        <v>43965</v>
      </c>
      <c r="B15">
        <v>251</v>
      </c>
      <c r="C15">
        <v>325</v>
      </c>
      <c r="D15">
        <v>89</v>
      </c>
      <c r="E15">
        <f t="shared" si="0"/>
        <v>0</v>
      </c>
    </row>
    <row r="16" spans="1:8" x14ac:dyDescent="0.25">
      <c r="A16" s="1">
        <v>43966</v>
      </c>
      <c r="B16">
        <v>224</v>
      </c>
      <c r="C16">
        <v>352</v>
      </c>
      <c r="D16">
        <v>97</v>
      </c>
      <c r="E16">
        <f t="shared" si="0"/>
        <v>0</v>
      </c>
    </row>
    <row r="17" spans="1:5" x14ac:dyDescent="0.25">
      <c r="A17" s="1">
        <v>43967</v>
      </c>
      <c r="B17">
        <v>233</v>
      </c>
      <c r="C17">
        <v>270</v>
      </c>
      <c r="D17">
        <v>94</v>
      </c>
      <c r="E17">
        <f t="shared" si="0"/>
        <v>0</v>
      </c>
    </row>
    <row r="18" spans="1:5" x14ac:dyDescent="0.25">
      <c r="A18" s="1">
        <v>43968</v>
      </c>
      <c r="B18">
        <v>345</v>
      </c>
      <c r="C18">
        <v>275</v>
      </c>
      <c r="D18">
        <v>90</v>
      </c>
      <c r="E18">
        <f t="shared" si="0"/>
        <v>0</v>
      </c>
    </row>
    <row r="19" spans="1:5" x14ac:dyDescent="0.25">
      <c r="A19" s="1">
        <v>43969</v>
      </c>
      <c r="B19">
        <v>232</v>
      </c>
      <c r="C19">
        <v>228</v>
      </c>
      <c r="D19">
        <v>107</v>
      </c>
      <c r="E19">
        <f t="shared" si="0"/>
        <v>0</v>
      </c>
    </row>
    <row r="20" spans="1:5" x14ac:dyDescent="0.25">
      <c r="A20" s="1">
        <v>43970</v>
      </c>
      <c r="B20">
        <v>238</v>
      </c>
      <c r="C20">
        <v>394</v>
      </c>
      <c r="D20">
        <v>105</v>
      </c>
      <c r="E20">
        <f t="shared" si="0"/>
        <v>0</v>
      </c>
    </row>
    <row r="21" spans="1:5" x14ac:dyDescent="0.25">
      <c r="A21" s="1">
        <v>43971</v>
      </c>
      <c r="B21">
        <v>378</v>
      </c>
      <c r="C21">
        <v>311</v>
      </c>
      <c r="D21">
        <v>110</v>
      </c>
      <c r="E21">
        <f t="shared" si="0"/>
        <v>0</v>
      </c>
    </row>
    <row r="22" spans="1:5" x14ac:dyDescent="0.25">
      <c r="A22" s="1">
        <v>43972</v>
      </c>
      <c r="B22">
        <v>281</v>
      </c>
      <c r="C22">
        <v>354</v>
      </c>
      <c r="D22">
        <v>121</v>
      </c>
      <c r="E22">
        <f t="shared" si="0"/>
        <v>0</v>
      </c>
    </row>
    <row r="23" spans="1:5" x14ac:dyDescent="0.25">
      <c r="A23" s="1">
        <v>43973</v>
      </c>
      <c r="B23">
        <v>390</v>
      </c>
      <c r="C23">
        <v>267</v>
      </c>
      <c r="D23">
        <v>124</v>
      </c>
      <c r="E23">
        <f t="shared" si="0"/>
        <v>0</v>
      </c>
    </row>
    <row r="24" spans="1:5" x14ac:dyDescent="0.25">
      <c r="A24" s="1">
        <v>43974</v>
      </c>
      <c r="B24">
        <v>308</v>
      </c>
      <c r="C24">
        <v>337</v>
      </c>
      <c r="D24">
        <v>105</v>
      </c>
      <c r="E24">
        <f t="shared" si="0"/>
        <v>0</v>
      </c>
    </row>
    <row r="25" spans="1:5" x14ac:dyDescent="0.25">
      <c r="A25" s="1">
        <v>43975</v>
      </c>
      <c r="B25">
        <v>391</v>
      </c>
      <c r="C25">
        <v>238</v>
      </c>
      <c r="D25">
        <v>113</v>
      </c>
      <c r="E25">
        <f t="shared" si="0"/>
        <v>0</v>
      </c>
    </row>
    <row r="26" spans="1:5" x14ac:dyDescent="0.25">
      <c r="A26" s="1">
        <v>43976</v>
      </c>
      <c r="B26">
        <v>241</v>
      </c>
      <c r="C26">
        <v>283</v>
      </c>
      <c r="D26">
        <v>140</v>
      </c>
      <c r="E26">
        <f t="shared" si="0"/>
        <v>0</v>
      </c>
    </row>
    <row r="27" spans="1:5" x14ac:dyDescent="0.25">
      <c r="A27" s="1">
        <v>43977</v>
      </c>
      <c r="B27">
        <v>249</v>
      </c>
      <c r="C27">
        <v>275</v>
      </c>
      <c r="D27">
        <v>118</v>
      </c>
      <c r="E27">
        <f t="shared" si="0"/>
        <v>0</v>
      </c>
    </row>
    <row r="28" spans="1:5" x14ac:dyDescent="0.25">
      <c r="A28" s="1">
        <v>43978</v>
      </c>
      <c r="B28">
        <v>298</v>
      </c>
      <c r="C28">
        <v>263</v>
      </c>
      <c r="D28">
        <v>145</v>
      </c>
      <c r="E28">
        <f t="shared" si="0"/>
        <v>0</v>
      </c>
    </row>
    <row r="29" spans="1:5" x14ac:dyDescent="0.25">
      <c r="A29" s="1">
        <v>43979</v>
      </c>
      <c r="B29">
        <v>254</v>
      </c>
      <c r="C29">
        <v>241</v>
      </c>
      <c r="D29">
        <v>149</v>
      </c>
      <c r="E29">
        <f t="shared" si="0"/>
        <v>0</v>
      </c>
    </row>
    <row r="30" spans="1:5" x14ac:dyDescent="0.25">
      <c r="A30" s="1">
        <v>43980</v>
      </c>
      <c r="B30">
        <v>329</v>
      </c>
      <c r="C30">
        <v>323</v>
      </c>
      <c r="D30">
        <v>134</v>
      </c>
      <c r="E30">
        <f t="shared" si="0"/>
        <v>0</v>
      </c>
    </row>
    <row r="31" spans="1:5" x14ac:dyDescent="0.25">
      <c r="A31" s="1">
        <v>43981</v>
      </c>
      <c r="B31">
        <v>213</v>
      </c>
      <c r="C31">
        <v>221</v>
      </c>
      <c r="D31">
        <v>119</v>
      </c>
      <c r="E31">
        <f t="shared" si="0"/>
        <v>0</v>
      </c>
    </row>
    <row r="32" spans="1:5" x14ac:dyDescent="0.25">
      <c r="A32" s="1">
        <v>43982</v>
      </c>
      <c r="B32">
        <v>294</v>
      </c>
      <c r="C32">
        <v>326</v>
      </c>
      <c r="D32">
        <v>145</v>
      </c>
      <c r="E32">
        <f t="shared" si="0"/>
        <v>0</v>
      </c>
    </row>
    <row r="33" spans="1:5" x14ac:dyDescent="0.25">
      <c r="A33" s="1">
        <v>43983</v>
      </c>
      <c r="B33">
        <v>225</v>
      </c>
      <c r="C33">
        <v>206</v>
      </c>
      <c r="D33">
        <v>122</v>
      </c>
      <c r="E33">
        <f t="shared" si="0"/>
        <v>0</v>
      </c>
    </row>
    <row r="34" spans="1:5" x14ac:dyDescent="0.25">
      <c r="A34" s="1">
        <v>43984</v>
      </c>
      <c r="B34">
        <v>264</v>
      </c>
      <c r="C34">
        <v>355</v>
      </c>
      <c r="D34">
        <v>134</v>
      </c>
      <c r="E34">
        <f t="shared" ref="E34:E65" si="1">IF(D34&gt;C34,IF(D34&gt;B34, 1, 0),0)</f>
        <v>0</v>
      </c>
    </row>
    <row r="35" spans="1:5" x14ac:dyDescent="0.25">
      <c r="A35" s="1">
        <v>43985</v>
      </c>
      <c r="B35">
        <v>253</v>
      </c>
      <c r="C35">
        <v>271</v>
      </c>
      <c r="D35">
        <v>142</v>
      </c>
      <c r="E35">
        <f t="shared" si="1"/>
        <v>0</v>
      </c>
    </row>
    <row r="36" spans="1:5" x14ac:dyDescent="0.25">
      <c r="A36" s="1">
        <v>43986</v>
      </c>
      <c r="B36">
        <v>352</v>
      </c>
      <c r="C36">
        <v>207</v>
      </c>
      <c r="D36">
        <v>125</v>
      </c>
      <c r="E36">
        <f t="shared" si="1"/>
        <v>0</v>
      </c>
    </row>
    <row r="37" spans="1:5" x14ac:dyDescent="0.25">
      <c r="A37" s="1">
        <v>43987</v>
      </c>
      <c r="B37">
        <v>269</v>
      </c>
      <c r="C37">
        <v>248</v>
      </c>
      <c r="D37">
        <v>137</v>
      </c>
      <c r="E37">
        <f t="shared" si="1"/>
        <v>0</v>
      </c>
    </row>
    <row r="38" spans="1:5" x14ac:dyDescent="0.25">
      <c r="A38" s="1">
        <v>43988</v>
      </c>
      <c r="B38">
        <v>242</v>
      </c>
      <c r="C38">
        <v>247</v>
      </c>
      <c r="D38">
        <v>125</v>
      </c>
      <c r="E38">
        <f t="shared" si="1"/>
        <v>0</v>
      </c>
    </row>
    <row r="39" spans="1:5" x14ac:dyDescent="0.25">
      <c r="A39" s="1">
        <v>43989</v>
      </c>
      <c r="B39">
        <v>327</v>
      </c>
      <c r="C39">
        <v>262</v>
      </c>
      <c r="D39">
        <v>103</v>
      </c>
      <c r="E39">
        <f t="shared" si="1"/>
        <v>0</v>
      </c>
    </row>
    <row r="40" spans="1:5" x14ac:dyDescent="0.25">
      <c r="A40" s="1">
        <v>43990</v>
      </c>
      <c r="B40">
        <v>316</v>
      </c>
      <c r="C40">
        <v>253</v>
      </c>
      <c r="D40">
        <v>134</v>
      </c>
      <c r="E40">
        <f t="shared" si="1"/>
        <v>0</v>
      </c>
    </row>
    <row r="41" spans="1:5" x14ac:dyDescent="0.25">
      <c r="A41" s="1">
        <v>43991</v>
      </c>
      <c r="B41">
        <v>294</v>
      </c>
      <c r="C41">
        <v>249</v>
      </c>
      <c r="D41">
        <v>137</v>
      </c>
      <c r="E41">
        <f t="shared" si="1"/>
        <v>0</v>
      </c>
    </row>
    <row r="42" spans="1:5" x14ac:dyDescent="0.25">
      <c r="A42" s="1">
        <v>43992</v>
      </c>
      <c r="B42">
        <v>270</v>
      </c>
      <c r="C42">
        <v>206</v>
      </c>
      <c r="D42">
        <v>146</v>
      </c>
      <c r="E42">
        <f t="shared" si="1"/>
        <v>0</v>
      </c>
    </row>
    <row r="43" spans="1:5" x14ac:dyDescent="0.25">
      <c r="A43" s="1">
        <v>43993</v>
      </c>
      <c r="B43">
        <v>349</v>
      </c>
      <c r="C43">
        <v>301</v>
      </c>
      <c r="D43">
        <v>138</v>
      </c>
      <c r="E43">
        <f t="shared" si="1"/>
        <v>0</v>
      </c>
    </row>
    <row r="44" spans="1:5" x14ac:dyDescent="0.25">
      <c r="A44" s="1">
        <v>43994</v>
      </c>
      <c r="B44">
        <v>224</v>
      </c>
      <c r="C44">
        <v>385</v>
      </c>
      <c r="D44">
        <v>138</v>
      </c>
      <c r="E44">
        <f t="shared" si="1"/>
        <v>0</v>
      </c>
    </row>
    <row r="45" spans="1:5" x14ac:dyDescent="0.25">
      <c r="A45" s="1">
        <v>43995</v>
      </c>
      <c r="B45">
        <v>309</v>
      </c>
      <c r="C45">
        <v>204</v>
      </c>
      <c r="D45">
        <v>140</v>
      </c>
      <c r="E45">
        <f t="shared" si="1"/>
        <v>0</v>
      </c>
    </row>
    <row r="46" spans="1:5" x14ac:dyDescent="0.25">
      <c r="A46" s="1">
        <v>43996</v>
      </c>
      <c r="B46">
        <v>246</v>
      </c>
      <c r="C46">
        <v>275</v>
      </c>
      <c r="D46">
        <v>130</v>
      </c>
      <c r="E46">
        <f t="shared" si="1"/>
        <v>0</v>
      </c>
    </row>
    <row r="47" spans="1:5" x14ac:dyDescent="0.25">
      <c r="A47" s="1">
        <v>43997</v>
      </c>
      <c r="B47">
        <v>241</v>
      </c>
      <c r="C47">
        <v>247</v>
      </c>
      <c r="D47">
        <v>166</v>
      </c>
      <c r="E47">
        <f t="shared" si="1"/>
        <v>0</v>
      </c>
    </row>
    <row r="48" spans="1:5" x14ac:dyDescent="0.25">
      <c r="A48" s="1">
        <v>43998</v>
      </c>
      <c r="B48">
        <v>365</v>
      </c>
      <c r="C48">
        <v>256</v>
      </c>
      <c r="D48">
        <v>132</v>
      </c>
      <c r="E48">
        <f t="shared" si="1"/>
        <v>0</v>
      </c>
    </row>
    <row r="49" spans="1:5" x14ac:dyDescent="0.25">
      <c r="A49" s="1">
        <v>43999</v>
      </c>
      <c r="B49">
        <v>225</v>
      </c>
      <c r="C49">
        <v>392</v>
      </c>
      <c r="D49">
        <v>158</v>
      </c>
      <c r="E49">
        <f t="shared" si="1"/>
        <v>0</v>
      </c>
    </row>
    <row r="50" spans="1:5" x14ac:dyDescent="0.25">
      <c r="A50" s="1">
        <v>44000</v>
      </c>
      <c r="B50">
        <v>335</v>
      </c>
      <c r="C50">
        <v>254</v>
      </c>
      <c r="D50">
        <v>173</v>
      </c>
      <c r="E50">
        <f t="shared" si="1"/>
        <v>0</v>
      </c>
    </row>
    <row r="51" spans="1:5" x14ac:dyDescent="0.25">
      <c r="A51" s="1">
        <v>44001</v>
      </c>
      <c r="B51">
        <v>376</v>
      </c>
      <c r="C51">
        <v>258</v>
      </c>
      <c r="D51">
        <v>151</v>
      </c>
      <c r="E51">
        <f t="shared" si="1"/>
        <v>0</v>
      </c>
    </row>
    <row r="52" spans="1:5" x14ac:dyDescent="0.25">
      <c r="A52" s="1">
        <v>44002</v>
      </c>
      <c r="B52">
        <v>310</v>
      </c>
      <c r="C52">
        <v>248</v>
      </c>
      <c r="D52">
        <v>173</v>
      </c>
      <c r="E52">
        <f t="shared" si="1"/>
        <v>0</v>
      </c>
    </row>
    <row r="53" spans="1:5" x14ac:dyDescent="0.25">
      <c r="A53" s="1">
        <v>44003</v>
      </c>
      <c r="B53">
        <v>408</v>
      </c>
      <c r="C53">
        <v>250</v>
      </c>
      <c r="D53">
        <v>242</v>
      </c>
      <c r="E53">
        <f t="shared" si="1"/>
        <v>0</v>
      </c>
    </row>
    <row r="54" spans="1:5" x14ac:dyDescent="0.25">
      <c r="A54" s="1">
        <v>44004</v>
      </c>
      <c r="B54">
        <v>256</v>
      </c>
      <c r="C54">
        <v>393</v>
      </c>
      <c r="D54">
        <v>219</v>
      </c>
      <c r="E54">
        <f t="shared" si="1"/>
        <v>0</v>
      </c>
    </row>
    <row r="55" spans="1:5" x14ac:dyDescent="0.25">
      <c r="A55" s="1">
        <v>44005</v>
      </c>
      <c r="B55">
        <v>322</v>
      </c>
      <c r="C55">
        <v>425</v>
      </c>
      <c r="D55">
        <v>215</v>
      </c>
      <c r="E55">
        <f t="shared" si="1"/>
        <v>0</v>
      </c>
    </row>
    <row r="56" spans="1:5" x14ac:dyDescent="0.25">
      <c r="A56" s="1">
        <v>44006</v>
      </c>
      <c r="B56">
        <v>447</v>
      </c>
      <c r="C56">
        <v>385</v>
      </c>
      <c r="D56">
        <v>212</v>
      </c>
      <c r="E56">
        <f t="shared" si="1"/>
        <v>0</v>
      </c>
    </row>
    <row r="57" spans="1:5" x14ac:dyDescent="0.25">
      <c r="A57" s="1">
        <v>44007</v>
      </c>
      <c r="B57">
        <v>408</v>
      </c>
      <c r="C57">
        <v>260</v>
      </c>
      <c r="D57">
        <v>225</v>
      </c>
      <c r="E57">
        <f t="shared" si="1"/>
        <v>0</v>
      </c>
    </row>
    <row r="58" spans="1:5" x14ac:dyDescent="0.25">
      <c r="A58" s="1">
        <v>44008</v>
      </c>
      <c r="B58">
        <v>283</v>
      </c>
      <c r="C58">
        <v>396</v>
      </c>
      <c r="D58">
        <v>221</v>
      </c>
      <c r="E58">
        <f t="shared" si="1"/>
        <v>0</v>
      </c>
    </row>
    <row r="59" spans="1:5" x14ac:dyDescent="0.25">
      <c r="A59" s="1">
        <v>44009</v>
      </c>
      <c r="B59">
        <v>414</v>
      </c>
      <c r="C59">
        <v>314</v>
      </c>
      <c r="D59">
        <v>220</v>
      </c>
      <c r="E59">
        <f t="shared" si="1"/>
        <v>0</v>
      </c>
    </row>
    <row r="60" spans="1:5" x14ac:dyDescent="0.25">
      <c r="A60" s="1">
        <v>44010</v>
      </c>
      <c r="B60">
        <v>442</v>
      </c>
      <c r="C60">
        <v>449</v>
      </c>
      <c r="D60">
        <v>245</v>
      </c>
      <c r="E60">
        <f t="shared" si="1"/>
        <v>0</v>
      </c>
    </row>
    <row r="61" spans="1:5" x14ac:dyDescent="0.25">
      <c r="A61" s="1">
        <v>44011</v>
      </c>
      <c r="B61">
        <v>269</v>
      </c>
      <c r="C61">
        <v>370</v>
      </c>
      <c r="D61">
        <v>242</v>
      </c>
      <c r="E61">
        <f t="shared" si="1"/>
        <v>0</v>
      </c>
    </row>
    <row r="62" spans="1:5" x14ac:dyDescent="0.25">
      <c r="A62" s="1">
        <v>44012</v>
      </c>
      <c r="B62">
        <v>444</v>
      </c>
      <c r="C62">
        <v>350</v>
      </c>
      <c r="D62">
        <v>236</v>
      </c>
      <c r="E62">
        <f t="shared" si="1"/>
        <v>0</v>
      </c>
    </row>
    <row r="63" spans="1:5" x14ac:dyDescent="0.25">
      <c r="A63" s="1">
        <v>44013</v>
      </c>
      <c r="B63">
        <v>425</v>
      </c>
      <c r="C63">
        <v>342</v>
      </c>
      <c r="D63">
        <v>237</v>
      </c>
      <c r="E63">
        <f t="shared" si="1"/>
        <v>0</v>
      </c>
    </row>
    <row r="64" spans="1:5" x14ac:dyDescent="0.25">
      <c r="A64" s="1">
        <v>44014</v>
      </c>
      <c r="B64">
        <v>377</v>
      </c>
      <c r="C64">
        <v>290</v>
      </c>
      <c r="D64">
        <v>240</v>
      </c>
      <c r="E64">
        <f t="shared" si="1"/>
        <v>0</v>
      </c>
    </row>
    <row r="65" spans="1:5" x14ac:dyDescent="0.25">
      <c r="A65" s="1">
        <v>44015</v>
      </c>
      <c r="B65">
        <v>382</v>
      </c>
      <c r="C65">
        <v>360</v>
      </c>
      <c r="D65">
        <v>203</v>
      </c>
      <c r="E65">
        <f t="shared" si="1"/>
        <v>0</v>
      </c>
    </row>
    <row r="66" spans="1:5" x14ac:dyDescent="0.25">
      <c r="A66" s="1">
        <v>44016</v>
      </c>
      <c r="B66">
        <v>287</v>
      </c>
      <c r="C66">
        <v>428</v>
      </c>
      <c r="D66">
        <v>204</v>
      </c>
      <c r="E66">
        <f t="shared" ref="E66:E97" si="2">IF(D66&gt;C66,IF(D66&gt;B66, 1, 0),0)</f>
        <v>0</v>
      </c>
    </row>
    <row r="67" spans="1:5" x14ac:dyDescent="0.25">
      <c r="A67" s="1">
        <v>44017</v>
      </c>
      <c r="B67">
        <v>429</v>
      </c>
      <c r="C67">
        <v>394</v>
      </c>
      <c r="D67">
        <v>246</v>
      </c>
      <c r="E67">
        <f t="shared" si="2"/>
        <v>0</v>
      </c>
    </row>
    <row r="68" spans="1:5" x14ac:dyDescent="0.25">
      <c r="A68" s="1">
        <v>44018</v>
      </c>
      <c r="B68">
        <v>287</v>
      </c>
      <c r="C68">
        <v>356</v>
      </c>
      <c r="D68">
        <v>233</v>
      </c>
      <c r="E68">
        <f t="shared" si="2"/>
        <v>0</v>
      </c>
    </row>
    <row r="69" spans="1:5" x14ac:dyDescent="0.25">
      <c r="A69" s="1">
        <v>44019</v>
      </c>
      <c r="B69">
        <v>421</v>
      </c>
      <c r="C69">
        <v>292</v>
      </c>
      <c r="D69">
        <v>226</v>
      </c>
      <c r="E69">
        <f t="shared" si="2"/>
        <v>0</v>
      </c>
    </row>
    <row r="70" spans="1:5" x14ac:dyDescent="0.25">
      <c r="A70" s="1">
        <v>44020</v>
      </c>
      <c r="B70">
        <v>334</v>
      </c>
      <c r="C70">
        <v>353</v>
      </c>
      <c r="D70">
        <v>282</v>
      </c>
      <c r="E70">
        <f t="shared" si="2"/>
        <v>0</v>
      </c>
    </row>
    <row r="71" spans="1:5" x14ac:dyDescent="0.25">
      <c r="A71" s="1">
        <v>44021</v>
      </c>
      <c r="B71">
        <v>282</v>
      </c>
      <c r="C71">
        <v>329</v>
      </c>
      <c r="D71">
        <v>262</v>
      </c>
      <c r="E71">
        <f t="shared" si="2"/>
        <v>0</v>
      </c>
    </row>
    <row r="72" spans="1:5" x14ac:dyDescent="0.25">
      <c r="A72" s="1">
        <v>44022</v>
      </c>
      <c r="B72">
        <v>356</v>
      </c>
      <c r="C72">
        <v>331</v>
      </c>
      <c r="D72">
        <v>290</v>
      </c>
      <c r="E72">
        <f t="shared" si="2"/>
        <v>0</v>
      </c>
    </row>
    <row r="73" spans="1:5" x14ac:dyDescent="0.25">
      <c r="A73" s="1">
        <v>44023</v>
      </c>
      <c r="B73">
        <v>307</v>
      </c>
      <c r="C73">
        <v>394</v>
      </c>
      <c r="D73">
        <v>256</v>
      </c>
      <c r="E73">
        <f t="shared" si="2"/>
        <v>0</v>
      </c>
    </row>
    <row r="74" spans="1:5" x14ac:dyDescent="0.25">
      <c r="A74" s="1">
        <v>44024</v>
      </c>
      <c r="B74">
        <v>441</v>
      </c>
      <c r="C74">
        <v>271</v>
      </c>
      <c r="D74">
        <v>292</v>
      </c>
      <c r="E74">
        <f t="shared" si="2"/>
        <v>0</v>
      </c>
    </row>
    <row r="75" spans="1:5" x14ac:dyDescent="0.25">
      <c r="A75" s="1">
        <v>44025</v>
      </c>
      <c r="B75">
        <v>407</v>
      </c>
      <c r="C75">
        <v>311</v>
      </c>
      <c r="D75">
        <v>280</v>
      </c>
      <c r="E75">
        <f>IF(D75&gt;C75,IF(D75&gt;B75, 1, 0),0)</f>
        <v>0</v>
      </c>
    </row>
    <row r="76" spans="1:5" x14ac:dyDescent="0.25">
      <c r="A76" s="1">
        <v>44026</v>
      </c>
      <c r="B76">
        <v>480</v>
      </c>
      <c r="C76">
        <v>342</v>
      </c>
      <c r="D76">
        <v>292</v>
      </c>
      <c r="E76">
        <f t="shared" si="2"/>
        <v>0</v>
      </c>
    </row>
    <row r="77" spans="1:5" x14ac:dyDescent="0.25">
      <c r="A77" s="1">
        <v>44027</v>
      </c>
      <c r="B77">
        <v>494</v>
      </c>
      <c r="C77">
        <v>310</v>
      </c>
      <c r="D77">
        <v>275</v>
      </c>
      <c r="E77">
        <f t="shared" si="2"/>
        <v>0</v>
      </c>
    </row>
    <row r="78" spans="1:5" x14ac:dyDescent="0.25">
      <c r="A78" s="1">
        <v>44028</v>
      </c>
      <c r="B78">
        <v>493</v>
      </c>
      <c r="C78">
        <v>431</v>
      </c>
      <c r="D78">
        <v>283</v>
      </c>
      <c r="E78">
        <f t="shared" si="2"/>
        <v>0</v>
      </c>
    </row>
    <row r="79" spans="1:5" x14ac:dyDescent="0.25">
      <c r="A79" s="1">
        <v>44029</v>
      </c>
      <c r="B79">
        <v>302</v>
      </c>
      <c r="C79">
        <v>415</v>
      </c>
      <c r="D79">
        <v>297</v>
      </c>
      <c r="E79">
        <f t="shared" si="2"/>
        <v>0</v>
      </c>
    </row>
    <row r="80" spans="1:5" x14ac:dyDescent="0.25">
      <c r="A80" s="1">
        <v>44030</v>
      </c>
      <c r="B80">
        <v>331</v>
      </c>
      <c r="C80">
        <v>353</v>
      </c>
      <c r="D80">
        <v>373</v>
      </c>
      <c r="E80">
        <f t="shared" si="2"/>
        <v>1</v>
      </c>
    </row>
    <row r="81" spans="1:5" x14ac:dyDescent="0.25">
      <c r="A81" s="1">
        <v>44031</v>
      </c>
      <c r="B81">
        <v>486</v>
      </c>
      <c r="C81">
        <v>323</v>
      </c>
      <c r="D81">
        <v>359</v>
      </c>
      <c r="E81">
        <f t="shared" si="2"/>
        <v>0</v>
      </c>
    </row>
    <row r="82" spans="1:5" x14ac:dyDescent="0.25">
      <c r="A82" s="1">
        <v>44032</v>
      </c>
      <c r="B82">
        <v>360</v>
      </c>
      <c r="C82">
        <v>331</v>
      </c>
      <c r="D82">
        <v>445</v>
      </c>
      <c r="E82">
        <f t="shared" si="2"/>
        <v>1</v>
      </c>
    </row>
    <row r="83" spans="1:5" x14ac:dyDescent="0.25">
      <c r="A83" s="1">
        <v>44033</v>
      </c>
      <c r="B83">
        <v>391</v>
      </c>
      <c r="C83">
        <v>455</v>
      </c>
      <c r="D83">
        <v>427</v>
      </c>
      <c r="E83">
        <f t="shared" si="2"/>
        <v>0</v>
      </c>
    </row>
    <row r="84" spans="1:5" x14ac:dyDescent="0.25">
      <c r="A84" s="1">
        <v>44034</v>
      </c>
      <c r="B84">
        <v>327</v>
      </c>
      <c r="C84">
        <v>471</v>
      </c>
      <c r="D84">
        <v>423</v>
      </c>
      <c r="E84">
        <f t="shared" si="2"/>
        <v>0</v>
      </c>
    </row>
    <row r="85" spans="1:5" x14ac:dyDescent="0.25">
      <c r="A85" s="1">
        <v>44035</v>
      </c>
      <c r="B85">
        <v>355</v>
      </c>
      <c r="C85">
        <v>490</v>
      </c>
      <c r="D85">
        <v>449</v>
      </c>
      <c r="E85">
        <f t="shared" si="2"/>
        <v>0</v>
      </c>
    </row>
    <row r="86" spans="1:5" x14ac:dyDescent="0.25">
      <c r="A86" s="1">
        <v>44036</v>
      </c>
      <c r="B86">
        <v>360</v>
      </c>
      <c r="C86">
        <v>339</v>
      </c>
      <c r="D86">
        <v>470</v>
      </c>
      <c r="E86">
        <f t="shared" si="2"/>
        <v>1</v>
      </c>
    </row>
    <row r="87" spans="1:5" x14ac:dyDescent="0.25">
      <c r="A87" s="1">
        <v>44037</v>
      </c>
      <c r="B87">
        <v>303</v>
      </c>
      <c r="C87">
        <v>404</v>
      </c>
      <c r="D87">
        <v>434</v>
      </c>
      <c r="E87">
        <f t="shared" si="2"/>
        <v>1</v>
      </c>
    </row>
    <row r="88" spans="1:5" x14ac:dyDescent="0.25">
      <c r="A88" s="1">
        <v>44038</v>
      </c>
      <c r="B88">
        <v>310</v>
      </c>
      <c r="C88">
        <v>332</v>
      </c>
      <c r="D88">
        <v>536</v>
      </c>
      <c r="E88">
        <f t="shared" si="2"/>
        <v>1</v>
      </c>
    </row>
    <row r="89" spans="1:5" x14ac:dyDescent="0.25">
      <c r="A89" s="1">
        <v>44039</v>
      </c>
      <c r="B89">
        <v>435</v>
      </c>
      <c r="C89">
        <v>406</v>
      </c>
      <c r="D89">
        <v>421</v>
      </c>
      <c r="E89">
        <f t="shared" si="2"/>
        <v>0</v>
      </c>
    </row>
    <row r="90" spans="1:5" x14ac:dyDescent="0.25">
      <c r="A90" s="1">
        <v>44040</v>
      </c>
      <c r="B90">
        <v>344</v>
      </c>
      <c r="C90">
        <v>348</v>
      </c>
      <c r="D90">
        <v>555</v>
      </c>
      <c r="E90">
        <f t="shared" si="2"/>
        <v>1</v>
      </c>
    </row>
    <row r="91" spans="1:5" x14ac:dyDescent="0.25">
      <c r="A91" s="1">
        <v>44041</v>
      </c>
      <c r="B91">
        <v>303</v>
      </c>
      <c r="C91">
        <v>335</v>
      </c>
      <c r="D91">
        <v>436</v>
      </c>
      <c r="E91">
        <f t="shared" si="2"/>
        <v>1</v>
      </c>
    </row>
    <row r="92" spans="1:5" x14ac:dyDescent="0.25">
      <c r="A92" s="1">
        <v>44042</v>
      </c>
      <c r="B92">
        <v>433</v>
      </c>
      <c r="C92">
        <v>425</v>
      </c>
      <c r="D92">
        <v>422</v>
      </c>
      <c r="E92">
        <f t="shared" si="2"/>
        <v>0</v>
      </c>
    </row>
    <row r="93" spans="1:5" x14ac:dyDescent="0.25">
      <c r="A93" s="1">
        <v>44043</v>
      </c>
      <c r="B93">
        <v>350</v>
      </c>
      <c r="C93">
        <v>378</v>
      </c>
      <c r="D93">
        <v>419</v>
      </c>
      <c r="E93">
        <f t="shared" si="2"/>
        <v>1</v>
      </c>
    </row>
    <row r="94" spans="1:5" x14ac:dyDescent="0.25">
      <c r="A94" s="1">
        <v>44044</v>
      </c>
      <c r="B94">
        <v>396</v>
      </c>
      <c r="C94">
        <v>466</v>
      </c>
      <c r="D94">
        <v>434</v>
      </c>
      <c r="E94">
        <f t="shared" si="2"/>
        <v>0</v>
      </c>
    </row>
    <row r="95" spans="1:5" x14ac:dyDescent="0.25">
      <c r="A95" s="1">
        <v>44045</v>
      </c>
      <c r="B95">
        <v>495</v>
      </c>
      <c r="C95">
        <v>410</v>
      </c>
      <c r="D95">
        <v>418</v>
      </c>
      <c r="E95">
        <f t="shared" si="2"/>
        <v>0</v>
      </c>
    </row>
    <row r="96" spans="1:5" x14ac:dyDescent="0.25">
      <c r="A96" s="1">
        <v>44046</v>
      </c>
      <c r="B96">
        <v>420</v>
      </c>
      <c r="C96">
        <v>328</v>
      </c>
      <c r="D96">
        <v>422</v>
      </c>
      <c r="E96">
        <f t="shared" si="2"/>
        <v>1</v>
      </c>
    </row>
    <row r="97" spans="1:5" x14ac:dyDescent="0.25">
      <c r="A97" s="1">
        <v>44047</v>
      </c>
      <c r="B97">
        <v>411</v>
      </c>
      <c r="C97">
        <v>481</v>
      </c>
      <c r="D97">
        <v>445</v>
      </c>
      <c r="E97">
        <f t="shared" si="2"/>
        <v>0</v>
      </c>
    </row>
    <row r="98" spans="1:5" x14ac:dyDescent="0.25">
      <c r="A98" s="1">
        <v>44048</v>
      </c>
      <c r="B98">
        <v>317</v>
      </c>
      <c r="C98">
        <v>434</v>
      </c>
      <c r="D98">
        <v>411</v>
      </c>
      <c r="E98">
        <f t="shared" ref="E98:E129" si="3">IF(D98&gt;C98,IF(D98&gt;B98, 1, 0),0)</f>
        <v>0</v>
      </c>
    </row>
    <row r="99" spans="1:5" x14ac:dyDescent="0.25">
      <c r="A99" s="1">
        <v>44049</v>
      </c>
      <c r="B99">
        <v>342</v>
      </c>
      <c r="C99">
        <v>465</v>
      </c>
      <c r="D99">
        <v>417</v>
      </c>
      <c r="E99">
        <f t="shared" si="3"/>
        <v>0</v>
      </c>
    </row>
    <row r="100" spans="1:5" x14ac:dyDescent="0.25">
      <c r="A100" s="1">
        <v>44050</v>
      </c>
      <c r="B100">
        <v>450</v>
      </c>
      <c r="C100">
        <v>318</v>
      </c>
      <c r="D100">
        <v>490</v>
      </c>
      <c r="E100">
        <f t="shared" si="3"/>
        <v>1</v>
      </c>
    </row>
    <row r="101" spans="1:5" x14ac:dyDescent="0.25">
      <c r="A101" s="1">
        <v>44051</v>
      </c>
      <c r="B101">
        <v>343</v>
      </c>
      <c r="C101">
        <v>329</v>
      </c>
      <c r="D101">
        <v>345</v>
      </c>
      <c r="E101">
        <f t="shared" si="3"/>
        <v>1</v>
      </c>
    </row>
    <row r="102" spans="1:5" x14ac:dyDescent="0.25">
      <c r="A102" s="1">
        <v>44052</v>
      </c>
      <c r="B102">
        <v>287</v>
      </c>
      <c r="C102">
        <v>328</v>
      </c>
      <c r="D102">
        <v>377</v>
      </c>
      <c r="E102">
        <f t="shared" si="3"/>
        <v>1</v>
      </c>
    </row>
    <row r="103" spans="1:5" x14ac:dyDescent="0.25">
      <c r="A103" s="1">
        <v>44053</v>
      </c>
      <c r="B103">
        <v>298</v>
      </c>
      <c r="C103">
        <v>401</v>
      </c>
      <c r="D103">
        <v>416</v>
      </c>
      <c r="E103">
        <f t="shared" si="3"/>
        <v>1</v>
      </c>
    </row>
    <row r="104" spans="1:5" x14ac:dyDescent="0.25">
      <c r="A104" s="1">
        <v>44054</v>
      </c>
      <c r="B104">
        <v>429</v>
      </c>
      <c r="C104">
        <v>348</v>
      </c>
      <c r="D104">
        <v>426</v>
      </c>
      <c r="E104">
        <f t="shared" si="3"/>
        <v>0</v>
      </c>
    </row>
    <row r="105" spans="1:5" x14ac:dyDescent="0.25">
      <c r="A105" s="1">
        <v>44055</v>
      </c>
      <c r="B105">
        <v>417</v>
      </c>
      <c r="C105">
        <v>457</v>
      </c>
      <c r="D105">
        <v>438</v>
      </c>
      <c r="E105">
        <f t="shared" si="3"/>
        <v>0</v>
      </c>
    </row>
    <row r="106" spans="1:5" x14ac:dyDescent="0.25">
      <c r="A106" s="1">
        <v>44056</v>
      </c>
      <c r="B106">
        <v>384</v>
      </c>
      <c r="C106">
        <v>330</v>
      </c>
      <c r="D106">
        <v>292</v>
      </c>
      <c r="E106">
        <f t="shared" si="3"/>
        <v>0</v>
      </c>
    </row>
    <row r="107" spans="1:5" x14ac:dyDescent="0.25">
      <c r="A107" s="1">
        <v>44057</v>
      </c>
      <c r="B107">
        <v>370</v>
      </c>
      <c r="C107">
        <v>388</v>
      </c>
      <c r="D107">
        <v>390</v>
      </c>
      <c r="E107">
        <f t="shared" si="3"/>
        <v>1</v>
      </c>
    </row>
    <row r="108" spans="1:5" x14ac:dyDescent="0.25">
      <c r="A108" s="1">
        <v>44058</v>
      </c>
      <c r="B108">
        <v>436</v>
      </c>
      <c r="C108">
        <v>298</v>
      </c>
      <c r="D108">
        <v>420</v>
      </c>
      <c r="E108">
        <f t="shared" si="3"/>
        <v>0</v>
      </c>
    </row>
    <row r="109" spans="1:5" x14ac:dyDescent="0.25">
      <c r="A109" s="1">
        <v>44059</v>
      </c>
      <c r="B109">
        <v>303</v>
      </c>
      <c r="C109">
        <v>429</v>
      </c>
      <c r="D109">
        <v>407</v>
      </c>
      <c r="E109">
        <f t="shared" si="3"/>
        <v>0</v>
      </c>
    </row>
    <row r="110" spans="1:5" x14ac:dyDescent="0.25">
      <c r="A110" s="1">
        <v>44060</v>
      </c>
      <c r="B110">
        <v>449</v>
      </c>
      <c r="C110">
        <v>444</v>
      </c>
      <c r="D110">
        <v>425</v>
      </c>
      <c r="E110">
        <f t="shared" si="3"/>
        <v>0</v>
      </c>
    </row>
    <row r="111" spans="1:5" x14ac:dyDescent="0.25">
      <c r="A111" s="1">
        <v>44061</v>
      </c>
      <c r="B111">
        <v>300</v>
      </c>
      <c r="C111">
        <v>358</v>
      </c>
      <c r="D111">
        <v>377</v>
      </c>
      <c r="E111">
        <f t="shared" si="3"/>
        <v>1</v>
      </c>
    </row>
    <row r="112" spans="1:5" x14ac:dyDescent="0.25">
      <c r="A112" s="1">
        <v>44062</v>
      </c>
      <c r="B112">
        <v>307</v>
      </c>
      <c r="C112">
        <v>417</v>
      </c>
      <c r="D112">
        <v>405</v>
      </c>
      <c r="E112">
        <f t="shared" si="3"/>
        <v>0</v>
      </c>
    </row>
    <row r="113" spans="1:5" x14ac:dyDescent="0.25">
      <c r="A113" s="1">
        <v>44063</v>
      </c>
      <c r="B113">
        <v>314</v>
      </c>
      <c r="C113">
        <v>340</v>
      </c>
      <c r="D113">
        <v>345</v>
      </c>
      <c r="E113">
        <f t="shared" si="3"/>
        <v>1</v>
      </c>
    </row>
    <row r="114" spans="1:5" x14ac:dyDescent="0.25">
      <c r="A114" s="1">
        <v>44064</v>
      </c>
      <c r="B114">
        <v>379</v>
      </c>
      <c r="C114">
        <v>288</v>
      </c>
      <c r="D114">
        <v>353</v>
      </c>
      <c r="E114">
        <f t="shared" si="3"/>
        <v>0</v>
      </c>
    </row>
    <row r="115" spans="1:5" x14ac:dyDescent="0.25">
      <c r="A115" s="1">
        <v>44065</v>
      </c>
      <c r="B115">
        <v>405</v>
      </c>
      <c r="C115">
        <v>454</v>
      </c>
      <c r="D115">
        <v>342</v>
      </c>
      <c r="E115">
        <f t="shared" si="3"/>
        <v>0</v>
      </c>
    </row>
    <row r="116" spans="1:5" x14ac:dyDescent="0.25">
      <c r="A116" s="1">
        <v>44066</v>
      </c>
      <c r="B116">
        <v>407</v>
      </c>
      <c r="C116">
        <v>300</v>
      </c>
      <c r="D116">
        <v>365</v>
      </c>
      <c r="E116">
        <f t="shared" si="3"/>
        <v>0</v>
      </c>
    </row>
    <row r="117" spans="1:5" x14ac:dyDescent="0.25">
      <c r="A117" s="1">
        <v>44067</v>
      </c>
      <c r="B117">
        <v>432</v>
      </c>
      <c r="C117">
        <v>423</v>
      </c>
      <c r="D117">
        <v>221</v>
      </c>
      <c r="E117">
        <f t="shared" si="3"/>
        <v>0</v>
      </c>
    </row>
    <row r="118" spans="1:5" x14ac:dyDescent="0.25">
      <c r="A118" s="1">
        <v>44068</v>
      </c>
      <c r="B118">
        <v>405</v>
      </c>
      <c r="C118">
        <v>449</v>
      </c>
      <c r="D118">
        <v>231</v>
      </c>
      <c r="E118">
        <f t="shared" si="3"/>
        <v>0</v>
      </c>
    </row>
    <row r="119" spans="1:5" x14ac:dyDescent="0.25">
      <c r="A119" s="1">
        <v>44069</v>
      </c>
      <c r="B119">
        <v>162</v>
      </c>
      <c r="C119">
        <v>294</v>
      </c>
      <c r="D119">
        <v>255</v>
      </c>
      <c r="E119">
        <f t="shared" si="3"/>
        <v>0</v>
      </c>
    </row>
    <row r="120" spans="1:5" x14ac:dyDescent="0.25">
      <c r="A120" s="1">
        <v>44070</v>
      </c>
      <c r="B120">
        <v>297</v>
      </c>
      <c r="C120">
        <v>341</v>
      </c>
      <c r="D120">
        <v>223</v>
      </c>
      <c r="E120">
        <f t="shared" si="3"/>
        <v>0</v>
      </c>
    </row>
    <row r="121" spans="1:5" x14ac:dyDescent="0.25">
      <c r="A121" s="1">
        <v>44071</v>
      </c>
      <c r="B121">
        <v>226</v>
      </c>
      <c r="C121">
        <v>329</v>
      </c>
      <c r="D121">
        <v>261</v>
      </c>
      <c r="E121">
        <f t="shared" si="3"/>
        <v>0</v>
      </c>
    </row>
    <row r="122" spans="1:5" x14ac:dyDescent="0.25">
      <c r="A122" s="1">
        <v>44072</v>
      </c>
      <c r="B122">
        <v>226</v>
      </c>
      <c r="C122">
        <v>256</v>
      </c>
      <c r="D122">
        <v>239</v>
      </c>
      <c r="E122">
        <f t="shared" si="3"/>
        <v>0</v>
      </c>
    </row>
    <row r="123" spans="1:5" x14ac:dyDescent="0.25">
      <c r="A123" s="1">
        <v>44073</v>
      </c>
      <c r="B123">
        <v>287</v>
      </c>
      <c r="C123">
        <v>217</v>
      </c>
      <c r="D123">
        <v>262</v>
      </c>
      <c r="E123">
        <f t="shared" si="3"/>
        <v>0</v>
      </c>
    </row>
    <row r="124" spans="1:5" x14ac:dyDescent="0.25">
      <c r="A124" s="1">
        <v>44074</v>
      </c>
      <c r="B124">
        <v>351</v>
      </c>
      <c r="C124">
        <v>266</v>
      </c>
      <c r="D124">
        <v>226</v>
      </c>
      <c r="E124">
        <f t="shared" si="3"/>
        <v>0</v>
      </c>
    </row>
    <row r="125" spans="1:5" x14ac:dyDescent="0.25">
      <c r="A125" s="1">
        <v>44075</v>
      </c>
      <c r="B125">
        <v>214</v>
      </c>
      <c r="C125">
        <v>260</v>
      </c>
      <c r="D125">
        <v>241</v>
      </c>
      <c r="E125">
        <f t="shared" si="3"/>
        <v>0</v>
      </c>
    </row>
    <row r="126" spans="1:5" x14ac:dyDescent="0.25">
      <c r="A126" s="1">
        <v>44076</v>
      </c>
      <c r="B126">
        <v>282</v>
      </c>
      <c r="C126">
        <v>227</v>
      </c>
      <c r="D126">
        <v>258</v>
      </c>
      <c r="E126">
        <f t="shared" si="3"/>
        <v>0</v>
      </c>
    </row>
    <row r="127" spans="1:5" x14ac:dyDescent="0.25">
      <c r="A127" s="1">
        <v>44077</v>
      </c>
      <c r="B127">
        <v>257</v>
      </c>
      <c r="C127">
        <v>251</v>
      </c>
      <c r="D127">
        <v>252</v>
      </c>
      <c r="E127">
        <f t="shared" si="3"/>
        <v>0</v>
      </c>
    </row>
    <row r="128" spans="1:5" x14ac:dyDescent="0.25">
      <c r="A128" s="1">
        <v>44078</v>
      </c>
      <c r="B128">
        <v>172</v>
      </c>
      <c r="C128">
        <v>171</v>
      </c>
      <c r="D128">
        <v>268</v>
      </c>
      <c r="E128">
        <f t="shared" si="3"/>
        <v>1</v>
      </c>
    </row>
    <row r="129" spans="1:5" x14ac:dyDescent="0.25">
      <c r="A129" s="1">
        <v>44079</v>
      </c>
      <c r="B129">
        <v>197</v>
      </c>
      <c r="C129">
        <v>326</v>
      </c>
      <c r="D129">
        <v>224</v>
      </c>
      <c r="E129">
        <f t="shared" si="3"/>
        <v>0</v>
      </c>
    </row>
    <row r="130" spans="1:5" x14ac:dyDescent="0.25">
      <c r="A130" s="1">
        <v>44080</v>
      </c>
      <c r="B130">
        <v>292</v>
      </c>
      <c r="C130">
        <v>329</v>
      </c>
      <c r="D130">
        <v>255</v>
      </c>
      <c r="E130">
        <f t="shared" ref="E130:E161" si="4">IF(D130&gt;C130,IF(D130&gt;B130, 1, 0),0)</f>
        <v>0</v>
      </c>
    </row>
    <row r="131" spans="1:5" x14ac:dyDescent="0.25">
      <c r="A131" s="1">
        <v>44081</v>
      </c>
      <c r="B131">
        <v>172</v>
      </c>
      <c r="C131">
        <v>216</v>
      </c>
      <c r="D131">
        <v>199</v>
      </c>
      <c r="E131">
        <f t="shared" si="4"/>
        <v>0</v>
      </c>
    </row>
    <row r="132" spans="1:5" x14ac:dyDescent="0.25">
      <c r="A132" s="1">
        <v>44082</v>
      </c>
      <c r="B132">
        <v>258</v>
      </c>
      <c r="C132">
        <v>291</v>
      </c>
      <c r="D132">
        <v>220</v>
      </c>
      <c r="E132">
        <f t="shared" si="4"/>
        <v>0</v>
      </c>
    </row>
    <row r="133" spans="1:5" x14ac:dyDescent="0.25">
      <c r="A133" s="1">
        <v>44083</v>
      </c>
      <c r="B133">
        <v>276</v>
      </c>
      <c r="C133">
        <v>347</v>
      </c>
      <c r="D133">
        <v>197</v>
      </c>
      <c r="E133">
        <f t="shared" si="4"/>
        <v>0</v>
      </c>
    </row>
    <row r="134" spans="1:5" x14ac:dyDescent="0.25">
      <c r="A134" s="1">
        <v>44084</v>
      </c>
      <c r="B134">
        <v>210</v>
      </c>
      <c r="C134">
        <v>333</v>
      </c>
      <c r="D134">
        <v>218</v>
      </c>
      <c r="E134">
        <f t="shared" si="4"/>
        <v>0</v>
      </c>
    </row>
    <row r="135" spans="1:5" x14ac:dyDescent="0.25">
      <c r="A135" s="1">
        <v>44085</v>
      </c>
      <c r="B135">
        <v>168</v>
      </c>
      <c r="C135">
        <v>211</v>
      </c>
      <c r="D135">
        <v>180</v>
      </c>
      <c r="E135">
        <f t="shared" si="4"/>
        <v>0</v>
      </c>
    </row>
    <row r="136" spans="1:5" x14ac:dyDescent="0.25">
      <c r="A136" s="1">
        <v>44086</v>
      </c>
      <c r="B136">
        <v>196</v>
      </c>
      <c r="C136">
        <v>348</v>
      </c>
      <c r="D136">
        <v>225</v>
      </c>
      <c r="E136">
        <f t="shared" si="4"/>
        <v>0</v>
      </c>
    </row>
    <row r="137" spans="1:5" x14ac:dyDescent="0.25">
      <c r="A137" s="1">
        <v>44087</v>
      </c>
      <c r="B137">
        <v>284</v>
      </c>
      <c r="C137">
        <v>226</v>
      </c>
      <c r="D137">
        <v>197</v>
      </c>
      <c r="E137">
        <f t="shared" si="4"/>
        <v>0</v>
      </c>
    </row>
    <row r="138" spans="1:5" x14ac:dyDescent="0.25">
      <c r="A138" s="1">
        <v>44088</v>
      </c>
      <c r="B138">
        <v>162</v>
      </c>
      <c r="C138">
        <v>345</v>
      </c>
      <c r="D138">
        <v>194</v>
      </c>
      <c r="E138">
        <f t="shared" si="4"/>
        <v>0</v>
      </c>
    </row>
    <row r="139" spans="1:5" x14ac:dyDescent="0.25">
      <c r="A139" s="1">
        <v>44089</v>
      </c>
      <c r="B139">
        <v>212</v>
      </c>
      <c r="C139">
        <v>184</v>
      </c>
      <c r="D139">
        <v>183</v>
      </c>
      <c r="E139">
        <f t="shared" si="4"/>
        <v>0</v>
      </c>
    </row>
    <row r="140" spans="1:5" x14ac:dyDescent="0.25">
      <c r="A140" s="1">
        <v>44090</v>
      </c>
      <c r="B140">
        <v>165</v>
      </c>
      <c r="C140">
        <v>232</v>
      </c>
      <c r="D140">
        <v>202</v>
      </c>
      <c r="E140">
        <f t="shared" si="4"/>
        <v>0</v>
      </c>
    </row>
    <row r="141" spans="1:5" x14ac:dyDescent="0.25">
      <c r="A141" s="1">
        <v>44091</v>
      </c>
      <c r="B141">
        <v>163</v>
      </c>
      <c r="C141">
        <v>314</v>
      </c>
      <c r="D141">
        <v>213</v>
      </c>
      <c r="E141">
        <f t="shared" si="4"/>
        <v>0</v>
      </c>
    </row>
    <row r="142" spans="1:5" x14ac:dyDescent="0.25">
      <c r="A142" s="1">
        <v>44092</v>
      </c>
      <c r="B142">
        <v>200</v>
      </c>
      <c r="C142">
        <v>307</v>
      </c>
      <c r="D142">
        <v>206</v>
      </c>
      <c r="E142">
        <f t="shared" si="4"/>
        <v>0</v>
      </c>
    </row>
    <row r="143" spans="1:5" x14ac:dyDescent="0.25">
      <c r="A143" s="1">
        <v>44093</v>
      </c>
      <c r="B143">
        <v>201</v>
      </c>
      <c r="C143">
        <v>274</v>
      </c>
      <c r="D143">
        <v>210</v>
      </c>
      <c r="E143">
        <f t="shared" si="4"/>
        <v>0</v>
      </c>
    </row>
    <row r="144" spans="1:5" x14ac:dyDescent="0.25">
      <c r="A144" s="1">
        <v>44094</v>
      </c>
      <c r="B144">
        <v>269</v>
      </c>
      <c r="C144">
        <v>278</v>
      </c>
      <c r="D144">
        <v>228</v>
      </c>
      <c r="E144">
        <f t="shared" si="4"/>
        <v>0</v>
      </c>
    </row>
    <row r="145" spans="1:5" x14ac:dyDescent="0.25">
      <c r="A145" s="1">
        <v>44095</v>
      </c>
      <c r="B145">
        <v>188</v>
      </c>
      <c r="C145">
        <v>195</v>
      </c>
      <c r="D145">
        <v>207</v>
      </c>
      <c r="E145">
        <f t="shared" si="4"/>
        <v>1</v>
      </c>
    </row>
    <row r="146" spans="1:5" x14ac:dyDescent="0.25">
      <c r="A146" s="1">
        <v>44096</v>
      </c>
      <c r="B146">
        <v>142</v>
      </c>
      <c r="C146">
        <v>249</v>
      </c>
      <c r="D146">
        <v>202</v>
      </c>
      <c r="E146">
        <f t="shared" si="4"/>
        <v>0</v>
      </c>
    </row>
    <row r="147" spans="1:5" x14ac:dyDescent="0.25">
      <c r="A147" s="1">
        <v>44097</v>
      </c>
      <c r="B147">
        <v>232</v>
      </c>
      <c r="C147">
        <v>116</v>
      </c>
      <c r="D147">
        <v>195</v>
      </c>
      <c r="E147">
        <f t="shared" si="4"/>
        <v>0</v>
      </c>
    </row>
    <row r="148" spans="1:5" x14ac:dyDescent="0.25">
      <c r="A148" s="1">
        <v>44098</v>
      </c>
      <c r="B148">
        <v>296</v>
      </c>
      <c r="C148">
        <v>102</v>
      </c>
      <c r="D148">
        <v>192</v>
      </c>
      <c r="E148">
        <f t="shared" si="4"/>
        <v>0</v>
      </c>
    </row>
    <row r="149" spans="1:5" x14ac:dyDescent="0.25">
      <c r="A149" s="1">
        <v>44099</v>
      </c>
      <c r="B149">
        <v>161</v>
      </c>
      <c r="C149">
        <v>151</v>
      </c>
      <c r="D149">
        <v>216</v>
      </c>
      <c r="E149">
        <f t="shared" si="4"/>
        <v>1</v>
      </c>
    </row>
    <row r="150" spans="1:5" x14ac:dyDescent="0.25">
      <c r="A150" s="1">
        <v>44100</v>
      </c>
      <c r="B150">
        <v>162</v>
      </c>
      <c r="C150">
        <v>261</v>
      </c>
      <c r="D150">
        <v>184</v>
      </c>
      <c r="E150">
        <f t="shared" si="4"/>
        <v>0</v>
      </c>
    </row>
    <row r="151" spans="1:5" x14ac:dyDescent="0.25">
      <c r="A151" s="1">
        <v>44101</v>
      </c>
      <c r="B151">
        <v>216</v>
      </c>
      <c r="C151">
        <v>147</v>
      </c>
      <c r="D151">
        <v>204</v>
      </c>
      <c r="E151">
        <f t="shared" si="4"/>
        <v>0</v>
      </c>
    </row>
    <row r="152" spans="1:5" x14ac:dyDescent="0.25">
      <c r="A152" s="1">
        <v>44102</v>
      </c>
      <c r="B152">
        <v>282</v>
      </c>
      <c r="C152">
        <v>297</v>
      </c>
      <c r="D152">
        <v>195</v>
      </c>
      <c r="E152">
        <f t="shared" si="4"/>
        <v>0</v>
      </c>
    </row>
    <row r="153" spans="1:5" x14ac:dyDescent="0.25">
      <c r="A153" s="1">
        <v>44103</v>
      </c>
      <c r="B153">
        <v>214</v>
      </c>
      <c r="C153">
        <v>198</v>
      </c>
      <c r="D153">
        <v>200</v>
      </c>
      <c r="E153">
        <f t="shared" si="4"/>
        <v>0</v>
      </c>
    </row>
    <row r="154" spans="1:5" x14ac:dyDescent="0.25">
      <c r="A154" s="1">
        <v>44104</v>
      </c>
      <c r="B154">
        <v>289</v>
      </c>
      <c r="C154">
        <v>290</v>
      </c>
      <c r="D154">
        <v>190</v>
      </c>
      <c r="E154">
        <f t="shared" si="4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78D1-6ACA-44FD-97B8-26FD2E2AA8ED}">
  <dimension ref="A1:N154"/>
  <sheetViews>
    <sheetView zoomScale="145" zoomScaleNormal="145" workbookViewId="0">
      <selection activeCell="O16" sqref="O16"/>
    </sheetView>
  </sheetViews>
  <sheetFormatPr defaultRowHeight="15" x14ac:dyDescent="0.25"/>
  <cols>
    <col min="1" max="1" width="14.28515625" customWidth="1"/>
    <col min="2" max="2" width="12" customWidth="1"/>
    <col min="3" max="3" width="13.140625" customWidth="1"/>
    <col min="4" max="5" width="11.42578125" customWidth="1"/>
    <col min="6" max="6" width="15.85546875" customWidth="1"/>
    <col min="7" max="7" width="15.7109375" customWidth="1"/>
    <col min="8" max="8" width="25.85546875" bestFit="1" customWidth="1"/>
    <col min="9" max="9" width="10.140625" customWidth="1"/>
    <col min="10" max="10" width="8.7109375" customWidth="1"/>
    <col min="11" max="11" width="9" customWidth="1"/>
    <col min="13" max="13" width="30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4" x14ac:dyDescent="0.25">
      <c r="A2" s="1">
        <v>43952</v>
      </c>
      <c r="B2">
        <v>211</v>
      </c>
      <c r="C2">
        <v>281</v>
      </c>
      <c r="D2">
        <v>88</v>
      </c>
      <c r="E2">
        <f>B2</f>
        <v>211</v>
      </c>
      <c r="F2">
        <f>C2</f>
        <v>281</v>
      </c>
      <c r="G2">
        <f>D2</f>
        <v>88</v>
      </c>
      <c r="H2" t="str">
        <f>IF(E2=MIN(E2:G2), "Truskawkowo-Porzeczkowa", IF(F2=MIN(E2:G2), "Malinowo-Porzeczkowa", "Malinowo-Truskawkowa"))</f>
        <v>Malinowo-Truskawkowa</v>
      </c>
      <c r="I2">
        <f>IF(E2=MIN($E2:$G2), E2, E2-MEDIAN($E2:G2))</f>
        <v>0</v>
      </c>
      <c r="J2">
        <f>IF(F2=MIN($E2:$G2), F2, F2-MEDIAN($E2:G2))</f>
        <v>70</v>
      </c>
      <c r="K2">
        <f>IF(G2=MIN($E2:$G2), G2, G2-MEDIAN($E2:G2))</f>
        <v>88</v>
      </c>
    </row>
    <row r="3" spans="1:14" x14ac:dyDescent="0.25">
      <c r="A3" s="1">
        <v>43953</v>
      </c>
      <c r="B3">
        <v>393</v>
      </c>
      <c r="C3">
        <v>313</v>
      </c>
      <c r="D3">
        <v>83</v>
      </c>
      <c r="E3">
        <f>B3+I2</f>
        <v>393</v>
      </c>
      <c r="F3">
        <f>C3+J2</f>
        <v>383</v>
      </c>
      <c r="G3">
        <f>D3+K2</f>
        <v>171</v>
      </c>
      <c r="H3" t="str">
        <f>IF(E3=MIN(E3:G3), "Truskawkowo-Porzeczkowa", IF(F3=MIN(E3:G3), "Malinowo-Porzeczkowa", "Malinowo-Truskawkowa"))</f>
        <v>Malinowo-Truskawkowa</v>
      </c>
      <c r="I3">
        <f>IF(E3=MIN($E3:$G3), E3, E3-MEDIAN($E3:G3))</f>
        <v>10</v>
      </c>
      <c r="J3">
        <f>IF(F3=MIN($E3:$G3), F3, F3-MEDIAN($E3:G3))</f>
        <v>0</v>
      </c>
      <c r="K3">
        <f>IF(G3=MIN($E3:$G3), G3, G3-MEDIAN($E3:G3))</f>
        <v>171</v>
      </c>
    </row>
    <row r="4" spans="1:14" x14ac:dyDescent="0.25">
      <c r="A4" s="1">
        <v>43954</v>
      </c>
      <c r="B4">
        <v>389</v>
      </c>
      <c r="C4">
        <v>315</v>
      </c>
      <c r="D4">
        <v>104</v>
      </c>
      <c r="E4">
        <f t="shared" ref="E4:E67" si="0">B4+I3</f>
        <v>399</v>
      </c>
      <c r="F4">
        <f t="shared" ref="F4:F67" si="1">C4+J3</f>
        <v>315</v>
      </c>
      <c r="G4">
        <f t="shared" ref="G4:G67" si="2">D4+K3</f>
        <v>275</v>
      </c>
      <c r="H4" t="str">
        <f t="shared" ref="H4:H67" si="3">IF(E4=MIN(E4:G4), "Truskawkowo-Porzeczkowa", IF(F4=MIN(E4:G4), "Malinowo-Porzeczkowa", "Malinowo-Truskawkowa"))</f>
        <v>Malinowo-Truskawkowa</v>
      </c>
      <c r="I4">
        <f>IF(E4=MIN($E4:$G4), E4, E4-MEDIAN($E4:G4))</f>
        <v>84</v>
      </c>
      <c r="J4">
        <f>IF(F4=MIN($E4:$G4), F4, F4-MEDIAN($E4:G4))</f>
        <v>0</v>
      </c>
      <c r="K4">
        <f>IF(G4=MIN($E4:$G4), G4, G4-MEDIAN($E4:G4))</f>
        <v>275</v>
      </c>
      <c r="M4" s="5" t="s">
        <v>22</v>
      </c>
      <c r="N4" s="6">
        <f>COUNTIF(H:H, "Malinowo-Truskawkowa")</f>
        <v>72</v>
      </c>
    </row>
    <row r="5" spans="1:14" x14ac:dyDescent="0.25">
      <c r="A5" s="1">
        <v>43955</v>
      </c>
      <c r="B5">
        <v>308</v>
      </c>
      <c r="C5">
        <v>221</v>
      </c>
      <c r="D5">
        <v>119</v>
      </c>
      <c r="E5">
        <f t="shared" si="0"/>
        <v>392</v>
      </c>
      <c r="F5">
        <f t="shared" si="1"/>
        <v>221</v>
      </c>
      <c r="G5">
        <f t="shared" si="2"/>
        <v>394</v>
      </c>
      <c r="H5" t="str">
        <f t="shared" si="3"/>
        <v>Malinowo-Porzeczkowa</v>
      </c>
      <c r="I5">
        <f>IF(E5=MIN($E5:$G5), E5, E5-MEDIAN($E5:G5))</f>
        <v>0</v>
      </c>
      <c r="J5">
        <f>IF(F5=MIN($E5:$G5), F5, F5-MEDIAN($E5:G5))</f>
        <v>221</v>
      </c>
      <c r="K5">
        <f>IF(G5=MIN($E5:$G5), G5, G5-MEDIAN($E5:G5))</f>
        <v>2</v>
      </c>
      <c r="M5" s="5" t="s">
        <v>23</v>
      </c>
      <c r="N5" s="6">
        <f>COUNTIF(H:H, "Malinowo-Porzeczkowa")</f>
        <v>41</v>
      </c>
    </row>
    <row r="6" spans="1:14" x14ac:dyDescent="0.25">
      <c r="A6" s="1">
        <v>43956</v>
      </c>
      <c r="B6">
        <v>387</v>
      </c>
      <c r="C6">
        <v>275</v>
      </c>
      <c r="D6">
        <v>72</v>
      </c>
      <c r="E6">
        <f t="shared" si="0"/>
        <v>387</v>
      </c>
      <c r="F6">
        <f t="shared" si="1"/>
        <v>496</v>
      </c>
      <c r="G6">
        <f t="shared" si="2"/>
        <v>74</v>
      </c>
      <c r="H6" t="str">
        <f t="shared" si="3"/>
        <v>Malinowo-Truskawkowa</v>
      </c>
      <c r="I6">
        <f>IF(E6=MIN($E6:$G6), E6, E6-MEDIAN($E6:G6))</f>
        <v>0</v>
      </c>
      <c r="J6">
        <f>IF(F6=MIN($E6:$G6), F6, F6-MEDIAN($E6:G6))</f>
        <v>109</v>
      </c>
      <c r="K6">
        <f>IF(G6=MIN($E6:$G6), G6, G6-MEDIAN($E6:G6))</f>
        <v>74</v>
      </c>
      <c r="M6" s="5" t="s">
        <v>24</v>
      </c>
      <c r="N6" s="6">
        <f>COUNTIF(H:H, "Truskawkowo-Porzeczkowa")</f>
        <v>40</v>
      </c>
    </row>
    <row r="7" spans="1:14" x14ac:dyDescent="0.25">
      <c r="A7" s="1">
        <v>43957</v>
      </c>
      <c r="B7">
        <v>294</v>
      </c>
      <c r="C7">
        <v>366</v>
      </c>
      <c r="D7">
        <v>99</v>
      </c>
      <c r="E7">
        <f t="shared" si="0"/>
        <v>294</v>
      </c>
      <c r="F7">
        <f t="shared" si="1"/>
        <v>475</v>
      </c>
      <c r="G7">
        <f t="shared" si="2"/>
        <v>173</v>
      </c>
      <c r="H7" t="str">
        <f t="shared" si="3"/>
        <v>Malinowo-Truskawkowa</v>
      </c>
      <c r="I7">
        <f>IF(E7=MIN($E7:$G7), E7, E7-MEDIAN($E7:G7))</f>
        <v>0</v>
      </c>
      <c r="J7">
        <f>IF(F7=MIN($E7:$G7), F7, F7-MEDIAN($E7:G7))</f>
        <v>181</v>
      </c>
      <c r="K7">
        <f>IF(G7=MIN($E7:$G7), G7, G7-MEDIAN($E7:G7))</f>
        <v>173</v>
      </c>
    </row>
    <row r="8" spans="1:14" x14ac:dyDescent="0.25">
      <c r="A8" s="1">
        <v>43958</v>
      </c>
      <c r="B8">
        <v>389</v>
      </c>
      <c r="C8">
        <v>288</v>
      </c>
      <c r="D8">
        <v>87</v>
      </c>
      <c r="E8">
        <f t="shared" si="0"/>
        <v>389</v>
      </c>
      <c r="F8">
        <f t="shared" si="1"/>
        <v>469</v>
      </c>
      <c r="G8">
        <f t="shared" si="2"/>
        <v>260</v>
      </c>
      <c r="H8" t="str">
        <f t="shared" si="3"/>
        <v>Malinowo-Truskawkowa</v>
      </c>
      <c r="I8">
        <f>IF(E8=MIN($E8:$G8), E8, E8-MEDIAN($E8:G8))</f>
        <v>0</v>
      </c>
      <c r="J8">
        <f>IF(F8=MIN($E8:$G8), F8, F8-MEDIAN($E8:G8))</f>
        <v>80</v>
      </c>
      <c r="K8">
        <f>IF(G8=MIN($E8:$G8), G8, G8-MEDIAN($E8:G8))</f>
        <v>260</v>
      </c>
    </row>
    <row r="9" spans="1:14" x14ac:dyDescent="0.25">
      <c r="A9" s="1">
        <v>43959</v>
      </c>
      <c r="B9">
        <v>259</v>
      </c>
      <c r="C9">
        <v>361</v>
      </c>
      <c r="D9">
        <v>112</v>
      </c>
      <c r="E9">
        <f t="shared" si="0"/>
        <v>259</v>
      </c>
      <c r="F9">
        <f t="shared" si="1"/>
        <v>441</v>
      </c>
      <c r="G9">
        <f t="shared" si="2"/>
        <v>372</v>
      </c>
      <c r="H9" t="str">
        <f t="shared" si="3"/>
        <v>Truskawkowo-Porzeczkowa</v>
      </c>
      <c r="I9">
        <f>IF(E9=MIN($E9:$G9), E9, E9-MEDIAN($E9:G9))</f>
        <v>259</v>
      </c>
      <c r="J9">
        <f>IF(F9=MIN($E9:$G9), F9, F9-MEDIAN($E9:G9))</f>
        <v>69</v>
      </c>
      <c r="K9">
        <f>IF(G9=MIN($E9:$G9), G9, G9-MEDIAN($E9:G9))</f>
        <v>0</v>
      </c>
    </row>
    <row r="10" spans="1:14" x14ac:dyDescent="0.25">
      <c r="A10" s="1">
        <v>43960</v>
      </c>
      <c r="B10">
        <v>369</v>
      </c>
      <c r="C10">
        <v>233</v>
      </c>
      <c r="D10">
        <v>110</v>
      </c>
      <c r="E10">
        <f t="shared" si="0"/>
        <v>628</v>
      </c>
      <c r="F10">
        <f t="shared" si="1"/>
        <v>302</v>
      </c>
      <c r="G10">
        <f t="shared" si="2"/>
        <v>110</v>
      </c>
      <c r="H10" t="str">
        <f t="shared" si="3"/>
        <v>Malinowo-Truskawkowa</v>
      </c>
      <c r="I10">
        <f>IF(E10=MIN($E10:$G10), E10, E10-MEDIAN($E10:G10))</f>
        <v>326</v>
      </c>
      <c r="J10">
        <f>IF(F10=MIN($E10:$G10), F10, F10-MEDIAN($E10:G10))</f>
        <v>0</v>
      </c>
      <c r="K10">
        <f>IF(G10=MIN($E10:$G10), G10, G10-MEDIAN($E10:G10))</f>
        <v>110</v>
      </c>
    </row>
    <row r="11" spans="1:14" x14ac:dyDescent="0.25">
      <c r="A11" s="1">
        <v>43961</v>
      </c>
      <c r="B11">
        <v>263</v>
      </c>
      <c r="C11">
        <v>393</v>
      </c>
      <c r="D11">
        <v>75</v>
      </c>
      <c r="E11">
        <f t="shared" si="0"/>
        <v>589</v>
      </c>
      <c r="F11">
        <f t="shared" si="1"/>
        <v>393</v>
      </c>
      <c r="G11">
        <f t="shared" si="2"/>
        <v>185</v>
      </c>
      <c r="H11" t="str">
        <f t="shared" si="3"/>
        <v>Malinowo-Truskawkowa</v>
      </c>
      <c r="I11">
        <f>IF(E11=MIN($E11:$G11), E11, E11-MEDIAN($E11:G11))</f>
        <v>196</v>
      </c>
      <c r="J11">
        <f>IF(F11=MIN($E11:$G11), F11, F11-MEDIAN($E11:G11))</f>
        <v>0</v>
      </c>
      <c r="K11">
        <f>IF(G11=MIN($E11:$G11), G11, G11-MEDIAN($E11:G11))</f>
        <v>185</v>
      </c>
    </row>
    <row r="12" spans="1:14" x14ac:dyDescent="0.25">
      <c r="A12" s="1">
        <v>43962</v>
      </c>
      <c r="B12">
        <v>239</v>
      </c>
      <c r="C12">
        <v>347</v>
      </c>
      <c r="D12">
        <v>94</v>
      </c>
      <c r="E12">
        <f t="shared" si="0"/>
        <v>435</v>
      </c>
      <c r="F12">
        <f t="shared" si="1"/>
        <v>347</v>
      </c>
      <c r="G12">
        <f t="shared" si="2"/>
        <v>279</v>
      </c>
      <c r="H12" t="str">
        <f t="shared" si="3"/>
        <v>Malinowo-Truskawkowa</v>
      </c>
      <c r="I12">
        <f>IF(E12=MIN($E12:$G12), E12, E12-MEDIAN($E12:G12))</f>
        <v>88</v>
      </c>
      <c r="J12">
        <f>IF(F12=MIN($E12:$G12), F12, F12-MEDIAN($E12:G12))</f>
        <v>0</v>
      </c>
      <c r="K12">
        <f>IF(G12=MIN($E12:$G12), G12, G12-MEDIAN($E12:G12))</f>
        <v>279</v>
      </c>
    </row>
    <row r="13" spans="1:14" x14ac:dyDescent="0.25">
      <c r="A13" s="1">
        <v>43963</v>
      </c>
      <c r="B13">
        <v>282</v>
      </c>
      <c r="C13">
        <v>338</v>
      </c>
      <c r="D13">
        <v>86</v>
      </c>
      <c r="E13">
        <f t="shared" si="0"/>
        <v>370</v>
      </c>
      <c r="F13">
        <f t="shared" si="1"/>
        <v>338</v>
      </c>
      <c r="G13">
        <f t="shared" si="2"/>
        <v>365</v>
      </c>
      <c r="H13" t="str">
        <f t="shared" si="3"/>
        <v>Malinowo-Porzeczkowa</v>
      </c>
      <c r="I13">
        <f>IF(E13=MIN($E13:$G13), E13, E13-MEDIAN($E13:G13))</f>
        <v>5</v>
      </c>
      <c r="J13">
        <f>IF(F13=MIN($E13:$G13), F13, F13-MEDIAN($E13:G13))</f>
        <v>338</v>
      </c>
      <c r="K13">
        <f>IF(G13=MIN($E13:$G13), G13, G13-MEDIAN($E13:G13))</f>
        <v>0</v>
      </c>
    </row>
    <row r="14" spans="1:14" x14ac:dyDescent="0.25">
      <c r="A14" s="1">
        <v>43964</v>
      </c>
      <c r="B14">
        <v>306</v>
      </c>
      <c r="C14">
        <v>273</v>
      </c>
      <c r="D14">
        <v>75</v>
      </c>
      <c r="E14">
        <f t="shared" si="0"/>
        <v>311</v>
      </c>
      <c r="F14">
        <f t="shared" si="1"/>
        <v>611</v>
      </c>
      <c r="G14">
        <f t="shared" si="2"/>
        <v>75</v>
      </c>
      <c r="H14" t="str">
        <f t="shared" si="3"/>
        <v>Malinowo-Truskawkowa</v>
      </c>
      <c r="I14">
        <f>IF(E14=MIN($E14:$G14), E14, E14-MEDIAN($E14:G14))</f>
        <v>0</v>
      </c>
      <c r="J14">
        <f>IF(F14=MIN($E14:$G14), F14, F14-MEDIAN($E14:G14))</f>
        <v>300</v>
      </c>
      <c r="K14">
        <f>IF(G14=MIN($E14:$G14), G14, G14-MEDIAN($E14:G14))</f>
        <v>75</v>
      </c>
    </row>
    <row r="15" spans="1:14" x14ac:dyDescent="0.25">
      <c r="A15" s="1">
        <v>43965</v>
      </c>
      <c r="B15">
        <v>251</v>
      </c>
      <c r="C15">
        <v>325</v>
      </c>
      <c r="D15">
        <v>89</v>
      </c>
      <c r="E15">
        <f t="shared" si="0"/>
        <v>251</v>
      </c>
      <c r="F15">
        <f t="shared" si="1"/>
        <v>625</v>
      </c>
      <c r="G15">
        <f t="shared" si="2"/>
        <v>164</v>
      </c>
      <c r="H15" t="str">
        <f t="shared" si="3"/>
        <v>Malinowo-Truskawkowa</v>
      </c>
      <c r="I15">
        <f>IF(E15=MIN($E15:$G15), E15, E15-MEDIAN($E15:G15))</f>
        <v>0</v>
      </c>
      <c r="J15">
        <f>IF(F15=MIN($E15:$G15), F15, F15-MEDIAN($E15:G15))</f>
        <v>374</v>
      </c>
      <c r="K15">
        <f>IF(G15=MIN($E15:$G15), G15, G15-MEDIAN($E15:G15))</f>
        <v>164</v>
      </c>
    </row>
    <row r="16" spans="1:14" x14ac:dyDescent="0.25">
      <c r="A16" s="1">
        <v>43966</v>
      </c>
      <c r="B16">
        <v>224</v>
      </c>
      <c r="C16">
        <v>352</v>
      </c>
      <c r="D16">
        <v>97</v>
      </c>
      <c r="E16">
        <f t="shared" si="0"/>
        <v>224</v>
      </c>
      <c r="F16">
        <f t="shared" si="1"/>
        <v>726</v>
      </c>
      <c r="G16">
        <f t="shared" si="2"/>
        <v>261</v>
      </c>
      <c r="H16" t="str">
        <f t="shared" si="3"/>
        <v>Truskawkowo-Porzeczkowa</v>
      </c>
      <c r="I16">
        <f>IF(E16=MIN($E16:$G16), E16, E16-MEDIAN($E16:G16))</f>
        <v>224</v>
      </c>
      <c r="J16">
        <f>IF(F16=MIN($E16:$G16), F16, F16-MEDIAN($E16:G16))</f>
        <v>465</v>
      </c>
      <c r="K16">
        <f>IF(G16=MIN($E16:$G16), G16, G16-MEDIAN($E16:G16))</f>
        <v>0</v>
      </c>
    </row>
    <row r="17" spans="1:11" x14ac:dyDescent="0.25">
      <c r="A17" s="1">
        <v>43967</v>
      </c>
      <c r="B17">
        <v>233</v>
      </c>
      <c r="C17">
        <v>270</v>
      </c>
      <c r="D17">
        <v>94</v>
      </c>
      <c r="E17">
        <f t="shared" si="0"/>
        <v>457</v>
      </c>
      <c r="F17">
        <f t="shared" si="1"/>
        <v>735</v>
      </c>
      <c r="G17">
        <f t="shared" si="2"/>
        <v>94</v>
      </c>
      <c r="H17" t="str">
        <f t="shared" si="3"/>
        <v>Malinowo-Truskawkowa</v>
      </c>
      <c r="I17">
        <f>IF(E17=MIN($E17:$G17), E17, E17-MEDIAN($E17:G17))</f>
        <v>0</v>
      </c>
      <c r="J17">
        <f>IF(F17=MIN($E17:$G17), F17, F17-MEDIAN($E17:G17))</f>
        <v>278</v>
      </c>
      <c r="K17">
        <f>IF(G17=MIN($E17:$G17), G17, G17-MEDIAN($E17:G17))</f>
        <v>94</v>
      </c>
    </row>
    <row r="18" spans="1:11" x14ac:dyDescent="0.25">
      <c r="A18" s="1">
        <v>43968</v>
      </c>
      <c r="B18">
        <v>345</v>
      </c>
      <c r="C18">
        <v>275</v>
      </c>
      <c r="D18">
        <v>90</v>
      </c>
      <c r="E18">
        <f t="shared" si="0"/>
        <v>345</v>
      </c>
      <c r="F18">
        <f t="shared" si="1"/>
        <v>553</v>
      </c>
      <c r="G18">
        <f t="shared" si="2"/>
        <v>184</v>
      </c>
      <c r="H18" t="str">
        <f t="shared" si="3"/>
        <v>Malinowo-Truskawkowa</v>
      </c>
      <c r="I18">
        <f>IF(E18=MIN($E18:$G18), E18, E18-MEDIAN($E18:G18))</f>
        <v>0</v>
      </c>
      <c r="J18">
        <f>IF(F18=MIN($E18:$G18), F18, F18-MEDIAN($E18:G18))</f>
        <v>208</v>
      </c>
      <c r="K18">
        <f>IF(G18=MIN($E18:$G18), G18, G18-MEDIAN($E18:G18))</f>
        <v>184</v>
      </c>
    </row>
    <row r="19" spans="1:11" x14ac:dyDescent="0.25">
      <c r="A19" s="1">
        <v>43969</v>
      </c>
      <c r="B19">
        <v>232</v>
      </c>
      <c r="C19">
        <v>228</v>
      </c>
      <c r="D19">
        <v>107</v>
      </c>
      <c r="E19">
        <f t="shared" si="0"/>
        <v>232</v>
      </c>
      <c r="F19">
        <f t="shared" si="1"/>
        <v>436</v>
      </c>
      <c r="G19">
        <f t="shared" si="2"/>
        <v>291</v>
      </c>
      <c r="H19" t="str">
        <f t="shared" si="3"/>
        <v>Truskawkowo-Porzeczkowa</v>
      </c>
      <c r="I19">
        <f>IF(E19=MIN($E19:$G19), E19, E19-MEDIAN($E19:G19))</f>
        <v>232</v>
      </c>
      <c r="J19">
        <f>IF(F19=MIN($E19:$G19), F19, F19-MEDIAN($E19:G19))</f>
        <v>145</v>
      </c>
      <c r="K19">
        <f>IF(G19=MIN($E19:$G19), G19, G19-MEDIAN($E19:G19))</f>
        <v>0</v>
      </c>
    </row>
    <row r="20" spans="1:11" x14ac:dyDescent="0.25">
      <c r="A20" s="1">
        <v>43970</v>
      </c>
      <c r="B20">
        <v>238</v>
      </c>
      <c r="C20">
        <v>394</v>
      </c>
      <c r="D20">
        <v>105</v>
      </c>
      <c r="E20">
        <f t="shared" si="0"/>
        <v>470</v>
      </c>
      <c r="F20">
        <f t="shared" si="1"/>
        <v>539</v>
      </c>
      <c r="G20">
        <f t="shared" si="2"/>
        <v>105</v>
      </c>
      <c r="H20" t="str">
        <f t="shared" si="3"/>
        <v>Malinowo-Truskawkowa</v>
      </c>
      <c r="I20">
        <f>IF(E20=MIN($E20:$G20), E20, E20-MEDIAN($E20:G20))</f>
        <v>0</v>
      </c>
      <c r="J20">
        <f>IF(F20=MIN($E20:$G20), F20, F20-MEDIAN($E20:G20))</f>
        <v>69</v>
      </c>
      <c r="K20">
        <f>IF(G20=MIN($E20:$G20), G20, G20-MEDIAN($E20:G20))</f>
        <v>105</v>
      </c>
    </row>
    <row r="21" spans="1:11" x14ac:dyDescent="0.25">
      <c r="A21" s="1">
        <v>43971</v>
      </c>
      <c r="B21">
        <v>378</v>
      </c>
      <c r="C21">
        <v>311</v>
      </c>
      <c r="D21">
        <v>110</v>
      </c>
      <c r="E21">
        <f t="shared" si="0"/>
        <v>378</v>
      </c>
      <c r="F21">
        <f t="shared" si="1"/>
        <v>380</v>
      </c>
      <c r="G21">
        <f t="shared" si="2"/>
        <v>215</v>
      </c>
      <c r="H21" t="str">
        <f t="shared" si="3"/>
        <v>Malinowo-Truskawkowa</v>
      </c>
      <c r="I21">
        <f>IF(E21=MIN($E21:$G21), E21, E21-MEDIAN($E21:G21))</f>
        <v>0</v>
      </c>
      <c r="J21">
        <f>IF(F21=MIN($E21:$G21), F21, F21-MEDIAN($E21:G21))</f>
        <v>2</v>
      </c>
      <c r="K21">
        <f>IF(G21=MIN($E21:$G21), G21, G21-MEDIAN($E21:G21))</f>
        <v>215</v>
      </c>
    </row>
    <row r="22" spans="1:11" x14ac:dyDescent="0.25">
      <c r="A22" s="1">
        <v>43972</v>
      </c>
      <c r="B22">
        <v>281</v>
      </c>
      <c r="C22">
        <v>354</v>
      </c>
      <c r="D22">
        <v>121</v>
      </c>
      <c r="E22">
        <f t="shared" si="0"/>
        <v>281</v>
      </c>
      <c r="F22">
        <f t="shared" si="1"/>
        <v>356</v>
      </c>
      <c r="G22">
        <f t="shared" si="2"/>
        <v>336</v>
      </c>
      <c r="H22" t="str">
        <f t="shared" si="3"/>
        <v>Truskawkowo-Porzeczkowa</v>
      </c>
      <c r="I22">
        <f>IF(E22=MIN($E22:$G22), E22, E22-MEDIAN($E22:G22))</f>
        <v>281</v>
      </c>
      <c r="J22">
        <f>IF(F22=MIN($E22:$G22), F22, F22-MEDIAN($E22:G22))</f>
        <v>20</v>
      </c>
      <c r="K22">
        <f>IF(G22=MIN($E22:$G22), G22, G22-MEDIAN($E22:G22))</f>
        <v>0</v>
      </c>
    </row>
    <row r="23" spans="1:11" x14ac:dyDescent="0.25">
      <c r="A23" s="1">
        <v>43973</v>
      </c>
      <c r="B23">
        <v>390</v>
      </c>
      <c r="C23">
        <v>267</v>
      </c>
      <c r="D23">
        <v>124</v>
      </c>
      <c r="E23">
        <f t="shared" si="0"/>
        <v>671</v>
      </c>
      <c r="F23">
        <f t="shared" si="1"/>
        <v>287</v>
      </c>
      <c r="G23">
        <f t="shared" si="2"/>
        <v>124</v>
      </c>
      <c r="H23" t="str">
        <f t="shared" si="3"/>
        <v>Malinowo-Truskawkowa</v>
      </c>
      <c r="I23">
        <f>IF(E23=MIN($E23:$G23), E23, E23-MEDIAN($E23:G23))</f>
        <v>384</v>
      </c>
      <c r="J23">
        <f>IF(F23=MIN($E23:$G23), F23, F23-MEDIAN($E23:G23))</f>
        <v>0</v>
      </c>
      <c r="K23">
        <f>IF(G23=MIN($E23:$G23), G23, G23-MEDIAN($E23:G23))</f>
        <v>124</v>
      </c>
    </row>
    <row r="24" spans="1:11" x14ac:dyDescent="0.25">
      <c r="A24" s="1">
        <v>43974</v>
      </c>
      <c r="B24">
        <v>308</v>
      </c>
      <c r="C24">
        <v>337</v>
      </c>
      <c r="D24">
        <v>105</v>
      </c>
      <c r="E24">
        <f t="shared" si="0"/>
        <v>692</v>
      </c>
      <c r="F24">
        <f t="shared" si="1"/>
        <v>337</v>
      </c>
      <c r="G24">
        <f t="shared" si="2"/>
        <v>229</v>
      </c>
      <c r="H24" t="str">
        <f t="shared" si="3"/>
        <v>Malinowo-Truskawkowa</v>
      </c>
      <c r="I24">
        <f>IF(E24=MIN($E24:$G24), E24, E24-MEDIAN($E24:G24))</f>
        <v>355</v>
      </c>
      <c r="J24">
        <f>IF(F24=MIN($E24:$G24), F24, F24-MEDIAN($E24:G24))</f>
        <v>0</v>
      </c>
      <c r="K24">
        <f>IF(G24=MIN($E24:$G24), G24, G24-MEDIAN($E24:G24))</f>
        <v>229</v>
      </c>
    </row>
    <row r="25" spans="1:11" x14ac:dyDescent="0.25">
      <c r="A25" s="1">
        <v>43975</v>
      </c>
      <c r="B25">
        <v>391</v>
      </c>
      <c r="C25">
        <v>238</v>
      </c>
      <c r="D25">
        <v>113</v>
      </c>
      <c r="E25">
        <f t="shared" si="0"/>
        <v>746</v>
      </c>
      <c r="F25">
        <f t="shared" si="1"/>
        <v>238</v>
      </c>
      <c r="G25">
        <f t="shared" si="2"/>
        <v>342</v>
      </c>
      <c r="H25" t="str">
        <f t="shared" si="3"/>
        <v>Malinowo-Porzeczkowa</v>
      </c>
      <c r="I25">
        <f>IF(E25=MIN($E25:$G25), E25, E25-MEDIAN($E25:G25))</f>
        <v>404</v>
      </c>
      <c r="J25">
        <f>IF(F25=MIN($E25:$G25), F25, F25-MEDIAN($E25:G25))</f>
        <v>238</v>
      </c>
      <c r="K25">
        <f>IF(G25=MIN($E25:$G25), G25, G25-MEDIAN($E25:G25))</f>
        <v>0</v>
      </c>
    </row>
    <row r="26" spans="1:11" x14ac:dyDescent="0.25">
      <c r="A26" s="1">
        <v>43976</v>
      </c>
      <c r="B26">
        <v>241</v>
      </c>
      <c r="C26">
        <v>283</v>
      </c>
      <c r="D26">
        <v>140</v>
      </c>
      <c r="E26">
        <f t="shared" si="0"/>
        <v>645</v>
      </c>
      <c r="F26">
        <f t="shared" si="1"/>
        <v>521</v>
      </c>
      <c r="G26">
        <f t="shared" si="2"/>
        <v>140</v>
      </c>
      <c r="H26" t="str">
        <f t="shared" si="3"/>
        <v>Malinowo-Truskawkowa</v>
      </c>
      <c r="I26">
        <f>IF(E26=MIN($E26:$G26), E26, E26-MEDIAN($E26:G26))</f>
        <v>124</v>
      </c>
      <c r="J26">
        <f>IF(F26=MIN($E26:$G26), F26, F26-MEDIAN($E26:G26))</f>
        <v>0</v>
      </c>
      <c r="K26">
        <f>IF(G26=MIN($E26:$G26), G26, G26-MEDIAN($E26:G26))</f>
        <v>140</v>
      </c>
    </row>
    <row r="27" spans="1:11" x14ac:dyDescent="0.25">
      <c r="A27" s="1">
        <v>43977</v>
      </c>
      <c r="B27">
        <v>249</v>
      </c>
      <c r="C27">
        <v>275</v>
      </c>
      <c r="D27">
        <v>118</v>
      </c>
      <c r="E27">
        <f t="shared" si="0"/>
        <v>373</v>
      </c>
      <c r="F27">
        <f t="shared" si="1"/>
        <v>275</v>
      </c>
      <c r="G27">
        <f t="shared" si="2"/>
        <v>258</v>
      </c>
      <c r="H27" t="str">
        <f t="shared" si="3"/>
        <v>Malinowo-Truskawkowa</v>
      </c>
      <c r="I27">
        <f>IF(E27=MIN($E27:$G27), E27, E27-MEDIAN($E27:G27))</f>
        <v>98</v>
      </c>
      <c r="J27">
        <f>IF(F27=MIN($E27:$G27), F27, F27-MEDIAN($E27:G27))</f>
        <v>0</v>
      </c>
      <c r="K27">
        <f>IF(G27=MIN($E27:$G27), G27, G27-MEDIAN($E27:G27))</f>
        <v>258</v>
      </c>
    </row>
    <row r="28" spans="1:11" x14ac:dyDescent="0.25">
      <c r="A28" s="1">
        <v>43978</v>
      </c>
      <c r="B28">
        <v>298</v>
      </c>
      <c r="C28">
        <v>263</v>
      </c>
      <c r="D28">
        <v>145</v>
      </c>
      <c r="E28">
        <f t="shared" si="0"/>
        <v>396</v>
      </c>
      <c r="F28">
        <f t="shared" si="1"/>
        <v>263</v>
      </c>
      <c r="G28">
        <f t="shared" si="2"/>
        <v>403</v>
      </c>
      <c r="H28" t="str">
        <f t="shared" si="3"/>
        <v>Malinowo-Porzeczkowa</v>
      </c>
      <c r="I28">
        <f>IF(E28=MIN($E28:$G28), E28, E28-MEDIAN($E28:G28))</f>
        <v>0</v>
      </c>
      <c r="J28">
        <f>IF(F28=MIN($E28:$G28), F28, F28-MEDIAN($E28:G28))</f>
        <v>263</v>
      </c>
      <c r="K28">
        <f>IF(G28=MIN($E28:$G28), G28, G28-MEDIAN($E28:G28))</f>
        <v>7</v>
      </c>
    </row>
    <row r="29" spans="1:11" x14ac:dyDescent="0.25">
      <c r="A29" s="1">
        <v>43979</v>
      </c>
      <c r="B29">
        <v>254</v>
      </c>
      <c r="C29">
        <v>241</v>
      </c>
      <c r="D29">
        <v>149</v>
      </c>
      <c r="E29">
        <f t="shared" si="0"/>
        <v>254</v>
      </c>
      <c r="F29">
        <f t="shared" si="1"/>
        <v>504</v>
      </c>
      <c r="G29">
        <f t="shared" si="2"/>
        <v>156</v>
      </c>
      <c r="H29" t="str">
        <f t="shared" si="3"/>
        <v>Malinowo-Truskawkowa</v>
      </c>
      <c r="I29">
        <f>IF(E29=MIN($E29:$G29), E29, E29-MEDIAN($E29:G29))</f>
        <v>0</v>
      </c>
      <c r="J29">
        <f>IF(F29=MIN($E29:$G29), F29, F29-MEDIAN($E29:G29))</f>
        <v>250</v>
      </c>
      <c r="K29">
        <f>IF(G29=MIN($E29:$G29), G29, G29-MEDIAN($E29:G29))</f>
        <v>156</v>
      </c>
    </row>
    <row r="30" spans="1:11" x14ac:dyDescent="0.25">
      <c r="A30" s="1">
        <v>43980</v>
      </c>
      <c r="B30">
        <v>329</v>
      </c>
      <c r="C30">
        <v>323</v>
      </c>
      <c r="D30">
        <v>134</v>
      </c>
      <c r="E30">
        <f t="shared" si="0"/>
        <v>329</v>
      </c>
      <c r="F30">
        <f t="shared" si="1"/>
        <v>573</v>
      </c>
      <c r="G30">
        <f t="shared" si="2"/>
        <v>290</v>
      </c>
      <c r="H30" t="str">
        <f t="shared" si="3"/>
        <v>Malinowo-Truskawkowa</v>
      </c>
      <c r="I30">
        <f>IF(E30=MIN($E30:$G30), E30, E30-MEDIAN($E30:G30))</f>
        <v>0</v>
      </c>
      <c r="J30">
        <f>IF(F30=MIN($E30:$G30), F30, F30-MEDIAN($E30:G30))</f>
        <v>244</v>
      </c>
      <c r="K30">
        <f>IF(G30=MIN($E30:$G30), G30, G30-MEDIAN($E30:G30))</f>
        <v>290</v>
      </c>
    </row>
    <row r="31" spans="1:11" x14ac:dyDescent="0.25">
      <c r="A31" s="1">
        <v>43981</v>
      </c>
      <c r="B31">
        <v>213</v>
      </c>
      <c r="C31">
        <v>221</v>
      </c>
      <c r="D31">
        <v>119</v>
      </c>
      <c r="E31">
        <f t="shared" si="0"/>
        <v>213</v>
      </c>
      <c r="F31">
        <f t="shared" si="1"/>
        <v>465</v>
      </c>
      <c r="G31">
        <f t="shared" si="2"/>
        <v>409</v>
      </c>
      <c r="H31" t="str">
        <f t="shared" si="3"/>
        <v>Truskawkowo-Porzeczkowa</v>
      </c>
      <c r="I31">
        <f>IF(E31=MIN($E31:$G31), E31, E31-MEDIAN($E31:G31))</f>
        <v>213</v>
      </c>
      <c r="J31">
        <f>IF(F31=MIN($E31:$G31), F31, F31-MEDIAN($E31:G31))</f>
        <v>56</v>
      </c>
      <c r="K31">
        <f>IF(G31=MIN($E31:$G31), G31, G31-MEDIAN($E31:G31))</f>
        <v>0</v>
      </c>
    </row>
    <row r="32" spans="1:11" x14ac:dyDescent="0.25">
      <c r="A32" s="1">
        <v>43982</v>
      </c>
      <c r="B32">
        <v>294</v>
      </c>
      <c r="C32">
        <v>326</v>
      </c>
      <c r="D32">
        <v>145</v>
      </c>
      <c r="E32">
        <f t="shared" si="0"/>
        <v>507</v>
      </c>
      <c r="F32">
        <f t="shared" si="1"/>
        <v>382</v>
      </c>
      <c r="G32">
        <f t="shared" si="2"/>
        <v>145</v>
      </c>
      <c r="H32" t="str">
        <f t="shared" si="3"/>
        <v>Malinowo-Truskawkowa</v>
      </c>
      <c r="I32">
        <f>IF(E32=MIN($E32:$G32), E32, E32-MEDIAN($E32:G32))</f>
        <v>125</v>
      </c>
      <c r="J32">
        <f>IF(F32=MIN($E32:$G32), F32, F32-MEDIAN($E32:G32))</f>
        <v>0</v>
      </c>
      <c r="K32">
        <f>IF(G32=MIN($E32:$G32), G32, G32-MEDIAN($E32:G32))</f>
        <v>145</v>
      </c>
    </row>
    <row r="33" spans="1:11" x14ac:dyDescent="0.25">
      <c r="A33" s="1">
        <v>43983</v>
      </c>
      <c r="B33">
        <v>225</v>
      </c>
      <c r="C33">
        <v>206</v>
      </c>
      <c r="D33">
        <v>122</v>
      </c>
      <c r="E33">
        <f t="shared" si="0"/>
        <v>350</v>
      </c>
      <c r="F33">
        <f t="shared" si="1"/>
        <v>206</v>
      </c>
      <c r="G33">
        <f t="shared" si="2"/>
        <v>267</v>
      </c>
      <c r="H33" t="str">
        <f t="shared" si="3"/>
        <v>Malinowo-Porzeczkowa</v>
      </c>
      <c r="I33">
        <f>IF(E33=MIN($E33:$G33), E33, E33-MEDIAN($E33:G33))</f>
        <v>83</v>
      </c>
      <c r="J33">
        <f>IF(F33=MIN($E33:$G33), F33, F33-MEDIAN($E33:G33))</f>
        <v>206</v>
      </c>
      <c r="K33">
        <f>IF(G33=MIN($E33:$G33), G33, G33-MEDIAN($E33:G33))</f>
        <v>0</v>
      </c>
    </row>
    <row r="34" spans="1:11" x14ac:dyDescent="0.25">
      <c r="A34" s="1">
        <v>43984</v>
      </c>
      <c r="B34">
        <v>264</v>
      </c>
      <c r="C34">
        <v>355</v>
      </c>
      <c r="D34">
        <v>134</v>
      </c>
      <c r="E34">
        <f t="shared" si="0"/>
        <v>347</v>
      </c>
      <c r="F34">
        <f t="shared" si="1"/>
        <v>561</v>
      </c>
      <c r="G34">
        <f t="shared" si="2"/>
        <v>134</v>
      </c>
      <c r="H34" t="str">
        <f t="shared" si="3"/>
        <v>Malinowo-Truskawkowa</v>
      </c>
      <c r="I34">
        <f>IF(E34=MIN($E34:$G34), E34, E34-MEDIAN($E34:G34))</f>
        <v>0</v>
      </c>
      <c r="J34">
        <f>IF(F34=MIN($E34:$G34), F34, F34-MEDIAN($E34:G34))</f>
        <v>214</v>
      </c>
      <c r="K34">
        <f>IF(G34=MIN($E34:$G34), G34, G34-MEDIAN($E34:G34))</f>
        <v>134</v>
      </c>
    </row>
    <row r="35" spans="1:11" x14ac:dyDescent="0.25">
      <c r="A35" s="1">
        <v>43985</v>
      </c>
      <c r="B35">
        <v>253</v>
      </c>
      <c r="C35">
        <v>271</v>
      </c>
      <c r="D35">
        <v>142</v>
      </c>
      <c r="E35">
        <f t="shared" si="0"/>
        <v>253</v>
      </c>
      <c r="F35">
        <f t="shared" si="1"/>
        <v>485</v>
      </c>
      <c r="G35">
        <f t="shared" si="2"/>
        <v>276</v>
      </c>
      <c r="H35" t="str">
        <f t="shared" si="3"/>
        <v>Truskawkowo-Porzeczkowa</v>
      </c>
      <c r="I35">
        <f>IF(E35=MIN($E35:$G35), E35, E35-MEDIAN($E35:G35))</f>
        <v>253</v>
      </c>
      <c r="J35">
        <f>IF(F35=MIN($E35:$G35), F35, F35-MEDIAN($E35:G35))</f>
        <v>209</v>
      </c>
      <c r="K35">
        <f>IF(G35=MIN($E35:$G35), G35, G35-MEDIAN($E35:G35))</f>
        <v>0</v>
      </c>
    </row>
    <row r="36" spans="1:11" x14ac:dyDescent="0.25">
      <c r="A36" s="1">
        <v>43986</v>
      </c>
      <c r="B36">
        <v>352</v>
      </c>
      <c r="C36">
        <v>207</v>
      </c>
      <c r="D36">
        <v>125</v>
      </c>
      <c r="E36">
        <f t="shared" si="0"/>
        <v>605</v>
      </c>
      <c r="F36">
        <f t="shared" si="1"/>
        <v>416</v>
      </c>
      <c r="G36">
        <f t="shared" si="2"/>
        <v>125</v>
      </c>
      <c r="H36" t="str">
        <f t="shared" si="3"/>
        <v>Malinowo-Truskawkowa</v>
      </c>
      <c r="I36">
        <f>IF(E36=MIN($E36:$G36), E36, E36-MEDIAN($E36:G36))</f>
        <v>189</v>
      </c>
      <c r="J36">
        <f>IF(F36=MIN($E36:$G36), F36, F36-MEDIAN($E36:G36))</f>
        <v>0</v>
      </c>
      <c r="K36">
        <f>IF(G36=MIN($E36:$G36), G36, G36-MEDIAN($E36:G36))</f>
        <v>125</v>
      </c>
    </row>
    <row r="37" spans="1:11" x14ac:dyDescent="0.25">
      <c r="A37" s="1">
        <v>43987</v>
      </c>
      <c r="B37">
        <v>269</v>
      </c>
      <c r="C37">
        <v>248</v>
      </c>
      <c r="D37">
        <v>137</v>
      </c>
      <c r="E37">
        <f t="shared" si="0"/>
        <v>458</v>
      </c>
      <c r="F37">
        <f t="shared" si="1"/>
        <v>248</v>
      </c>
      <c r="G37">
        <f t="shared" si="2"/>
        <v>262</v>
      </c>
      <c r="H37" t="str">
        <f t="shared" si="3"/>
        <v>Malinowo-Porzeczkowa</v>
      </c>
      <c r="I37">
        <f>IF(E37=MIN($E37:$G37), E37, E37-MEDIAN($E37:G37))</f>
        <v>196</v>
      </c>
      <c r="J37">
        <f>IF(F37=MIN($E37:$G37), F37, F37-MEDIAN($E37:G37))</f>
        <v>248</v>
      </c>
      <c r="K37">
        <f>IF(G37=MIN($E37:$G37), G37, G37-MEDIAN($E37:G37))</f>
        <v>0</v>
      </c>
    </row>
    <row r="38" spans="1:11" x14ac:dyDescent="0.25">
      <c r="A38" s="1">
        <v>43988</v>
      </c>
      <c r="B38">
        <v>242</v>
      </c>
      <c r="C38">
        <v>247</v>
      </c>
      <c r="D38">
        <v>125</v>
      </c>
      <c r="E38">
        <f t="shared" si="0"/>
        <v>438</v>
      </c>
      <c r="F38">
        <f t="shared" si="1"/>
        <v>495</v>
      </c>
      <c r="G38">
        <f t="shared" si="2"/>
        <v>125</v>
      </c>
      <c r="H38" t="str">
        <f t="shared" si="3"/>
        <v>Malinowo-Truskawkowa</v>
      </c>
      <c r="I38">
        <f>IF(E38=MIN($E38:$G38), E38, E38-MEDIAN($E38:G38))</f>
        <v>0</v>
      </c>
      <c r="J38">
        <f>IF(F38=MIN($E38:$G38), F38, F38-MEDIAN($E38:G38))</f>
        <v>57</v>
      </c>
      <c r="K38">
        <f>IF(G38=MIN($E38:$G38), G38, G38-MEDIAN($E38:G38))</f>
        <v>125</v>
      </c>
    </row>
    <row r="39" spans="1:11" x14ac:dyDescent="0.25">
      <c r="A39" s="1">
        <v>43989</v>
      </c>
      <c r="B39">
        <v>327</v>
      </c>
      <c r="C39">
        <v>262</v>
      </c>
      <c r="D39">
        <v>103</v>
      </c>
      <c r="E39">
        <f t="shared" si="0"/>
        <v>327</v>
      </c>
      <c r="F39">
        <f t="shared" si="1"/>
        <v>319</v>
      </c>
      <c r="G39">
        <f t="shared" si="2"/>
        <v>228</v>
      </c>
      <c r="H39" t="str">
        <f t="shared" si="3"/>
        <v>Malinowo-Truskawkowa</v>
      </c>
      <c r="I39">
        <f>IF(E39=MIN($E39:$G39), E39, E39-MEDIAN($E39:G39))</f>
        <v>8</v>
      </c>
      <c r="J39">
        <f>IF(F39=MIN($E39:$G39), F39, F39-MEDIAN($E39:G39))</f>
        <v>0</v>
      </c>
      <c r="K39">
        <f>IF(G39=MIN($E39:$G39), G39, G39-MEDIAN($E39:G39))</f>
        <v>228</v>
      </c>
    </row>
    <row r="40" spans="1:11" x14ac:dyDescent="0.25">
      <c r="A40" s="1">
        <v>43990</v>
      </c>
      <c r="B40">
        <v>316</v>
      </c>
      <c r="C40">
        <v>253</v>
      </c>
      <c r="D40">
        <v>134</v>
      </c>
      <c r="E40">
        <f t="shared" si="0"/>
        <v>324</v>
      </c>
      <c r="F40">
        <f t="shared" si="1"/>
        <v>253</v>
      </c>
      <c r="G40">
        <f t="shared" si="2"/>
        <v>362</v>
      </c>
      <c r="H40" t="str">
        <f t="shared" si="3"/>
        <v>Malinowo-Porzeczkowa</v>
      </c>
      <c r="I40">
        <f>IF(E40=MIN($E40:$G40), E40, E40-MEDIAN($E40:G40))</f>
        <v>0</v>
      </c>
      <c r="J40">
        <f>IF(F40=MIN($E40:$G40), F40, F40-MEDIAN($E40:G40))</f>
        <v>253</v>
      </c>
      <c r="K40">
        <f>IF(G40=MIN($E40:$G40), G40, G40-MEDIAN($E40:G40))</f>
        <v>38</v>
      </c>
    </row>
    <row r="41" spans="1:11" x14ac:dyDescent="0.25">
      <c r="A41" s="1">
        <v>43991</v>
      </c>
      <c r="B41">
        <v>294</v>
      </c>
      <c r="C41">
        <v>249</v>
      </c>
      <c r="D41">
        <v>137</v>
      </c>
      <c r="E41">
        <f t="shared" si="0"/>
        <v>294</v>
      </c>
      <c r="F41">
        <f t="shared" si="1"/>
        <v>502</v>
      </c>
      <c r="G41">
        <f t="shared" si="2"/>
        <v>175</v>
      </c>
      <c r="H41" t="str">
        <f t="shared" si="3"/>
        <v>Malinowo-Truskawkowa</v>
      </c>
      <c r="I41">
        <f>IF(E41=MIN($E41:$G41), E41, E41-MEDIAN($E41:G41))</f>
        <v>0</v>
      </c>
      <c r="J41">
        <f>IF(F41=MIN($E41:$G41), F41, F41-MEDIAN($E41:G41))</f>
        <v>208</v>
      </c>
      <c r="K41">
        <f>IF(G41=MIN($E41:$G41), G41, G41-MEDIAN($E41:G41))</f>
        <v>175</v>
      </c>
    </row>
    <row r="42" spans="1:11" x14ac:dyDescent="0.25">
      <c r="A42" s="1">
        <v>43992</v>
      </c>
      <c r="B42">
        <v>270</v>
      </c>
      <c r="C42">
        <v>206</v>
      </c>
      <c r="D42">
        <v>146</v>
      </c>
      <c r="E42">
        <f t="shared" si="0"/>
        <v>270</v>
      </c>
      <c r="F42">
        <f t="shared" si="1"/>
        <v>414</v>
      </c>
      <c r="G42">
        <f t="shared" si="2"/>
        <v>321</v>
      </c>
      <c r="H42" t="str">
        <f t="shared" si="3"/>
        <v>Truskawkowo-Porzeczkowa</v>
      </c>
      <c r="I42">
        <f>IF(E42=MIN($E42:$G42), E42, E42-MEDIAN($E42:G42))</f>
        <v>270</v>
      </c>
      <c r="J42">
        <f>IF(F42=MIN($E42:$G42), F42, F42-MEDIAN($E42:G42))</f>
        <v>93</v>
      </c>
      <c r="K42">
        <f>IF(G42=MIN($E42:$G42), G42, G42-MEDIAN($E42:G42))</f>
        <v>0</v>
      </c>
    </row>
    <row r="43" spans="1:11" x14ac:dyDescent="0.25">
      <c r="A43" s="1">
        <v>43993</v>
      </c>
      <c r="B43">
        <v>349</v>
      </c>
      <c r="C43">
        <v>301</v>
      </c>
      <c r="D43">
        <v>138</v>
      </c>
      <c r="E43">
        <f t="shared" si="0"/>
        <v>619</v>
      </c>
      <c r="F43">
        <f t="shared" si="1"/>
        <v>394</v>
      </c>
      <c r="G43">
        <f t="shared" si="2"/>
        <v>138</v>
      </c>
      <c r="H43" t="str">
        <f t="shared" si="3"/>
        <v>Malinowo-Truskawkowa</v>
      </c>
      <c r="I43">
        <f>IF(E43=MIN($E43:$G43), E43, E43-MEDIAN($E43:G43))</f>
        <v>225</v>
      </c>
      <c r="J43">
        <f>IF(F43=MIN($E43:$G43), F43, F43-MEDIAN($E43:G43))</f>
        <v>0</v>
      </c>
      <c r="K43">
        <f>IF(G43=MIN($E43:$G43), G43, G43-MEDIAN($E43:G43))</f>
        <v>138</v>
      </c>
    </row>
    <row r="44" spans="1:11" x14ac:dyDescent="0.25">
      <c r="A44" s="1">
        <v>43994</v>
      </c>
      <c r="B44">
        <v>224</v>
      </c>
      <c r="C44">
        <v>385</v>
      </c>
      <c r="D44">
        <v>138</v>
      </c>
      <c r="E44">
        <f t="shared" si="0"/>
        <v>449</v>
      </c>
      <c r="F44">
        <f t="shared" si="1"/>
        <v>385</v>
      </c>
      <c r="G44">
        <f t="shared" si="2"/>
        <v>276</v>
      </c>
      <c r="H44" t="str">
        <f t="shared" si="3"/>
        <v>Malinowo-Truskawkowa</v>
      </c>
      <c r="I44">
        <f>IF(E44=MIN($E44:$G44), E44, E44-MEDIAN($E44:G44))</f>
        <v>64</v>
      </c>
      <c r="J44">
        <f>IF(F44=MIN($E44:$G44), F44, F44-MEDIAN($E44:G44))</f>
        <v>0</v>
      </c>
      <c r="K44">
        <f>IF(G44=MIN($E44:$G44), G44, G44-MEDIAN($E44:G44))</f>
        <v>276</v>
      </c>
    </row>
    <row r="45" spans="1:11" x14ac:dyDescent="0.25">
      <c r="A45" s="1">
        <v>43995</v>
      </c>
      <c r="B45">
        <v>309</v>
      </c>
      <c r="C45">
        <v>204</v>
      </c>
      <c r="D45">
        <v>140</v>
      </c>
      <c r="E45">
        <f t="shared" si="0"/>
        <v>373</v>
      </c>
      <c r="F45">
        <f t="shared" si="1"/>
        <v>204</v>
      </c>
      <c r="G45">
        <f t="shared" si="2"/>
        <v>416</v>
      </c>
      <c r="H45" t="str">
        <f t="shared" si="3"/>
        <v>Malinowo-Porzeczkowa</v>
      </c>
      <c r="I45">
        <f>IF(E45=MIN($E45:$G45), E45, E45-MEDIAN($E45:G45))</f>
        <v>0</v>
      </c>
      <c r="J45">
        <f>IF(F45=MIN($E45:$G45), F45, F45-MEDIAN($E45:G45))</f>
        <v>204</v>
      </c>
      <c r="K45">
        <f>IF(G45=MIN($E45:$G45), G45, G45-MEDIAN($E45:G45))</f>
        <v>43</v>
      </c>
    </row>
    <row r="46" spans="1:11" x14ac:dyDescent="0.25">
      <c r="A46" s="1">
        <v>43996</v>
      </c>
      <c r="B46">
        <v>246</v>
      </c>
      <c r="C46">
        <v>275</v>
      </c>
      <c r="D46">
        <v>130</v>
      </c>
      <c r="E46">
        <f t="shared" si="0"/>
        <v>246</v>
      </c>
      <c r="F46">
        <f t="shared" si="1"/>
        <v>479</v>
      </c>
      <c r="G46">
        <f t="shared" si="2"/>
        <v>173</v>
      </c>
      <c r="H46" t="str">
        <f t="shared" si="3"/>
        <v>Malinowo-Truskawkowa</v>
      </c>
      <c r="I46">
        <f>IF(E46=MIN($E46:$G46), E46, E46-MEDIAN($E46:G46))</f>
        <v>0</v>
      </c>
      <c r="J46">
        <f>IF(F46=MIN($E46:$G46), F46, F46-MEDIAN($E46:G46))</f>
        <v>233</v>
      </c>
      <c r="K46">
        <f>IF(G46=MIN($E46:$G46), G46, G46-MEDIAN($E46:G46))</f>
        <v>173</v>
      </c>
    </row>
    <row r="47" spans="1:11" x14ac:dyDescent="0.25">
      <c r="A47" s="1">
        <v>43997</v>
      </c>
      <c r="B47">
        <v>241</v>
      </c>
      <c r="C47">
        <v>247</v>
      </c>
      <c r="D47">
        <v>166</v>
      </c>
      <c r="E47">
        <f t="shared" si="0"/>
        <v>241</v>
      </c>
      <c r="F47">
        <f t="shared" si="1"/>
        <v>480</v>
      </c>
      <c r="G47">
        <f t="shared" si="2"/>
        <v>339</v>
      </c>
      <c r="H47" t="str">
        <f t="shared" si="3"/>
        <v>Truskawkowo-Porzeczkowa</v>
      </c>
      <c r="I47">
        <f>IF(E47=MIN($E47:$G47), E47, E47-MEDIAN($E47:G47))</f>
        <v>241</v>
      </c>
      <c r="J47">
        <f>IF(F47=MIN($E47:$G47), F47, F47-MEDIAN($E47:G47))</f>
        <v>141</v>
      </c>
      <c r="K47">
        <f>IF(G47=MIN($E47:$G47), G47, G47-MEDIAN($E47:G47))</f>
        <v>0</v>
      </c>
    </row>
    <row r="48" spans="1:11" x14ac:dyDescent="0.25">
      <c r="A48" s="1">
        <v>43998</v>
      </c>
      <c r="B48">
        <v>365</v>
      </c>
      <c r="C48">
        <v>256</v>
      </c>
      <c r="D48">
        <v>132</v>
      </c>
      <c r="E48">
        <f t="shared" si="0"/>
        <v>606</v>
      </c>
      <c r="F48">
        <f t="shared" si="1"/>
        <v>397</v>
      </c>
      <c r="G48">
        <f t="shared" si="2"/>
        <v>132</v>
      </c>
      <c r="H48" t="str">
        <f t="shared" si="3"/>
        <v>Malinowo-Truskawkowa</v>
      </c>
      <c r="I48">
        <f>IF(E48=MIN($E48:$G48), E48, E48-MEDIAN($E48:G48))</f>
        <v>209</v>
      </c>
      <c r="J48">
        <f>IF(F48=MIN($E48:$G48), F48, F48-MEDIAN($E48:G48))</f>
        <v>0</v>
      </c>
      <c r="K48">
        <f>IF(G48=MIN($E48:$G48), G48, G48-MEDIAN($E48:G48))</f>
        <v>132</v>
      </c>
    </row>
    <row r="49" spans="1:11" x14ac:dyDescent="0.25">
      <c r="A49" s="1">
        <v>43999</v>
      </c>
      <c r="B49">
        <v>225</v>
      </c>
      <c r="C49">
        <v>392</v>
      </c>
      <c r="D49">
        <v>158</v>
      </c>
      <c r="E49">
        <f t="shared" si="0"/>
        <v>434</v>
      </c>
      <c r="F49">
        <f t="shared" si="1"/>
        <v>392</v>
      </c>
      <c r="G49">
        <f t="shared" si="2"/>
        <v>290</v>
      </c>
      <c r="H49" t="str">
        <f t="shared" si="3"/>
        <v>Malinowo-Truskawkowa</v>
      </c>
      <c r="I49">
        <f>IF(E49=MIN($E49:$G49), E49, E49-MEDIAN($E49:G49))</f>
        <v>42</v>
      </c>
      <c r="J49">
        <f>IF(F49=MIN($E49:$G49), F49, F49-MEDIAN($E49:G49))</f>
        <v>0</v>
      </c>
      <c r="K49">
        <f>IF(G49=MIN($E49:$G49), G49, G49-MEDIAN($E49:G49))</f>
        <v>290</v>
      </c>
    </row>
    <row r="50" spans="1:11" x14ac:dyDescent="0.25">
      <c r="A50" s="1">
        <v>44000</v>
      </c>
      <c r="B50">
        <v>335</v>
      </c>
      <c r="C50">
        <v>254</v>
      </c>
      <c r="D50">
        <v>173</v>
      </c>
      <c r="E50">
        <f t="shared" si="0"/>
        <v>377</v>
      </c>
      <c r="F50">
        <f t="shared" si="1"/>
        <v>254</v>
      </c>
      <c r="G50">
        <f t="shared" si="2"/>
        <v>463</v>
      </c>
      <c r="H50" t="str">
        <f t="shared" si="3"/>
        <v>Malinowo-Porzeczkowa</v>
      </c>
      <c r="I50">
        <f>IF(E50=MIN($E50:$G50), E50, E50-MEDIAN($E50:G50))</f>
        <v>0</v>
      </c>
      <c r="J50">
        <f>IF(F50=MIN($E50:$G50), F50, F50-MEDIAN($E50:G50))</f>
        <v>254</v>
      </c>
      <c r="K50">
        <f>IF(G50=MIN($E50:$G50), G50, G50-MEDIAN($E50:G50))</f>
        <v>86</v>
      </c>
    </row>
    <row r="51" spans="1:11" x14ac:dyDescent="0.25">
      <c r="A51" s="1">
        <v>44001</v>
      </c>
      <c r="B51">
        <v>376</v>
      </c>
      <c r="C51">
        <v>258</v>
      </c>
      <c r="D51">
        <v>151</v>
      </c>
      <c r="E51">
        <f t="shared" si="0"/>
        <v>376</v>
      </c>
      <c r="F51">
        <f t="shared" si="1"/>
        <v>512</v>
      </c>
      <c r="G51">
        <f t="shared" si="2"/>
        <v>237</v>
      </c>
      <c r="H51" t="str">
        <f t="shared" si="3"/>
        <v>Malinowo-Truskawkowa</v>
      </c>
      <c r="I51">
        <f>IF(E51=MIN($E51:$G51), E51, E51-MEDIAN($E51:G51))</f>
        <v>0</v>
      </c>
      <c r="J51">
        <f>IF(F51=MIN($E51:$G51), F51, F51-MEDIAN($E51:G51))</f>
        <v>136</v>
      </c>
      <c r="K51">
        <f>IF(G51=MIN($E51:$G51), G51, G51-MEDIAN($E51:G51))</f>
        <v>237</v>
      </c>
    </row>
    <row r="52" spans="1:11" x14ac:dyDescent="0.25">
      <c r="A52" s="1">
        <v>44002</v>
      </c>
      <c r="B52">
        <v>310</v>
      </c>
      <c r="C52">
        <v>248</v>
      </c>
      <c r="D52">
        <v>173</v>
      </c>
      <c r="E52">
        <f t="shared" si="0"/>
        <v>310</v>
      </c>
      <c r="F52">
        <f t="shared" si="1"/>
        <v>384</v>
      </c>
      <c r="G52">
        <f t="shared" si="2"/>
        <v>410</v>
      </c>
      <c r="H52" t="str">
        <f t="shared" si="3"/>
        <v>Truskawkowo-Porzeczkowa</v>
      </c>
      <c r="I52">
        <f>IF(E52=MIN($E52:$G52), E52, E52-MEDIAN($E52:G52))</f>
        <v>310</v>
      </c>
      <c r="J52">
        <f>IF(F52=MIN($E52:$G52), F52, F52-MEDIAN($E52:G52))</f>
        <v>0</v>
      </c>
      <c r="K52">
        <f>IF(G52=MIN($E52:$G52), G52, G52-MEDIAN($E52:G52))</f>
        <v>26</v>
      </c>
    </row>
    <row r="53" spans="1:11" x14ac:dyDescent="0.25">
      <c r="A53" s="1">
        <v>44003</v>
      </c>
      <c r="B53">
        <v>408</v>
      </c>
      <c r="C53">
        <v>250</v>
      </c>
      <c r="D53">
        <v>242</v>
      </c>
      <c r="E53">
        <f t="shared" si="0"/>
        <v>718</v>
      </c>
      <c r="F53">
        <f t="shared" si="1"/>
        <v>250</v>
      </c>
      <c r="G53">
        <f t="shared" si="2"/>
        <v>268</v>
      </c>
      <c r="H53" t="str">
        <f t="shared" si="3"/>
        <v>Malinowo-Porzeczkowa</v>
      </c>
      <c r="I53">
        <f>IF(E53=MIN($E53:$G53), E53, E53-MEDIAN($E53:G53))</f>
        <v>450</v>
      </c>
      <c r="J53">
        <f>IF(F53=MIN($E53:$G53), F53, F53-MEDIAN($E53:G53))</f>
        <v>250</v>
      </c>
      <c r="K53">
        <f>IF(G53=MIN($E53:$G53), G53, G53-MEDIAN($E53:G53))</f>
        <v>0</v>
      </c>
    </row>
    <row r="54" spans="1:11" x14ac:dyDescent="0.25">
      <c r="A54" s="1">
        <v>44004</v>
      </c>
      <c r="B54">
        <v>256</v>
      </c>
      <c r="C54">
        <v>393</v>
      </c>
      <c r="D54">
        <v>219</v>
      </c>
      <c r="E54">
        <f t="shared" si="0"/>
        <v>706</v>
      </c>
      <c r="F54">
        <f t="shared" si="1"/>
        <v>643</v>
      </c>
      <c r="G54">
        <f t="shared" si="2"/>
        <v>219</v>
      </c>
      <c r="H54" t="str">
        <f t="shared" si="3"/>
        <v>Malinowo-Truskawkowa</v>
      </c>
      <c r="I54">
        <f>IF(E54=MIN($E54:$G54), E54, E54-MEDIAN($E54:G54))</f>
        <v>63</v>
      </c>
      <c r="J54">
        <f>IF(F54=MIN($E54:$G54), F54, F54-MEDIAN($E54:G54))</f>
        <v>0</v>
      </c>
      <c r="K54">
        <f>IF(G54=MIN($E54:$G54), G54, G54-MEDIAN($E54:G54))</f>
        <v>219</v>
      </c>
    </row>
    <row r="55" spans="1:11" x14ac:dyDescent="0.25">
      <c r="A55" s="1">
        <v>44005</v>
      </c>
      <c r="B55">
        <v>322</v>
      </c>
      <c r="C55">
        <v>425</v>
      </c>
      <c r="D55">
        <v>215</v>
      </c>
      <c r="E55">
        <f t="shared" si="0"/>
        <v>385</v>
      </c>
      <c r="F55">
        <f t="shared" si="1"/>
        <v>425</v>
      </c>
      <c r="G55">
        <f t="shared" si="2"/>
        <v>434</v>
      </c>
      <c r="H55" t="str">
        <f t="shared" si="3"/>
        <v>Truskawkowo-Porzeczkowa</v>
      </c>
      <c r="I55">
        <f>IF(E55=MIN($E55:$G55), E55, E55-MEDIAN($E55:G55))</f>
        <v>385</v>
      </c>
      <c r="J55">
        <f>IF(F55=MIN($E55:$G55), F55, F55-MEDIAN($E55:G55))</f>
        <v>0</v>
      </c>
      <c r="K55">
        <f>IF(G55=MIN($E55:$G55), G55, G55-MEDIAN($E55:G55))</f>
        <v>9</v>
      </c>
    </row>
    <row r="56" spans="1:11" x14ac:dyDescent="0.25">
      <c r="A56" s="1">
        <v>44006</v>
      </c>
      <c r="B56">
        <v>447</v>
      </c>
      <c r="C56">
        <v>385</v>
      </c>
      <c r="D56">
        <v>212</v>
      </c>
      <c r="E56">
        <f t="shared" si="0"/>
        <v>832</v>
      </c>
      <c r="F56">
        <f t="shared" si="1"/>
        <v>385</v>
      </c>
      <c r="G56">
        <f t="shared" si="2"/>
        <v>221</v>
      </c>
      <c r="H56" t="str">
        <f t="shared" si="3"/>
        <v>Malinowo-Truskawkowa</v>
      </c>
      <c r="I56">
        <f>IF(E56=MIN($E56:$G56), E56, E56-MEDIAN($E56:G56))</f>
        <v>447</v>
      </c>
      <c r="J56">
        <f>IF(F56=MIN($E56:$G56), F56, F56-MEDIAN($E56:G56))</f>
        <v>0</v>
      </c>
      <c r="K56">
        <f>IF(G56=MIN($E56:$G56), G56, G56-MEDIAN($E56:G56))</f>
        <v>221</v>
      </c>
    </row>
    <row r="57" spans="1:11" x14ac:dyDescent="0.25">
      <c r="A57" s="1">
        <v>44007</v>
      </c>
      <c r="B57">
        <v>408</v>
      </c>
      <c r="C57">
        <v>260</v>
      </c>
      <c r="D57">
        <v>225</v>
      </c>
      <c r="E57">
        <f t="shared" si="0"/>
        <v>855</v>
      </c>
      <c r="F57">
        <f t="shared" si="1"/>
        <v>260</v>
      </c>
      <c r="G57">
        <f t="shared" si="2"/>
        <v>446</v>
      </c>
      <c r="H57" t="str">
        <f t="shared" si="3"/>
        <v>Malinowo-Porzeczkowa</v>
      </c>
      <c r="I57">
        <f>IF(E57=MIN($E57:$G57), E57, E57-MEDIAN($E57:G57))</f>
        <v>409</v>
      </c>
      <c r="J57">
        <f>IF(F57=MIN($E57:$G57), F57, F57-MEDIAN($E57:G57))</f>
        <v>260</v>
      </c>
      <c r="K57">
        <f>IF(G57=MIN($E57:$G57), G57, G57-MEDIAN($E57:G57))</f>
        <v>0</v>
      </c>
    </row>
    <row r="58" spans="1:11" x14ac:dyDescent="0.25">
      <c r="A58" s="1">
        <v>44008</v>
      </c>
      <c r="B58">
        <v>283</v>
      </c>
      <c r="C58">
        <v>396</v>
      </c>
      <c r="D58">
        <v>221</v>
      </c>
      <c r="E58">
        <f t="shared" si="0"/>
        <v>692</v>
      </c>
      <c r="F58">
        <f t="shared" si="1"/>
        <v>656</v>
      </c>
      <c r="G58">
        <f t="shared" si="2"/>
        <v>221</v>
      </c>
      <c r="H58" t="str">
        <f t="shared" si="3"/>
        <v>Malinowo-Truskawkowa</v>
      </c>
      <c r="I58">
        <f>IF(E58=MIN($E58:$G58), E58, E58-MEDIAN($E58:G58))</f>
        <v>36</v>
      </c>
      <c r="J58">
        <f>IF(F58=MIN($E58:$G58), F58, F58-MEDIAN($E58:G58))</f>
        <v>0</v>
      </c>
      <c r="K58">
        <f>IF(G58=MIN($E58:$G58), G58, G58-MEDIAN($E58:G58))</f>
        <v>221</v>
      </c>
    </row>
    <row r="59" spans="1:11" x14ac:dyDescent="0.25">
      <c r="A59" s="1">
        <v>44009</v>
      </c>
      <c r="B59">
        <v>414</v>
      </c>
      <c r="C59">
        <v>314</v>
      </c>
      <c r="D59">
        <v>220</v>
      </c>
      <c r="E59">
        <f t="shared" si="0"/>
        <v>450</v>
      </c>
      <c r="F59">
        <f t="shared" si="1"/>
        <v>314</v>
      </c>
      <c r="G59">
        <f t="shared" si="2"/>
        <v>441</v>
      </c>
      <c r="H59" t="str">
        <f t="shared" si="3"/>
        <v>Malinowo-Porzeczkowa</v>
      </c>
      <c r="I59">
        <f>IF(E59=MIN($E59:$G59), E59, E59-MEDIAN($E59:G59))</f>
        <v>9</v>
      </c>
      <c r="J59">
        <f>IF(F59=MIN($E59:$G59), F59, F59-MEDIAN($E59:G59))</f>
        <v>314</v>
      </c>
      <c r="K59">
        <f>IF(G59=MIN($E59:$G59), G59, G59-MEDIAN($E59:G59))</f>
        <v>0</v>
      </c>
    </row>
    <row r="60" spans="1:11" x14ac:dyDescent="0.25">
      <c r="A60" s="1">
        <v>44010</v>
      </c>
      <c r="B60">
        <v>442</v>
      </c>
      <c r="C60">
        <v>449</v>
      </c>
      <c r="D60">
        <v>245</v>
      </c>
      <c r="E60">
        <f t="shared" si="0"/>
        <v>451</v>
      </c>
      <c r="F60">
        <f t="shared" si="1"/>
        <v>763</v>
      </c>
      <c r="G60">
        <f t="shared" si="2"/>
        <v>245</v>
      </c>
      <c r="H60" t="str">
        <f t="shared" si="3"/>
        <v>Malinowo-Truskawkowa</v>
      </c>
      <c r="I60">
        <f>IF(E60=MIN($E60:$G60), E60, E60-MEDIAN($E60:G60))</f>
        <v>0</v>
      </c>
      <c r="J60">
        <f>IF(F60=MIN($E60:$G60), F60, F60-MEDIAN($E60:G60))</f>
        <v>312</v>
      </c>
      <c r="K60">
        <f>IF(G60=MIN($E60:$G60), G60, G60-MEDIAN($E60:G60))</f>
        <v>245</v>
      </c>
    </row>
    <row r="61" spans="1:11" x14ac:dyDescent="0.25">
      <c r="A61" s="1">
        <v>44011</v>
      </c>
      <c r="B61">
        <v>269</v>
      </c>
      <c r="C61">
        <v>370</v>
      </c>
      <c r="D61">
        <v>242</v>
      </c>
      <c r="E61">
        <f t="shared" si="0"/>
        <v>269</v>
      </c>
      <c r="F61">
        <f t="shared" si="1"/>
        <v>682</v>
      </c>
      <c r="G61">
        <f t="shared" si="2"/>
        <v>487</v>
      </c>
      <c r="H61" t="str">
        <f t="shared" si="3"/>
        <v>Truskawkowo-Porzeczkowa</v>
      </c>
      <c r="I61">
        <f>IF(E61=MIN($E61:$G61), E61, E61-MEDIAN($E61:G61))</f>
        <v>269</v>
      </c>
      <c r="J61">
        <f>IF(F61=MIN($E61:$G61), F61, F61-MEDIAN($E61:G61))</f>
        <v>195</v>
      </c>
      <c r="K61">
        <f>IF(G61=MIN($E61:$G61), G61, G61-MEDIAN($E61:G61))</f>
        <v>0</v>
      </c>
    </row>
    <row r="62" spans="1:11" x14ac:dyDescent="0.25">
      <c r="A62" s="1">
        <v>44012</v>
      </c>
      <c r="B62">
        <v>444</v>
      </c>
      <c r="C62">
        <v>350</v>
      </c>
      <c r="D62">
        <v>236</v>
      </c>
      <c r="E62">
        <f t="shared" si="0"/>
        <v>713</v>
      </c>
      <c r="F62">
        <f t="shared" si="1"/>
        <v>545</v>
      </c>
      <c r="G62">
        <f t="shared" si="2"/>
        <v>236</v>
      </c>
      <c r="H62" t="str">
        <f t="shared" si="3"/>
        <v>Malinowo-Truskawkowa</v>
      </c>
      <c r="I62">
        <f>IF(E62=MIN($E62:$G62), E62, E62-MEDIAN($E62:G62))</f>
        <v>168</v>
      </c>
      <c r="J62">
        <f>IF(F62=MIN($E62:$G62), F62, F62-MEDIAN($E62:G62))</f>
        <v>0</v>
      </c>
      <c r="K62">
        <f>IF(G62=MIN($E62:$G62), G62, G62-MEDIAN($E62:G62))</f>
        <v>236</v>
      </c>
    </row>
    <row r="63" spans="1:11" x14ac:dyDescent="0.25">
      <c r="A63" s="1">
        <v>44013</v>
      </c>
      <c r="B63">
        <v>425</v>
      </c>
      <c r="C63">
        <v>342</v>
      </c>
      <c r="D63">
        <v>237</v>
      </c>
      <c r="E63">
        <f t="shared" si="0"/>
        <v>593</v>
      </c>
      <c r="F63">
        <f t="shared" si="1"/>
        <v>342</v>
      </c>
      <c r="G63">
        <f t="shared" si="2"/>
        <v>473</v>
      </c>
      <c r="H63" t="str">
        <f t="shared" si="3"/>
        <v>Malinowo-Porzeczkowa</v>
      </c>
      <c r="I63">
        <f>IF(E63=MIN($E63:$G63), E63, E63-MEDIAN($E63:G63))</f>
        <v>120</v>
      </c>
      <c r="J63">
        <f>IF(F63=MIN($E63:$G63), F63, F63-MEDIAN($E63:G63))</f>
        <v>342</v>
      </c>
      <c r="K63">
        <f>IF(G63=MIN($E63:$G63), G63, G63-MEDIAN($E63:G63))</f>
        <v>0</v>
      </c>
    </row>
    <row r="64" spans="1:11" x14ac:dyDescent="0.25">
      <c r="A64" s="1">
        <v>44014</v>
      </c>
      <c r="B64">
        <v>377</v>
      </c>
      <c r="C64">
        <v>290</v>
      </c>
      <c r="D64">
        <v>240</v>
      </c>
      <c r="E64">
        <f t="shared" si="0"/>
        <v>497</v>
      </c>
      <c r="F64">
        <f t="shared" si="1"/>
        <v>632</v>
      </c>
      <c r="G64">
        <f t="shared" si="2"/>
        <v>240</v>
      </c>
      <c r="H64" t="str">
        <f t="shared" si="3"/>
        <v>Malinowo-Truskawkowa</v>
      </c>
      <c r="I64">
        <f>IF(E64=MIN($E64:$G64), E64, E64-MEDIAN($E64:G64))</f>
        <v>0</v>
      </c>
      <c r="J64">
        <f>IF(F64=MIN($E64:$G64), F64, F64-MEDIAN($E64:G64))</f>
        <v>135</v>
      </c>
      <c r="K64">
        <f>IF(G64=MIN($E64:$G64), G64, G64-MEDIAN($E64:G64))</f>
        <v>240</v>
      </c>
    </row>
    <row r="65" spans="1:11" x14ac:dyDescent="0.25">
      <c r="A65" s="1">
        <v>44015</v>
      </c>
      <c r="B65">
        <v>382</v>
      </c>
      <c r="C65">
        <v>360</v>
      </c>
      <c r="D65">
        <v>203</v>
      </c>
      <c r="E65">
        <f t="shared" si="0"/>
        <v>382</v>
      </c>
      <c r="F65">
        <f t="shared" si="1"/>
        <v>495</v>
      </c>
      <c r="G65">
        <f t="shared" si="2"/>
        <v>443</v>
      </c>
      <c r="H65" t="str">
        <f t="shared" si="3"/>
        <v>Truskawkowo-Porzeczkowa</v>
      </c>
      <c r="I65">
        <f>IF(E65=MIN($E65:$G65), E65, E65-MEDIAN($E65:G65))</f>
        <v>382</v>
      </c>
      <c r="J65">
        <f>IF(F65=MIN($E65:$G65), F65, F65-MEDIAN($E65:G65))</f>
        <v>52</v>
      </c>
      <c r="K65">
        <f>IF(G65=MIN($E65:$G65), G65, G65-MEDIAN($E65:G65))</f>
        <v>0</v>
      </c>
    </row>
    <row r="66" spans="1:11" x14ac:dyDescent="0.25">
      <c r="A66" s="1">
        <v>44016</v>
      </c>
      <c r="B66">
        <v>287</v>
      </c>
      <c r="C66">
        <v>428</v>
      </c>
      <c r="D66">
        <v>204</v>
      </c>
      <c r="E66">
        <f t="shared" si="0"/>
        <v>669</v>
      </c>
      <c r="F66">
        <f t="shared" si="1"/>
        <v>480</v>
      </c>
      <c r="G66">
        <f t="shared" si="2"/>
        <v>204</v>
      </c>
      <c r="H66" t="str">
        <f t="shared" si="3"/>
        <v>Malinowo-Truskawkowa</v>
      </c>
      <c r="I66">
        <f>IF(E66=MIN($E66:$G66), E66, E66-MEDIAN($E66:G66))</f>
        <v>189</v>
      </c>
      <c r="J66">
        <f>IF(F66=MIN($E66:$G66), F66, F66-MEDIAN($E66:G66))</f>
        <v>0</v>
      </c>
      <c r="K66">
        <f>IF(G66=MIN($E66:$G66), G66, G66-MEDIAN($E66:G66))</f>
        <v>204</v>
      </c>
    </row>
    <row r="67" spans="1:11" x14ac:dyDescent="0.25">
      <c r="A67" s="1">
        <v>44017</v>
      </c>
      <c r="B67">
        <v>429</v>
      </c>
      <c r="C67">
        <v>394</v>
      </c>
      <c r="D67">
        <v>246</v>
      </c>
      <c r="E67">
        <f t="shared" si="0"/>
        <v>618</v>
      </c>
      <c r="F67">
        <f t="shared" si="1"/>
        <v>394</v>
      </c>
      <c r="G67">
        <f t="shared" si="2"/>
        <v>450</v>
      </c>
      <c r="H67" t="str">
        <f t="shared" si="3"/>
        <v>Malinowo-Porzeczkowa</v>
      </c>
      <c r="I67">
        <f>IF(E67=MIN($E67:$G67), E67, E67-MEDIAN($E67:G67))</f>
        <v>168</v>
      </c>
      <c r="J67">
        <f>IF(F67=MIN($E67:$G67), F67, F67-MEDIAN($E67:G67))</f>
        <v>394</v>
      </c>
      <c r="K67">
        <f>IF(G67=MIN($E67:$G67), G67, G67-MEDIAN($E67:G67))</f>
        <v>0</v>
      </c>
    </row>
    <row r="68" spans="1:11" x14ac:dyDescent="0.25">
      <c r="A68" s="1">
        <v>44018</v>
      </c>
      <c r="B68">
        <v>287</v>
      </c>
      <c r="C68">
        <v>356</v>
      </c>
      <c r="D68">
        <v>233</v>
      </c>
      <c r="E68">
        <f t="shared" ref="E68:E131" si="4">B68+I67</f>
        <v>455</v>
      </c>
      <c r="F68">
        <f t="shared" ref="F68:F131" si="5">C68+J67</f>
        <v>750</v>
      </c>
      <c r="G68">
        <f t="shared" ref="G68:G131" si="6">D68+K67</f>
        <v>233</v>
      </c>
      <c r="H68" t="str">
        <f t="shared" ref="H68:H131" si="7">IF(E68=MIN(E68:G68), "Truskawkowo-Porzeczkowa", IF(F68=MIN(E68:G68), "Malinowo-Porzeczkowa", "Malinowo-Truskawkowa"))</f>
        <v>Malinowo-Truskawkowa</v>
      </c>
      <c r="I68">
        <f>IF(E68=MIN($E68:$G68), E68, E68-MEDIAN($E68:G68))</f>
        <v>0</v>
      </c>
      <c r="J68">
        <f>IF(F68=MIN($E68:$G68), F68, F68-MEDIAN($E68:G68))</f>
        <v>295</v>
      </c>
      <c r="K68">
        <f>IF(G68=MIN($E68:$G68), G68, G68-MEDIAN($E68:G68))</f>
        <v>233</v>
      </c>
    </row>
    <row r="69" spans="1:11" x14ac:dyDescent="0.25">
      <c r="A69" s="1">
        <v>44019</v>
      </c>
      <c r="B69">
        <v>421</v>
      </c>
      <c r="C69">
        <v>292</v>
      </c>
      <c r="D69">
        <v>226</v>
      </c>
      <c r="E69">
        <f t="shared" si="4"/>
        <v>421</v>
      </c>
      <c r="F69">
        <f t="shared" si="5"/>
        <v>587</v>
      </c>
      <c r="G69">
        <f t="shared" si="6"/>
        <v>459</v>
      </c>
      <c r="H69" t="str">
        <f t="shared" si="7"/>
        <v>Truskawkowo-Porzeczkowa</v>
      </c>
      <c r="I69">
        <f>IF(E69=MIN($E69:$G69), E69, E69-MEDIAN($E69:G69))</f>
        <v>421</v>
      </c>
      <c r="J69">
        <f>IF(F69=MIN($E69:$G69), F69, F69-MEDIAN($E69:G69))</f>
        <v>128</v>
      </c>
      <c r="K69">
        <f>IF(G69=MIN($E69:$G69), G69, G69-MEDIAN($E69:G69))</f>
        <v>0</v>
      </c>
    </row>
    <row r="70" spans="1:11" x14ac:dyDescent="0.25">
      <c r="A70" s="1">
        <v>44020</v>
      </c>
      <c r="B70">
        <v>334</v>
      </c>
      <c r="C70">
        <v>353</v>
      </c>
      <c r="D70">
        <v>282</v>
      </c>
      <c r="E70">
        <f t="shared" si="4"/>
        <v>755</v>
      </c>
      <c r="F70">
        <f t="shared" si="5"/>
        <v>481</v>
      </c>
      <c r="G70">
        <f t="shared" si="6"/>
        <v>282</v>
      </c>
      <c r="H70" t="str">
        <f t="shared" si="7"/>
        <v>Malinowo-Truskawkowa</v>
      </c>
      <c r="I70">
        <f>IF(E70=MIN($E70:$G70), E70, E70-MEDIAN($E70:G70))</f>
        <v>274</v>
      </c>
      <c r="J70">
        <f>IF(F70=MIN($E70:$G70), F70, F70-MEDIAN($E70:G70))</f>
        <v>0</v>
      </c>
      <c r="K70">
        <f>IF(G70=MIN($E70:$G70), G70, G70-MEDIAN($E70:G70))</f>
        <v>282</v>
      </c>
    </row>
    <row r="71" spans="1:11" x14ac:dyDescent="0.25">
      <c r="A71" s="1">
        <v>44021</v>
      </c>
      <c r="B71">
        <v>282</v>
      </c>
      <c r="C71">
        <v>329</v>
      </c>
      <c r="D71">
        <v>262</v>
      </c>
      <c r="E71">
        <f t="shared" si="4"/>
        <v>556</v>
      </c>
      <c r="F71">
        <f t="shared" si="5"/>
        <v>329</v>
      </c>
      <c r="G71">
        <f t="shared" si="6"/>
        <v>544</v>
      </c>
      <c r="H71" t="str">
        <f t="shared" si="7"/>
        <v>Malinowo-Porzeczkowa</v>
      </c>
      <c r="I71">
        <f>IF(E71=MIN($E71:$G71), E71, E71-MEDIAN($E71:G71))</f>
        <v>12</v>
      </c>
      <c r="J71">
        <f>IF(F71=MIN($E71:$G71), F71, F71-MEDIAN($E71:G71))</f>
        <v>329</v>
      </c>
      <c r="K71">
        <f>IF(G71=MIN($E71:$G71), G71, G71-MEDIAN($E71:G71))</f>
        <v>0</v>
      </c>
    </row>
    <row r="72" spans="1:11" x14ac:dyDescent="0.25">
      <c r="A72" s="1">
        <v>44022</v>
      </c>
      <c r="B72">
        <v>356</v>
      </c>
      <c r="C72">
        <v>331</v>
      </c>
      <c r="D72">
        <v>290</v>
      </c>
      <c r="E72">
        <f t="shared" si="4"/>
        <v>368</v>
      </c>
      <c r="F72">
        <f t="shared" si="5"/>
        <v>660</v>
      </c>
      <c r="G72">
        <f t="shared" si="6"/>
        <v>290</v>
      </c>
      <c r="H72" t="str">
        <f t="shared" si="7"/>
        <v>Malinowo-Truskawkowa</v>
      </c>
      <c r="I72">
        <f>IF(E72=MIN($E72:$G72), E72, E72-MEDIAN($E72:G72))</f>
        <v>0</v>
      </c>
      <c r="J72">
        <f>IF(F72=MIN($E72:$G72), F72, F72-MEDIAN($E72:G72))</f>
        <v>292</v>
      </c>
      <c r="K72">
        <f>IF(G72=MIN($E72:$G72), G72, G72-MEDIAN($E72:G72))</f>
        <v>290</v>
      </c>
    </row>
    <row r="73" spans="1:11" x14ac:dyDescent="0.25">
      <c r="A73" s="1">
        <v>44023</v>
      </c>
      <c r="B73">
        <v>307</v>
      </c>
      <c r="C73">
        <v>394</v>
      </c>
      <c r="D73">
        <v>256</v>
      </c>
      <c r="E73">
        <f t="shared" si="4"/>
        <v>307</v>
      </c>
      <c r="F73">
        <f t="shared" si="5"/>
        <v>686</v>
      </c>
      <c r="G73">
        <f t="shared" si="6"/>
        <v>546</v>
      </c>
      <c r="H73" t="str">
        <f t="shared" si="7"/>
        <v>Truskawkowo-Porzeczkowa</v>
      </c>
      <c r="I73">
        <f>IF(E73=MIN($E73:$G73), E73, E73-MEDIAN($E73:G73))</f>
        <v>307</v>
      </c>
      <c r="J73">
        <f>IF(F73=MIN($E73:$G73), F73, F73-MEDIAN($E73:G73))</f>
        <v>140</v>
      </c>
      <c r="K73">
        <f>IF(G73=MIN($E73:$G73), G73, G73-MEDIAN($E73:G73))</f>
        <v>0</v>
      </c>
    </row>
    <row r="74" spans="1:11" x14ac:dyDescent="0.25">
      <c r="A74" s="1">
        <v>44024</v>
      </c>
      <c r="B74">
        <v>441</v>
      </c>
      <c r="C74">
        <v>271</v>
      </c>
      <c r="D74">
        <v>292</v>
      </c>
      <c r="E74">
        <f t="shared" si="4"/>
        <v>748</v>
      </c>
      <c r="F74">
        <f t="shared" si="5"/>
        <v>411</v>
      </c>
      <c r="G74">
        <f t="shared" si="6"/>
        <v>292</v>
      </c>
      <c r="H74" t="str">
        <f t="shared" si="7"/>
        <v>Malinowo-Truskawkowa</v>
      </c>
      <c r="I74">
        <f>IF(E74=MIN($E74:$G74), E74, E74-MEDIAN($E74:G74))</f>
        <v>337</v>
      </c>
      <c r="J74">
        <f>IF(F74=MIN($E74:$G74), F74, F74-MEDIAN($E74:G74))</f>
        <v>0</v>
      </c>
      <c r="K74">
        <f>IF(G74=MIN($E74:$G74), G74, G74-MEDIAN($E74:G74))</f>
        <v>292</v>
      </c>
    </row>
    <row r="75" spans="1:11" x14ac:dyDescent="0.25">
      <c r="A75" s="1">
        <v>44025</v>
      </c>
      <c r="B75">
        <v>407</v>
      </c>
      <c r="C75">
        <v>311</v>
      </c>
      <c r="D75">
        <v>280</v>
      </c>
      <c r="E75">
        <f t="shared" si="4"/>
        <v>744</v>
      </c>
      <c r="F75">
        <f t="shared" si="5"/>
        <v>311</v>
      </c>
      <c r="G75">
        <f t="shared" si="6"/>
        <v>572</v>
      </c>
      <c r="H75" t="str">
        <f t="shared" si="7"/>
        <v>Malinowo-Porzeczkowa</v>
      </c>
      <c r="I75">
        <f>IF(E75=MIN($E75:$G75), E75, E75-MEDIAN($E75:G75))</f>
        <v>172</v>
      </c>
      <c r="J75">
        <f>IF(F75=MIN($E75:$G75), F75, F75-MEDIAN($E75:G75))</f>
        <v>311</v>
      </c>
      <c r="K75">
        <f>IF(G75=MIN($E75:$G75), G75, G75-MEDIAN($E75:G75))</f>
        <v>0</v>
      </c>
    </row>
    <row r="76" spans="1:11" x14ac:dyDescent="0.25">
      <c r="A76" s="1">
        <v>44026</v>
      </c>
      <c r="B76">
        <v>480</v>
      </c>
      <c r="C76">
        <v>342</v>
      </c>
      <c r="D76">
        <v>292</v>
      </c>
      <c r="E76">
        <f t="shared" si="4"/>
        <v>652</v>
      </c>
      <c r="F76">
        <f t="shared" si="5"/>
        <v>653</v>
      </c>
      <c r="G76">
        <f t="shared" si="6"/>
        <v>292</v>
      </c>
      <c r="H76" t="str">
        <f t="shared" si="7"/>
        <v>Malinowo-Truskawkowa</v>
      </c>
      <c r="I76">
        <f>IF(E76=MIN($E76:$G76), E76, E76-MEDIAN($E76:G76))</f>
        <v>0</v>
      </c>
      <c r="J76">
        <f>IF(F76=MIN($E76:$G76), F76, F76-MEDIAN($E76:G76))</f>
        <v>1</v>
      </c>
      <c r="K76">
        <f>IF(G76=MIN($E76:$G76), G76, G76-MEDIAN($E76:G76))</f>
        <v>292</v>
      </c>
    </row>
    <row r="77" spans="1:11" x14ac:dyDescent="0.25">
      <c r="A77" s="1">
        <v>44027</v>
      </c>
      <c r="B77">
        <v>494</v>
      </c>
      <c r="C77">
        <v>310</v>
      </c>
      <c r="D77">
        <v>275</v>
      </c>
      <c r="E77">
        <f t="shared" si="4"/>
        <v>494</v>
      </c>
      <c r="F77">
        <f t="shared" si="5"/>
        <v>311</v>
      </c>
      <c r="G77">
        <f t="shared" si="6"/>
        <v>567</v>
      </c>
      <c r="H77" t="str">
        <f t="shared" si="7"/>
        <v>Malinowo-Porzeczkowa</v>
      </c>
      <c r="I77">
        <f>IF(E77=MIN($E77:$G77), E77, E77-MEDIAN($E77:G77))</f>
        <v>0</v>
      </c>
      <c r="J77">
        <f>IF(F77=MIN($E77:$G77), F77, F77-MEDIAN($E77:G77))</f>
        <v>311</v>
      </c>
      <c r="K77">
        <f>IF(G77=MIN($E77:$G77), G77, G77-MEDIAN($E77:G77))</f>
        <v>73</v>
      </c>
    </row>
    <row r="78" spans="1:11" x14ac:dyDescent="0.25">
      <c r="A78" s="1">
        <v>44028</v>
      </c>
      <c r="B78">
        <v>493</v>
      </c>
      <c r="C78">
        <v>431</v>
      </c>
      <c r="D78">
        <v>283</v>
      </c>
      <c r="E78">
        <f t="shared" si="4"/>
        <v>493</v>
      </c>
      <c r="F78">
        <f t="shared" si="5"/>
        <v>742</v>
      </c>
      <c r="G78">
        <f t="shared" si="6"/>
        <v>356</v>
      </c>
      <c r="H78" t="str">
        <f t="shared" si="7"/>
        <v>Malinowo-Truskawkowa</v>
      </c>
      <c r="I78">
        <f>IF(E78=MIN($E78:$G78), E78, E78-MEDIAN($E78:G78))</f>
        <v>0</v>
      </c>
      <c r="J78">
        <f>IF(F78=MIN($E78:$G78), F78, F78-MEDIAN($E78:G78))</f>
        <v>249</v>
      </c>
      <c r="K78">
        <f>IF(G78=MIN($E78:$G78), G78, G78-MEDIAN($E78:G78))</f>
        <v>356</v>
      </c>
    </row>
    <row r="79" spans="1:11" x14ac:dyDescent="0.25">
      <c r="A79" s="1">
        <v>44029</v>
      </c>
      <c r="B79">
        <v>302</v>
      </c>
      <c r="C79">
        <v>415</v>
      </c>
      <c r="D79">
        <v>297</v>
      </c>
      <c r="E79">
        <f t="shared" si="4"/>
        <v>302</v>
      </c>
      <c r="F79">
        <f t="shared" si="5"/>
        <v>664</v>
      </c>
      <c r="G79">
        <f t="shared" si="6"/>
        <v>653</v>
      </c>
      <c r="H79" t="str">
        <f t="shared" si="7"/>
        <v>Truskawkowo-Porzeczkowa</v>
      </c>
      <c r="I79">
        <f>IF(E79=MIN($E79:$G79), E79, E79-MEDIAN($E79:G79))</f>
        <v>302</v>
      </c>
      <c r="J79">
        <f>IF(F79=MIN($E79:$G79), F79, F79-MEDIAN($E79:G79))</f>
        <v>11</v>
      </c>
      <c r="K79">
        <f>IF(G79=MIN($E79:$G79), G79, G79-MEDIAN($E79:G79))</f>
        <v>0</v>
      </c>
    </row>
    <row r="80" spans="1:11" x14ac:dyDescent="0.25">
      <c r="A80" s="1">
        <v>44030</v>
      </c>
      <c r="B80">
        <v>331</v>
      </c>
      <c r="C80">
        <v>353</v>
      </c>
      <c r="D80">
        <v>373</v>
      </c>
      <c r="E80">
        <f t="shared" si="4"/>
        <v>633</v>
      </c>
      <c r="F80">
        <f t="shared" si="5"/>
        <v>364</v>
      </c>
      <c r="G80">
        <f t="shared" si="6"/>
        <v>373</v>
      </c>
      <c r="H80" t="str">
        <f t="shared" si="7"/>
        <v>Malinowo-Porzeczkowa</v>
      </c>
      <c r="I80">
        <f>IF(E80=MIN($E80:$G80), E80, E80-MEDIAN($E80:G80))</f>
        <v>260</v>
      </c>
      <c r="J80">
        <f>IF(F80=MIN($E80:$G80), F80, F80-MEDIAN($E80:G80))</f>
        <v>364</v>
      </c>
      <c r="K80">
        <f>IF(G80=MIN($E80:$G80), G80, G80-MEDIAN($E80:G80))</f>
        <v>0</v>
      </c>
    </row>
    <row r="81" spans="1:11" x14ac:dyDescent="0.25">
      <c r="A81" s="1">
        <v>44031</v>
      </c>
      <c r="B81">
        <v>486</v>
      </c>
      <c r="C81">
        <v>323</v>
      </c>
      <c r="D81">
        <v>359</v>
      </c>
      <c r="E81">
        <f t="shared" si="4"/>
        <v>746</v>
      </c>
      <c r="F81">
        <f t="shared" si="5"/>
        <v>687</v>
      </c>
      <c r="G81">
        <f t="shared" si="6"/>
        <v>359</v>
      </c>
      <c r="H81" t="str">
        <f t="shared" si="7"/>
        <v>Malinowo-Truskawkowa</v>
      </c>
      <c r="I81">
        <f>IF(E81=MIN($E81:$G81), E81, E81-MEDIAN($E81:G81))</f>
        <v>59</v>
      </c>
      <c r="J81">
        <f>IF(F81=MIN($E81:$G81), F81, F81-MEDIAN($E81:G81))</f>
        <v>0</v>
      </c>
      <c r="K81">
        <f>IF(G81=MIN($E81:$G81), G81, G81-MEDIAN($E81:G81))</f>
        <v>359</v>
      </c>
    </row>
    <row r="82" spans="1:11" x14ac:dyDescent="0.25">
      <c r="A82" s="1">
        <v>44032</v>
      </c>
      <c r="B82">
        <v>360</v>
      </c>
      <c r="C82">
        <v>331</v>
      </c>
      <c r="D82">
        <v>445</v>
      </c>
      <c r="E82">
        <f t="shared" si="4"/>
        <v>419</v>
      </c>
      <c r="F82">
        <f t="shared" si="5"/>
        <v>331</v>
      </c>
      <c r="G82">
        <f t="shared" si="6"/>
        <v>804</v>
      </c>
      <c r="H82" t="str">
        <f t="shared" si="7"/>
        <v>Malinowo-Porzeczkowa</v>
      </c>
      <c r="I82">
        <f>IF(E82=MIN($E82:$G82), E82, E82-MEDIAN($E82:G82))</f>
        <v>0</v>
      </c>
      <c r="J82">
        <f>IF(F82=MIN($E82:$G82), F82, F82-MEDIAN($E82:G82))</f>
        <v>331</v>
      </c>
      <c r="K82">
        <f>IF(G82=MIN($E82:$G82), G82, G82-MEDIAN($E82:G82))</f>
        <v>385</v>
      </c>
    </row>
    <row r="83" spans="1:11" x14ac:dyDescent="0.25">
      <c r="A83" s="1">
        <v>44033</v>
      </c>
      <c r="B83">
        <v>391</v>
      </c>
      <c r="C83">
        <v>455</v>
      </c>
      <c r="D83">
        <v>427</v>
      </c>
      <c r="E83">
        <f t="shared" si="4"/>
        <v>391</v>
      </c>
      <c r="F83">
        <f t="shared" si="5"/>
        <v>786</v>
      </c>
      <c r="G83">
        <f t="shared" si="6"/>
        <v>812</v>
      </c>
      <c r="H83" t="str">
        <f t="shared" si="7"/>
        <v>Truskawkowo-Porzeczkowa</v>
      </c>
      <c r="I83">
        <f>IF(E83=MIN($E83:$G83), E83, E83-MEDIAN($E83:G83))</f>
        <v>391</v>
      </c>
      <c r="J83">
        <f>IF(F83=MIN($E83:$G83), F83, F83-MEDIAN($E83:G83))</f>
        <v>0</v>
      </c>
      <c r="K83">
        <f>IF(G83=MIN($E83:$G83), G83, G83-MEDIAN($E83:G83))</f>
        <v>26</v>
      </c>
    </row>
    <row r="84" spans="1:11" x14ac:dyDescent="0.25">
      <c r="A84" s="1">
        <v>44034</v>
      </c>
      <c r="B84">
        <v>327</v>
      </c>
      <c r="C84">
        <v>471</v>
      </c>
      <c r="D84">
        <v>423</v>
      </c>
      <c r="E84">
        <f t="shared" si="4"/>
        <v>718</v>
      </c>
      <c r="F84">
        <f t="shared" si="5"/>
        <v>471</v>
      </c>
      <c r="G84">
        <f t="shared" si="6"/>
        <v>449</v>
      </c>
      <c r="H84" t="str">
        <f t="shared" si="7"/>
        <v>Malinowo-Truskawkowa</v>
      </c>
      <c r="I84">
        <f>IF(E84=MIN($E84:$G84), E84, E84-MEDIAN($E84:G84))</f>
        <v>247</v>
      </c>
      <c r="J84">
        <f>IF(F84=MIN($E84:$G84), F84, F84-MEDIAN($E84:G84))</f>
        <v>0</v>
      </c>
      <c r="K84">
        <f>IF(G84=MIN($E84:$G84), G84, G84-MEDIAN($E84:G84))</f>
        <v>449</v>
      </c>
    </row>
    <row r="85" spans="1:11" x14ac:dyDescent="0.25">
      <c r="A85" s="1">
        <v>44035</v>
      </c>
      <c r="B85">
        <v>355</v>
      </c>
      <c r="C85">
        <v>490</v>
      </c>
      <c r="D85">
        <v>449</v>
      </c>
      <c r="E85">
        <f t="shared" si="4"/>
        <v>602</v>
      </c>
      <c r="F85">
        <f t="shared" si="5"/>
        <v>490</v>
      </c>
      <c r="G85">
        <f t="shared" si="6"/>
        <v>898</v>
      </c>
      <c r="H85" t="str">
        <f t="shared" si="7"/>
        <v>Malinowo-Porzeczkowa</v>
      </c>
      <c r="I85">
        <f>IF(E85=MIN($E85:$G85), E85, E85-MEDIAN($E85:G85))</f>
        <v>0</v>
      </c>
      <c r="J85">
        <f>IF(F85=MIN($E85:$G85), F85, F85-MEDIAN($E85:G85))</f>
        <v>490</v>
      </c>
      <c r="K85">
        <f>IF(G85=MIN($E85:$G85), G85, G85-MEDIAN($E85:G85))</f>
        <v>296</v>
      </c>
    </row>
    <row r="86" spans="1:11" x14ac:dyDescent="0.25">
      <c r="A86" s="1">
        <v>44036</v>
      </c>
      <c r="B86">
        <v>360</v>
      </c>
      <c r="C86">
        <v>339</v>
      </c>
      <c r="D86">
        <v>470</v>
      </c>
      <c r="E86">
        <f t="shared" si="4"/>
        <v>360</v>
      </c>
      <c r="F86">
        <f t="shared" si="5"/>
        <v>829</v>
      </c>
      <c r="G86">
        <f t="shared" si="6"/>
        <v>766</v>
      </c>
      <c r="H86" t="str">
        <f t="shared" si="7"/>
        <v>Truskawkowo-Porzeczkowa</v>
      </c>
      <c r="I86">
        <f>IF(E86=MIN($E86:$G86), E86, E86-MEDIAN($E86:G86))</f>
        <v>360</v>
      </c>
      <c r="J86">
        <f>IF(F86=MIN($E86:$G86), F86, F86-MEDIAN($E86:G86))</f>
        <v>63</v>
      </c>
      <c r="K86">
        <f>IF(G86=MIN($E86:$G86), G86, G86-MEDIAN($E86:G86))</f>
        <v>0</v>
      </c>
    </row>
    <row r="87" spans="1:11" x14ac:dyDescent="0.25">
      <c r="A87" s="1">
        <v>44037</v>
      </c>
      <c r="B87">
        <v>303</v>
      </c>
      <c r="C87">
        <v>404</v>
      </c>
      <c r="D87">
        <v>434</v>
      </c>
      <c r="E87">
        <f t="shared" si="4"/>
        <v>663</v>
      </c>
      <c r="F87">
        <f t="shared" si="5"/>
        <v>467</v>
      </c>
      <c r="G87">
        <f t="shared" si="6"/>
        <v>434</v>
      </c>
      <c r="H87" t="str">
        <f t="shared" si="7"/>
        <v>Malinowo-Truskawkowa</v>
      </c>
      <c r="I87">
        <f>IF(E87=MIN($E87:$G87), E87, E87-MEDIAN($E87:G87))</f>
        <v>196</v>
      </c>
      <c r="J87">
        <f>IF(F87=MIN($E87:$G87), F87, F87-MEDIAN($E87:G87))</f>
        <v>0</v>
      </c>
      <c r="K87">
        <f>IF(G87=MIN($E87:$G87), G87, G87-MEDIAN($E87:G87))</f>
        <v>434</v>
      </c>
    </row>
    <row r="88" spans="1:11" x14ac:dyDescent="0.25">
      <c r="A88" s="1">
        <v>44038</v>
      </c>
      <c r="B88">
        <v>310</v>
      </c>
      <c r="C88">
        <v>332</v>
      </c>
      <c r="D88">
        <v>536</v>
      </c>
      <c r="E88">
        <f t="shared" si="4"/>
        <v>506</v>
      </c>
      <c r="F88">
        <f t="shared" si="5"/>
        <v>332</v>
      </c>
      <c r="G88">
        <f t="shared" si="6"/>
        <v>970</v>
      </c>
      <c r="H88" t="str">
        <f t="shared" si="7"/>
        <v>Malinowo-Porzeczkowa</v>
      </c>
      <c r="I88">
        <f>IF(E88=MIN($E88:$G88), E88, E88-MEDIAN($E88:G88))</f>
        <v>0</v>
      </c>
      <c r="J88">
        <f>IF(F88=MIN($E88:$G88), F88, F88-MEDIAN($E88:G88))</f>
        <v>332</v>
      </c>
      <c r="K88">
        <f>IF(G88=MIN($E88:$G88), G88, G88-MEDIAN($E88:G88))</f>
        <v>464</v>
      </c>
    </row>
    <row r="89" spans="1:11" x14ac:dyDescent="0.25">
      <c r="A89" s="1">
        <v>44039</v>
      </c>
      <c r="B89">
        <v>435</v>
      </c>
      <c r="C89">
        <v>406</v>
      </c>
      <c r="D89">
        <v>421</v>
      </c>
      <c r="E89">
        <f t="shared" si="4"/>
        <v>435</v>
      </c>
      <c r="F89">
        <f t="shared" si="5"/>
        <v>738</v>
      </c>
      <c r="G89">
        <f t="shared" si="6"/>
        <v>885</v>
      </c>
      <c r="H89" t="str">
        <f t="shared" si="7"/>
        <v>Truskawkowo-Porzeczkowa</v>
      </c>
      <c r="I89">
        <f>IF(E89=MIN($E89:$G89), E89, E89-MEDIAN($E89:G89))</f>
        <v>435</v>
      </c>
      <c r="J89">
        <f>IF(F89=MIN($E89:$G89), F89, F89-MEDIAN($E89:G89))</f>
        <v>0</v>
      </c>
      <c r="K89">
        <f>IF(G89=MIN($E89:$G89), G89, G89-MEDIAN($E89:G89))</f>
        <v>147</v>
      </c>
    </row>
    <row r="90" spans="1:11" x14ac:dyDescent="0.25">
      <c r="A90" s="1">
        <v>44040</v>
      </c>
      <c r="B90">
        <v>344</v>
      </c>
      <c r="C90">
        <v>348</v>
      </c>
      <c r="D90">
        <v>555</v>
      </c>
      <c r="E90">
        <f t="shared" si="4"/>
        <v>779</v>
      </c>
      <c r="F90">
        <f t="shared" si="5"/>
        <v>348</v>
      </c>
      <c r="G90">
        <f t="shared" si="6"/>
        <v>702</v>
      </c>
      <c r="H90" t="str">
        <f t="shared" si="7"/>
        <v>Malinowo-Porzeczkowa</v>
      </c>
      <c r="I90">
        <f>IF(E90=MIN($E90:$G90), E90, E90-MEDIAN($E90:G90))</f>
        <v>77</v>
      </c>
      <c r="J90">
        <f>IF(F90=MIN($E90:$G90), F90, F90-MEDIAN($E90:G90))</f>
        <v>348</v>
      </c>
      <c r="K90">
        <f>IF(G90=MIN($E90:$G90), G90, G90-MEDIAN($E90:G90))</f>
        <v>0</v>
      </c>
    </row>
    <row r="91" spans="1:11" x14ac:dyDescent="0.25">
      <c r="A91" s="1">
        <v>44041</v>
      </c>
      <c r="B91">
        <v>303</v>
      </c>
      <c r="C91">
        <v>335</v>
      </c>
      <c r="D91">
        <v>436</v>
      </c>
      <c r="E91">
        <f t="shared" si="4"/>
        <v>380</v>
      </c>
      <c r="F91">
        <f t="shared" si="5"/>
        <v>683</v>
      </c>
      <c r="G91">
        <f t="shared" si="6"/>
        <v>436</v>
      </c>
      <c r="H91" t="str">
        <f t="shared" si="7"/>
        <v>Truskawkowo-Porzeczkowa</v>
      </c>
      <c r="I91">
        <f>IF(E91=MIN($E91:$G91), E91, E91-MEDIAN($E91:G91))</f>
        <v>380</v>
      </c>
      <c r="J91">
        <f>IF(F91=MIN($E91:$G91), F91, F91-MEDIAN($E91:G91))</f>
        <v>247</v>
      </c>
      <c r="K91">
        <f>IF(G91=MIN($E91:$G91), G91, G91-MEDIAN($E91:G91))</f>
        <v>0</v>
      </c>
    </row>
    <row r="92" spans="1:11" x14ac:dyDescent="0.25">
      <c r="A92" s="1">
        <v>44042</v>
      </c>
      <c r="B92">
        <v>433</v>
      </c>
      <c r="C92">
        <v>425</v>
      </c>
      <c r="D92">
        <v>422</v>
      </c>
      <c r="E92">
        <f t="shared" si="4"/>
        <v>813</v>
      </c>
      <c r="F92">
        <f t="shared" si="5"/>
        <v>672</v>
      </c>
      <c r="G92">
        <f t="shared" si="6"/>
        <v>422</v>
      </c>
      <c r="H92" t="str">
        <f t="shared" si="7"/>
        <v>Malinowo-Truskawkowa</v>
      </c>
      <c r="I92">
        <f>IF(E92=MIN($E92:$G92), E92, E92-MEDIAN($E92:G92))</f>
        <v>141</v>
      </c>
      <c r="J92">
        <f>IF(F92=MIN($E92:$G92), F92, F92-MEDIAN($E92:G92))</f>
        <v>0</v>
      </c>
      <c r="K92">
        <f>IF(G92=MIN($E92:$G92), G92, G92-MEDIAN($E92:G92))</f>
        <v>422</v>
      </c>
    </row>
    <row r="93" spans="1:11" x14ac:dyDescent="0.25">
      <c r="A93" s="1">
        <v>44043</v>
      </c>
      <c r="B93">
        <v>350</v>
      </c>
      <c r="C93">
        <v>378</v>
      </c>
      <c r="D93">
        <v>419</v>
      </c>
      <c r="E93">
        <f t="shared" si="4"/>
        <v>491</v>
      </c>
      <c r="F93">
        <f t="shared" si="5"/>
        <v>378</v>
      </c>
      <c r="G93">
        <f t="shared" si="6"/>
        <v>841</v>
      </c>
      <c r="H93" t="str">
        <f t="shared" si="7"/>
        <v>Malinowo-Porzeczkowa</v>
      </c>
      <c r="I93">
        <f>IF(E93=MIN($E93:$G93), E93, E93-MEDIAN($E93:G93))</f>
        <v>0</v>
      </c>
      <c r="J93">
        <f>IF(F93=MIN($E93:$G93), F93, F93-MEDIAN($E93:G93))</f>
        <v>378</v>
      </c>
      <c r="K93">
        <f>IF(G93=MIN($E93:$G93), G93, G93-MEDIAN($E93:G93))</f>
        <v>350</v>
      </c>
    </row>
    <row r="94" spans="1:11" x14ac:dyDescent="0.25">
      <c r="A94" s="1">
        <v>44044</v>
      </c>
      <c r="B94">
        <v>396</v>
      </c>
      <c r="C94">
        <v>466</v>
      </c>
      <c r="D94">
        <v>434</v>
      </c>
      <c r="E94">
        <f t="shared" si="4"/>
        <v>396</v>
      </c>
      <c r="F94">
        <f t="shared" si="5"/>
        <v>844</v>
      </c>
      <c r="G94">
        <f t="shared" si="6"/>
        <v>784</v>
      </c>
      <c r="H94" t="str">
        <f t="shared" si="7"/>
        <v>Truskawkowo-Porzeczkowa</v>
      </c>
      <c r="I94">
        <f>IF(E94=MIN($E94:$G94), E94, E94-MEDIAN($E94:G94))</f>
        <v>396</v>
      </c>
      <c r="J94">
        <f>IF(F94=MIN($E94:$G94), F94, F94-MEDIAN($E94:G94))</f>
        <v>60</v>
      </c>
      <c r="K94">
        <f>IF(G94=MIN($E94:$G94), G94, G94-MEDIAN($E94:G94))</f>
        <v>0</v>
      </c>
    </row>
    <row r="95" spans="1:11" x14ac:dyDescent="0.25">
      <c r="A95" s="1">
        <v>44045</v>
      </c>
      <c r="B95">
        <v>495</v>
      </c>
      <c r="C95">
        <v>410</v>
      </c>
      <c r="D95">
        <v>418</v>
      </c>
      <c r="E95">
        <f t="shared" si="4"/>
        <v>891</v>
      </c>
      <c r="F95">
        <f t="shared" si="5"/>
        <v>470</v>
      </c>
      <c r="G95">
        <f t="shared" si="6"/>
        <v>418</v>
      </c>
      <c r="H95" t="str">
        <f t="shared" si="7"/>
        <v>Malinowo-Truskawkowa</v>
      </c>
      <c r="I95">
        <f>IF(E95=MIN($E95:$G95), E95, E95-MEDIAN($E95:G95))</f>
        <v>421</v>
      </c>
      <c r="J95">
        <f>IF(F95=MIN($E95:$G95), F95, F95-MEDIAN($E95:G95))</f>
        <v>0</v>
      </c>
      <c r="K95">
        <f>IF(G95=MIN($E95:$G95), G95, G95-MEDIAN($E95:G95))</f>
        <v>418</v>
      </c>
    </row>
    <row r="96" spans="1:11" x14ac:dyDescent="0.25">
      <c r="A96" s="1">
        <v>44046</v>
      </c>
      <c r="B96">
        <v>420</v>
      </c>
      <c r="C96">
        <v>328</v>
      </c>
      <c r="D96">
        <v>422</v>
      </c>
      <c r="E96">
        <f t="shared" si="4"/>
        <v>841</v>
      </c>
      <c r="F96">
        <f t="shared" si="5"/>
        <v>328</v>
      </c>
      <c r="G96">
        <f t="shared" si="6"/>
        <v>840</v>
      </c>
      <c r="H96" t="str">
        <f t="shared" si="7"/>
        <v>Malinowo-Porzeczkowa</v>
      </c>
      <c r="I96">
        <f>IF(E96=MIN($E96:$G96), E96, E96-MEDIAN($E96:G96))</f>
        <v>1</v>
      </c>
      <c r="J96">
        <f>IF(F96=MIN($E96:$G96), F96, F96-MEDIAN($E96:G96))</f>
        <v>328</v>
      </c>
      <c r="K96">
        <f>IF(G96=MIN($E96:$G96), G96, G96-MEDIAN($E96:G96))</f>
        <v>0</v>
      </c>
    </row>
    <row r="97" spans="1:11" x14ac:dyDescent="0.25">
      <c r="A97" s="1">
        <v>44047</v>
      </c>
      <c r="B97">
        <v>411</v>
      </c>
      <c r="C97">
        <v>481</v>
      </c>
      <c r="D97">
        <v>445</v>
      </c>
      <c r="E97">
        <f t="shared" si="4"/>
        <v>412</v>
      </c>
      <c r="F97">
        <f t="shared" si="5"/>
        <v>809</v>
      </c>
      <c r="G97">
        <f t="shared" si="6"/>
        <v>445</v>
      </c>
      <c r="H97" t="str">
        <f t="shared" si="7"/>
        <v>Truskawkowo-Porzeczkowa</v>
      </c>
      <c r="I97">
        <f>IF(E97=MIN($E97:$G97), E97, E97-MEDIAN($E97:G97))</f>
        <v>412</v>
      </c>
      <c r="J97">
        <f>IF(F97=MIN($E97:$G97), F97, F97-MEDIAN($E97:G97))</f>
        <v>364</v>
      </c>
      <c r="K97">
        <f>IF(G97=MIN($E97:$G97), G97, G97-MEDIAN($E97:G97))</f>
        <v>0</v>
      </c>
    </row>
    <row r="98" spans="1:11" x14ac:dyDescent="0.25">
      <c r="A98" s="1">
        <v>44048</v>
      </c>
      <c r="B98">
        <v>317</v>
      </c>
      <c r="C98">
        <v>434</v>
      </c>
      <c r="D98">
        <v>411</v>
      </c>
      <c r="E98">
        <f t="shared" si="4"/>
        <v>729</v>
      </c>
      <c r="F98">
        <f t="shared" si="5"/>
        <v>798</v>
      </c>
      <c r="G98">
        <f t="shared" si="6"/>
        <v>411</v>
      </c>
      <c r="H98" t="str">
        <f t="shared" si="7"/>
        <v>Malinowo-Truskawkowa</v>
      </c>
      <c r="I98">
        <f>IF(E98=MIN($E98:$G98), E98, E98-MEDIAN($E98:G98))</f>
        <v>0</v>
      </c>
      <c r="J98">
        <f>IF(F98=MIN($E98:$G98), F98, F98-MEDIAN($E98:G98))</f>
        <v>69</v>
      </c>
      <c r="K98">
        <f>IF(G98=MIN($E98:$G98), G98, G98-MEDIAN($E98:G98))</f>
        <v>411</v>
      </c>
    </row>
    <row r="99" spans="1:11" x14ac:dyDescent="0.25">
      <c r="A99" s="1">
        <v>44049</v>
      </c>
      <c r="B99">
        <v>342</v>
      </c>
      <c r="C99">
        <v>465</v>
      </c>
      <c r="D99">
        <v>417</v>
      </c>
      <c r="E99">
        <f t="shared" si="4"/>
        <v>342</v>
      </c>
      <c r="F99">
        <f t="shared" si="5"/>
        <v>534</v>
      </c>
      <c r="G99">
        <f t="shared" si="6"/>
        <v>828</v>
      </c>
      <c r="H99" t="str">
        <f t="shared" si="7"/>
        <v>Truskawkowo-Porzeczkowa</v>
      </c>
      <c r="I99">
        <f>IF(E99=MIN($E99:$G99), E99, E99-MEDIAN($E99:G99))</f>
        <v>342</v>
      </c>
      <c r="J99">
        <f>IF(F99=MIN($E99:$G99), F99, F99-MEDIAN($E99:G99))</f>
        <v>0</v>
      </c>
      <c r="K99">
        <f>IF(G99=MIN($E99:$G99), G99, G99-MEDIAN($E99:G99))</f>
        <v>294</v>
      </c>
    </row>
    <row r="100" spans="1:11" x14ac:dyDescent="0.25">
      <c r="A100" s="1">
        <v>44050</v>
      </c>
      <c r="B100">
        <v>450</v>
      </c>
      <c r="C100">
        <v>318</v>
      </c>
      <c r="D100">
        <v>490</v>
      </c>
      <c r="E100">
        <f t="shared" si="4"/>
        <v>792</v>
      </c>
      <c r="F100">
        <f t="shared" si="5"/>
        <v>318</v>
      </c>
      <c r="G100">
        <f t="shared" si="6"/>
        <v>784</v>
      </c>
      <c r="H100" t="str">
        <f t="shared" si="7"/>
        <v>Malinowo-Porzeczkowa</v>
      </c>
      <c r="I100">
        <f>IF(E100=MIN($E100:$G100), E100, E100-MEDIAN($E100:G100))</f>
        <v>8</v>
      </c>
      <c r="J100">
        <f>IF(F100=MIN($E100:$G100), F100, F100-MEDIAN($E100:G100))</f>
        <v>318</v>
      </c>
      <c r="K100">
        <f>IF(G100=MIN($E100:$G100), G100, G100-MEDIAN($E100:G100))</f>
        <v>0</v>
      </c>
    </row>
    <row r="101" spans="1:11" x14ac:dyDescent="0.25">
      <c r="A101" s="1">
        <v>44051</v>
      </c>
      <c r="B101">
        <v>343</v>
      </c>
      <c r="C101">
        <v>329</v>
      </c>
      <c r="D101">
        <v>345</v>
      </c>
      <c r="E101">
        <f t="shared" si="4"/>
        <v>351</v>
      </c>
      <c r="F101">
        <f t="shared" si="5"/>
        <v>647</v>
      </c>
      <c r="G101">
        <f t="shared" si="6"/>
        <v>345</v>
      </c>
      <c r="H101" t="str">
        <f t="shared" si="7"/>
        <v>Malinowo-Truskawkowa</v>
      </c>
      <c r="I101">
        <f>IF(E101=MIN($E101:$G101), E101, E101-MEDIAN($E101:G101))</f>
        <v>0</v>
      </c>
      <c r="J101">
        <f>IF(F101=MIN($E101:$G101), F101, F101-MEDIAN($E101:G101))</f>
        <v>296</v>
      </c>
      <c r="K101">
        <f>IF(G101=MIN($E101:$G101), G101, G101-MEDIAN($E101:G101))</f>
        <v>345</v>
      </c>
    </row>
    <row r="102" spans="1:11" x14ac:dyDescent="0.25">
      <c r="A102" s="1">
        <v>44052</v>
      </c>
      <c r="B102">
        <v>287</v>
      </c>
      <c r="C102">
        <v>328</v>
      </c>
      <c r="D102">
        <v>377</v>
      </c>
      <c r="E102">
        <f t="shared" si="4"/>
        <v>287</v>
      </c>
      <c r="F102">
        <f t="shared" si="5"/>
        <v>624</v>
      </c>
      <c r="G102">
        <f t="shared" si="6"/>
        <v>722</v>
      </c>
      <c r="H102" t="str">
        <f t="shared" si="7"/>
        <v>Truskawkowo-Porzeczkowa</v>
      </c>
      <c r="I102">
        <f>IF(E102=MIN($E102:$G102), E102, E102-MEDIAN($E102:G102))</f>
        <v>287</v>
      </c>
      <c r="J102">
        <f>IF(F102=MIN($E102:$G102), F102, F102-MEDIAN($E102:G102))</f>
        <v>0</v>
      </c>
      <c r="K102">
        <f>IF(G102=MIN($E102:$G102), G102, G102-MEDIAN($E102:G102))</f>
        <v>98</v>
      </c>
    </row>
    <row r="103" spans="1:11" x14ac:dyDescent="0.25">
      <c r="A103" s="1">
        <v>44053</v>
      </c>
      <c r="B103">
        <v>298</v>
      </c>
      <c r="C103">
        <v>401</v>
      </c>
      <c r="D103">
        <v>416</v>
      </c>
      <c r="E103">
        <f t="shared" si="4"/>
        <v>585</v>
      </c>
      <c r="F103">
        <f t="shared" si="5"/>
        <v>401</v>
      </c>
      <c r="G103">
        <f t="shared" si="6"/>
        <v>514</v>
      </c>
      <c r="H103" t="str">
        <f t="shared" si="7"/>
        <v>Malinowo-Porzeczkowa</v>
      </c>
      <c r="I103">
        <f>IF(E103=MIN($E103:$G103), E103, E103-MEDIAN($E103:G103))</f>
        <v>71</v>
      </c>
      <c r="J103">
        <f>IF(F103=MIN($E103:$G103), F103, F103-MEDIAN($E103:G103))</f>
        <v>401</v>
      </c>
      <c r="K103">
        <f>IF(G103=MIN($E103:$G103), G103, G103-MEDIAN($E103:G103))</f>
        <v>0</v>
      </c>
    </row>
    <row r="104" spans="1:11" x14ac:dyDescent="0.25">
      <c r="A104" s="1">
        <v>44054</v>
      </c>
      <c r="B104">
        <v>429</v>
      </c>
      <c r="C104">
        <v>348</v>
      </c>
      <c r="D104">
        <v>426</v>
      </c>
      <c r="E104">
        <f t="shared" si="4"/>
        <v>500</v>
      </c>
      <c r="F104">
        <f t="shared" si="5"/>
        <v>749</v>
      </c>
      <c r="G104">
        <f t="shared" si="6"/>
        <v>426</v>
      </c>
      <c r="H104" t="str">
        <f t="shared" si="7"/>
        <v>Malinowo-Truskawkowa</v>
      </c>
      <c r="I104">
        <f>IF(E104=MIN($E104:$G104), E104, E104-MEDIAN($E104:G104))</f>
        <v>0</v>
      </c>
      <c r="J104">
        <f>IF(F104=MIN($E104:$G104), F104, F104-MEDIAN($E104:G104))</f>
        <v>249</v>
      </c>
      <c r="K104">
        <f>IF(G104=MIN($E104:$G104), G104, G104-MEDIAN($E104:G104))</f>
        <v>426</v>
      </c>
    </row>
    <row r="105" spans="1:11" x14ac:dyDescent="0.25">
      <c r="A105" s="1">
        <v>44055</v>
      </c>
      <c r="B105">
        <v>417</v>
      </c>
      <c r="C105">
        <v>457</v>
      </c>
      <c r="D105">
        <v>438</v>
      </c>
      <c r="E105">
        <f t="shared" si="4"/>
        <v>417</v>
      </c>
      <c r="F105">
        <f t="shared" si="5"/>
        <v>706</v>
      </c>
      <c r="G105">
        <f t="shared" si="6"/>
        <v>864</v>
      </c>
      <c r="H105" t="str">
        <f t="shared" si="7"/>
        <v>Truskawkowo-Porzeczkowa</v>
      </c>
      <c r="I105">
        <f>IF(E105=MIN($E105:$G105), E105, E105-MEDIAN($E105:G105))</f>
        <v>417</v>
      </c>
      <c r="J105">
        <f>IF(F105=MIN($E105:$G105), F105, F105-MEDIAN($E105:G105))</f>
        <v>0</v>
      </c>
      <c r="K105">
        <f>IF(G105=MIN($E105:$G105), G105, G105-MEDIAN($E105:G105))</f>
        <v>158</v>
      </c>
    </row>
    <row r="106" spans="1:11" x14ac:dyDescent="0.25">
      <c r="A106" s="1">
        <v>44056</v>
      </c>
      <c r="B106">
        <v>384</v>
      </c>
      <c r="C106">
        <v>330</v>
      </c>
      <c r="D106">
        <v>292</v>
      </c>
      <c r="E106">
        <f t="shared" si="4"/>
        <v>801</v>
      </c>
      <c r="F106">
        <f t="shared" si="5"/>
        <v>330</v>
      </c>
      <c r="G106">
        <f t="shared" si="6"/>
        <v>450</v>
      </c>
      <c r="H106" t="str">
        <f t="shared" si="7"/>
        <v>Malinowo-Porzeczkowa</v>
      </c>
      <c r="I106">
        <f>IF(E106=MIN($E106:$G106), E106, E106-MEDIAN($E106:G106))</f>
        <v>351</v>
      </c>
      <c r="J106">
        <f>IF(F106=MIN($E106:$G106), F106, F106-MEDIAN($E106:G106))</f>
        <v>330</v>
      </c>
      <c r="K106">
        <f>IF(G106=MIN($E106:$G106), G106, G106-MEDIAN($E106:G106))</f>
        <v>0</v>
      </c>
    </row>
    <row r="107" spans="1:11" x14ac:dyDescent="0.25">
      <c r="A107" s="1">
        <v>44057</v>
      </c>
      <c r="B107">
        <v>370</v>
      </c>
      <c r="C107">
        <v>388</v>
      </c>
      <c r="D107">
        <v>390</v>
      </c>
      <c r="E107">
        <f t="shared" si="4"/>
        <v>721</v>
      </c>
      <c r="F107">
        <f t="shared" si="5"/>
        <v>718</v>
      </c>
      <c r="G107">
        <f t="shared" si="6"/>
        <v>390</v>
      </c>
      <c r="H107" t="str">
        <f t="shared" si="7"/>
        <v>Malinowo-Truskawkowa</v>
      </c>
      <c r="I107">
        <f>IF(E107=MIN($E107:$G107), E107, E107-MEDIAN($E107:G107))</f>
        <v>3</v>
      </c>
      <c r="J107">
        <f>IF(F107=MIN($E107:$G107), F107, F107-MEDIAN($E107:G107))</f>
        <v>0</v>
      </c>
      <c r="K107">
        <f>IF(G107=MIN($E107:$G107), G107, G107-MEDIAN($E107:G107))</f>
        <v>390</v>
      </c>
    </row>
    <row r="108" spans="1:11" x14ac:dyDescent="0.25">
      <c r="A108" s="1">
        <v>44058</v>
      </c>
      <c r="B108">
        <v>436</v>
      </c>
      <c r="C108">
        <v>298</v>
      </c>
      <c r="D108">
        <v>420</v>
      </c>
      <c r="E108">
        <f t="shared" si="4"/>
        <v>439</v>
      </c>
      <c r="F108">
        <f t="shared" si="5"/>
        <v>298</v>
      </c>
      <c r="G108">
        <f t="shared" si="6"/>
        <v>810</v>
      </c>
      <c r="H108" t="str">
        <f t="shared" si="7"/>
        <v>Malinowo-Porzeczkowa</v>
      </c>
      <c r="I108">
        <f>IF(E108=MIN($E108:$G108), E108, E108-MEDIAN($E108:G108))</f>
        <v>0</v>
      </c>
      <c r="J108">
        <f>IF(F108=MIN($E108:$G108), F108, F108-MEDIAN($E108:G108))</f>
        <v>298</v>
      </c>
      <c r="K108">
        <f>IF(G108=MIN($E108:$G108), G108, G108-MEDIAN($E108:G108))</f>
        <v>371</v>
      </c>
    </row>
    <row r="109" spans="1:11" x14ac:dyDescent="0.25">
      <c r="A109" s="1">
        <v>44059</v>
      </c>
      <c r="B109">
        <v>303</v>
      </c>
      <c r="C109">
        <v>429</v>
      </c>
      <c r="D109">
        <v>407</v>
      </c>
      <c r="E109">
        <f t="shared" si="4"/>
        <v>303</v>
      </c>
      <c r="F109">
        <f t="shared" si="5"/>
        <v>727</v>
      </c>
      <c r="G109">
        <f t="shared" si="6"/>
        <v>778</v>
      </c>
      <c r="H109" t="str">
        <f t="shared" si="7"/>
        <v>Truskawkowo-Porzeczkowa</v>
      </c>
      <c r="I109">
        <f>IF(E109=MIN($E109:$G109), E109, E109-MEDIAN($E109:G109))</f>
        <v>303</v>
      </c>
      <c r="J109">
        <f>IF(F109=MIN($E109:$G109), F109, F109-MEDIAN($E109:G109))</f>
        <v>0</v>
      </c>
      <c r="K109">
        <f>IF(G109=MIN($E109:$G109), G109, G109-MEDIAN($E109:G109))</f>
        <v>51</v>
      </c>
    </row>
    <row r="110" spans="1:11" x14ac:dyDescent="0.25">
      <c r="A110" s="1">
        <v>44060</v>
      </c>
      <c r="B110">
        <v>449</v>
      </c>
      <c r="C110">
        <v>444</v>
      </c>
      <c r="D110">
        <v>425</v>
      </c>
      <c r="E110">
        <f t="shared" si="4"/>
        <v>752</v>
      </c>
      <c r="F110">
        <f t="shared" si="5"/>
        <v>444</v>
      </c>
      <c r="G110">
        <f t="shared" si="6"/>
        <v>476</v>
      </c>
      <c r="H110" t="str">
        <f t="shared" si="7"/>
        <v>Malinowo-Porzeczkowa</v>
      </c>
      <c r="I110">
        <f>IF(E110=MIN($E110:$G110), E110, E110-MEDIAN($E110:G110))</f>
        <v>276</v>
      </c>
      <c r="J110">
        <f>IF(F110=MIN($E110:$G110), F110, F110-MEDIAN($E110:G110))</f>
        <v>444</v>
      </c>
      <c r="K110">
        <f>IF(G110=MIN($E110:$G110), G110, G110-MEDIAN($E110:G110))</f>
        <v>0</v>
      </c>
    </row>
    <row r="111" spans="1:11" x14ac:dyDescent="0.25">
      <c r="A111" s="1">
        <v>44061</v>
      </c>
      <c r="B111">
        <v>300</v>
      </c>
      <c r="C111">
        <v>358</v>
      </c>
      <c r="D111">
        <v>377</v>
      </c>
      <c r="E111">
        <f t="shared" si="4"/>
        <v>576</v>
      </c>
      <c r="F111">
        <f t="shared" si="5"/>
        <v>802</v>
      </c>
      <c r="G111">
        <f t="shared" si="6"/>
        <v>377</v>
      </c>
      <c r="H111" t="str">
        <f t="shared" si="7"/>
        <v>Malinowo-Truskawkowa</v>
      </c>
      <c r="I111">
        <f>IF(E111=MIN($E111:$G111), E111, E111-MEDIAN($E111:G111))</f>
        <v>0</v>
      </c>
      <c r="J111">
        <f>IF(F111=MIN($E111:$G111), F111, F111-MEDIAN($E111:G111))</f>
        <v>226</v>
      </c>
      <c r="K111">
        <f>IF(G111=MIN($E111:$G111), G111, G111-MEDIAN($E111:G111))</f>
        <v>377</v>
      </c>
    </row>
    <row r="112" spans="1:11" x14ac:dyDescent="0.25">
      <c r="A112" s="1">
        <v>44062</v>
      </c>
      <c r="B112">
        <v>307</v>
      </c>
      <c r="C112">
        <v>417</v>
      </c>
      <c r="D112">
        <v>405</v>
      </c>
      <c r="E112">
        <f t="shared" si="4"/>
        <v>307</v>
      </c>
      <c r="F112">
        <f t="shared" si="5"/>
        <v>643</v>
      </c>
      <c r="G112">
        <f t="shared" si="6"/>
        <v>782</v>
      </c>
      <c r="H112" t="str">
        <f t="shared" si="7"/>
        <v>Truskawkowo-Porzeczkowa</v>
      </c>
      <c r="I112">
        <f>IF(E112=MIN($E112:$G112), E112, E112-MEDIAN($E112:G112))</f>
        <v>307</v>
      </c>
      <c r="J112">
        <f>IF(F112=MIN($E112:$G112), F112, F112-MEDIAN($E112:G112))</f>
        <v>0</v>
      </c>
      <c r="K112">
        <f>IF(G112=MIN($E112:$G112), G112, G112-MEDIAN($E112:G112))</f>
        <v>139</v>
      </c>
    </row>
    <row r="113" spans="1:11" x14ac:dyDescent="0.25">
      <c r="A113" s="1">
        <v>44063</v>
      </c>
      <c r="B113">
        <v>314</v>
      </c>
      <c r="C113">
        <v>340</v>
      </c>
      <c r="D113">
        <v>345</v>
      </c>
      <c r="E113">
        <f t="shared" si="4"/>
        <v>621</v>
      </c>
      <c r="F113">
        <f t="shared" si="5"/>
        <v>340</v>
      </c>
      <c r="G113">
        <f t="shared" si="6"/>
        <v>484</v>
      </c>
      <c r="H113" t="str">
        <f t="shared" si="7"/>
        <v>Malinowo-Porzeczkowa</v>
      </c>
      <c r="I113">
        <f>IF(E113=MIN($E113:$G113), E113, E113-MEDIAN($E113:G113))</f>
        <v>137</v>
      </c>
      <c r="J113">
        <f>IF(F113=MIN($E113:$G113), F113, F113-MEDIAN($E113:G113))</f>
        <v>340</v>
      </c>
      <c r="K113">
        <f>IF(G113=MIN($E113:$G113), G113, G113-MEDIAN($E113:G113))</f>
        <v>0</v>
      </c>
    </row>
    <row r="114" spans="1:11" x14ac:dyDescent="0.25">
      <c r="A114" s="1">
        <v>44064</v>
      </c>
      <c r="B114">
        <v>379</v>
      </c>
      <c r="C114">
        <v>288</v>
      </c>
      <c r="D114">
        <v>353</v>
      </c>
      <c r="E114">
        <f t="shared" si="4"/>
        <v>516</v>
      </c>
      <c r="F114">
        <f t="shared" si="5"/>
        <v>628</v>
      </c>
      <c r="G114">
        <f t="shared" si="6"/>
        <v>353</v>
      </c>
      <c r="H114" t="str">
        <f t="shared" si="7"/>
        <v>Malinowo-Truskawkowa</v>
      </c>
      <c r="I114">
        <f>IF(E114=MIN($E114:$G114), E114, E114-MEDIAN($E114:G114))</f>
        <v>0</v>
      </c>
      <c r="J114">
        <f>IF(F114=MIN($E114:$G114), F114, F114-MEDIAN($E114:G114))</f>
        <v>112</v>
      </c>
      <c r="K114">
        <f>IF(G114=MIN($E114:$G114), G114, G114-MEDIAN($E114:G114))</f>
        <v>353</v>
      </c>
    </row>
    <row r="115" spans="1:11" x14ac:dyDescent="0.25">
      <c r="A115" s="1">
        <v>44065</v>
      </c>
      <c r="B115">
        <v>405</v>
      </c>
      <c r="C115">
        <v>454</v>
      </c>
      <c r="D115">
        <v>342</v>
      </c>
      <c r="E115">
        <f t="shared" si="4"/>
        <v>405</v>
      </c>
      <c r="F115">
        <f t="shared" si="5"/>
        <v>566</v>
      </c>
      <c r="G115">
        <f t="shared" si="6"/>
        <v>695</v>
      </c>
      <c r="H115" t="str">
        <f t="shared" si="7"/>
        <v>Truskawkowo-Porzeczkowa</v>
      </c>
      <c r="I115">
        <f>IF(E115=MIN($E115:$G115), E115, E115-MEDIAN($E115:G115))</f>
        <v>405</v>
      </c>
      <c r="J115">
        <f>IF(F115=MIN($E115:$G115), F115, F115-MEDIAN($E115:G115))</f>
        <v>0</v>
      </c>
      <c r="K115">
        <f>IF(G115=MIN($E115:$G115), G115, G115-MEDIAN($E115:G115))</f>
        <v>129</v>
      </c>
    </row>
    <row r="116" spans="1:11" x14ac:dyDescent="0.25">
      <c r="A116" s="1">
        <v>44066</v>
      </c>
      <c r="B116">
        <v>407</v>
      </c>
      <c r="C116">
        <v>300</v>
      </c>
      <c r="D116">
        <v>365</v>
      </c>
      <c r="E116">
        <f t="shared" si="4"/>
        <v>812</v>
      </c>
      <c r="F116">
        <f t="shared" si="5"/>
        <v>300</v>
      </c>
      <c r="G116">
        <f t="shared" si="6"/>
        <v>494</v>
      </c>
      <c r="H116" t="str">
        <f t="shared" si="7"/>
        <v>Malinowo-Porzeczkowa</v>
      </c>
      <c r="I116">
        <f>IF(E116=MIN($E116:$G116), E116, E116-MEDIAN($E116:G116))</f>
        <v>318</v>
      </c>
      <c r="J116">
        <f>IF(F116=MIN($E116:$G116), F116, F116-MEDIAN($E116:G116))</f>
        <v>300</v>
      </c>
      <c r="K116">
        <f>IF(G116=MIN($E116:$G116), G116, G116-MEDIAN($E116:G116))</f>
        <v>0</v>
      </c>
    </row>
    <row r="117" spans="1:11" x14ac:dyDescent="0.25">
      <c r="A117" s="1">
        <v>44067</v>
      </c>
      <c r="B117">
        <v>432</v>
      </c>
      <c r="C117">
        <v>423</v>
      </c>
      <c r="D117">
        <v>221</v>
      </c>
      <c r="E117">
        <f t="shared" si="4"/>
        <v>750</v>
      </c>
      <c r="F117">
        <f t="shared" si="5"/>
        <v>723</v>
      </c>
      <c r="G117">
        <f t="shared" si="6"/>
        <v>221</v>
      </c>
      <c r="H117" t="str">
        <f t="shared" si="7"/>
        <v>Malinowo-Truskawkowa</v>
      </c>
      <c r="I117">
        <f>IF(E117=MIN($E117:$G117), E117, E117-MEDIAN($E117:G117))</f>
        <v>27</v>
      </c>
      <c r="J117">
        <f>IF(F117=MIN($E117:$G117), F117, F117-MEDIAN($E117:G117))</f>
        <v>0</v>
      </c>
      <c r="K117">
        <f>IF(G117=MIN($E117:$G117), G117, G117-MEDIAN($E117:G117))</f>
        <v>221</v>
      </c>
    </row>
    <row r="118" spans="1:11" x14ac:dyDescent="0.25">
      <c r="A118" s="1">
        <v>44068</v>
      </c>
      <c r="B118">
        <v>405</v>
      </c>
      <c r="C118">
        <v>449</v>
      </c>
      <c r="D118">
        <v>231</v>
      </c>
      <c r="E118">
        <f t="shared" si="4"/>
        <v>432</v>
      </c>
      <c r="F118">
        <f t="shared" si="5"/>
        <v>449</v>
      </c>
      <c r="G118">
        <f t="shared" si="6"/>
        <v>452</v>
      </c>
      <c r="H118" t="str">
        <f t="shared" si="7"/>
        <v>Truskawkowo-Porzeczkowa</v>
      </c>
      <c r="I118">
        <f>IF(E118=MIN($E118:$G118), E118, E118-MEDIAN($E118:G118))</f>
        <v>432</v>
      </c>
      <c r="J118">
        <f>IF(F118=MIN($E118:$G118), F118, F118-MEDIAN($E118:G118))</f>
        <v>0</v>
      </c>
      <c r="K118">
        <f>IF(G118=MIN($E118:$G118), G118, G118-MEDIAN($E118:G118))</f>
        <v>3</v>
      </c>
    </row>
    <row r="119" spans="1:11" x14ac:dyDescent="0.25">
      <c r="A119" s="1">
        <v>44069</v>
      </c>
      <c r="B119">
        <v>162</v>
      </c>
      <c r="C119">
        <v>294</v>
      </c>
      <c r="D119">
        <v>255</v>
      </c>
      <c r="E119">
        <f t="shared" si="4"/>
        <v>594</v>
      </c>
      <c r="F119">
        <f t="shared" si="5"/>
        <v>294</v>
      </c>
      <c r="G119">
        <f t="shared" si="6"/>
        <v>258</v>
      </c>
      <c r="H119" t="str">
        <f t="shared" si="7"/>
        <v>Malinowo-Truskawkowa</v>
      </c>
      <c r="I119">
        <f>IF(E119=MIN($E119:$G119), E119, E119-MEDIAN($E119:G119))</f>
        <v>300</v>
      </c>
      <c r="J119">
        <f>IF(F119=MIN($E119:$G119), F119, F119-MEDIAN($E119:G119))</f>
        <v>0</v>
      </c>
      <c r="K119">
        <f>IF(G119=MIN($E119:$G119), G119, G119-MEDIAN($E119:G119))</f>
        <v>258</v>
      </c>
    </row>
    <row r="120" spans="1:11" x14ac:dyDescent="0.25">
      <c r="A120" s="1">
        <v>44070</v>
      </c>
      <c r="B120">
        <v>297</v>
      </c>
      <c r="C120">
        <v>341</v>
      </c>
      <c r="D120">
        <v>223</v>
      </c>
      <c r="E120">
        <f t="shared" si="4"/>
        <v>597</v>
      </c>
      <c r="F120">
        <f t="shared" si="5"/>
        <v>341</v>
      </c>
      <c r="G120">
        <f t="shared" si="6"/>
        <v>481</v>
      </c>
      <c r="H120" t="str">
        <f t="shared" si="7"/>
        <v>Malinowo-Porzeczkowa</v>
      </c>
      <c r="I120">
        <f>IF(E120=MIN($E120:$G120), E120, E120-MEDIAN($E120:G120))</f>
        <v>116</v>
      </c>
      <c r="J120">
        <f>IF(F120=MIN($E120:$G120), F120, F120-MEDIAN($E120:G120))</f>
        <v>341</v>
      </c>
      <c r="K120">
        <f>IF(G120=MIN($E120:$G120), G120, G120-MEDIAN($E120:G120))</f>
        <v>0</v>
      </c>
    </row>
    <row r="121" spans="1:11" x14ac:dyDescent="0.25">
      <c r="A121" s="1">
        <v>44071</v>
      </c>
      <c r="B121">
        <v>226</v>
      </c>
      <c r="C121">
        <v>329</v>
      </c>
      <c r="D121">
        <v>261</v>
      </c>
      <c r="E121">
        <f t="shared" si="4"/>
        <v>342</v>
      </c>
      <c r="F121">
        <f t="shared" si="5"/>
        <v>670</v>
      </c>
      <c r="G121">
        <f t="shared" si="6"/>
        <v>261</v>
      </c>
      <c r="H121" t="str">
        <f t="shared" si="7"/>
        <v>Malinowo-Truskawkowa</v>
      </c>
      <c r="I121">
        <f>IF(E121=MIN($E121:$G121), E121, E121-MEDIAN($E121:G121))</f>
        <v>0</v>
      </c>
      <c r="J121">
        <f>IF(F121=MIN($E121:$G121), F121, F121-MEDIAN($E121:G121))</f>
        <v>328</v>
      </c>
      <c r="K121">
        <f>IF(G121=MIN($E121:$G121), G121, G121-MEDIAN($E121:G121))</f>
        <v>261</v>
      </c>
    </row>
    <row r="122" spans="1:11" x14ac:dyDescent="0.25">
      <c r="A122" s="1">
        <v>44072</v>
      </c>
      <c r="B122">
        <v>226</v>
      </c>
      <c r="C122">
        <v>256</v>
      </c>
      <c r="D122">
        <v>239</v>
      </c>
      <c r="E122">
        <f t="shared" si="4"/>
        <v>226</v>
      </c>
      <c r="F122">
        <f t="shared" si="5"/>
        <v>584</v>
      </c>
      <c r="G122">
        <f t="shared" si="6"/>
        <v>500</v>
      </c>
      <c r="H122" t="str">
        <f t="shared" si="7"/>
        <v>Truskawkowo-Porzeczkowa</v>
      </c>
      <c r="I122">
        <f>IF(E122=MIN($E122:$G122), E122, E122-MEDIAN($E122:G122))</f>
        <v>226</v>
      </c>
      <c r="J122">
        <f>IF(F122=MIN($E122:$G122), F122, F122-MEDIAN($E122:G122))</f>
        <v>84</v>
      </c>
      <c r="K122">
        <f>IF(G122=MIN($E122:$G122), G122, G122-MEDIAN($E122:G122))</f>
        <v>0</v>
      </c>
    </row>
    <row r="123" spans="1:11" x14ac:dyDescent="0.25">
      <c r="A123" s="1">
        <v>44073</v>
      </c>
      <c r="B123">
        <v>287</v>
      </c>
      <c r="C123">
        <v>217</v>
      </c>
      <c r="D123">
        <v>262</v>
      </c>
      <c r="E123">
        <f t="shared" si="4"/>
        <v>513</v>
      </c>
      <c r="F123">
        <f t="shared" si="5"/>
        <v>301</v>
      </c>
      <c r="G123">
        <f t="shared" si="6"/>
        <v>262</v>
      </c>
      <c r="H123" t="str">
        <f t="shared" si="7"/>
        <v>Malinowo-Truskawkowa</v>
      </c>
      <c r="I123">
        <f>IF(E123=MIN($E123:$G123), E123, E123-MEDIAN($E123:G123))</f>
        <v>212</v>
      </c>
      <c r="J123">
        <f>IF(F123=MIN($E123:$G123), F123, F123-MEDIAN($E123:G123))</f>
        <v>0</v>
      </c>
      <c r="K123">
        <f>IF(G123=MIN($E123:$G123), G123, G123-MEDIAN($E123:G123))</f>
        <v>262</v>
      </c>
    </row>
    <row r="124" spans="1:11" x14ac:dyDescent="0.25">
      <c r="A124" s="1">
        <v>44074</v>
      </c>
      <c r="B124">
        <v>351</v>
      </c>
      <c r="C124">
        <v>266</v>
      </c>
      <c r="D124">
        <v>226</v>
      </c>
      <c r="E124">
        <f t="shared" si="4"/>
        <v>563</v>
      </c>
      <c r="F124">
        <f t="shared" si="5"/>
        <v>266</v>
      </c>
      <c r="G124">
        <f t="shared" si="6"/>
        <v>488</v>
      </c>
      <c r="H124" t="str">
        <f t="shared" si="7"/>
        <v>Malinowo-Porzeczkowa</v>
      </c>
      <c r="I124">
        <f>IF(E124=MIN($E124:$G124), E124, E124-MEDIAN($E124:G124))</f>
        <v>75</v>
      </c>
      <c r="J124">
        <f>IF(F124=MIN($E124:$G124), F124, F124-MEDIAN($E124:G124))</f>
        <v>266</v>
      </c>
      <c r="K124">
        <f>IF(G124=MIN($E124:$G124), G124, G124-MEDIAN($E124:G124))</f>
        <v>0</v>
      </c>
    </row>
    <row r="125" spans="1:11" x14ac:dyDescent="0.25">
      <c r="A125" s="1">
        <v>44075</v>
      </c>
      <c r="B125">
        <v>214</v>
      </c>
      <c r="C125">
        <v>260</v>
      </c>
      <c r="D125">
        <v>241</v>
      </c>
      <c r="E125">
        <f t="shared" si="4"/>
        <v>289</v>
      </c>
      <c r="F125">
        <f t="shared" si="5"/>
        <v>526</v>
      </c>
      <c r="G125">
        <f t="shared" si="6"/>
        <v>241</v>
      </c>
      <c r="H125" t="str">
        <f t="shared" si="7"/>
        <v>Malinowo-Truskawkowa</v>
      </c>
      <c r="I125">
        <f>IF(E125=MIN($E125:$G125), E125, E125-MEDIAN($E125:G125))</f>
        <v>0</v>
      </c>
      <c r="J125">
        <f>IF(F125=MIN($E125:$G125), F125, F125-MEDIAN($E125:G125))</f>
        <v>237</v>
      </c>
      <c r="K125">
        <f>IF(G125=MIN($E125:$G125), G125, G125-MEDIAN($E125:G125))</f>
        <v>241</v>
      </c>
    </row>
    <row r="126" spans="1:11" x14ac:dyDescent="0.25">
      <c r="A126" s="1">
        <v>44076</v>
      </c>
      <c r="B126">
        <v>282</v>
      </c>
      <c r="C126">
        <v>227</v>
      </c>
      <c r="D126">
        <v>258</v>
      </c>
      <c r="E126">
        <f t="shared" si="4"/>
        <v>282</v>
      </c>
      <c r="F126">
        <f t="shared" si="5"/>
        <v>464</v>
      </c>
      <c r="G126">
        <f t="shared" si="6"/>
        <v>499</v>
      </c>
      <c r="H126" t="str">
        <f t="shared" si="7"/>
        <v>Truskawkowo-Porzeczkowa</v>
      </c>
      <c r="I126">
        <f>IF(E126=MIN($E126:$G126), E126, E126-MEDIAN($E126:G126))</f>
        <v>282</v>
      </c>
      <c r="J126">
        <f>IF(F126=MIN($E126:$G126), F126, F126-MEDIAN($E126:G126))</f>
        <v>0</v>
      </c>
      <c r="K126">
        <f>IF(G126=MIN($E126:$G126), G126, G126-MEDIAN($E126:G126))</f>
        <v>35</v>
      </c>
    </row>
    <row r="127" spans="1:11" x14ac:dyDescent="0.25">
      <c r="A127" s="1">
        <v>44077</v>
      </c>
      <c r="B127">
        <v>257</v>
      </c>
      <c r="C127">
        <v>251</v>
      </c>
      <c r="D127">
        <v>252</v>
      </c>
      <c r="E127">
        <f t="shared" si="4"/>
        <v>539</v>
      </c>
      <c r="F127">
        <f t="shared" si="5"/>
        <v>251</v>
      </c>
      <c r="G127">
        <f t="shared" si="6"/>
        <v>287</v>
      </c>
      <c r="H127" t="str">
        <f t="shared" si="7"/>
        <v>Malinowo-Porzeczkowa</v>
      </c>
      <c r="I127">
        <f>IF(E127=MIN($E127:$G127), E127, E127-MEDIAN($E127:G127))</f>
        <v>252</v>
      </c>
      <c r="J127">
        <f>IF(F127=MIN($E127:$G127), F127, F127-MEDIAN($E127:G127))</f>
        <v>251</v>
      </c>
      <c r="K127">
        <f>IF(G127=MIN($E127:$G127), G127, G127-MEDIAN($E127:G127))</f>
        <v>0</v>
      </c>
    </row>
    <row r="128" spans="1:11" x14ac:dyDescent="0.25">
      <c r="A128" s="1">
        <v>44078</v>
      </c>
      <c r="B128">
        <v>172</v>
      </c>
      <c r="C128">
        <v>171</v>
      </c>
      <c r="D128">
        <v>268</v>
      </c>
      <c r="E128">
        <f t="shared" si="4"/>
        <v>424</v>
      </c>
      <c r="F128">
        <f t="shared" si="5"/>
        <v>422</v>
      </c>
      <c r="G128">
        <f t="shared" si="6"/>
        <v>268</v>
      </c>
      <c r="H128" t="str">
        <f t="shared" si="7"/>
        <v>Malinowo-Truskawkowa</v>
      </c>
      <c r="I128">
        <f>IF(E128=MIN($E128:$G128), E128, E128-MEDIAN($E128:G128))</f>
        <v>2</v>
      </c>
      <c r="J128">
        <f>IF(F128=MIN($E128:$G128), F128, F128-MEDIAN($E128:G128))</f>
        <v>0</v>
      </c>
      <c r="K128">
        <f>IF(G128=MIN($E128:$G128), G128, G128-MEDIAN($E128:G128))</f>
        <v>268</v>
      </c>
    </row>
    <row r="129" spans="1:11" x14ac:dyDescent="0.25">
      <c r="A129" s="1">
        <v>44079</v>
      </c>
      <c r="B129">
        <v>197</v>
      </c>
      <c r="C129">
        <v>326</v>
      </c>
      <c r="D129">
        <v>224</v>
      </c>
      <c r="E129">
        <f t="shared" si="4"/>
        <v>199</v>
      </c>
      <c r="F129">
        <f t="shared" si="5"/>
        <v>326</v>
      </c>
      <c r="G129">
        <f t="shared" si="6"/>
        <v>492</v>
      </c>
      <c r="H129" t="str">
        <f t="shared" si="7"/>
        <v>Truskawkowo-Porzeczkowa</v>
      </c>
      <c r="I129">
        <f>IF(E129=MIN($E129:$G129), E129, E129-MEDIAN($E129:G129))</f>
        <v>199</v>
      </c>
      <c r="J129">
        <f>IF(F129=MIN($E129:$G129), F129, F129-MEDIAN($E129:G129))</f>
        <v>0</v>
      </c>
      <c r="K129">
        <f>IF(G129=MIN($E129:$G129), G129, G129-MEDIAN($E129:G129))</f>
        <v>166</v>
      </c>
    </row>
    <row r="130" spans="1:11" x14ac:dyDescent="0.25">
      <c r="A130" s="1">
        <v>44080</v>
      </c>
      <c r="B130">
        <v>292</v>
      </c>
      <c r="C130">
        <v>329</v>
      </c>
      <c r="D130">
        <v>255</v>
      </c>
      <c r="E130">
        <f t="shared" si="4"/>
        <v>491</v>
      </c>
      <c r="F130">
        <f t="shared" si="5"/>
        <v>329</v>
      </c>
      <c r="G130">
        <f t="shared" si="6"/>
        <v>421</v>
      </c>
      <c r="H130" t="str">
        <f t="shared" si="7"/>
        <v>Malinowo-Porzeczkowa</v>
      </c>
      <c r="I130">
        <f>IF(E130=MIN($E130:$G130), E130, E130-MEDIAN($E130:G130))</f>
        <v>70</v>
      </c>
      <c r="J130">
        <f>IF(F130=MIN($E130:$G130), F130, F130-MEDIAN($E130:G130))</f>
        <v>329</v>
      </c>
      <c r="K130">
        <f>IF(G130=MIN($E130:$G130), G130, G130-MEDIAN($E130:G130))</f>
        <v>0</v>
      </c>
    </row>
    <row r="131" spans="1:11" x14ac:dyDescent="0.25">
      <c r="A131" s="1">
        <v>44081</v>
      </c>
      <c r="B131">
        <v>172</v>
      </c>
      <c r="C131">
        <v>216</v>
      </c>
      <c r="D131">
        <v>199</v>
      </c>
      <c r="E131">
        <f t="shared" si="4"/>
        <v>242</v>
      </c>
      <c r="F131">
        <f t="shared" si="5"/>
        <v>545</v>
      </c>
      <c r="G131">
        <f t="shared" si="6"/>
        <v>199</v>
      </c>
      <c r="H131" t="str">
        <f t="shared" si="7"/>
        <v>Malinowo-Truskawkowa</v>
      </c>
      <c r="I131">
        <f>IF(E131=MIN($E131:$G131), E131, E131-MEDIAN($E131:G131))</f>
        <v>0</v>
      </c>
      <c r="J131">
        <f>IF(F131=MIN($E131:$G131), F131, F131-MEDIAN($E131:G131))</f>
        <v>303</v>
      </c>
      <c r="K131">
        <f>IF(G131=MIN($E131:$G131), G131, G131-MEDIAN($E131:G131))</f>
        <v>199</v>
      </c>
    </row>
    <row r="132" spans="1:11" x14ac:dyDescent="0.25">
      <c r="A132" s="1">
        <v>44082</v>
      </c>
      <c r="B132">
        <v>258</v>
      </c>
      <c r="C132">
        <v>291</v>
      </c>
      <c r="D132">
        <v>220</v>
      </c>
      <c r="E132">
        <f t="shared" ref="E132:E154" si="8">B132+I131</f>
        <v>258</v>
      </c>
      <c r="F132">
        <f t="shared" ref="F132:F154" si="9">C132+J131</f>
        <v>594</v>
      </c>
      <c r="G132">
        <f t="shared" ref="G132:G154" si="10">D132+K131</f>
        <v>419</v>
      </c>
      <c r="H132" t="str">
        <f t="shared" ref="H132:H154" si="11">IF(E132=MIN(E132:G132), "Truskawkowo-Porzeczkowa", IF(F132=MIN(E132:G132), "Malinowo-Porzeczkowa", "Malinowo-Truskawkowa"))</f>
        <v>Truskawkowo-Porzeczkowa</v>
      </c>
      <c r="I132">
        <f>IF(E132=MIN($E132:$G132), E132, E132-MEDIAN($E132:G132))</f>
        <v>258</v>
      </c>
      <c r="J132">
        <f>IF(F132=MIN($E132:$G132), F132, F132-MEDIAN($E132:G132))</f>
        <v>175</v>
      </c>
      <c r="K132">
        <f>IF(G132=MIN($E132:$G132), G132, G132-MEDIAN($E132:G132))</f>
        <v>0</v>
      </c>
    </row>
    <row r="133" spans="1:11" x14ac:dyDescent="0.25">
      <c r="A133" s="1">
        <v>44083</v>
      </c>
      <c r="B133">
        <v>276</v>
      </c>
      <c r="C133">
        <v>347</v>
      </c>
      <c r="D133">
        <v>197</v>
      </c>
      <c r="E133">
        <f t="shared" si="8"/>
        <v>534</v>
      </c>
      <c r="F133">
        <f t="shared" si="9"/>
        <v>522</v>
      </c>
      <c r="G133">
        <f t="shared" si="10"/>
        <v>197</v>
      </c>
      <c r="H133" t="str">
        <f t="shared" si="11"/>
        <v>Malinowo-Truskawkowa</v>
      </c>
      <c r="I133">
        <f>IF(E133=MIN($E133:$G133), E133, E133-MEDIAN($E133:G133))</f>
        <v>12</v>
      </c>
      <c r="J133">
        <f>IF(F133=MIN($E133:$G133), F133, F133-MEDIAN($E133:G133))</f>
        <v>0</v>
      </c>
      <c r="K133">
        <f>IF(G133=MIN($E133:$G133), G133, G133-MEDIAN($E133:G133))</f>
        <v>197</v>
      </c>
    </row>
    <row r="134" spans="1:11" x14ac:dyDescent="0.25">
      <c r="A134" s="1">
        <v>44084</v>
      </c>
      <c r="B134">
        <v>210</v>
      </c>
      <c r="C134">
        <v>333</v>
      </c>
      <c r="D134">
        <v>218</v>
      </c>
      <c r="E134">
        <f t="shared" si="8"/>
        <v>222</v>
      </c>
      <c r="F134">
        <f t="shared" si="9"/>
        <v>333</v>
      </c>
      <c r="G134">
        <f t="shared" si="10"/>
        <v>415</v>
      </c>
      <c r="H134" t="str">
        <f t="shared" si="11"/>
        <v>Truskawkowo-Porzeczkowa</v>
      </c>
      <c r="I134">
        <f>IF(E134=MIN($E134:$G134), E134, E134-MEDIAN($E134:G134))</f>
        <v>222</v>
      </c>
      <c r="J134">
        <f>IF(F134=MIN($E134:$G134), F134, F134-MEDIAN($E134:G134))</f>
        <v>0</v>
      </c>
      <c r="K134">
        <f>IF(G134=MIN($E134:$G134), G134, G134-MEDIAN($E134:G134))</f>
        <v>82</v>
      </c>
    </row>
    <row r="135" spans="1:11" x14ac:dyDescent="0.25">
      <c r="A135" s="1">
        <v>44085</v>
      </c>
      <c r="B135">
        <v>168</v>
      </c>
      <c r="C135">
        <v>211</v>
      </c>
      <c r="D135">
        <v>180</v>
      </c>
      <c r="E135">
        <f t="shared" si="8"/>
        <v>390</v>
      </c>
      <c r="F135">
        <f t="shared" si="9"/>
        <v>211</v>
      </c>
      <c r="G135">
        <f t="shared" si="10"/>
        <v>262</v>
      </c>
      <c r="H135" t="str">
        <f t="shared" si="11"/>
        <v>Malinowo-Porzeczkowa</v>
      </c>
      <c r="I135">
        <f>IF(E135=MIN($E135:$G135), E135, E135-MEDIAN($E135:G135))</f>
        <v>128</v>
      </c>
      <c r="J135">
        <f>IF(F135=MIN($E135:$G135), F135, F135-MEDIAN($E135:G135))</f>
        <v>211</v>
      </c>
      <c r="K135">
        <f>IF(G135=MIN($E135:$G135), G135, G135-MEDIAN($E135:G135))</f>
        <v>0</v>
      </c>
    </row>
    <row r="136" spans="1:11" x14ac:dyDescent="0.25">
      <c r="A136" s="1">
        <v>44086</v>
      </c>
      <c r="B136">
        <v>196</v>
      </c>
      <c r="C136">
        <v>348</v>
      </c>
      <c r="D136">
        <v>225</v>
      </c>
      <c r="E136">
        <f t="shared" si="8"/>
        <v>324</v>
      </c>
      <c r="F136">
        <f t="shared" si="9"/>
        <v>559</v>
      </c>
      <c r="G136">
        <f t="shared" si="10"/>
        <v>225</v>
      </c>
      <c r="H136" t="str">
        <f t="shared" si="11"/>
        <v>Malinowo-Truskawkowa</v>
      </c>
      <c r="I136">
        <f>IF(E136=MIN($E136:$G136), E136, E136-MEDIAN($E136:G136))</f>
        <v>0</v>
      </c>
      <c r="J136">
        <f>IF(F136=MIN($E136:$G136), F136, F136-MEDIAN($E136:G136))</f>
        <v>235</v>
      </c>
      <c r="K136">
        <f>IF(G136=MIN($E136:$G136), G136, G136-MEDIAN($E136:G136))</f>
        <v>225</v>
      </c>
    </row>
    <row r="137" spans="1:11" x14ac:dyDescent="0.25">
      <c r="A137" s="1">
        <v>44087</v>
      </c>
      <c r="B137">
        <v>284</v>
      </c>
      <c r="C137">
        <v>226</v>
      </c>
      <c r="D137">
        <v>197</v>
      </c>
      <c r="E137">
        <f t="shared" si="8"/>
        <v>284</v>
      </c>
      <c r="F137">
        <f t="shared" si="9"/>
        <v>461</v>
      </c>
      <c r="G137">
        <f t="shared" si="10"/>
        <v>422</v>
      </c>
      <c r="H137" t="str">
        <f t="shared" si="11"/>
        <v>Truskawkowo-Porzeczkowa</v>
      </c>
      <c r="I137">
        <f>IF(E137=MIN($E137:$G137), E137, E137-MEDIAN($E137:G137))</f>
        <v>284</v>
      </c>
      <c r="J137">
        <f>IF(F137=MIN($E137:$G137), F137, F137-MEDIAN($E137:G137))</f>
        <v>39</v>
      </c>
      <c r="K137">
        <f>IF(G137=MIN($E137:$G137), G137, G137-MEDIAN($E137:G137))</f>
        <v>0</v>
      </c>
    </row>
    <row r="138" spans="1:11" x14ac:dyDescent="0.25">
      <c r="A138" s="1">
        <v>44088</v>
      </c>
      <c r="B138">
        <v>162</v>
      </c>
      <c r="C138">
        <v>345</v>
      </c>
      <c r="D138">
        <v>194</v>
      </c>
      <c r="E138">
        <f t="shared" si="8"/>
        <v>446</v>
      </c>
      <c r="F138">
        <f t="shared" si="9"/>
        <v>384</v>
      </c>
      <c r="G138">
        <f t="shared" si="10"/>
        <v>194</v>
      </c>
      <c r="H138" t="str">
        <f t="shared" si="11"/>
        <v>Malinowo-Truskawkowa</v>
      </c>
      <c r="I138">
        <f>IF(E138=MIN($E138:$G138), E138, E138-MEDIAN($E138:G138))</f>
        <v>62</v>
      </c>
      <c r="J138">
        <f>IF(F138=MIN($E138:$G138), F138, F138-MEDIAN($E138:G138))</f>
        <v>0</v>
      </c>
      <c r="K138">
        <f>IF(G138=MIN($E138:$G138), G138, G138-MEDIAN($E138:G138))</f>
        <v>194</v>
      </c>
    </row>
    <row r="139" spans="1:11" x14ac:dyDescent="0.25">
      <c r="A139" s="1">
        <v>44089</v>
      </c>
      <c r="B139">
        <v>212</v>
      </c>
      <c r="C139">
        <v>184</v>
      </c>
      <c r="D139">
        <v>183</v>
      </c>
      <c r="E139">
        <f t="shared" si="8"/>
        <v>274</v>
      </c>
      <c r="F139">
        <f t="shared" si="9"/>
        <v>184</v>
      </c>
      <c r="G139">
        <f t="shared" si="10"/>
        <v>377</v>
      </c>
      <c r="H139" t="str">
        <f t="shared" si="11"/>
        <v>Malinowo-Porzeczkowa</v>
      </c>
      <c r="I139">
        <f>IF(E139=MIN($E139:$G139), E139, E139-MEDIAN($E139:G139))</f>
        <v>0</v>
      </c>
      <c r="J139">
        <f>IF(F139=MIN($E139:$G139), F139, F139-MEDIAN($E139:G139))</f>
        <v>184</v>
      </c>
      <c r="K139">
        <f>IF(G139=MIN($E139:$G139), G139, G139-MEDIAN($E139:G139))</f>
        <v>103</v>
      </c>
    </row>
    <row r="140" spans="1:11" x14ac:dyDescent="0.25">
      <c r="A140" s="1">
        <v>44090</v>
      </c>
      <c r="B140">
        <v>165</v>
      </c>
      <c r="C140">
        <v>232</v>
      </c>
      <c r="D140">
        <v>202</v>
      </c>
      <c r="E140">
        <f t="shared" si="8"/>
        <v>165</v>
      </c>
      <c r="F140">
        <f t="shared" si="9"/>
        <v>416</v>
      </c>
      <c r="G140">
        <f t="shared" si="10"/>
        <v>305</v>
      </c>
      <c r="H140" t="str">
        <f t="shared" si="11"/>
        <v>Truskawkowo-Porzeczkowa</v>
      </c>
      <c r="I140">
        <f>IF(E140=MIN($E140:$G140), E140, E140-MEDIAN($E140:G140))</f>
        <v>165</v>
      </c>
      <c r="J140">
        <f>IF(F140=MIN($E140:$G140), F140, F140-MEDIAN($E140:G140))</f>
        <v>111</v>
      </c>
      <c r="K140">
        <f>IF(G140=MIN($E140:$G140), G140, G140-MEDIAN($E140:G140))</f>
        <v>0</v>
      </c>
    </row>
    <row r="141" spans="1:11" x14ac:dyDescent="0.25">
      <c r="A141" s="1">
        <v>44091</v>
      </c>
      <c r="B141">
        <v>163</v>
      </c>
      <c r="C141">
        <v>314</v>
      </c>
      <c r="D141">
        <v>213</v>
      </c>
      <c r="E141">
        <f t="shared" si="8"/>
        <v>328</v>
      </c>
      <c r="F141">
        <f t="shared" si="9"/>
        <v>425</v>
      </c>
      <c r="G141">
        <f t="shared" si="10"/>
        <v>213</v>
      </c>
      <c r="H141" t="str">
        <f t="shared" si="11"/>
        <v>Malinowo-Truskawkowa</v>
      </c>
      <c r="I141">
        <f>IF(E141=MIN($E141:$G141), E141, E141-MEDIAN($E141:G141))</f>
        <v>0</v>
      </c>
      <c r="J141">
        <f>IF(F141=MIN($E141:$G141), F141, F141-MEDIAN($E141:G141))</f>
        <v>97</v>
      </c>
      <c r="K141">
        <f>IF(G141=MIN($E141:$G141), G141, G141-MEDIAN($E141:G141))</f>
        <v>213</v>
      </c>
    </row>
    <row r="142" spans="1:11" x14ac:dyDescent="0.25">
      <c r="A142" s="1">
        <v>44092</v>
      </c>
      <c r="B142">
        <v>200</v>
      </c>
      <c r="C142">
        <v>307</v>
      </c>
      <c r="D142">
        <v>206</v>
      </c>
      <c r="E142">
        <f t="shared" si="8"/>
        <v>200</v>
      </c>
      <c r="F142">
        <f t="shared" si="9"/>
        <v>404</v>
      </c>
      <c r="G142">
        <f t="shared" si="10"/>
        <v>419</v>
      </c>
      <c r="H142" t="str">
        <f t="shared" si="11"/>
        <v>Truskawkowo-Porzeczkowa</v>
      </c>
      <c r="I142">
        <f>IF(E142=MIN($E142:$G142), E142, E142-MEDIAN($E142:G142))</f>
        <v>200</v>
      </c>
      <c r="J142">
        <f>IF(F142=MIN($E142:$G142), F142, F142-MEDIAN($E142:G142))</f>
        <v>0</v>
      </c>
      <c r="K142">
        <f>IF(G142=MIN($E142:$G142), G142, G142-MEDIAN($E142:G142))</f>
        <v>15</v>
      </c>
    </row>
    <row r="143" spans="1:11" x14ac:dyDescent="0.25">
      <c r="A143" s="1">
        <v>44093</v>
      </c>
      <c r="B143">
        <v>201</v>
      </c>
      <c r="C143">
        <v>274</v>
      </c>
      <c r="D143">
        <v>210</v>
      </c>
      <c r="E143">
        <f t="shared" si="8"/>
        <v>401</v>
      </c>
      <c r="F143">
        <f t="shared" si="9"/>
        <v>274</v>
      </c>
      <c r="G143">
        <f t="shared" si="10"/>
        <v>225</v>
      </c>
      <c r="H143" t="str">
        <f t="shared" si="11"/>
        <v>Malinowo-Truskawkowa</v>
      </c>
      <c r="I143">
        <f>IF(E143=MIN($E143:$G143), E143, E143-MEDIAN($E143:G143))</f>
        <v>127</v>
      </c>
      <c r="J143">
        <f>IF(F143=MIN($E143:$G143), F143, F143-MEDIAN($E143:G143))</f>
        <v>0</v>
      </c>
      <c r="K143">
        <f>IF(G143=MIN($E143:$G143), G143, G143-MEDIAN($E143:G143))</f>
        <v>225</v>
      </c>
    </row>
    <row r="144" spans="1:11" x14ac:dyDescent="0.25">
      <c r="A144" s="1">
        <v>44094</v>
      </c>
      <c r="B144">
        <v>269</v>
      </c>
      <c r="C144">
        <v>278</v>
      </c>
      <c r="D144">
        <v>228</v>
      </c>
      <c r="E144">
        <f t="shared" si="8"/>
        <v>396</v>
      </c>
      <c r="F144">
        <f t="shared" si="9"/>
        <v>278</v>
      </c>
      <c r="G144">
        <f t="shared" si="10"/>
        <v>453</v>
      </c>
      <c r="H144" t="str">
        <f t="shared" si="11"/>
        <v>Malinowo-Porzeczkowa</v>
      </c>
      <c r="I144">
        <f>IF(E144=MIN($E144:$G144), E144, E144-MEDIAN($E144:G144))</f>
        <v>0</v>
      </c>
      <c r="J144">
        <f>IF(F144=MIN($E144:$G144), F144, F144-MEDIAN($E144:G144))</f>
        <v>278</v>
      </c>
      <c r="K144">
        <f>IF(G144=MIN($E144:$G144), G144, G144-MEDIAN($E144:G144))</f>
        <v>57</v>
      </c>
    </row>
    <row r="145" spans="1:11" x14ac:dyDescent="0.25">
      <c r="A145" s="1">
        <v>44095</v>
      </c>
      <c r="B145">
        <v>188</v>
      </c>
      <c r="C145">
        <v>195</v>
      </c>
      <c r="D145">
        <v>207</v>
      </c>
      <c r="E145">
        <f t="shared" si="8"/>
        <v>188</v>
      </c>
      <c r="F145">
        <f t="shared" si="9"/>
        <v>473</v>
      </c>
      <c r="G145">
        <f t="shared" si="10"/>
        <v>264</v>
      </c>
      <c r="H145" t="str">
        <f t="shared" si="11"/>
        <v>Truskawkowo-Porzeczkowa</v>
      </c>
      <c r="I145">
        <f>IF(E145=MIN($E145:$G145), E145, E145-MEDIAN($E145:G145))</f>
        <v>188</v>
      </c>
      <c r="J145">
        <f>IF(F145=MIN($E145:$G145), F145, F145-MEDIAN($E145:G145))</f>
        <v>209</v>
      </c>
      <c r="K145">
        <f>IF(G145=MIN($E145:$G145), G145, G145-MEDIAN($E145:G145))</f>
        <v>0</v>
      </c>
    </row>
    <row r="146" spans="1:11" x14ac:dyDescent="0.25">
      <c r="A146" s="1">
        <v>44096</v>
      </c>
      <c r="B146">
        <v>142</v>
      </c>
      <c r="C146">
        <v>249</v>
      </c>
      <c r="D146">
        <v>202</v>
      </c>
      <c r="E146">
        <f t="shared" si="8"/>
        <v>330</v>
      </c>
      <c r="F146">
        <f t="shared" si="9"/>
        <v>458</v>
      </c>
      <c r="G146">
        <f t="shared" si="10"/>
        <v>202</v>
      </c>
      <c r="H146" t="str">
        <f t="shared" si="11"/>
        <v>Malinowo-Truskawkowa</v>
      </c>
      <c r="I146">
        <f>IF(E146=MIN($E146:$G146), E146, E146-MEDIAN($E146:G146))</f>
        <v>0</v>
      </c>
      <c r="J146">
        <f>IF(F146=MIN($E146:$G146), F146, F146-MEDIAN($E146:G146))</f>
        <v>128</v>
      </c>
      <c r="K146">
        <f>IF(G146=MIN($E146:$G146), G146, G146-MEDIAN($E146:G146))</f>
        <v>202</v>
      </c>
    </row>
    <row r="147" spans="1:11" x14ac:dyDescent="0.25">
      <c r="A147" s="1">
        <v>44097</v>
      </c>
      <c r="B147">
        <v>232</v>
      </c>
      <c r="C147">
        <v>116</v>
      </c>
      <c r="D147">
        <v>195</v>
      </c>
      <c r="E147">
        <f t="shared" si="8"/>
        <v>232</v>
      </c>
      <c r="F147">
        <f t="shared" si="9"/>
        <v>244</v>
      </c>
      <c r="G147">
        <f t="shared" si="10"/>
        <v>397</v>
      </c>
      <c r="H147" t="str">
        <f t="shared" si="11"/>
        <v>Truskawkowo-Porzeczkowa</v>
      </c>
      <c r="I147">
        <f>IF(E147=MIN($E147:$G147), E147, E147-MEDIAN($E147:G147))</f>
        <v>232</v>
      </c>
      <c r="J147">
        <f>IF(F147=MIN($E147:$G147), F147, F147-MEDIAN($E147:G147))</f>
        <v>0</v>
      </c>
      <c r="K147">
        <f>IF(G147=MIN($E147:$G147), G147, G147-MEDIAN($E147:G147))</f>
        <v>153</v>
      </c>
    </row>
    <row r="148" spans="1:11" x14ac:dyDescent="0.25">
      <c r="A148" s="1">
        <v>44098</v>
      </c>
      <c r="B148">
        <v>296</v>
      </c>
      <c r="C148">
        <v>102</v>
      </c>
      <c r="D148">
        <v>192</v>
      </c>
      <c r="E148">
        <f t="shared" si="8"/>
        <v>528</v>
      </c>
      <c r="F148">
        <f t="shared" si="9"/>
        <v>102</v>
      </c>
      <c r="G148">
        <f t="shared" si="10"/>
        <v>345</v>
      </c>
      <c r="H148" t="str">
        <f t="shared" si="11"/>
        <v>Malinowo-Porzeczkowa</v>
      </c>
      <c r="I148">
        <f>IF(E148=MIN($E148:$G148), E148, E148-MEDIAN($E148:G148))</f>
        <v>183</v>
      </c>
      <c r="J148">
        <f>IF(F148=MIN($E148:$G148), F148, F148-MEDIAN($E148:G148))</f>
        <v>102</v>
      </c>
      <c r="K148">
        <f>IF(G148=MIN($E148:$G148), G148, G148-MEDIAN($E148:G148))</f>
        <v>0</v>
      </c>
    </row>
    <row r="149" spans="1:11" x14ac:dyDescent="0.25">
      <c r="A149" s="1">
        <v>44099</v>
      </c>
      <c r="B149">
        <v>161</v>
      </c>
      <c r="C149">
        <v>151</v>
      </c>
      <c r="D149">
        <v>216</v>
      </c>
      <c r="E149">
        <f t="shared" si="8"/>
        <v>344</v>
      </c>
      <c r="F149">
        <f t="shared" si="9"/>
        <v>253</v>
      </c>
      <c r="G149">
        <f t="shared" si="10"/>
        <v>216</v>
      </c>
      <c r="H149" t="str">
        <f t="shared" si="11"/>
        <v>Malinowo-Truskawkowa</v>
      </c>
      <c r="I149">
        <f>IF(E149=MIN($E149:$G149), E149, E149-MEDIAN($E149:G149))</f>
        <v>91</v>
      </c>
      <c r="J149">
        <f>IF(F149=MIN($E149:$G149), F149, F149-MEDIAN($E149:G149))</f>
        <v>0</v>
      </c>
      <c r="K149">
        <f>IF(G149=MIN($E149:$G149), G149, G149-MEDIAN($E149:G149))</f>
        <v>216</v>
      </c>
    </row>
    <row r="150" spans="1:11" x14ac:dyDescent="0.25">
      <c r="A150" s="1">
        <v>44100</v>
      </c>
      <c r="B150">
        <v>162</v>
      </c>
      <c r="C150">
        <v>261</v>
      </c>
      <c r="D150">
        <v>184</v>
      </c>
      <c r="E150">
        <f t="shared" si="8"/>
        <v>253</v>
      </c>
      <c r="F150">
        <f t="shared" si="9"/>
        <v>261</v>
      </c>
      <c r="G150">
        <f t="shared" si="10"/>
        <v>400</v>
      </c>
      <c r="H150" t="str">
        <f t="shared" si="11"/>
        <v>Truskawkowo-Porzeczkowa</v>
      </c>
      <c r="I150">
        <f>IF(E150=MIN($E150:$G150), E150, E150-MEDIAN($E150:G150))</f>
        <v>253</v>
      </c>
      <c r="J150">
        <f>IF(F150=MIN($E150:$G150), F150, F150-MEDIAN($E150:G150))</f>
        <v>0</v>
      </c>
      <c r="K150">
        <f>IF(G150=MIN($E150:$G150), G150, G150-MEDIAN($E150:G150))</f>
        <v>139</v>
      </c>
    </row>
    <row r="151" spans="1:11" x14ac:dyDescent="0.25">
      <c r="A151" s="1">
        <v>44101</v>
      </c>
      <c r="B151">
        <v>216</v>
      </c>
      <c r="C151">
        <v>147</v>
      </c>
      <c r="D151">
        <v>204</v>
      </c>
      <c r="E151">
        <f t="shared" si="8"/>
        <v>469</v>
      </c>
      <c r="F151">
        <f t="shared" si="9"/>
        <v>147</v>
      </c>
      <c r="G151">
        <f t="shared" si="10"/>
        <v>343</v>
      </c>
      <c r="H151" t="str">
        <f t="shared" si="11"/>
        <v>Malinowo-Porzeczkowa</v>
      </c>
      <c r="I151">
        <f>IF(E151=MIN($E151:$G151), E151, E151-MEDIAN($E151:G151))</f>
        <v>126</v>
      </c>
      <c r="J151">
        <f>IF(F151=MIN($E151:$G151), F151, F151-MEDIAN($E151:G151))</f>
        <v>147</v>
      </c>
      <c r="K151">
        <f>IF(G151=MIN($E151:$G151), G151, G151-MEDIAN($E151:G151))</f>
        <v>0</v>
      </c>
    </row>
    <row r="152" spans="1:11" x14ac:dyDescent="0.25">
      <c r="A152" s="1">
        <v>44102</v>
      </c>
      <c r="B152">
        <v>282</v>
      </c>
      <c r="C152">
        <v>297</v>
      </c>
      <c r="D152">
        <v>195</v>
      </c>
      <c r="E152">
        <f t="shared" si="8"/>
        <v>408</v>
      </c>
      <c r="F152">
        <f t="shared" si="9"/>
        <v>444</v>
      </c>
      <c r="G152">
        <f t="shared" si="10"/>
        <v>195</v>
      </c>
      <c r="H152" t="str">
        <f t="shared" si="11"/>
        <v>Malinowo-Truskawkowa</v>
      </c>
      <c r="I152">
        <f>IF(E152=MIN($E152:$G152), E152, E152-MEDIAN($E152:G152))</f>
        <v>0</v>
      </c>
      <c r="J152">
        <f>IF(F152=MIN($E152:$G152), F152, F152-MEDIAN($E152:G152))</f>
        <v>36</v>
      </c>
      <c r="K152">
        <f>IF(G152=MIN($E152:$G152), G152, G152-MEDIAN($E152:G152))</f>
        <v>195</v>
      </c>
    </row>
    <row r="153" spans="1:11" x14ac:dyDescent="0.25">
      <c r="A153" s="1">
        <v>44103</v>
      </c>
      <c r="B153">
        <v>214</v>
      </c>
      <c r="C153">
        <v>198</v>
      </c>
      <c r="D153">
        <v>200</v>
      </c>
      <c r="E153">
        <f t="shared" si="8"/>
        <v>214</v>
      </c>
      <c r="F153">
        <f t="shared" si="9"/>
        <v>234</v>
      </c>
      <c r="G153">
        <f t="shared" si="10"/>
        <v>395</v>
      </c>
      <c r="H153" t="str">
        <f t="shared" si="11"/>
        <v>Truskawkowo-Porzeczkowa</v>
      </c>
      <c r="I153">
        <f>IF(E153=MIN($E153:$G153), E153, E153-MEDIAN($E153:G153))</f>
        <v>214</v>
      </c>
      <c r="J153">
        <f>IF(F153=MIN($E153:$G153), F153, F153-MEDIAN($E153:G153))</f>
        <v>0</v>
      </c>
      <c r="K153">
        <f>IF(G153=MIN($E153:$G153), G153, G153-MEDIAN($E153:G153))</f>
        <v>161</v>
      </c>
    </row>
    <row r="154" spans="1:11" x14ac:dyDescent="0.25">
      <c r="A154" s="1">
        <v>44104</v>
      </c>
      <c r="B154">
        <v>289</v>
      </c>
      <c r="C154">
        <v>290</v>
      </c>
      <c r="D154">
        <v>190</v>
      </c>
      <c r="E154">
        <f t="shared" si="8"/>
        <v>503</v>
      </c>
      <c r="F154">
        <f t="shared" si="9"/>
        <v>290</v>
      </c>
      <c r="G154">
        <f t="shared" si="10"/>
        <v>351</v>
      </c>
      <c r="H154" t="str">
        <f t="shared" si="11"/>
        <v>Malinowo-Porzeczkowa</v>
      </c>
      <c r="I154">
        <f>IF(E154=MIN($E154:$G154), E154, E154-MEDIAN($E154:G154))</f>
        <v>152</v>
      </c>
      <c r="J154">
        <f>IF(F154=MIN($E154:$G154), F154, F154-MEDIAN($E154:G154))</f>
        <v>290</v>
      </c>
      <c r="K154">
        <f>IF(G154=MIN($E154:$G154), G154, G154-MEDIAN($E154:G154))</f>
        <v>0</v>
      </c>
    </row>
  </sheetData>
  <pageMargins left="0.7" right="0.7" top="0.75" bottom="0.75" header="0.3" footer="0.3"/>
  <pageSetup paperSize="0" orientation="portrait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6DA8-88F2-47DE-9D71-AF714AF0A5E2}">
  <dimension ref="A1:R154"/>
  <sheetViews>
    <sheetView tabSelected="1" zoomScaleNormal="100" workbookViewId="0">
      <selection activeCell="Q11" sqref="Q11:R13"/>
    </sheetView>
  </sheetViews>
  <sheetFormatPr defaultRowHeight="15" x14ac:dyDescent="0.25"/>
  <cols>
    <col min="1" max="1" width="10.7109375" bestFit="1" customWidth="1"/>
    <col min="8" max="8" width="25.85546875" bestFit="1" customWidth="1"/>
    <col min="12" max="12" width="35.140625" bestFit="1" customWidth="1"/>
    <col min="13" max="13" width="34.85546875" bestFit="1" customWidth="1"/>
    <col min="14" max="14" width="38" bestFit="1" customWidth="1"/>
    <col min="17" max="17" width="26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25</v>
      </c>
      <c r="M1" t="s">
        <v>26</v>
      </c>
      <c r="N1" t="s">
        <v>27</v>
      </c>
    </row>
    <row r="2" spans="1:18" x14ac:dyDescent="0.25">
      <c r="A2" s="1">
        <v>43952</v>
      </c>
      <c r="B2">
        <v>211</v>
      </c>
      <c r="C2">
        <v>281</v>
      </c>
      <c r="D2">
        <v>88</v>
      </c>
      <c r="E2">
        <f>B2</f>
        <v>211</v>
      </c>
      <c r="F2">
        <f>C2</f>
        <v>281</v>
      </c>
      <c r="G2">
        <f>D2</f>
        <v>88</v>
      </c>
      <c r="H2" t="str">
        <f>IF(E2=MIN(E2:G2), "Truskawkowo-Porzeczkowa", IF(F2=MIN(E2:G2), "Malinowo-Porzeczkowa", "Malinowo-Truskawkowa"))</f>
        <v>Malinowo-Truskawkowa</v>
      </c>
      <c r="I2">
        <f>IF(E2=MIN($E2:$G2), E2, E2-MEDIAN($E2:G2))</f>
        <v>0</v>
      </c>
      <c r="J2">
        <f>IF(F2=MIN($E2:$G2), F2, F2-MEDIAN($E2:G2))</f>
        <v>70</v>
      </c>
      <c r="K2">
        <f>IF(G2=MIN($E2:$G2), G2, G2-MEDIAN($E2:G2))</f>
        <v>88</v>
      </c>
      <c r="L2">
        <f>IF(H2="Malinowo-Truskawkowa", MEDIAN($E2:$G2), 0)</f>
        <v>211</v>
      </c>
      <c r="M2">
        <f t="shared" ref="M2:M33" si="0">IF(H2="Malinowo-Porzeczkowa", MEDIAN($E2:$G2), 0)</f>
        <v>0</v>
      </c>
      <c r="N2">
        <f t="shared" ref="N2:N33" si="1">IF(H2="Truskawkowo-Porzeczkowa", MEDIAN($E2:$G2), 0)</f>
        <v>0</v>
      </c>
    </row>
    <row r="3" spans="1:18" x14ac:dyDescent="0.25">
      <c r="A3" s="1">
        <v>43953</v>
      </c>
      <c r="B3">
        <v>393</v>
      </c>
      <c r="C3">
        <v>313</v>
      </c>
      <c r="D3">
        <v>83</v>
      </c>
      <c r="E3">
        <f>B3+I2</f>
        <v>393</v>
      </c>
      <c r="F3">
        <f>C3+J2</f>
        <v>383</v>
      </c>
      <c r="G3">
        <f>D3+K2</f>
        <v>171</v>
      </c>
      <c r="H3" t="str">
        <f>IF(E3=MIN(E3:G3), "Truskawkowo-Porzeczkowa", IF(F3=MIN(E3:G3), "Malinowo-Porzeczkowa", "Malinowo-Truskawkowa"))</f>
        <v>Malinowo-Truskawkowa</v>
      </c>
      <c r="I3">
        <f>IF(E3=MIN($E3:$G3), E3, E3-MEDIAN($E3:G3))</f>
        <v>10</v>
      </c>
      <c r="J3">
        <f>IF(F3=MIN($E3:$G3), F3, F3-MEDIAN($E3:G3))</f>
        <v>0</v>
      </c>
      <c r="K3">
        <f>IF(G3=MIN($E3:$G3), G3, G3-MEDIAN($E3:G3))</f>
        <v>171</v>
      </c>
      <c r="L3">
        <f>IF(H3="Malinowo-Truskawkowa", MEDIAN($E3:$G3), 0)</f>
        <v>383</v>
      </c>
      <c r="M3">
        <f t="shared" si="0"/>
        <v>0</v>
      </c>
      <c r="N3">
        <f t="shared" si="1"/>
        <v>0</v>
      </c>
    </row>
    <row r="4" spans="1:18" x14ac:dyDescent="0.25">
      <c r="A4" s="1">
        <v>43954</v>
      </c>
      <c r="B4">
        <v>389</v>
      </c>
      <c r="C4">
        <v>315</v>
      </c>
      <c r="D4">
        <v>104</v>
      </c>
      <c r="E4">
        <f t="shared" ref="E4:G67" si="2">B4+I3</f>
        <v>399</v>
      </c>
      <c r="F4">
        <f t="shared" si="2"/>
        <v>315</v>
      </c>
      <c r="G4">
        <f t="shared" si="2"/>
        <v>275</v>
      </c>
      <c r="H4" t="str">
        <f t="shared" ref="H4:H67" si="3">IF(E4=MIN(E4:G4), "Truskawkowo-Porzeczkowa", IF(F4=MIN(E4:G4), "Malinowo-Porzeczkowa", "Malinowo-Truskawkowa"))</f>
        <v>Malinowo-Truskawkowa</v>
      </c>
      <c r="I4">
        <f>IF(E4=MIN($E4:$G4), E4, E4-MEDIAN($E4:G4))</f>
        <v>84</v>
      </c>
      <c r="J4">
        <f>IF(F4=MIN($E4:$G4), F4, F4-MEDIAN($E4:G4))</f>
        <v>0</v>
      </c>
      <c r="K4">
        <f>IF(G4=MIN($E4:$G4), G4, G4-MEDIAN($E4:G4))</f>
        <v>275</v>
      </c>
      <c r="L4">
        <f t="shared" ref="L2:L33" si="4">IF(H4="Malinowo-Truskawkowa", MEDIAN($E4:$G4), 0)</f>
        <v>315</v>
      </c>
      <c r="M4">
        <f t="shared" si="0"/>
        <v>0</v>
      </c>
      <c r="N4">
        <f t="shared" si="1"/>
        <v>0</v>
      </c>
    </row>
    <row r="5" spans="1:18" x14ac:dyDescent="0.25">
      <c r="A5" s="1">
        <v>43955</v>
      </c>
      <c r="B5">
        <v>308</v>
      </c>
      <c r="C5">
        <v>221</v>
      </c>
      <c r="D5">
        <v>119</v>
      </c>
      <c r="E5">
        <f t="shared" si="2"/>
        <v>392</v>
      </c>
      <c r="F5">
        <f t="shared" si="2"/>
        <v>221</v>
      </c>
      <c r="G5">
        <f t="shared" si="2"/>
        <v>394</v>
      </c>
      <c r="H5" t="str">
        <f t="shared" si="3"/>
        <v>Malinowo-Porzeczkowa</v>
      </c>
      <c r="I5">
        <f>IF(E5=MIN($E5:$G5), E5, E5-MEDIAN($E5:G5))</f>
        <v>0</v>
      </c>
      <c r="J5">
        <f>IF(F5=MIN($E5:$G5), F5, F5-MEDIAN($E5:G5))</f>
        <v>221</v>
      </c>
      <c r="K5">
        <f>IF(G5=MIN($E5:$G5), G5, G5-MEDIAN($E5:G5))</f>
        <v>2</v>
      </c>
      <c r="L5">
        <f t="shared" si="4"/>
        <v>0</v>
      </c>
      <c r="M5">
        <f t="shared" si="0"/>
        <v>392</v>
      </c>
      <c r="N5">
        <f t="shared" si="1"/>
        <v>0</v>
      </c>
    </row>
    <row r="6" spans="1:18" x14ac:dyDescent="0.25">
      <c r="A6" s="1">
        <v>43956</v>
      </c>
      <c r="B6">
        <v>387</v>
      </c>
      <c r="C6">
        <v>275</v>
      </c>
      <c r="D6">
        <v>72</v>
      </c>
      <c r="E6">
        <f t="shared" si="2"/>
        <v>387</v>
      </c>
      <c r="F6">
        <f t="shared" si="2"/>
        <v>496</v>
      </c>
      <c r="G6">
        <f t="shared" si="2"/>
        <v>74</v>
      </c>
      <c r="H6" t="str">
        <f t="shared" si="3"/>
        <v>Malinowo-Truskawkowa</v>
      </c>
      <c r="I6">
        <f>IF(E6=MIN($E6:$G6), E6, E6-MEDIAN($E6:G6))</f>
        <v>0</v>
      </c>
      <c r="J6">
        <f>IF(F6=MIN($E6:$G6), F6, F6-MEDIAN($E6:G6))</f>
        <v>109</v>
      </c>
      <c r="K6">
        <f>IF(G6=MIN($E6:$G6), G6, G6-MEDIAN($E6:G6))</f>
        <v>74</v>
      </c>
      <c r="L6">
        <f t="shared" si="4"/>
        <v>387</v>
      </c>
      <c r="M6">
        <f t="shared" si="0"/>
        <v>0</v>
      </c>
      <c r="N6">
        <f t="shared" si="1"/>
        <v>0</v>
      </c>
    </row>
    <row r="7" spans="1:18" x14ac:dyDescent="0.25">
      <c r="A7" s="1">
        <v>43957</v>
      </c>
      <c r="B7">
        <v>294</v>
      </c>
      <c r="C7">
        <v>366</v>
      </c>
      <c r="D7">
        <v>99</v>
      </c>
      <c r="E7">
        <f t="shared" si="2"/>
        <v>294</v>
      </c>
      <c r="F7">
        <f t="shared" si="2"/>
        <v>475</v>
      </c>
      <c r="G7">
        <f t="shared" si="2"/>
        <v>173</v>
      </c>
      <c r="H7" t="str">
        <f t="shared" si="3"/>
        <v>Malinowo-Truskawkowa</v>
      </c>
      <c r="I7">
        <f>IF(E7=MIN($E7:$G7), E7, E7-MEDIAN($E7:G7))</f>
        <v>0</v>
      </c>
      <c r="J7">
        <f>IF(F7=MIN($E7:$G7), F7, F7-MEDIAN($E7:G7))</f>
        <v>181</v>
      </c>
      <c r="K7">
        <f>IF(G7=MIN($E7:$G7), G7, G7-MEDIAN($E7:G7))</f>
        <v>173</v>
      </c>
      <c r="L7">
        <f t="shared" si="4"/>
        <v>294</v>
      </c>
      <c r="M7">
        <f t="shared" si="0"/>
        <v>0</v>
      </c>
      <c r="N7">
        <f t="shared" si="1"/>
        <v>0</v>
      </c>
    </row>
    <row r="8" spans="1:18" x14ac:dyDescent="0.25">
      <c r="A8" s="1">
        <v>43958</v>
      </c>
      <c r="B8">
        <v>389</v>
      </c>
      <c r="C8">
        <v>288</v>
      </c>
      <c r="D8">
        <v>87</v>
      </c>
      <c r="E8">
        <f t="shared" si="2"/>
        <v>389</v>
      </c>
      <c r="F8">
        <f t="shared" si="2"/>
        <v>469</v>
      </c>
      <c r="G8">
        <f t="shared" si="2"/>
        <v>260</v>
      </c>
      <c r="H8" t="str">
        <f t="shared" si="3"/>
        <v>Malinowo-Truskawkowa</v>
      </c>
      <c r="I8">
        <f>IF(E8=MIN($E8:$G8), E8, E8-MEDIAN($E8:G8))</f>
        <v>0</v>
      </c>
      <c r="J8">
        <f>IF(F8=MIN($E8:$G8), F8, F8-MEDIAN($E8:G8))</f>
        <v>80</v>
      </c>
      <c r="K8">
        <f>IF(G8=MIN($E8:$G8), G8, G8-MEDIAN($E8:G8))</f>
        <v>260</v>
      </c>
      <c r="L8">
        <f t="shared" si="4"/>
        <v>389</v>
      </c>
      <c r="M8">
        <f t="shared" si="0"/>
        <v>0</v>
      </c>
      <c r="N8">
        <f t="shared" si="1"/>
        <v>0</v>
      </c>
    </row>
    <row r="9" spans="1:18" x14ac:dyDescent="0.25">
      <c r="A9" s="1">
        <v>43959</v>
      </c>
      <c r="B9">
        <v>259</v>
      </c>
      <c r="C9">
        <v>361</v>
      </c>
      <c r="D9">
        <v>112</v>
      </c>
      <c r="E9">
        <f t="shared" si="2"/>
        <v>259</v>
      </c>
      <c r="F9">
        <f t="shared" si="2"/>
        <v>441</v>
      </c>
      <c r="G9">
        <f t="shared" si="2"/>
        <v>372</v>
      </c>
      <c r="H9" t="str">
        <f t="shared" si="3"/>
        <v>Truskawkowo-Porzeczkowa</v>
      </c>
      <c r="I9">
        <f>IF(E9=MIN($E9:$G9), E9, E9-MEDIAN($E9:G9))</f>
        <v>259</v>
      </c>
      <c r="J9">
        <f>IF(F9=MIN($E9:$G9), F9, F9-MEDIAN($E9:G9))</f>
        <v>69</v>
      </c>
      <c r="K9">
        <f>IF(G9=MIN($E9:$G9), G9, G9-MEDIAN($E9:G9))</f>
        <v>0</v>
      </c>
      <c r="L9">
        <f t="shared" si="4"/>
        <v>0</v>
      </c>
      <c r="M9">
        <f t="shared" si="0"/>
        <v>0</v>
      </c>
      <c r="N9">
        <f t="shared" si="1"/>
        <v>372</v>
      </c>
    </row>
    <row r="10" spans="1:18" x14ac:dyDescent="0.25">
      <c r="A10" s="1">
        <v>43960</v>
      </c>
      <c r="B10">
        <v>369</v>
      </c>
      <c r="C10">
        <v>233</v>
      </c>
      <c r="D10">
        <v>110</v>
      </c>
      <c r="E10">
        <f t="shared" si="2"/>
        <v>628</v>
      </c>
      <c r="F10">
        <f t="shared" si="2"/>
        <v>302</v>
      </c>
      <c r="G10">
        <f t="shared" si="2"/>
        <v>110</v>
      </c>
      <c r="H10" t="str">
        <f t="shared" si="3"/>
        <v>Malinowo-Truskawkowa</v>
      </c>
      <c r="I10">
        <f>IF(E10=MIN($E10:$G10), E10, E10-MEDIAN($E10:G10))</f>
        <v>326</v>
      </c>
      <c r="J10">
        <f>IF(F10=MIN($E10:$G10), F10, F10-MEDIAN($E10:G10))</f>
        <v>0</v>
      </c>
      <c r="K10">
        <f>IF(G10=MIN($E10:$G10), G10, G10-MEDIAN($E10:G10))</f>
        <v>110</v>
      </c>
      <c r="L10">
        <f t="shared" si="4"/>
        <v>302</v>
      </c>
      <c r="M10">
        <f t="shared" si="0"/>
        <v>0</v>
      </c>
      <c r="N10">
        <f t="shared" si="1"/>
        <v>0</v>
      </c>
    </row>
    <row r="11" spans="1:18" x14ac:dyDescent="0.25">
      <c r="A11" s="1">
        <v>43961</v>
      </c>
      <c r="B11">
        <v>263</v>
      </c>
      <c r="C11">
        <v>393</v>
      </c>
      <c r="D11">
        <v>75</v>
      </c>
      <c r="E11">
        <f t="shared" si="2"/>
        <v>589</v>
      </c>
      <c r="F11">
        <f t="shared" si="2"/>
        <v>393</v>
      </c>
      <c r="G11">
        <f t="shared" si="2"/>
        <v>185</v>
      </c>
      <c r="H11" t="str">
        <f t="shared" si="3"/>
        <v>Malinowo-Truskawkowa</v>
      </c>
      <c r="I11">
        <f>IF(E11=MIN($E11:$G11), E11, E11-MEDIAN($E11:G11))</f>
        <v>196</v>
      </c>
      <c r="J11">
        <f>IF(F11=MIN($E11:$G11), F11, F11-MEDIAN($E11:G11))</f>
        <v>0</v>
      </c>
      <c r="K11">
        <f>IF(G11=MIN($E11:$G11), G11, G11-MEDIAN($E11:G11))</f>
        <v>185</v>
      </c>
      <c r="L11">
        <f t="shared" si="4"/>
        <v>393</v>
      </c>
      <c r="M11">
        <f t="shared" si="0"/>
        <v>0</v>
      </c>
      <c r="N11">
        <f t="shared" si="1"/>
        <v>0</v>
      </c>
      <c r="Q11" s="5" t="s">
        <v>28</v>
      </c>
      <c r="R11" s="6">
        <f>SUM(L:L)</f>
        <v>29732</v>
      </c>
    </row>
    <row r="12" spans="1:18" x14ac:dyDescent="0.25">
      <c r="A12" s="1">
        <v>43962</v>
      </c>
      <c r="B12">
        <v>239</v>
      </c>
      <c r="C12">
        <v>347</v>
      </c>
      <c r="D12">
        <v>94</v>
      </c>
      <c r="E12">
        <f t="shared" si="2"/>
        <v>435</v>
      </c>
      <c r="F12">
        <f t="shared" si="2"/>
        <v>347</v>
      </c>
      <c r="G12">
        <f t="shared" si="2"/>
        <v>279</v>
      </c>
      <c r="H12" t="str">
        <f t="shared" si="3"/>
        <v>Malinowo-Truskawkowa</v>
      </c>
      <c r="I12">
        <f>IF(E12=MIN($E12:$G12), E12, E12-MEDIAN($E12:G12))</f>
        <v>88</v>
      </c>
      <c r="J12">
        <f>IF(F12=MIN($E12:$G12), F12, F12-MEDIAN($E12:G12))</f>
        <v>0</v>
      </c>
      <c r="K12">
        <f>IF(G12=MIN($E12:$G12), G12, G12-MEDIAN($E12:G12))</f>
        <v>279</v>
      </c>
      <c r="L12">
        <f t="shared" si="4"/>
        <v>347</v>
      </c>
      <c r="M12">
        <f t="shared" si="0"/>
        <v>0</v>
      </c>
      <c r="N12">
        <f t="shared" si="1"/>
        <v>0</v>
      </c>
      <c r="Q12" s="5" t="s">
        <v>29</v>
      </c>
      <c r="R12" s="6">
        <f>SUM(M:M)</f>
        <v>18008</v>
      </c>
    </row>
    <row r="13" spans="1:18" x14ac:dyDescent="0.25">
      <c r="A13" s="1">
        <v>43963</v>
      </c>
      <c r="B13">
        <v>282</v>
      </c>
      <c r="C13">
        <v>338</v>
      </c>
      <c r="D13">
        <v>86</v>
      </c>
      <c r="E13">
        <f t="shared" si="2"/>
        <v>370</v>
      </c>
      <c r="F13">
        <f t="shared" si="2"/>
        <v>338</v>
      </c>
      <c r="G13">
        <f t="shared" si="2"/>
        <v>365</v>
      </c>
      <c r="H13" t="str">
        <f t="shared" si="3"/>
        <v>Malinowo-Porzeczkowa</v>
      </c>
      <c r="I13">
        <f>IF(E13=MIN($E13:$G13), E13, E13-MEDIAN($E13:G13))</f>
        <v>5</v>
      </c>
      <c r="J13">
        <f>IF(F13=MIN($E13:$G13), F13, F13-MEDIAN($E13:G13))</f>
        <v>338</v>
      </c>
      <c r="K13">
        <f>IF(G13=MIN($E13:$G13), G13, G13-MEDIAN($E13:G13))</f>
        <v>0</v>
      </c>
      <c r="L13">
        <f t="shared" si="4"/>
        <v>0</v>
      </c>
      <c r="M13">
        <f t="shared" si="0"/>
        <v>365</v>
      </c>
      <c r="N13">
        <f t="shared" si="1"/>
        <v>0</v>
      </c>
      <c r="Q13" s="5" t="s">
        <v>30</v>
      </c>
      <c r="R13" s="6">
        <f>SUM(N:N)</f>
        <v>18382</v>
      </c>
    </row>
    <row r="14" spans="1:18" x14ac:dyDescent="0.25">
      <c r="A14" s="1">
        <v>43964</v>
      </c>
      <c r="B14">
        <v>306</v>
      </c>
      <c r="C14">
        <v>273</v>
      </c>
      <c r="D14">
        <v>75</v>
      </c>
      <c r="E14">
        <f t="shared" si="2"/>
        <v>311</v>
      </c>
      <c r="F14">
        <f t="shared" si="2"/>
        <v>611</v>
      </c>
      <c r="G14">
        <f t="shared" si="2"/>
        <v>75</v>
      </c>
      <c r="H14" t="str">
        <f t="shared" si="3"/>
        <v>Malinowo-Truskawkowa</v>
      </c>
      <c r="I14">
        <f>IF(E14=MIN($E14:$G14), E14, E14-MEDIAN($E14:G14))</f>
        <v>0</v>
      </c>
      <c r="J14">
        <f>IF(F14=MIN($E14:$G14), F14, F14-MEDIAN($E14:G14))</f>
        <v>300</v>
      </c>
      <c r="K14">
        <f>IF(G14=MIN($E14:$G14), G14, G14-MEDIAN($E14:G14))</f>
        <v>75</v>
      </c>
      <c r="L14">
        <f t="shared" si="4"/>
        <v>311</v>
      </c>
      <c r="M14">
        <f t="shared" si="0"/>
        <v>0</v>
      </c>
      <c r="N14">
        <f t="shared" si="1"/>
        <v>0</v>
      </c>
    </row>
    <row r="15" spans="1:18" x14ac:dyDescent="0.25">
      <c r="A15" s="1">
        <v>43965</v>
      </c>
      <c r="B15">
        <v>251</v>
      </c>
      <c r="C15">
        <v>325</v>
      </c>
      <c r="D15">
        <v>89</v>
      </c>
      <c r="E15">
        <f t="shared" si="2"/>
        <v>251</v>
      </c>
      <c r="F15">
        <f t="shared" si="2"/>
        <v>625</v>
      </c>
      <c r="G15">
        <f t="shared" si="2"/>
        <v>164</v>
      </c>
      <c r="H15" t="str">
        <f t="shared" si="3"/>
        <v>Malinowo-Truskawkowa</v>
      </c>
      <c r="I15">
        <f>IF(E15=MIN($E15:$G15), E15, E15-MEDIAN($E15:G15))</f>
        <v>0</v>
      </c>
      <c r="J15">
        <f>IF(F15=MIN($E15:$G15), F15, F15-MEDIAN($E15:G15))</f>
        <v>374</v>
      </c>
      <c r="K15">
        <f>IF(G15=MIN($E15:$G15), G15, G15-MEDIAN($E15:G15))</f>
        <v>164</v>
      </c>
      <c r="L15">
        <f t="shared" si="4"/>
        <v>251</v>
      </c>
      <c r="M15">
        <f t="shared" si="0"/>
        <v>0</v>
      </c>
      <c r="N15">
        <f t="shared" si="1"/>
        <v>0</v>
      </c>
    </row>
    <row r="16" spans="1:18" x14ac:dyDescent="0.25">
      <c r="A16" s="1">
        <v>43966</v>
      </c>
      <c r="B16">
        <v>224</v>
      </c>
      <c r="C16">
        <v>352</v>
      </c>
      <c r="D16">
        <v>97</v>
      </c>
      <c r="E16">
        <f t="shared" si="2"/>
        <v>224</v>
      </c>
      <c r="F16">
        <f t="shared" si="2"/>
        <v>726</v>
      </c>
      <c r="G16">
        <f t="shared" si="2"/>
        <v>261</v>
      </c>
      <c r="H16" t="str">
        <f t="shared" si="3"/>
        <v>Truskawkowo-Porzeczkowa</v>
      </c>
      <c r="I16">
        <f>IF(E16=MIN($E16:$G16), E16, E16-MEDIAN($E16:G16))</f>
        <v>224</v>
      </c>
      <c r="J16">
        <f>IF(F16=MIN($E16:$G16), F16, F16-MEDIAN($E16:G16))</f>
        <v>465</v>
      </c>
      <c r="K16">
        <f>IF(G16=MIN($E16:$G16), G16, G16-MEDIAN($E16:G16))</f>
        <v>0</v>
      </c>
      <c r="L16">
        <f t="shared" si="4"/>
        <v>0</v>
      </c>
      <c r="M16">
        <f t="shared" si="0"/>
        <v>0</v>
      </c>
      <c r="N16">
        <f t="shared" si="1"/>
        <v>261</v>
      </c>
    </row>
    <row r="17" spans="1:14" x14ac:dyDescent="0.25">
      <c r="A17" s="1">
        <v>43967</v>
      </c>
      <c r="B17">
        <v>233</v>
      </c>
      <c r="C17">
        <v>270</v>
      </c>
      <c r="D17">
        <v>94</v>
      </c>
      <c r="E17">
        <f t="shared" si="2"/>
        <v>457</v>
      </c>
      <c r="F17">
        <f t="shared" si="2"/>
        <v>735</v>
      </c>
      <c r="G17">
        <f t="shared" si="2"/>
        <v>94</v>
      </c>
      <c r="H17" t="str">
        <f t="shared" si="3"/>
        <v>Malinowo-Truskawkowa</v>
      </c>
      <c r="I17">
        <f>IF(E17=MIN($E17:$G17), E17, E17-MEDIAN($E17:G17))</f>
        <v>0</v>
      </c>
      <c r="J17">
        <f>IF(F17=MIN($E17:$G17), F17, F17-MEDIAN($E17:G17))</f>
        <v>278</v>
      </c>
      <c r="K17">
        <f>IF(G17=MIN($E17:$G17), G17, G17-MEDIAN($E17:G17))</f>
        <v>94</v>
      </c>
      <c r="L17">
        <f t="shared" si="4"/>
        <v>457</v>
      </c>
      <c r="M17">
        <f t="shared" si="0"/>
        <v>0</v>
      </c>
      <c r="N17">
        <f t="shared" si="1"/>
        <v>0</v>
      </c>
    </row>
    <row r="18" spans="1:14" x14ac:dyDescent="0.25">
      <c r="A18" s="1">
        <v>43968</v>
      </c>
      <c r="B18">
        <v>345</v>
      </c>
      <c r="C18">
        <v>275</v>
      </c>
      <c r="D18">
        <v>90</v>
      </c>
      <c r="E18">
        <f t="shared" si="2"/>
        <v>345</v>
      </c>
      <c r="F18">
        <f t="shared" si="2"/>
        <v>553</v>
      </c>
      <c r="G18">
        <f t="shared" si="2"/>
        <v>184</v>
      </c>
      <c r="H18" t="str">
        <f t="shared" si="3"/>
        <v>Malinowo-Truskawkowa</v>
      </c>
      <c r="I18">
        <f>IF(E18=MIN($E18:$G18), E18, E18-MEDIAN($E18:G18))</f>
        <v>0</v>
      </c>
      <c r="J18">
        <f>IF(F18=MIN($E18:$G18), F18, F18-MEDIAN($E18:G18))</f>
        <v>208</v>
      </c>
      <c r="K18">
        <f>IF(G18=MIN($E18:$G18), G18, G18-MEDIAN($E18:G18))</f>
        <v>184</v>
      </c>
      <c r="L18">
        <f t="shared" si="4"/>
        <v>345</v>
      </c>
      <c r="M18">
        <f t="shared" si="0"/>
        <v>0</v>
      </c>
      <c r="N18">
        <f t="shared" si="1"/>
        <v>0</v>
      </c>
    </row>
    <row r="19" spans="1:14" x14ac:dyDescent="0.25">
      <c r="A19" s="1">
        <v>43969</v>
      </c>
      <c r="B19">
        <v>232</v>
      </c>
      <c r="C19">
        <v>228</v>
      </c>
      <c r="D19">
        <v>107</v>
      </c>
      <c r="E19">
        <f t="shared" si="2"/>
        <v>232</v>
      </c>
      <c r="F19">
        <f t="shared" si="2"/>
        <v>436</v>
      </c>
      <c r="G19">
        <f t="shared" si="2"/>
        <v>291</v>
      </c>
      <c r="H19" t="str">
        <f t="shared" si="3"/>
        <v>Truskawkowo-Porzeczkowa</v>
      </c>
      <c r="I19">
        <f>IF(E19=MIN($E19:$G19), E19, E19-MEDIAN($E19:G19))</f>
        <v>232</v>
      </c>
      <c r="J19">
        <f>IF(F19=MIN($E19:$G19), F19, F19-MEDIAN($E19:G19))</f>
        <v>145</v>
      </c>
      <c r="K19">
        <f>IF(G19=MIN($E19:$G19), G19, G19-MEDIAN($E19:G19))</f>
        <v>0</v>
      </c>
      <c r="L19">
        <f t="shared" si="4"/>
        <v>0</v>
      </c>
      <c r="M19">
        <f t="shared" si="0"/>
        <v>0</v>
      </c>
      <c r="N19">
        <f t="shared" si="1"/>
        <v>291</v>
      </c>
    </row>
    <row r="20" spans="1:14" x14ac:dyDescent="0.25">
      <c r="A20" s="1">
        <v>43970</v>
      </c>
      <c r="B20">
        <v>238</v>
      </c>
      <c r="C20">
        <v>394</v>
      </c>
      <c r="D20">
        <v>105</v>
      </c>
      <c r="E20">
        <f t="shared" si="2"/>
        <v>470</v>
      </c>
      <c r="F20">
        <f t="shared" si="2"/>
        <v>539</v>
      </c>
      <c r="G20">
        <f t="shared" si="2"/>
        <v>105</v>
      </c>
      <c r="H20" t="str">
        <f t="shared" si="3"/>
        <v>Malinowo-Truskawkowa</v>
      </c>
      <c r="I20">
        <f>IF(E20=MIN($E20:$G20), E20, E20-MEDIAN($E20:G20))</f>
        <v>0</v>
      </c>
      <c r="J20">
        <f>IF(F20=MIN($E20:$G20), F20, F20-MEDIAN($E20:G20))</f>
        <v>69</v>
      </c>
      <c r="K20">
        <f>IF(G20=MIN($E20:$G20), G20, G20-MEDIAN($E20:G20))</f>
        <v>105</v>
      </c>
      <c r="L20">
        <f t="shared" si="4"/>
        <v>470</v>
      </c>
      <c r="M20">
        <f t="shared" si="0"/>
        <v>0</v>
      </c>
      <c r="N20">
        <f t="shared" si="1"/>
        <v>0</v>
      </c>
    </row>
    <row r="21" spans="1:14" x14ac:dyDescent="0.25">
      <c r="A21" s="1">
        <v>43971</v>
      </c>
      <c r="B21">
        <v>378</v>
      </c>
      <c r="C21">
        <v>311</v>
      </c>
      <c r="D21">
        <v>110</v>
      </c>
      <c r="E21">
        <f t="shared" si="2"/>
        <v>378</v>
      </c>
      <c r="F21">
        <f t="shared" si="2"/>
        <v>380</v>
      </c>
      <c r="G21">
        <f t="shared" si="2"/>
        <v>215</v>
      </c>
      <c r="H21" t="str">
        <f t="shared" si="3"/>
        <v>Malinowo-Truskawkowa</v>
      </c>
      <c r="I21">
        <f>IF(E21=MIN($E21:$G21), E21, E21-MEDIAN($E21:G21))</f>
        <v>0</v>
      </c>
      <c r="J21">
        <f>IF(F21=MIN($E21:$G21), F21, F21-MEDIAN($E21:G21))</f>
        <v>2</v>
      </c>
      <c r="K21">
        <f>IF(G21=MIN($E21:$G21), G21, G21-MEDIAN($E21:G21))</f>
        <v>215</v>
      </c>
      <c r="L21">
        <f t="shared" si="4"/>
        <v>378</v>
      </c>
      <c r="M21">
        <f t="shared" si="0"/>
        <v>0</v>
      </c>
      <c r="N21">
        <f t="shared" si="1"/>
        <v>0</v>
      </c>
    </row>
    <row r="22" spans="1:14" x14ac:dyDescent="0.25">
      <c r="A22" s="1">
        <v>43972</v>
      </c>
      <c r="B22">
        <v>281</v>
      </c>
      <c r="C22">
        <v>354</v>
      </c>
      <c r="D22">
        <v>121</v>
      </c>
      <c r="E22">
        <f t="shared" si="2"/>
        <v>281</v>
      </c>
      <c r="F22">
        <f t="shared" si="2"/>
        <v>356</v>
      </c>
      <c r="G22">
        <f t="shared" si="2"/>
        <v>336</v>
      </c>
      <c r="H22" t="str">
        <f t="shared" si="3"/>
        <v>Truskawkowo-Porzeczkowa</v>
      </c>
      <c r="I22">
        <f>IF(E22=MIN($E22:$G22), E22, E22-MEDIAN($E22:G22))</f>
        <v>281</v>
      </c>
      <c r="J22">
        <f>IF(F22=MIN($E22:$G22), F22, F22-MEDIAN($E22:G22))</f>
        <v>20</v>
      </c>
      <c r="K22">
        <f>IF(G22=MIN($E22:$G22), G22, G22-MEDIAN($E22:G22))</f>
        <v>0</v>
      </c>
      <c r="L22">
        <f t="shared" si="4"/>
        <v>0</v>
      </c>
      <c r="M22">
        <f t="shared" si="0"/>
        <v>0</v>
      </c>
      <c r="N22">
        <f t="shared" si="1"/>
        <v>336</v>
      </c>
    </row>
    <row r="23" spans="1:14" x14ac:dyDescent="0.25">
      <c r="A23" s="1">
        <v>43973</v>
      </c>
      <c r="B23">
        <v>390</v>
      </c>
      <c r="C23">
        <v>267</v>
      </c>
      <c r="D23">
        <v>124</v>
      </c>
      <c r="E23">
        <f t="shared" si="2"/>
        <v>671</v>
      </c>
      <c r="F23">
        <f t="shared" si="2"/>
        <v>287</v>
      </c>
      <c r="G23">
        <f t="shared" si="2"/>
        <v>124</v>
      </c>
      <c r="H23" t="str">
        <f t="shared" si="3"/>
        <v>Malinowo-Truskawkowa</v>
      </c>
      <c r="I23">
        <f>IF(E23=MIN($E23:$G23), E23, E23-MEDIAN($E23:G23))</f>
        <v>384</v>
      </c>
      <c r="J23">
        <f>IF(F23=MIN($E23:$G23), F23, F23-MEDIAN($E23:G23))</f>
        <v>0</v>
      </c>
      <c r="K23">
        <f>IF(G23=MIN($E23:$G23), G23, G23-MEDIAN($E23:G23))</f>
        <v>124</v>
      </c>
      <c r="L23">
        <f t="shared" si="4"/>
        <v>287</v>
      </c>
      <c r="M23">
        <f t="shared" si="0"/>
        <v>0</v>
      </c>
      <c r="N23">
        <f t="shared" si="1"/>
        <v>0</v>
      </c>
    </row>
    <row r="24" spans="1:14" x14ac:dyDescent="0.25">
      <c r="A24" s="1">
        <v>43974</v>
      </c>
      <c r="B24">
        <v>308</v>
      </c>
      <c r="C24">
        <v>337</v>
      </c>
      <c r="D24">
        <v>105</v>
      </c>
      <c r="E24">
        <f t="shared" si="2"/>
        <v>692</v>
      </c>
      <c r="F24">
        <f t="shared" si="2"/>
        <v>337</v>
      </c>
      <c r="G24">
        <f t="shared" si="2"/>
        <v>229</v>
      </c>
      <c r="H24" t="str">
        <f t="shared" si="3"/>
        <v>Malinowo-Truskawkowa</v>
      </c>
      <c r="I24">
        <f>IF(E24=MIN($E24:$G24), E24, E24-MEDIAN($E24:G24))</f>
        <v>355</v>
      </c>
      <c r="J24">
        <f>IF(F24=MIN($E24:$G24), F24, F24-MEDIAN($E24:G24))</f>
        <v>0</v>
      </c>
      <c r="K24">
        <f>IF(G24=MIN($E24:$G24), G24, G24-MEDIAN($E24:G24))</f>
        <v>229</v>
      </c>
      <c r="L24">
        <f t="shared" si="4"/>
        <v>337</v>
      </c>
      <c r="M24">
        <f t="shared" si="0"/>
        <v>0</v>
      </c>
      <c r="N24">
        <f t="shared" si="1"/>
        <v>0</v>
      </c>
    </row>
    <row r="25" spans="1:14" x14ac:dyDescent="0.25">
      <c r="A25" s="1">
        <v>43975</v>
      </c>
      <c r="B25">
        <v>391</v>
      </c>
      <c r="C25">
        <v>238</v>
      </c>
      <c r="D25">
        <v>113</v>
      </c>
      <c r="E25">
        <f t="shared" si="2"/>
        <v>746</v>
      </c>
      <c r="F25">
        <f t="shared" si="2"/>
        <v>238</v>
      </c>
      <c r="G25">
        <f t="shared" si="2"/>
        <v>342</v>
      </c>
      <c r="H25" t="str">
        <f t="shared" si="3"/>
        <v>Malinowo-Porzeczkowa</v>
      </c>
      <c r="I25">
        <f>IF(E25=MIN($E25:$G25), E25, E25-MEDIAN($E25:G25))</f>
        <v>404</v>
      </c>
      <c r="J25">
        <f>IF(F25=MIN($E25:$G25), F25, F25-MEDIAN($E25:G25))</f>
        <v>238</v>
      </c>
      <c r="K25">
        <f>IF(G25=MIN($E25:$G25), G25, G25-MEDIAN($E25:G25))</f>
        <v>0</v>
      </c>
      <c r="L25">
        <f t="shared" si="4"/>
        <v>0</v>
      </c>
      <c r="M25">
        <f t="shared" si="0"/>
        <v>342</v>
      </c>
      <c r="N25">
        <f t="shared" si="1"/>
        <v>0</v>
      </c>
    </row>
    <row r="26" spans="1:14" x14ac:dyDescent="0.25">
      <c r="A26" s="1">
        <v>43976</v>
      </c>
      <c r="B26">
        <v>241</v>
      </c>
      <c r="C26">
        <v>283</v>
      </c>
      <c r="D26">
        <v>140</v>
      </c>
      <c r="E26">
        <f t="shared" si="2"/>
        <v>645</v>
      </c>
      <c r="F26">
        <f t="shared" si="2"/>
        <v>521</v>
      </c>
      <c r="G26">
        <f t="shared" si="2"/>
        <v>140</v>
      </c>
      <c r="H26" t="str">
        <f t="shared" si="3"/>
        <v>Malinowo-Truskawkowa</v>
      </c>
      <c r="I26">
        <f>IF(E26=MIN($E26:$G26), E26, E26-MEDIAN($E26:G26))</f>
        <v>124</v>
      </c>
      <c r="J26">
        <f>IF(F26=MIN($E26:$G26), F26, F26-MEDIAN($E26:G26))</f>
        <v>0</v>
      </c>
      <c r="K26">
        <f>IF(G26=MIN($E26:$G26), G26, G26-MEDIAN($E26:G26))</f>
        <v>140</v>
      </c>
      <c r="L26">
        <f t="shared" si="4"/>
        <v>521</v>
      </c>
      <c r="M26">
        <f t="shared" si="0"/>
        <v>0</v>
      </c>
      <c r="N26">
        <f t="shared" si="1"/>
        <v>0</v>
      </c>
    </row>
    <row r="27" spans="1:14" x14ac:dyDescent="0.25">
      <c r="A27" s="1">
        <v>43977</v>
      </c>
      <c r="B27">
        <v>249</v>
      </c>
      <c r="C27">
        <v>275</v>
      </c>
      <c r="D27">
        <v>118</v>
      </c>
      <c r="E27">
        <f t="shared" si="2"/>
        <v>373</v>
      </c>
      <c r="F27">
        <f t="shared" si="2"/>
        <v>275</v>
      </c>
      <c r="G27">
        <f t="shared" si="2"/>
        <v>258</v>
      </c>
      <c r="H27" t="str">
        <f t="shared" si="3"/>
        <v>Malinowo-Truskawkowa</v>
      </c>
      <c r="I27">
        <f>IF(E27=MIN($E27:$G27), E27, E27-MEDIAN($E27:G27))</f>
        <v>98</v>
      </c>
      <c r="J27">
        <f>IF(F27=MIN($E27:$G27), F27, F27-MEDIAN($E27:G27))</f>
        <v>0</v>
      </c>
      <c r="K27">
        <f>IF(G27=MIN($E27:$G27), G27, G27-MEDIAN($E27:G27))</f>
        <v>258</v>
      </c>
      <c r="L27">
        <f t="shared" si="4"/>
        <v>275</v>
      </c>
      <c r="M27">
        <f t="shared" si="0"/>
        <v>0</v>
      </c>
      <c r="N27">
        <f t="shared" si="1"/>
        <v>0</v>
      </c>
    </row>
    <row r="28" spans="1:14" x14ac:dyDescent="0.25">
      <c r="A28" s="1">
        <v>43978</v>
      </c>
      <c r="B28">
        <v>298</v>
      </c>
      <c r="C28">
        <v>263</v>
      </c>
      <c r="D28">
        <v>145</v>
      </c>
      <c r="E28">
        <f t="shared" si="2"/>
        <v>396</v>
      </c>
      <c r="F28">
        <f t="shared" si="2"/>
        <v>263</v>
      </c>
      <c r="G28">
        <f t="shared" si="2"/>
        <v>403</v>
      </c>
      <c r="H28" t="str">
        <f t="shared" si="3"/>
        <v>Malinowo-Porzeczkowa</v>
      </c>
      <c r="I28">
        <f>IF(E28=MIN($E28:$G28), E28, E28-MEDIAN($E28:G28))</f>
        <v>0</v>
      </c>
      <c r="J28">
        <f>IF(F28=MIN($E28:$G28), F28, F28-MEDIAN($E28:G28))</f>
        <v>263</v>
      </c>
      <c r="K28">
        <f>IF(G28=MIN($E28:$G28), G28, G28-MEDIAN($E28:G28))</f>
        <v>7</v>
      </c>
      <c r="L28">
        <f t="shared" si="4"/>
        <v>0</v>
      </c>
      <c r="M28">
        <f t="shared" si="0"/>
        <v>396</v>
      </c>
      <c r="N28">
        <f t="shared" si="1"/>
        <v>0</v>
      </c>
    </row>
    <row r="29" spans="1:14" x14ac:dyDescent="0.25">
      <c r="A29" s="1">
        <v>43979</v>
      </c>
      <c r="B29">
        <v>254</v>
      </c>
      <c r="C29">
        <v>241</v>
      </c>
      <c r="D29">
        <v>149</v>
      </c>
      <c r="E29">
        <f t="shared" si="2"/>
        <v>254</v>
      </c>
      <c r="F29">
        <f t="shared" si="2"/>
        <v>504</v>
      </c>
      <c r="G29">
        <f t="shared" si="2"/>
        <v>156</v>
      </c>
      <c r="H29" t="str">
        <f t="shared" si="3"/>
        <v>Malinowo-Truskawkowa</v>
      </c>
      <c r="I29">
        <f>IF(E29=MIN($E29:$G29), E29, E29-MEDIAN($E29:G29))</f>
        <v>0</v>
      </c>
      <c r="J29">
        <f>IF(F29=MIN($E29:$G29), F29, F29-MEDIAN($E29:G29))</f>
        <v>250</v>
      </c>
      <c r="K29">
        <f>IF(G29=MIN($E29:$G29), G29, G29-MEDIAN($E29:G29))</f>
        <v>156</v>
      </c>
      <c r="L29">
        <f t="shared" si="4"/>
        <v>254</v>
      </c>
      <c r="M29">
        <f t="shared" si="0"/>
        <v>0</v>
      </c>
      <c r="N29">
        <f t="shared" si="1"/>
        <v>0</v>
      </c>
    </row>
    <row r="30" spans="1:14" x14ac:dyDescent="0.25">
      <c r="A30" s="1">
        <v>43980</v>
      </c>
      <c r="B30">
        <v>329</v>
      </c>
      <c r="C30">
        <v>323</v>
      </c>
      <c r="D30">
        <v>134</v>
      </c>
      <c r="E30">
        <f t="shared" si="2"/>
        <v>329</v>
      </c>
      <c r="F30">
        <f t="shared" si="2"/>
        <v>573</v>
      </c>
      <c r="G30">
        <f t="shared" si="2"/>
        <v>290</v>
      </c>
      <c r="H30" t="str">
        <f t="shared" si="3"/>
        <v>Malinowo-Truskawkowa</v>
      </c>
      <c r="I30">
        <f>IF(E30=MIN($E30:$G30), E30, E30-MEDIAN($E30:G30))</f>
        <v>0</v>
      </c>
      <c r="J30">
        <f>IF(F30=MIN($E30:$G30), F30, F30-MEDIAN($E30:G30))</f>
        <v>244</v>
      </c>
      <c r="K30">
        <f>IF(G30=MIN($E30:$G30), G30, G30-MEDIAN($E30:G30))</f>
        <v>290</v>
      </c>
      <c r="L30">
        <f t="shared" si="4"/>
        <v>329</v>
      </c>
      <c r="M30">
        <f t="shared" si="0"/>
        <v>0</v>
      </c>
      <c r="N30">
        <f t="shared" si="1"/>
        <v>0</v>
      </c>
    </row>
    <row r="31" spans="1:14" x14ac:dyDescent="0.25">
      <c r="A31" s="1">
        <v>43981</v>
      </c>
      <c r="B31">
        <v>213</v>
      </c>
      <c r="C31">
        <v>221</v>
      </c>
      <c r="D31">
        <v>119</v>
      </c>
      <c r="E31">
        <f t="shared" si="2"/>
        <v>213</v>
      </c>
      <c r="F31">
        <f t="shared" si="2"/>
        <v>465</v>
      </c>
      <c r="G31">
        <f t="shared" si="2"/>
        <v>409</v>
      </c>
      <c r="H31" t="str">
        <f t="shared" si="3"/>
        <v>Truskawkowo-Porzeczkowa</v>
      </c>
      <c r="I31">
        <f>IF(E31=MIN($E31:$G31), E31, E31-MEDIAN($E31:G31))</f>
        <v>213</v>
      </c>
      <c r="J31">
        <f>IF(F31=MIN($E31:$G31), F31, F31-MEDIAN($E31:G31))</f>
        <v>56</v>
      </c>
      <c r="K31">
        <f>IF(G31=MIN($E31:$G31), G31, G31-MEDIAN($E31:G31))</f>
        <v>0</v>
      </c>
      <c r="L31">
        <f t="shared" si="4"/>
        <v>0</v>
      </c>
      <c r="M31">
        <f t="shared" si="0"/>
        <v>0</v>
      </c>
      <c r="N31">
        <f t="shared" si="1"/>
        <v>409</v>
      </c>
    </row>
    <row r="32" spans="1:14" x14ac:dyDescent="0.25">
      <c r="A32" s="1">
        <v>43982</v>
      </c>
      <c r="B32">
        <v>294</v>
      </c>
      <c r="C32">
        <v>326</v>
      </c>
      <c r="D32">
        <v>145</v>
      </c>
      <c r="E32">
        <f t="shared" si="2"/>
        <v>507</v>
      </c>
      <c r="F32">
        <f t="shared" si="2"/>
        <v>382</v>
      </c>
      <c r="G32">
        <f t="shared" si="2"/>
        <v>145</v>
      </c>
      <c r="H32" t="str">
        <f t="shared" si="3"/>
        <v>Malinowo-Truskawkowa</v>
      </c>
      <c r="I32">
        <f>IF(E32=MIN($E32:$G32), E32, E32-MEDIAN($E32:G32))</f>
        <v>125</v>
      </c>
      <c r="J32">
        <f>IF(F32=MIN($E32:$G32), F32, F32-MEDIAN($E32:G32))</f>
        <v>0</v>
      </c>
      <c r="K32">
        <f>IF(G32=MIN($E32:$G32), G32, G32-MEDIAN($E32:G32))</f>
        <v>145</v>
      </c>
      <c r="L32">
        <f t="shared" si="4"/>
        <v>382</v>
      </c>
      <c r="M32">
        <f t="shared" si="0"/>
        <v>0</v>
      </c>
      <c r="N32">
        <f t="shared" si="1"/>
        <v>0</v>
      </c>
    </row>
    <row r="33" spans="1:14" x14ac:dyDescent="0.25">
      <c r="A33" s="1">
        <v>43983</v>
      </c>
      <c r="B33">
        <v>225</v>
      </c>
      <c r="C33">
        <v>206</v>
      </c>
      <c r="D33">
        <v>122</v>
      </c>
      <c r="E33">
        <f t="shared" si="2"/>
        <v>350</v>
      </c>
      <c r="F33">
        <f t="shared" si="2"/>
        <v>206</v>
      </c>
      <c r="G33">
        <f t="shared" si="2"/>
        <v>267</v>
      </c>
      <c r="H33" t="str">
        <f t="shared" si="3"/>
        <v>Malinowo-Porzeczkowa</v>
      </c>
      <c r="I33">
        <f>IF(E33=MIN($E33:$G33), E33, E33-MEDIAN($E33:G33))</f>
        <v>83</v>
      </c>
      <c r="J33">
        <f>IF(F33=MIN($E33:$G33), F33, F33-MEDIAN($E33:G33))</f>
        <v>206</v>
      </c>
      <c r="K33">
        <f>IF(G33=MIN($E33:$G33), G33, G33-MEDIAN($E33:G33))</f>
        <v>0</v>
      </c>
      <c r="L33">
        <f t="shared" si="4"/>
        <v>0</v>
      </c>
      <c r="M33">
        <f t="shared" si="0"/>
        <v>267</v>
      </c>
      <c r="N33">
        <f t="shared" si="1"/>
        <v>0</v>
      </c>
    </row>
    <row r="34" spans="1:14" x14ac:dyDescent="0.25">
      <c r="A34" s="1">
        <v>43984</v>
      </c>
      <c r="B34">
        <v>264</v>
      </c>
      <c r="C34">
        <v>355</v>
      </c>
      <c r="D34">
        <v>134</v>
      </c>
      <c r="E34">
        <f t="shared" si="2"/>
        <v>347</v>
      </c>
      <c r="F34">
        <f t="shared" si="2"/>
        <v>561</v>
      </c>
      <c r="G34">
        <f t="shared" si="2"/>
        <v>134</v>
      </c>
      <c r="H34" t="str">
        <f t="shared" si="3"/>
        <v>Malinowo-Truskawkowa</v>
      </c>
      <c r="I34">
        <f>IF(E34=MIN($E34:$G34), E34, E34-MEDIAN($E34:G34))</f>
        <v>0</v>
      </c>
      <c r="J34">
        <f>IF(F34=MIN($E34:$G34), F34, F34-MEDIAN($E34:G34))</f>
        <v>214</v>
      </c>
      <c r="K34">
        <f>IF(G34=MIN($E34:$G34), G34, G34-MEDIAN($E34:G34))</f>
        <v>134</v>
      </c>
      <c r="L34">
        <f t="shared" ref="L34:L65" si="5">IF(H34="Malinowo-Truskawkowa", MEDIAN($E34:$G34), 0)</f>
        <v>347</v>
      </c>
      <c r="M34">
        <f t="shared" ref="M34:M65" si="6">IF(H34="Malinowo-Porzeczkowa", MEDIAN($E34:$G34), 0)</f>
        <v>0</v>
      </c>
      <c r="N34">
        <f t="shared" ref="N34:N65" si="7">IF(H34="Truskawkowo-Porzeczkowa", MEDIAN($E34:$G34), 0)</f>
        <v>0</v>
      </c>
    </row>
    <row r="35" spans="1:14" x14ac:dyDescent="0.25">
      <c r="A35" s="1">
        <v>43985</v>
      </c>
      <c r="B35">
        <v>253</v>
      </c>
      <c r="C35">
        <v>271</v>
      </c>
      <c r="D35">
        <v>142</v>
      </c>
      <c r="E35">
        <f t="shared" si="2"/>
        <v>253</v>
      </c>
      <c r="F35">
        <f t="shared" si="2"/>
        <v>485</v>
      </c>
      <c r="G35">
        <f t="shared" si="2"/>
        <v>276</v>
      </c>
      <c r="H35" t="str">
        <f t="shared" si="3"/>
        <v>Truskawkowo-Porzeczkowa</v>
      </c>
      <c r="I35">
        <f>IF(E35=MIN($E35:$G35), E35, E35-MEDIAN($E35:G35))</f>
        <v>253</v>
      </c>
      <c r="J35">
        <f>IF(F35=MIN($E35:$G35), F35, F35-MEDIAN($E35:G35))</f>
        <v>209</v>
      </c>
      <c r="K35">
        <f>IF(G35=MIN($E35:$G35), G35, G35-MEDIAN($E35:G35))</f>
        <v>0</v>
      </c>
      <c r="L35">
        <f t="shared" si="5"/>
        <v>0</v>
      </c>
      <c r="M35">
        <f t="shared" si="6"/>
        <v>0</v>
      </c>
      <c r="N35">
        <f t="shared" si="7"/>
        <v>276</v>
      </c>
    </row>
    <row r="36" spans="1:14" x14ac:dyDescent="0.25">
      <c r="A36" s="1">
        <v>43986</v>
      </c>
      <c r="B36">
        <v>352</v>
      </c>
      <c r="C36">
        <v>207</v>
      </c>
      <c r="D36">
        <v>125</v>
      </c>
      <c r="E36">
        <f t="shared" si="2"/>
        <v>605</v>
      </c>
      <c r="F36">
        <f t="shared" si="2"/>
        <v>416</v>
      </c>
      <c r="G36">
        <f t="shared" si="2"/>
        <v>125</v>
      </c>
      <c r="H36" t="str">
        <f t="shared" si="3"/>
        <v>Malinowo-Truskawkowa</v>
      </c>
      <c r="I36">
        <f>IF(E36=MIN($E36:$G36), E36, E36-MEDIAN($E36:G36))</f>
        <v>189</v>
      </c>
      <c r="J36">
        <f>IF(F36=MIN($E36:$G36), F36, F36-MEDIAN($E36:G36))</f>
        <v>0</v>
      </c>
      <c r="K36">
        <f>IF(G36=MIN($E36:$G36), G36, G36-MEDIAN($E36:G36))</f>
        <v>125</v>
      </c>
      <c r="L36">
        <f t="shared" si="5"/>
        <v>416</v>
      </c>
      <c r="M36">
        <f t="shared" si="6"/>
        <v>0</v>
      </c>
      <c r="N36">
        <f t="shared" si="7"/>
        <v>0</v>
      </c>
    </row>
    <row r="37" spans="1:14" x14ac:dyDescent="0.25">
      <c r="A37" s="1">
        <v>43987</v>
      </c>
      <c r="B37">
        <v>269</v>
      </c>
      <c r="C37">
        <v>248</v>
      </c>
      <c r="D37">
        <v>137</v>
      </c>
      <c r="E37">
        <f t="shared" si="2"/>
        <v>458</v>
      </c>
      <c r="F37">
        <f t="shared" si="2"/>
        <v>248</v>
      </c>
      <c r="G37">
        <f t="shared" si="2"/>
        <v>262</v>
      </c>
      <c r="H37" t="str">
        <f t="shared" si="3"/>
        <v>Malinowo-Porzeczkowa</v>
      </c>
      <c r="I37">
        <f>IF(E37=MIN($E37:$G37), E37, E37-MEDIAN($E37:G37))</f>
        <v>196</v>
      </c>
      <c r="J37">
        <f>IF(F37=MIN($E37:$G37), F37, F37-MEDIAN($E37:G37))</f>
        <v>248</v>
      </c>
      <c r="K37">
        <f>IF(G37=MIN($E37:$G37), G37, G37-MEDIAN($E37:G37))</f>
        <v>0</v>
      </c>
      <c r="L37">
        <f t="shared" si="5"/>
        <v>0</v>
      </c>
      <c r="M37">
        <f t="shared" si="6"/>
        <v>262</v>
      </c>
      <c r="N37">
        <f t="shared" si="7"/>
        <v>0</v>
      </c>
    </row>
    <row r="38" spans="1:14" x14ac:dyDescent="0.25">
      <c r="A38" s="1">
        <v>43988</v>
      </c>
      <c r="B38">
        <v>242</v>
      </c>
      <c r="C38">
        <v>247</v>
      </c>
      <c r="D38">
        <v>125</v>
      </c>
      <c r="E38">
        <f t="shared" si="2"/>
        <v>438</v>
      </c>
      <c r="F38">
        <f t="shared" si="2"/>
        <v>495</v>
      </c>
      <c r="G38">
        <f t="shared" si="2"/>
        <v>125</v>
      </c>
      <c r="H38" t="str">
        <f t="shared" si="3"/>
        <v>Malinowo-Truskawkowa</v>
      </c>
      <c r="I38">
        <f>IF(E38=MIN($E38:$G38), E38, E38-MEDIAN($E38:G38))</f>
        <v>0</v>
      </c>
      <c r="J38">
        <f>IF(F38=MIN($E38:$G38), F38, F38-MEDIAN($E38:G38))</f>
        <v>57</v>
      </c>
      <c r="K38">
        <f>IF(G38=MIN($E38:$G38), G38, G38-MEDIAN($E38:G38))</f>
        <v>125</v>
      </c>
      <c r="L38">
        <f t="shared" si="5"/>
        <v>438</v>
      </c>
      <c r="M38">
        <f t="shared" si="6"/>
        <v>0</v>
      </c>
      <c r="N38">
        <f t="shared" si="7"/>
        <v>0</v>
      </c>
    </row>
    <row r="39" spans="1:14" x14ac:dyDescent="0.25">
      <c r="A39" s="1">
        <v>43989</v>
      </c>
      <c r="B39">
        <v>327</v>
      </c>
      <c r="C39">
        <v>262</v>
      </c>
      <c r="D39">
        <v>103</v>
      </c>
      <c r="E39">
        <f t="shared" si="2"/>
        <v>327</v>
      </c>
      <c r="F39">
        <f t="shared" si="2"/>
        <v>319</v>
      </c>
      <c r="G39">
        <f t="shared" si="2"/>
        <v>228</v>
      </c>
      <c r="H39" t="str">
        <f t="shared" si="3"/>
        <v>Malinowo-Truskawkowa</v>
      </c>
      <c r="I39">
        <f>IF(E39=MIN($E39:$G39), E39, E39-MEDIAN($E39:G39))</f>
        <v>8</v>
      </c>
      <c r="J39">
        <f>IF(F39=MIN($E39:$G39), F39, F39-MEDIAN($E39:G39))</f>
        <v>0</v>
      </c>
      <c r="K39">
        <f>IF(G39=MIN($E39:$G39), G39, G39-MEDIAN($E39:G39))</f>
        <v>228</v>
      </c>
      <c r="L39">
        <f t="shared" si="5"/>
        <v>319</v>
      </c>
      <c r="M39">
        <f t="shared" si="6"/>
        <v>0</v>
      </c>
      <c r="N39">
        <f t="shared" si="7"/>
        <v>0</v>
      </c>
    </row>
    <row r="40" spans="1:14" x14ac:dyDescent="0.25">
      <c r="A40" s="1">
        <v>43990</v>
      </c>
      <c r="B40">
        <v>316</v>
      </c>
      <c r="C40">
        <v>253</v>
      </c>
      <c r="D40">
        <v>134</v>
      </c>
      <c r="E40">
        <f t="shared" si="2"/>
        <v>324</v>
      </c>
      <c r="F40">
        <f t="shared" si="2"/>
        <v>253</v>
      </c>
      <c r="G40">
        <f t="shared" si="2"/>
        <v>362</v>
      </c>
      <c r="H40" t="str">
        <f t="shared" si="3"/>
        <v>Malinowo-Porzeczkowa</v>
      </c>
      <c r="I40">
        <f>IF(E40=MIN($E40:$G40), E40, E40-MEDIAN($E40:G40))</f>
        <v>0</v>
      </c>
      <c r="J40">
        <f>IF(F40=MIN($E40:$G40), F40, F40-MEDIAN($E40:G40))</f>
        <v>253</v>
      </c>
      <c r="K40">
        <f>IF(G40=MIN($E40:$G40), G40, G40-MEDIAN($E40:G40))</f>
        <v>38</v>
      </c>
      <c r="L40">
        <f t="shared" si="5"/>
        <v>0</v>
      </c>
      <c r="M40">
        <f t="shared" si="6"/>
        <v>324</v>
      </c>
      <c r="N40">
        <f t="shared" si="7"/>
        <v>0</v>
      </c>
    </row>
    <row r="41" spans="1:14" x14ac:dyDescent="0.25">
      <c r="A41" s="1">
        <v>43991</v>
      </c>
      <c r="B41">
        <v>294</v>
      </c>
      <c r="C41">
        <v>249</v>
      </c>
      <c r="D41">
        <v>137</v>
      </c>
      <c r="E41">
        <f t="shared" si="2"/>
        <v>294</v>
      </c>
      <c r="F41">
        <f t="shared" si="2"/>
        <v>502</v>
      </c>
      <c r="G41">
        <f t="shared" si="2"/>
        <v>175</v>
      </c>
      <c r="H41" t="str">
        <f t="shared" si="3"/>
        <v>Malinowo-Truskawkowa</v>
      </c>
      <c r="I41">
        <f>IF(E41=MIN($E41:$G41), E41, E41-MEDIAN($E41:G41))</f>
        <v>0</v>
      </c>
      <c r="J41">
        <f>IF(F41=MIN($E41:$G41), F41, F41-MEDIAN($E41:G41))</f>
        <v>208</v>
      </c>
      <c r="K41">
        <f>IF(G41=MIN($E41:$G41), G41, G41-MEDIAN($E41:G41))</f>
        <v>175</v>
      </c>
      <c r="L41">
        <f t="shared" si="5"/>
        <v>294</v>
      </c>
      <c r="M41">
        <f t="shared" si="6"/>
        <v>0</v>
      </c>
      <c r="N41">
        <f t="shared" si="7"/>
        <v>0</v>
      </c>
    </row>
    <row r="42" spans="1:14" x14ac:dyDescent="0.25">
      <c r="A42" s="1">
        <v>43992</v>
      </c>
      <c r="B42">
        <v>270</v>
      </c>
      <c r="C42">
        <v>206</v>
      </c>
      <c r="D42">
        <v>146</v>
      </c>
      <c r="E42">
        <f t="shared" si="2"/>
        <v>270</v>
      </c>
      <c r="F42">
        <f t="shared" si="2"/>
        <v>414</v>
      </c>
      <c r="G42">
        <f t="shared" si="2"/>
        <v>321</v>
      </c>
      <c r="H42" t="str">
        <f t="shared" si="3"/>
        <v>Truskawkowo-Porzeczkowa</v>
      </c>
      <c r="I42">
        <f>IF(E42=MIN($E42:$G42), E42, E42-MEDIAN($E42:G42))</f>
        <v>270</v>
      </c>
      <c r="J42">
        <f>IF(F42=MIN($E42:$G42), F42, F42-MEDIAN($E42:G42))</f>
        <v>93</v>
      </c>
      <c r="K42">
        <f>IF(G42=MIN($E42:$G42), G42, G42-MEDIAN($E42:G42))</f>
        <v>0</v>
      </c>
      <c r="L42">
        <f t="shared" si="5"/>
        <v>0</v>
      </c>
      <c r="M42">
        <f t="shared" si="6"/>
        <v>0</v>
      </c>
      <c r="N42">
        <f t="shared" si="7"/>
        <v>321</v>
      </c>
    </row>
    <row r="43" spans="1:14" x14ac:dyDescent="0.25">
      <c r="A43" s="1">
        <v>43993</v>
      </c>
      <c r="B43">
        <v>349</v>
      </c>
      <c r="C43">
        <v>301</v>
      </c>
      <c r="D43">
        <v>138</v>
      </c>
      <c r="E43">
        <f t="shared" si="2"/>
        <v>619</v>
      </c>
      <c r="F43">
        <f t="shared" si="2"/>
        <v>394</v>
      </c>
      <c r="G43">
        <f t="shared" si="2"/>
        <v>138</v>
      </c>
      <c r="H43" t="str">
        <f t="shared" si="3"/>
        <v>Malinowo-Truskawkowa</v>
      </c>
      <c r="I43">
        <f>IF(E43=MIN($E43:$G43), E43, E43-MEDIAN($E43:G43))</f>
        <v>225</v>
      </c>
      <c r="J43">
        <f>IF(F43=MIN($E43:$G43), F43, F43-MEDIAN($E43:G43))</f>
        <v>0</v>
      </c>
      <c r="K43">
        <f>IF(G43=MIN($E43:$G43), G43, G43-MEDIAN($E43:G43))</f>
        <v>138</v>
      </c>
      <c r="L43">
        <f t="shared" si="5"/>
        <v>394</v>
      </c>
      <c r="M43">
        <f t="shared" si="6"/>
        <v>0</v>
      </c>
      <c r="N43">
        <f t="shared" si="7"/>
        <v>0</v>
      </c>
    </row>
    <row r="44" spans="1:14" x14ac:dyDescent="0.25">
      <c r="A44" s="1">
        <v>43994</v>
      </c>
      <c r="B44">
        <v>224</v>
      </c>
      <c r="C44">
        <v>385</v>
      </c>
      <c r="D44">
        <v>138</v>
      </c>
      <c r="E44">
        <f t="shared" si="2"/>
        <v>449</v>
      </c>
      <c r="F44">
        <f t="shared" si="2"/>
        <v>385</v>
      </c>
      <c r="G44">
        <f t="shared" si="2"/>
        <v>276</v>
      </c>
      <c r="H44" t="str">
        <f t="shared" si="3"/>
        <v>Malinowo-Truskawkowa</v>
      </c>
      <c r="I44">
        <f>IF(E44=MIN($E44:$G44), E44, E44-MEDIAN($E44:G44))</f>
        <v>64</v>
      </c>
      <c r="J44">
        <f>IF(F44=MIN($E44:$G44), F44, F44-MEDIAN($E44:G44))</f>
        <v>0</v>
      </c>
      <c r="K44">
        <f>IF(G44=MIN($E44:$G44), G44, G44-MEDIAN($E44:G44))</f>
        <v>276</v>
      </c>
      <c r="L44">
        <f t="shared" si="5"/>
        <v>385</v>
      </c>
      <c r="M44">
        <f t="shared" si="6"/>
        <v>0</v>
      </c>
      <c r="N44">
        <f t="shared" si="7"/>
        <v>0</v>
      </c>
    </row>
    <row r="45" spans="1:14" x14ac:dyDescent="0.25">
      <c r="A45" s="1">
        <v>43995</v>
      </c>
      <c r="B45">
        <v>309</v>
      </c>
      <c r="C45">
        <v>204</v>
      </c>
      <c r="D45">
        <v>140</v>
      </c>
      <c r="E45">
        <f t="shared" si="2"/>
        <v>373</v>
      </c>
      <c r="F45">
        <f t="shared" si="2"/>
        <v>204</v>
      </c>
      <c r="G45">
        <f t="shared" si="2"/>
        <v>416</v>
      </c>
      <c r="H45" t="str">
        <f t="shared" si="3"/>
        <v>Malinowo-Porzeczkowa</v>
      </c>
      <c r="I45">
        <f>IF(E45=MIN($E45:$G45), E45, E45-MEDIAN($E45:G45))</f>
        <v>0</v>
      </c>
      <c r="J45">
        <f>IF(F45=MIN($E45:$G45), F45, F45-MEDIAN($E45:G45))</f>
        <v>204</v>
      </c>
      <c r="K45">
        <f>IF(G45=MIN($E45:$G45), G45, G45-MEDIAN($E45:G45))</f>
        <v>43</v>
      </c>
      <c r="L45">
        <f t="shared" si="5"/>
        <v>0</v>
      </c>
      <c r="M45">
        <f t="shared" si="6"/>
        <v>373</v>
      </c>
      <c r="N45">
        <f t="shared" si="7"/>
        <v>0</v>
      </c>
    </row>
    <row r="46" spans="1:14" x14ac:dyDescent="0.25">
      <c r="A46" s="1">
        <v>43996</v>
      </c>
      <c r="B46">
        <v>246</v>
      </c>
      <c r="C46">
        <v>275</v>
      </c>
      <c r="D46">
        <v>130</v>
      </c>
      <c r="E46">
        <f t="shared" si="2"/>
        <v>246</v>
      </c>
      <c r="F46">
        <f t="shared" si="2"/>
        <v>479</v>
      </c>
      <c r="G46">
        <f t="shared" si="2"/>
        <v>173</v>
      </c>
      <c r="H46" t="str">
        <f t="shared" si="3"/>
        <v>Malinowo-Truskawkowa</v>
      </c>
      <c r="I46">
        <f>IF(E46=MIN($E46:$G46), E46, E46-MEDIAN($E46:G46))</f>
        <v>0</v>
      </c>
      <c r="J46">
        <f>IF(F46=MIN($E46:$G46), F46, F46-MEDIAN($E46:G46))</f>
        <v>233</v>
      </c>
      <c r="K46">
        <f>IF(G46=MIN($E46:$G46), G46, G46-MEDIAN($E46:G46))</f>
        <v>173</v>
      </c>
      <c r="L46">
        <f t="shared" si="5"/>
        <v>246</v>
      </c>
      <c r="M46">
        <f t="shared" si="6"/>
        <v>0</v>
      </c>
      <c r="N46">
        <f t="shared" si="7"/>
        <v>0</v>
      </c>
    </row>
    <row r="47" spans="1:14" x14ac:dyDescent="0.25">
      <c r="A47" s="1">
        <v>43997</v>
      </c>
      <c r="B47">
        <v>241</v>
      </c>
      <c r="C47">
        <v>247</v>
      </c>
      <c r="D47">
        <v>166</v>
      </c>
      <c r="E47">
        <f t="shared" si="2"/>
        <v>241</v>
      </c>
      <c r="F47">
        <f t="shared" si="2"/>
        <v>480</v>
      </c>
      <c r="G47">
        <f t="shared" si="2"/>
        <v>339</v>
      </c>
      <c r="H47" t="str">
        <f t="shared" si="3"/>
        <v>Truskawkowo-Porzeczkowa</v>
      </c>
      <c r="I47">
        <f>IF(E47=MIN($E47:$G47), E47, E47-MEDIAN($E47:G47))</f>
        <v>241</v>
      </c>
      <c r="J47">
        <f>IF(F47=MIN($E47:$G47), F47, F47-MEDIAN($E47:G47))</f>
        <v>141</v>
      </c>
      <c r="K47">
        <f>IF(G47=MIN($E47:$G47), G47, G47-MEDIAN($E47:G47))</f>
        <v>0</v>
      </c>
      <c r="L47">
        <f t="shared" si="5"/>
        <v>0</v>
      </c>
      <c r="M47">
        <f t="shared" si="6"/>
        <v>0</v>
      </c>
      <c r="N47">
        <f t="shared" si="7"/>
        <v>339</v>
      </c>
    </row>
    <row r="48" spans="1:14" x14ac:dyDescent="0.25">
      <c r="A48" s="1">
        <v>43998</v>
      </c>
      <c r="B48">
        <v>365</v>
      </c>
      <c r="C48">
        <v>256</v>
      </c>
      <c r="D48">
        <v>132</v>
      </c>
      <c r="E48">
        <f t="shared" si="2"/>
        <v>606</v>
      </c>
      <c r="F48">
        <f t="shared" si="2"/>
        <v>397</v>
      </c>
      <c r="G48">
        <f t="shared" si="2"/>
        <v>132</v>
      </c>
      <c r="H48" t="str">
        <f t="shared" si="3"/>
        <v>Malinowo-Truskawkowa</v>
      </c>
      <c r="I48">
        <f>IF(E48=MIN($E48:$G48), E48, E48-MEDIAN($E48:G48))</f>
        <v>209</v>
      </c>
      <c r="J48">
        <f>IF(F48=MIN($E48:$G48), F48, F48-MEDIAN($E48:G48))</f>
        <v>0</v>
      </c>
      <c r="K48">
        <f>IF(G48=MIN($E48:$G48), G48, G48-MEDIAN($E48:G48))</f>
        <v>132</v>
      </c>
      <c r="L48">
        <f t="shared" si="5"/>
        <v>397</v>
      </c>
      <c r="M48">
        <f t="shared" si="6"/>
        <v>0</v>
      </c>
      <c r="N48">
        <f t="shared" si="7"/>
        <v>0</v>
      </c>
    </row>
    <row r="49" spans="1:14" x14ac:dyDescent="0.25">
      <c r="A49" s="1">
        <v>43999</v>
      </c>
      <c r="B49">
        <v>225</v>
      </c>
      <c r="C49">
        <v>392</v>
      </c>
      <c r="D49">
        <v>158</v>
      </c>
      <c r="E49">
        <f t="shared" si="2"/>
        <v>434</v>
      </c>
      <c r="F49">
        <f t="shared" si="2"/>
        <v>392</v>
      </c>
      <c r="G49">
        <f t="shared" si="2"/>
        <v>290</v>
      </c>
      <c r="H49" t="str">
        <f t="shared" si="3"/>
        <v>Malinowo-Truskawkowa</v>
      </c>
      <c r="I49">
        <f>IF(E49=MIN($E49:$G49), E49, E49-MEDIAN($E49:G49))</f>
        <v>42</v>
      </c>
      <c r="J49">
        <f>IF(F49=MIN($E49:$G49), F49, F49-MEDIAN($E49:G49))</f>
        <v>0</v>
      </c>
      <c r="K49">
        <f>IF(G49=MIN($E49:$G49), G49, G49-MEDIAN($E49:G49))</f>
        <v>290</v>
      </c>
      <c r="L49">
        <f t="shared" si="5"/>
        <v>392</v>
      </c>
      <c r="M49">
        <f t="shared" si="6"/>
        <v>0</v>
      </c>
      <c r="N49">
        <f t="shared" si="7"/>
        <v>0</v>
      </c>
    </row>
    <row r="50" spans="1:14" x14ac:dyDescent="0.25">
      <c r="A50" s="1">
        <v>44000</v>
      </c>
      <c r="B50">
        <v>335</v>
      </c>
      <c r="C50">
        <v>254</v>
      </c>
      <c r="D50">
        <v>173</v>
      </c>
      <c r="E50">
        <f t="shared" si="2"/>
        <v>377</v>
      </c>
      <c r="F50">
        <f t="shared" si="2"/>
        <v>254</v>
      </c>
      <c r="G50">
        <f t="shared" si="2"/>
        <v>463</v>
      </c>
      <c r="H50" t="str">
        <f t="shared" si="3"/>
        <v>Malinowo-Porzeczkowa</v>
      </c>
      <c r="I50">
        <f>IF(E50=MIN($E50:$G50), E50, E50-MEDIAN($E50:G50))</f>
        <v>0</v>
      </c>
      <c r="J50">
        <f>IF(F50=MIN($E50:$G50), F50, F50-MEDIAN($E50:G50))</f>
        <v>254</v>
      </c>
      <c r="K50">
        <f>IF(G50=MIN($E50:$G50), G50, G50-MEDIAN($E50:G50))</f>
        <v>86</v>
      </c>
      <c r="L50">
        <f t="shared" si="5"/>
        <v>0</v>
      </c>
      <c r="M50">
        <f t="shared" si="6"/>
        <v>377</v>
      </c>
      <c r="N50">
        <f t="shared" si="7"/>
        <v>0</v>
      </c>
    </row>
    <row r="51" spans="1:14" x14ac:dyDescent="0.25">
      <c r="A51" s="1">
        <v>44001</v>
      </c>
      <c r="B51">
        <v>376</v>
      </c>
      <c r="C51">
        <v>258</v>
      </c>
      <c r="D51">
        <v>151</v>
      </c>
      <c r="E51">
        <f t="shared" si="2"/>
        <v>376</v>
      </c>
      <c r="F51">
        <f t="shared" si="2"/>
        <v>512</v>
      </c>
      <c r="G51">
        <f t="shared" si="2"/>
        <v>237</v>
      </c>
      <c r="H51" t="str">
        <f t="shared" si="3"/>
        <v>Malinowo-Truskawkowa</v>
      </c>
      <c r="I51">
        <f>IF(E51=MIN($E51:$G51), E51, E51-MEDIAN($E51:G51))</f>
        <v>0</v>
      </c>
      <c r="J51">
        <f>IF(F51=MIN($E51:$G51), F51, F51-MEDIAN($E51:G51))</f>
        <v>136</v>
      </c>
      <c r="K51">
        <f>IF(G51=MIN($E51:$G51), G51, G51-MEDIAN($E51:G51))</f>
        <v>237</v>
      </c>
      <c r="L51">
        <f t="shared" si="5"/>
        <v>376</v>
      </c>
      <c r="M51">
        <f t="shared" si="6"/>
        <v>0</v>
      </c>
      <c r="N51">
        <f t="shared" si="7"/>
        <v>0</v>
      </c>
    </row>
    <row r="52" spans="1:14" x14ac:dyDescent="0.25">
      <c r="A52" s="1">
        <v>44002</v>
      </c>
      <c r="B52">
        <v>310</v>
      </c>
      <c r="C52">
        <v>248</v>
      </c>
      <c r="D52">
        <v>173</v>
      </c>
      <c r="E52">
        <f t="shared" si="2"/>
        <v>310</v>
      </c>
      <c r="F52">
        <f t="shared" si="2"/>
        <v>384</v>
      </c>
      <c r="G52">
        <f t="shared" si="2"/>
        <v>410</v>
      </c>
      <c r="H52" t="str">
        <f t="shared" si="3"/>
        <v>Truskawkowo-Porzeczkowa</v>
      </c>
      <c r="I52">
        <f>IF(E52=MIN($E52:$G52), E52, E52-MEDIAN($E52:G52))</f>
        <v>310</v>
      </c>
      <c r="J52">
        <f>IF(F52=MIN($E52:$G52), F52, F52-MEDIAN($E52:G52))</f>
        <v>0</v>
      </c>
      <c r="K52">
        <f>IF(G52=MIN($E52:$G52), G52, G52-MEDIAN($E52:G52))</f>
        <v>26</v>
      </c>
      <c r="L52">
        <f t="shared" si="5"/>
        <v>0</v>
      </c>
      <c r="M52">
        <f t="shared" si="6"/>
        <v>0</v>
      </c>
      <c r="N52">
        <f t="shared" si="7"/>
        <v>384</v>
      </c>
    </row>
    <row r="53" spans="1:14" x14ac:dyDescent="0.25">
      <c r="A53" s="1">
        <v>44003</v>
      </c>
      <c r="B53">
        <v>408</v>
      </c>
      <c r="C53">
        <v>250</v>
      </c>
      <c r="D53">
        <v>242</v>
      </c>
      <c r="E53">
        <f t="shared" si="2"/>
        <v>718</v>
      </c>
      <c r="F53">
        <f t="shared" si="2"/>
        <v>250</v>
      </c>
      <c r="G53">
        <f t="shared" si="2"/>
        <v>268</v>
      </c>
      <c r="H53" t="str">
        <f t="shared" si="3"/>
        <v>Malinowo-Porzeczkowa</v>
      </c>
      <c r="I53">
        <f>IF(E53=MIN($E53:$G53), E53, E53-MEDIAN($E53:G53))</f>
        <v>450</v>
      </c>
      <c r="J53">
        <f>IF(F53=MIN($E53:$G53), F53, F53-MEDIAN($E53:G53))</f>
        <v>250</v>
      </c>
      <c r="K53">
        <f>IF(G53=MIN($E53:$G53), G53, G53-MEDIAN($E53:G53))</f>
        <v>0</v>
      </c>
      <c r="L53">
        <f t="shared" si="5"/>
        <v>0</v>
      </c>
      <c r="M53">
        <f t="shared" si="6"/>
        <v>268</v>
      </c>
      <c r="N53">
        <f t="shared" si="7"/>
        <v>0</v>
      </c>
    </row>
    <row r="54" spans="1:14" x14ac:dyDescent="0.25">
      <c r="A54" s="1">
        <v>44004</v>
      </c>
      <c r="B54">
        <v>256</v>
      </c>
      <c r="C54">
        <v>393</v>
      </c>
      <c r="D54">
        <v>219</v>
      </c>
      <c r="E54">
        <f t="shared" si="2"/>
        <v>706</v>
      </c>
      <c r="F54">
        <f t="shared" si="2"/>
        <v>643</v>
      </c>
      <c r="G54">
        <f t="shared" si="2"/>
        <v>219</v>
      </c>
      <c r="H54" t="str">
        <f t="shared" si="3"/>
        <v>Malinowo-Truskawkowa</v>
      </c>
      <c r="I54">
        <f>IF(E54=MIN($E54:$G54), E54, E54-MEDIAN($E54:G54))</f>
        <v>63</v>
      </c>
      <c r="J54">
        <f>IF(F54=MIN($E54:$G54), F54, F54-MEDIAN($E54:G54))</f>
        <v>0</v>
      </c>
      <c r="K54">
        <f>IF(G54=MIN($E54:$G54), G54, G54-MEDIAN($E54:G54))</f>
        <v>219</v>
      </c>
      <c r="L54">
        <f t="shared" si="5"/>
        <v>643</v>
      </c>
      <c r="M54">
        <f t="shared" si="6"/>
        <v>0</v>
      </c>
      <c r="N54">
        <f t="shared" si="7"/>
        <v>0</v>
      </c>
    </row>
    <row r="55" spans="1:14" x14ac:dyDescent="0.25">
      <c r="A55" s="1">
        <v>44005</v>
      </c>
      <c r="B55">
        <v>322</v>
      </c>
      <c r="C55">
        <v>425</v>
      </c>
      <c r="D55">
        <v>215</v>
      </c>
      <c r="E55">
        <f t="shared" si="2"/>
        <v>385</v>
      </c>
      <c r="F55">
        <f t="shared" si="2"/>
        <v>425</v>
      </c>
      <c r="G55">
        <f t="shared" si="2"/>
        <v>434</v>
      </c>
      <c r="H55" t="str">
        <f t="shared" si="3"/>
        <v>Truskawkowo-Porzeczkowa</v>
      </c>
      <c r="I55">
        <f>IF(E55=MIN($E55:$G55), E55, E55-MEDIAN($E55:G55))</f>
        <v>385</v>
      </c>
      <c r="J55">
        <f>IF(F55=MIN($E55:$G55), F55, F55-MEDIAN($E55:G55))</f>
        <v>0</v>
      </c>
      <c r="K55">
        <f>IF(G55=MIN($E55:$G55), G55, G55-MEDIAN($E55:G55))</f>
        <v>9</v>
      </c>
      <c r="L55">
        <f t="shared" si="5"/>
        <v>0</v>
      </c>
      <c r="M55">
        <f t="shared" si="6"/>
        <v>0</v>
      </c>
      <c r="N55">
        <f t="shared" si="7"/>
        <v>425</v>
      </c>
    </row>
    <row r="56" spans="1:14" x14ac:dyDescent="0.25">
      <c r="A56" s="1">
        <v>44006</v>
      </c>
      <c r="B56">
        <v>447</v>
      </c>
      <c r="C56">
        <v>385</v>
      </c>
      <c r="D56">
        <v>212</v>
      </c>
      <c r="E56">
        <f t="shared" si="2"/>
        <v>832</v>
      </c>
      <c r="F56">
        <f t="shared" si="2"/>
        <v>385</v>
      </c>
      <c r="G56">
        <f t="shared" si="2"/>
        <v>221</v>
      </c>
      <c r="H56" t="str">
        <f t="shared" si="3"/>
        <v>Malinowo-Truskawkowa</v>
      </c>
      <c r="I56">
        <f>IF(E56=MIN($E56:$G56), E56, E56-MEDIAN($E56:G56))</f>
        <v>447</v>
      </c>
      <c r="J56">
        <f>IF(F56=MIN($E56:$G56), F56, F56-MEDIAN($E56:G56))</f>
        <v>0</v>
      </c>
      <c r="K56">
        <f>IF(G56=MIN($E56:$G56), G56, G56-MEDIAN($E56:G56))</f>
        <v>221</v>
      </c>
      <c r="L56">
        <f t="shared" si="5"/>
        <v>385</v>
      </c>
      <c r="M56">
        <f t="shared" si="6"/>
        <v>0</v>
      </c>
      <c r="N56">
        <f t="shared" si="7"/>
        <v>0</v>
      </c>
    </row>
    <row r="57" spans="1:14" x14ac:dyDescent="0.25">
      <c r="A57" s="1">
        <v>44007</v>
      </c>
      <c r="B57">
        <v>408</v>
      </c>
      <c r="C57">
        <v>260</v>
      </c>
      <c r="D57">
        <v>225</v>
      </c>
      <c r="E57">
        <f t="shared" si="2"/>
        <v>855</v>
      </c>
      <c r="F57">
        <f t="shared" si="2"/>
        <v>260</v>
      </c>
      <c r="G57">
        <f t="shared" si="2"/>
        <v>446</v>
      </c>
      <c r="H57" t="str">
        <f t="shared" si="3"/>
        <v>Malinowo-Porzeczkowa</v>
      </c>
      <c r="I57">
        <f>IF(E57=MIN($E57:$G57), E57, E57-MEDIAN($E57:G57))</f>
        <v>409</v>
      </c>
      <c r="J57">
        <f>IF(F57=MIN($E57:$G57), F57, F57-MEDIAN($E57:G57))</f>
        <v>260</v>
      </c>
      <c r="K57">
        <f>IF(G57=MIN($E57:$G57), G57, G57-MEDIAN($E57:G57))</f>
        <v>0</v>
      </c>
      <c r="L57">
        <f t="shared" si="5"/>
        <v>0</v>
      </c>
      <c r="M57">
        <f t="shared" si="6"/>
        <v>446</v>
      </c>
      <c r="N57">
        <f t="shared" si="7"/>
        <v>0</v>
      </c>
    </row>
    <row r="58" spans="1:14" x14ac:dyDescent="0.25">
      <c r="A58" s="1">
        <v>44008</v>
      </c>
      <c r="B58">
        <v>283</v>
      </c>
      <c r="C58">
        <v>396</v>
      </c>
      <c r="D58">
        <v>221</v>
      </c>
      <c r="E58">
        <f t="shared" si="2"/>
        <v>692</v>
      </c>
      <c r="F58">
        <f t="shared" si="2"/>
        <v>656</v>
      </c>
      <c r="G58">
        <f t="shared" si="2"/>
        <v>221</v>
      </c>
      <c r="H58" t="str">
        <f t="shared" si="3"/>
        <v>Malinowo-Truskawkowa</v>
      </c>
      <c r="I58">
        <f>IF(E58=MIN($E58:$G58), E58, E58-MEDIAN($E58:G58))</f>
        <v>36</v>
      </c>
      <c r="J58">
        <f>IF(F58=MIN($E58:$G58), F58, F58-MEDIAN($E58:G58))</f>
        <v>0</v>
      </c>
      <c r="K58">
        <f>IF(G58=MIN($E58:$G58), G58, G58-MEDIAN($E58:G58))</f>
        <v>221</v>
      </c>
      <c r="L58">
        <f t="shared" si="5"/>
        <v>656</v>
      </c>
      <c r="M58">
        <f t="shared" si="6"/>
        <v>0</v>
      </c>
      <c r="N58">
        <f t="shared" si="7"/>
        <v>0</v>
      </c>
    </row>
    <row r="59" spans="1:14" x14ac:dyDescent="0.25">
      <c r="A59" s="1">
        <v>44009</v>
      </c>
      <c r="B59">
        <v>414</v>
      </c>
      <c r="C59">
        <v>314</v>
      </c>
      <c r="D59">
        <v>220</v>
      </c>
      <c r="E59">
        <f t="shared" si="2"/>
        <v>450</v>
      </c>
      <c r="F59">
        <f t="shared" si="2"/>
        <v>314</v>
      </c>
      <c r="G59">
        <f t="shared" si="2"/>
        <v>441</v>
      </c>
      <c r="H59" t="str">
        <f t="shared" si="3"/>
        <v>Malinowo-Porzeczkowa</v>
      </c>
      <c r="I59">
        <f>IF(E59=MIN($E59:$G59), E59, E59-MEDIAN($E59:G59))</f>
        <v>9</v>
      </c>
      <c r="J59">
        <f>IF(F59=MIN($E59:$G59), F59, F59-MEDIAN($E59:G59))</f>
        <v>314</v>
      </c>
      <c r="K59">
        <f>IF(G59=MIN($E59:$G59), G59, G59-MEDIAN($E59:G59))</f>
        <v>0</v>
      </c>
      <c r="L59">
        <f t="shared" si="5"/>
        <v>0</v>
      </c>
      <c r="M59">
        <f t="shared" si="6"/>
        <v>441</v>
      </c>
      <c r="N59">
        <f t="shared" si="7"/>
        <v>0</v>
      </c>
    </row>
    <row r="60" spans="1:14" x14ac:dyDescent="0.25">
      <c r="A60" s="1">
        <v>44010</v>
      </c>
      <c r="B60">
        <v>442</v>
      </c>
      <c r="C60">
        <v>449</v>
      </c>
      <c r="D60">
        <v>245</v>
      </c>
      <c r="E60">
        <f t="shared" si="2"/>
        <v>451</v>
      </c>
      <c r="F60">
        <f t="shared" si="2"/>
        <v>763</v>
      </c>
      <c r="G60">
        <f t="shared" si="2"/>
        <v>245</v>
      </c>
      <c r="H60" t="str">
        <f t="shared" si="3"/>
        <v>Malinowo-Truskawkowa</v>
      </c>
      <c r="I60">
        <f>IF(E60=MIN($E60:$G60), E60, E60-MEDIAN($E60:G60))</f>
        <v>0</v>
      </c>
      <c r="J60">
        <f>IF(F60=MIN($E60:$G60), F60, F60-MEDIAN($E60:G60))</f>
        <v>312</v>
      </c>
      <c r="K60">
        <f>IF(G60=MIN($E60:$G60), G60, G60-MEDIAN($E60:G60))</f>
        <v>245</v>
      </c>
      <c r="L60">
        <f t="shared" si="5"/>
        <v>451</v>
      </c>
      <c r="M60">
        <f t="shared" si="6"/>
        <v>0</v>
      </c>
      <c r="N60">
        <f t="shared" si="7"/>
        <v>0</v>
      </c>
    </row>
    <row r="61" spans="1:14" x14ac:dyDescent="0.25">
      <c r="A61" s="1">
        <v>44011</v>
      </c>
      <c r="B61">
        <v>269</v>
      </c>
      <c r="C61">
        <v>370</v>
      </c>
      <c r="D61">
        <v>242</v>
      </c>
      <c r="E61">
        <f t="shared" si="2"/>
        <v>269</v>
      </c>
      <c r="F61">
        <f t="shared" si="2"/>
        <v>682</v>
      </c>
      <c r="G61">
        <f t="shared" si="2"/>
        <v>487</v>
      </c>
      <c r="H61" t="str">
        <f t="shared" si="3"/>
        <v>Truskawkowo-Porzeczkowa</v>
      </c>
      <c r="I61">
        <f>IF(E61=MIN($E61:$G61), E61, E61-MEDIAN($E61:G61))</f>
        <v>269</v>
      </c>
      <c r="J61">
        <f>IF(F61=MIN($E61:$G61), F61, F61-MEDIAN($E61:G61))</f>
        <v>195</v>
      </c>
      <c r="K61">
        <f>IF(G61=MIN($E61:$G61), G61, G61-MEDIAN($E61:G61))</f>
        <v>0</v>
      </c>
      <c r="L61">
        <f t="shared" si="5"/>
        <v>0</v>
      </c>
      <c r="M61">
        <f t="shared" si="6"/>
        <v>0</v>
      </c>
      <c r="N61">
        <f t="shared" si="7"/>
        <v>487</v>
      </c>
    </row>
    <row r="62" spans="1:14" x14ac:dyDescent="0.25">
      <c r="A62" s="1">
        <v>44012</v>
      </c>
      <c r="B62">
        <v>444</v>
      </c>
      <c r="C62">
        <v>350</v>
      </c>
      <c r="D62">
        <v>236</v>
      </c>
      <c r="E62">
        <f t="shared" si="2"/>
        <v>713</v>
      </c>
      <c r="F62">
        <f t="shared" si="2"/>
        <v>545</v>
      </c>
      <c r="G62">
        <f t="shared" si="2"/>
        <v>236</v>
      </c>
      <c r="H62" t="str">
        <f t="shared" si="3"/>
        <v>Malinowo-Truskawkowa</v>
      </c>
      <c r="I62">
        <f>IF(E62=MIN($E62:$G62), E62, E62-MEDIAN($E62:G62))</f>
        <v>168</v>
      </c>
      <c r="J62">
        <f>IF(F62=MIN($E62:$G62), F62, F62-MEDIAN($E62:G62))</f>
        <v>0</v>
      </c>
      <c r="K62">
        <f>IF(G62=MIN($E62:$G62), G62, G62-MEDIAN($E62:G62))</f>
        <v>236</v>
      </c>
      <c r="L62">
        <f t="shared" si="5"/>
        <v>545</v>
      </c>
      <c r="M62">
        <f t="shared" si="6"/>
        <v>0</v>
      </c>
      <c r="N62">
        <f t="shared" si="7"/>
        <v>0</v>
      </c>
    </row>
    <row r="63" spans="1:14" x14ac:dyDescent="0.25">
      <c r="A63" s="1">
        <v>44013</v>
      </c>
      <c r="B63">
        <v>425</v>
      </c>
      <c r="C63">
        <v>342</v>
      </c>
      <c r="D63">
        <v>237</v>
      </c>
      <c r="E63">
        <f t="shared" si="2"/>
        <v>593</v>
      </c>
      <c r="F63">
        <f t="shared" si="2"/>
        <v>342</v>
      </c>
      <c r="G63">
        <f t="shared" si="2"/>
        <v>473</v>
      </c>
      <c r="H63" t="str">
        <f t="shared" si="3"/>
        <v>Malinowo-Porzeczkowa</v>
      </c>
      <c r="I63">
        <f>IF(E63=MIN($E63:$G63), E63, E63-MEDIAN($E63:G63))</f>
        <v>120</v>
      </c>
      <c r="J63">
        <f>IF(F63=MIN($E63:$G63), F63, F63-MEDIAN($E63:G63))</f>
        <v>342</v>
      </c>
      <c r="K63">
        <f>IF(G63=MIN($E63:$G63), G63, G63-MEDIAN($E63:G63))</f>
        <v>0</v>
      </c>
      <c r="L63">
        <f t="shared" si="5"/>
        <v>0</v>
      </c>
      <c r="M63">
        <f t="shared" si="6"/>
        <v>473</v>
      </c>
      <c r="N63">
        <f t="shared" si="7"/>
        <v>0</v>
      </c>
    </row>
    <row r="64" spans="1:14" x14ac:dyDescent="0.25">
      <c r="A64" s="1">
        <v>44014</v>
      </c>
      <c r="B64">
        <v>377</v>
      </c>
      <c r="C64">
        <v>290</v>
      </c>
      <c r="D64">
        <v>240</v>
      </c>
      <c r="E64">
        <f t="shared" si="2"/>
        <v>497</v>
      </c>
      <c r="F64">
        <f t="shared" si="2"/>
        <v>632</v>
      </c>
      <c r="G64">
        <f t="shared" si="2"/>
        <v>240</v>
      </c>
      <c r="H64" t="str">
        <f t="shared" si="3"/>
        <v>Malinowo-Truskawkowa</v>
      </c>
      <c r="I64">
        <f>IF(E64=MIN($E64:$G64), E64, E64-MEDIAN($E64:G64))</f>
        <v>0</v>
      </c>
      <c r="J64">
        <f>IF(F64=MIN($E64:$G64), F64, F64-MEDIAN($E64:G64))</f>
        <v>135</v>
      </c>
      <c r="K64">
        <f>IF(G64=MIN($E64:$G64), G64, G64-MEDIAN($E64:G64))</f>
        <v>240</v>
      </c>
      <c r="L64">
        <f t="shared" si="5"/>
        <v>497</v>
      </c>
      <c r="M64">
        <f t="shared" si="6"/>
        <v>0</v>
      </c>
      <c r="N64">
        <f t="shared" si="7"/>
        <v>0</v>
      </c>
    </row>
    <row r="65" spans="1:14" x14ac:dyDescent="0.25">
      <c r="A65" s="1">
        <v>44015</v>
      </c>
      <c r="B65">
        <v>382</v>
      </c>
      <c r="C65">
        <v>360</v>
      </c>
      <c r="D65">
        <v>203</v>
      </c>
      <c r="E65">
        <f t="shared" si="2"/>
        <v>382</v>
      </c>
      <c r="F65">
        <f t="shared" si="2"/>
        <v>495</v>
      </c>
      <c r="G65">
        <f t="shared" si="2"/>
        <v>443</v>
      </c>
      <c r="H65" t="str">
        <f t="shared" si="3"/>
        <v>Truskawkowo-Porzeczkowa</v>
      </c>
      <c r="I65">
        <f>IF(E65=MIN($E65:$G65), E65, E65-MEDIAN($E65:G65))</f>
        <v>382</v>
      </c>
      <c r="J65">
        <f>IF(F65=MIN($E65:$G65), F65, F65-MEDIAN($E65:G65))</f>
        <v>52</v>
      </c>
      <c r="K65">
        <f>IF(G65=MIN($E65:$G65), G65, G65-MEDIAN($E65:G65))</f>
        <v>0</v>
      </c>
      <c r="L65">
        <f t="shared" si="5"/>
        <v>0</v>
      </c>
      <c r="M65">
        <f t="shared" si="6"/>
        <v>0</v>
      </c>
      <c r="N65">
        <f t="shared" si="7"/>
        <v>443</v>
      </c>
    </row>
    <row r="66" spans="1:14" x14ac:dyDescent="0.25">
      <c r="A66" s="1">
        <v>44016</v>
      </c>
      <c r="B66">
        <v>287</v>
      </c>
      <c r="C66">
        <v>428</v>
      </c>
      <c r="D66">
        <v>204</v>
      </c>
      <c r="E66">
        <f t="shared" si="2"/>
        <v>669</v>
      </c>
      <c r="F66">
        <f t="shared" si="2"/>
        <v>480</v>
      </c>
      <c r="G66">
        <f t="shared" si="2"/>
        <v>204</v>
      </c>
      <c r="H66" t="str">
        <f t="shared" si="3"/>
        <v>Malinowo-Truskawkowa</v>
      </c>
      <c r="I66">
        <f>IF(E66=MIN($E66:$G66), E66, E66-MEDIAN($E66:G66))</f>
        <v>189</v>
      </c>
      <c r="J66">
        <f>IF(F66=MIN($E66:$G66), F66, F66-MEDIAN($E66:G66))</f>
        <v>0</v>
      </c>
      <c r="K66">
        <f>IF(G66=MIN($E66:$G66), G66, G66-MEDIAN($E66:G66))</f>
        <v>204</v>
      </c>
      <c r="L66">
        <f t="shared" ref="L66:L97" si="8">IF(H66="Malinowo-Truskawkowa", MEDIAN($E66:$G66), 0)</f>
        <v>480</v>
      </c>
      <c r="M66">
        <f t="shared" ref="M66:M97" si="9">IF(H66="Malinowo-Porzeczkowa", MEDIAN($E66:$G66), 0)</f>
        <v>0</v>
      </c>
      <c r="N66">
        <f t="shared" ref="N66:N97" si="10">IF(H66="Truskawkowo-Porzeczkowa", MEDIAN($E66:$G66), 0)</f>
        <v>0</v>
      </c>
    </row>
    <row r="67" spans="1:14" x14ac:dyDescent="0.25">
      <c r="A67" s="1">
        <v>44017</v>
      </c>
      <c r="B67">
        <v>429</v>
      </c>
      <c r="C67">
        <v>394</v>
      </c>
      <c r="D67">
        <v>246</v>
      </c>
      <c r="E67">
        <f t="shared" si="2"/>
        <v>618</v>
      </c>
      <c r="F67">
        <f t="shared" si="2"/>
        <v>394</v>
      </c>
      <c r="G67">
        <f t="shared" si="2"/>
        <v>450</v>
      </c>
      <c r="H67" t="str">
        <f t="shared" si="3"/>
        <v>Malinowo-Porzeczkowa</v>
      </c>
      <c r="I67">
        <f>IF(E67=MIN($E67:$G67), E67, E67-MEDIAN($E67:G67))</f>
        <v>168</v>
      </c>
      <c r="J67">
        <f>IF(F67=MIN($E67:$G67), F67, F67-MEDIAN($E67:G67))</f>
        <v>394</v>
      </c>
      <c r="K67">
        <f>IF(G67=MIN($E67:$G67), G67, G67-MEDIAN($E67:G67))</f>
        <v>0</v>
      </c>
      <c r="L67">
        <f t="shared" si="8"/>
        <v>0</v>
      </c>
      <c r="M67">
        <f t="shared" si="9"/>
        <v>450</v>
      </c>
      <c r="N67">
        <f t="shared" si="10"/>
        <v>0</v>
      </c>
    </row>
    <row r="68" spans="1:14" x14ac:dyDescent="0.25">
      <c r="A68" s="1">
        <v>44018</v>
      </c>
      <c r="B68">
        <v>287</v>
      </c>
      <c r="C68">
        <v>356</v>
      </c>
      <c r="D68">
        <v>233</v>
      </c>
      <c r="E68">
        <f t="shared" ref="E68:G131" si="11">B68+I67</f>
        <v>455</v>
      </c>
      <c r="F68">
        <f t="shared" si="11"/>
        <v>750</v>
      </c>
      <c r="G68">
        <f t="shared" si="11"/>
        <v>233</v>
      </c>
      <c r="H68" t="str">
        <f t="shared" ref="H68:H131" si="12">IF(E68=MIN(E68:G68), "Truskawkowo-Porzeczkowa", IF(F68=MIN(E68:G68), "Malinowo-Porzeczkowa", "Malinowo-Truskawkowa"))</f>
        <v>Malinowo-Truskawkowa</v>
      </c>
      <c r="I68">
        <f>IF(E68=MIN($E68:$G68), E68, E68-MEDIAN($E68:G68))</f>
        <v>0</v>
      </c>
      <c r="J68">
        <f>IF(F68=MIN($E68:$G68), F68, F68-MEDIAN($E68:G68))</f>
        <v>295</v>
      </c>
      <c r="K68">
        <f>IF(G68=MIN($E68:$G68), G68, G68-MEDIAN($E68:G68))</f>
        <v>233</v>
      </c>
      <c r="L68">
        <f t="shared" si="8"/>
        <v>455</v>
      </c>
      <c r="M68">
        <f t="shared" si="9"/>
        <v>0</v>
      </c>
      <c r="N68">
        <f t="shared" si="10"/>
        <v>0</v>
      </c>
    </row>
    <row r="69" spans="1:14" x14ac:dyDescent="0.25">
      <c r="A69" s="1">
        <v>44019</v>
      </c>
      <c r="B69">
        <v>421</v>
      </c>
      <c r="C69">
        <v>292</v>
      </c>
      <c r="D69">
        <v>226</v>
      </c>
      <c r="E69">
        <f t="shared" si="11"/>
        <v>421</v>
      </c>
      <c r="F69">
        <f t="shared" si="11"/>
        <v>587</v>
      </c>
      <c r="G69">
        <f t="shared" si="11"/>
        <v>459</v>
      </c>
      <c r="H69" t="str">
        <f t="shared" si="12"/>
        <v>Truskawkowo-Porzeczkowa</v>
      </c>
      <c r="I69">
        <f>IF(E69=MIN($E69:$G69), E69, E69-MEDIAN($E69:G69))</f>
        <v>421</v>
      </c>
      <c r="J69">
        <f>IF(F69=MIN($E69:$G69), F69, F69-MEDIAN($E69:G69))</f>
        <v>128</v>
      </c>
      <c r="K69">
        <f>IF(G69=MIN($E69:$G69), G69, G69-MEDIAN($E69:G69))</f>
        <v>0</v>
      </c>
      <c r="L69">
        <f t="shared" si="8"/>
        <v>0</v>
      </c>
      <c r="M69">
        <f t="shared" si="9"/>
        <v>0</v>
      </c>
      <c r="N69">
        <f t="shared" si="10"/>
        <v>459</v>
      </c>
    </row>
    <row r="70" spans="1:14" x14ac:dyDescent="0.25">
      <c r="A70" s="1">
        <v>44020</v>
      </c>
      <c r="B70">
        <v>334</v>
      </c>
      <c r="C70">
        <v>353</v>
      </c>
      <c r="D70">
        <v>282</v>
      </c>
      <c r="E70">
        <f t="shared" si="11"/>
        <v>755</v>
      </c>
      <c r="F70">
        <f t="shared" si="11"/>
        <v>481</v>
      </c>
      <c r="G70">
        <f t="shared" si="11"/>
        <v>282</v>
      </c>
      <c r="H70" t="str">
        <f t="shared" si="12"/>
        <v>Malinowo-Truskawkowa</v>
      </c>
      <c r="I70">
        <f>IF(E70=MIN($E70:$G70), E70, E70-MEDIAN($E70:G70))</f>
        <v>274</v>
      </c>
      <c r="J70">
        <f>IF(F70=MIN($E70:$G70), F70, F70-MEDIAN($E70:G70))</f>
        <v>0</v>
      </c>
      <c r="K70">
        <f>IF(G70=MIN($E70:$G70), G70, G70-MEDIAN($E70:G70))</f>
        <v>282</v>
      </c>
      <c r="L70">
        <f t="shared" si="8"/>
        <v>481</v>
      </c>
      <c r="M70">
        <f t="shared" si="9"/>
        <v>0</v>
      </c>
      <c r="N70">
        <f t="shared" si="10"/>
        <v>0</v>
      </c>
    </row>
    <row r="71" spans="1:14" x14ac:dyDescent="0.25">
      <c r="A71" s="1">
        <v>44021</v>
      </c>
      <c r="B71">
        <v>282</v>
      </c>
      <c r="C71">
        <v>329</v>
      </c>
      <c r="D71">
        <v>262</v>
      </c>
      <c r="E71">
        <f t="shared" si="11"/>
        <v>556</v>
      </c>
      <c r="F71">
        <f t="shared" si="11"/>
        <v>329</v>
      </c>
      <c r="G71">
        <f t="shared" si="11"/>
        <v>544</v>
      </c>
      <c r="H71" t="str">
        <f t="shared" si="12"/>
        <v>Malinowo-Porzeczkowa</v>
      </c>
      <c r="I71">
        <f>IF(E71=MIN($E71:$G71), E71, E71-MEDIAN($E71:G71))</f>
        <v>12</v>
      </c>
      <c r="J71">
        <f>IF(F71=MIN($E71:$G71), F71, F71-MEDIAN($E71:G71))</f>
        <v>329</v>
      </c>
      <c r="K71">
        <f>IF(G71=MIN($E71:$G71), G71, G71-MEDIAN($E71:G71))</f>
        <v>0</v>
      </c>
      <c r="L71">
        <f t="shared" si="8"/>
        <v>0</v>
      </c>
      <c r="M71">
        <f t="shared" si="9"/>
        <v>544</v>
      </c>
      <c r="N71">
        <f t="shared" si="10"/>
        <v>0</v>
      </c>
    </row>
    <row r="72" spans="1:14" x14ac:dyDescent="0.25">
      <c r="A72" s="1">
        <v>44022</v>
      </c>
      <c r="B72">
        <v>356</v>
      </c>
      <c r="C72">
        <v>331</v>
      </c>
      <c r="D72">
        <v>290</v>
      </c>
      <c r="E72">
        <f t="shared" si="11"/>
        <v>368</v>
      </c>
      <c r="F72">
        <f t="shared" si="11"/>
        <v>660</v>
      </c>
      <c r="G72">
        <f t="shared" si="11"/>
        <v>290</v>
      </c>
      <c r="H72" t="str">
        <f t="shared" si="12"/>
        <v>Malinowo-Truskawkowa</v>
      </c>
      <c r="I72">
        <f>IF(E72=MIN($E72:$G72), E72, E72-MEDIAN($E72:G72))</f>
        <v>0</v>
      </c>
      <c r="J72">
        <f>IF(F72=MIN($E72:$G72), F72, F72-MEDIAN($E72:G72))</f>
        <v>292</v>
      </c>
      <c r="K72">
        <f>IF(G72=MIN($E72:$G72), G72, G72-MEDIAN($E72:G72))</f>
        <v>290</v>
      </c>
      <c r="L72">
        <f t="shared" si="8"/>
        <v>368</v>
      </c>
      <c r="M72">
        <f t="shared" si="9"/>
        <v>0</v>
      </c>
      <c r="N72">
        <f t="shared" si="10"/>
        <v>0</v>
      </c>
    </row>
    <row r="73" spans="1:14" x14ac:dyDescent="0.25">
      <c r="A73" s="1">
        <v>44023</v>
      </c>
      <c r="B73">
        <v>307</v>
      </c>
      <c r="C73">
        <v>394</v>
      </c>
      <c r="D73">
        <v>256</v>
      </c>
      <c r="E73">
        <f t="shared" si="11"/>
        <v>307</v>
      </c>
      <c r="F73">
        <f t="shared" si="11"/>
        <v>686</v>
      </c>
      <c r="G73">
        <f t="shared" si="11"/>
        <v>546</v>
      </c>
      <c r="H73" t="str">
        <f t="shared" si="12"/>
        <v>Truskawkowo-Porzeczkowa</v>
      </c>
      <c r="I73">
        <f>IF(E73=MIN($E73:$G73), E73, E73-MEDIAN($E73:G73))</f>
        <v>307</v>
      </c>
      <c r="J73">
        <f>IF(F73=MIN($E73:$G73), F73, F73-MEDIAN($E73:G73))</f>
        <v>140</v>
      </c>
      <c r="K73">
        <f>IF(G73=MIN($E73:$G73), G73, G73-MEDIAN($E73:G73))</f>
        <v>0</v>
      </c>
      <c r="L73">
        <f t="shared" si="8"/>
        <v>0</v>
      </c>
      <c r="M73">
        <f t="shared" si="9"/>
        <v>0</v>
      </c>
      <c r="N73">
        <f t="shared" si="10"/>
        <v>546</v>
      </c>
    </row>
    <row r="74" spans="1:14" x14ac:dyDescent="0.25">
      <c r="A74" s="1">
        <v>44024</v>
      </c>
      <c r="B74">
        <v>441</v>
      </c>
      <c r="C74">
        <v>271</v>
      </c>
      <c r="D74">
        <v>292</v>
      </c>
      <c r="E74">
        <f t="shared" si="11"/>
        <v>748</v>
      </c>
      <c r="F74">
        <f t="shared" si="11"/>
        <v>411</v>
      </c>
      <c r="G74">
        <f t="shared" si="11"/>
        <v>292</v>
      </c>
      <c r="H74" t="str">
        <f t="shared" si="12"/>
        <v>Malinowo-Truskawkowa</v>
      </c>
      <c r="I74">
        <f>IF(E74=MIN($E74:$G74), E74, E74-MEDIAN($E74:G74))</f>
        <v>337</v>
      </c>
      <c r="J74">
        <f>IF(F74=MIN($E74:$G74), F74, F74-MEDIAN($E74:G74))</f>
        <v>0</v>
      </c>
      <c r="K74">
        <f>IF(G74=MIN($E74:$G74), G74, G74-MEDIAN($E74:G74))</f>
        <v>292</v>
      </c>
      <c r="L74">
        <f t="shared" si="8"/>
        <v>411</v>
      </c>
      <c r="M74">
        <f t="shared" si="9"/>
        <v>0</v>
      </c>
      <c r="N74">
        <f t="shared" si="10"/>
        <v>0</v>
      </c>
    </row>
    <row r="75" spans="1:14" x14ac:dyDescent="0.25">
      <c r="A75" s="1">
        <v>44025</v>
      </c>
      <c r="B75">
        <v>407</v>
      </c>
      <c r="C75">
        <v>311</v>
      </c>
      <c r="D75">
        <v>280</v>
      </c>
      <c r="E75">
        <f t="shared" si="11"/>
        <v>744</v>
      </c>
      <c r="F75">
        <f t="shared" si="11"/>
        <v>311</v>
      </c>
      <c r="G75">
        <f t="shared" si="11"/>
        <v>572</v>
      </c>
      <c r="H75" t="str">
        <f t="shared" si="12"/>
        <v>Malinowo-Porzeczkowa</v>
      </c>
      <c r="I75">
        <f>IF(E75=MIN($E75:$G75), E75, E75-MEDIAN($E75:G75))</f>
        <v>172</v>
      </c>
      <c r="J75">
        <f>IF(F75=MIN($E75:$G75), F75, F75-MEDIAN($E75:G75))</f>
        <v>311</v>
      </c>
      <c r="K75">
        <f>IF(G75=MIN($E75:$G75), G75, G75-MEDIAN($E75:G75))</f>
        <v>0</v>
      </c>
      <c r="L75">
        <f t="shared" si="8"/>
        <v>0</v>
      </c>
      <c r="M75">
        <f t="shared" si="9"/>
        <v>572</v>
      </c>
      <c r="N75">
        <f t="shared" si="10"/>
        <v>0</v>
      </c>
    </row>
    <row r="76" spans="1:14" x14ac:dyDescent="0.25">
      <c r="A76" s="1">
        <v>44026</v>
      </c>
      <c r="B76">
        <v>480</v>
      </c>
      <c r="C76">
        <v>342</v>
      </c>
      <c r="D76">
        <v>292</v>
      </c>
      <c r="E76">
        <f t="shared" si="11"/>
        <v>652</v>
      </c>
      <c r="F76">
        <f t="shared" si="11"/>
        <v>653</v>
      </c>
      <c r="G76">
        <f t="shared" si="11"/>
        <v>292</v>
      </c>
      <c r="H76" t="str">
        <f t="shared" si="12"/>
        <v>Malinowo-Truskawkowa</v>
      </c>
      <c r="I76">
        <f>IF(E76=MIN($E76:$G76), E76, E76-MEDIAN($E76:G76))</f>
        <v>0</v>
      </c>
      <c r="J76">
        <f>IF(F76=MIN($E76:$G76), F76, F76-MEDIAN($E76:G76))</f>
        <v>1</v>
      </c>
      <c r="K76">
        <f>IF(G76=MIN($E76:$G76), G76, G76-MEDIAN($E76:G76))</f>
        <v>292</v>
      </c>
      <c r="L76">
        <f t="shared" si="8"/>
        <v>652</v>
      </c>
      <c r="M76">
        <f t="shared" si="9"/>
        <v>0</v>
      </c>
      <c r="N76">
        <f t="shared" si="10"/>
        <v>0</v>
      </c>
    </row>
    <row r="77" spans="1:14" x14ac:dyDescent="0.25">
      <c r="A77" s="1">
        <v>44027</v>
      </c>
      <c r="B77">
        <v>494</v>
      </c>
      <c r="C77">
        <v>310</v>
      </c>
      <c r="D77">
        <v>275</v>
      </c>
      <c r="E77">
        <f t="shared" si="11"/>
        <v>494</v>
      </c>
      <c r="F77">
        <f t="shared" si="11"/>
        <v>311</v>
      </c>
      <c r="G77">
        <f t="shared" si="11"/>
        <v>567</v>
      </c>
      <c r="H77" t="str">
        <f t="shared" si="12"/>
        <v>Malinowo-Porzeczkowa</v>
      </c>
      <c r="I77">
        <f>IF(E77=MIN($E77:$G77), E77, E77-MEDIAN($E77:G77))</f>
        <v>0</v>
      </c>
      <c r="J77">
        <f>IF(F77=MIN($E77:$G77), F77, F77-MEDIAN($E77:G77))</f>
        <v>311</v>
      </c>
      <c r="K77">
        <f>IF(G77=MIN($E77:$G77), G77, G77-MEDIAN($E77:G77))</f>
        <v>73</v>
      </c>
      <c r="L77">
        <f t="shared" si="8"/>
        <v>0</v>
      </c>
      <c r="M77">
        <f t="shared" si="9"/>
        <v>494</v>
      </c>
      <c r="N77">
        <f t="shared" si="10"/>
        <v>0</v>
      </c>
    </row>
    <row r="78" spans="1:14" x14ac:dyDescent="0.25">
      <c r="A78" s="1">
        <v>44028</v>
      </c>
      <c r="B78">
        <v>493</v>
      </c>
      <c r="C78">
        <v>431</v>
      </c>
      <c r="D78">
        <v>283</v>
      </c>
      <c r="E78">
        <f t="shared" si="11"/>
        <v>493</v>
      </c>
      <c r="F78">
        <f t="shared" si="11"/>
        <v>742</v>
      </c>
      <c r="G78">
        <f t="shared" si="11"/>
        <v>356</v>
      </c>
      <c r="H78" t="str">
        <f t="shared" si="12"/>
        <v>Malinowo-Truskawkowa</v>
      </c>
      <c r="I78">
        <f>IF(E78=MIN($E78:$G78), E78, E78-MEDIAN($E78:G78))</f>
        <v>0</v>
      </c>
      <c r="J78">
        <f>IF(F78=MIN($E78:$G78), F78, F78-MEDIAN($E78:G78))</f>
        <v>249</v>
      </c>
      <c r="K78">
        <f>IF(G78=MIN($E78:$G78), G78, G78-MEDIAN($E78:G78))</f>
        <v>356</v>
      </c>
      <c r="L78">
        <f t="shared" si="8"/>
        <v>493</v>
      </c>
      <c r="M78">
        <f t="shared" si="9"/>
        <v>0</v>
      </c>
      <c r="N78">
        <f t="shared" si="10"/>
        <v>0</v>
      </c>
    </row>
    <row r="79" spans="1:14" x14ac:dyDescent="0.25">
      <c r="A79" s="1">
        <v>44029</v>
      </c>
      <c r="B79">
        <v>302</v>
      </c>
      <c r="C79">
        <v>415</v>
      </c>
      <c r="D79">
        <v>297</v>
      </c>
      <c r="E79">
        <f t="shared" si="11"/>
        <v>302</v>
      </c>
      <c r="F79">
        <f t="shared" si="11"/>
        <v>664</v>
      </c>
      <c r="G79">
        <f t="shared" si="11"/>
        <v>653</v>
      </c>
      <c r="H79" t="str">
        <f t="shared" si="12"/>
        <v>Truskawkowo-Porzeczkowa</v>
      </c>
      <c r="I79">
        <f>IF(E79=MIN($E79:$G79), E79, E79-MEDIAN($E79:G79))</f>
        <v>302</v>
      </c>
      <c r="J79">
        <f>IF(F79=MIN($E79:$G79), F79, F79-MEDIAN($E79:G79))</f>
        <v>11</v>
      </c>
      <c r="K79">
        <f>IF(G79=MIN($E79:$G79), G79, G79-MEDIAN($E79:G79))</f>
        <v>0</v>
      </c>
      <c r="L79">
        <f t="shared" si="8"/>
        <v>0</v>
      </c>
      <c r="M79">
        <f t="shared" si="9"/>
        <v>0</v>
      </c>
      <c r="N79">
        <f t="shared" si="10"/>
        <v>653</v>
      </c>
    </row>
    <row r="80" spans="1:14" x14ac:dyDescent="0.25">
      <c r="A80" s="1">
        <v>44030</v>
      </c>
      <c r="B80">
        <v>331</v>
      </c>
      <c r="C80">
        <v>353</v>
      </c>
      <c r="D80">
        <v>373</v>
      </c>
      <c r="E80">
        <f t="shared" si="11"/>
        <v>633</v>
      </c>
      <c r="F80">
        <f t="shared" si="11"/>
        <v>364</v>
      </c>
      <c r="G80">
        <f t="shared" si="11"/>
        <v>373</v>
      </c>
      <c r="H80" t="str">
        <f t="shared" si="12"/>
        <v>Malinowo-Porzeczkowa</v>
      </c>
      <c r="I80">
        <f>IF(E80=MIN($E80:$G80), E80, E80-MEDIAN($E80:G80))</f>
        <v>260</v>
      </c>
      <c r="J80">
        <f>IF(F80=MIN($E80:$G80), F80, F80-MEDIAN($E80:G80))</f>
        <v>364</v>
      </c>
      <c r="K80">
        <f>IF(G80=MIN($E80:$G80), G80, G80-MEDIAN($E80:G80))</f>
        <v>0</v>
      </c>
      <c r="L80">
        <f t="shared" si="8"/>
        <v>0</v>
      </c>
      <c r="M80">
        <f t="shared" si="9"/>
        <v>373</v>
      </c>
      <c r="N80">
        <f t="shared" si="10"/>
        <v>0</v>
      </c>
    </row>
    <row r="81" spans="1:14" x14ac:dyDescent="0.25">
      <c r="A81" s="1">
        <v>44031</v>
      </c>
      <c r="B81">
        <v>486</v>
      </c>
      <c r="C81">
        <v>323</v>
      </c>
      <c r="D81">
        <v>359</v>
      </c>
      <c r="E81">
        <f t="shared" si="11"/>
        <v>746</v>
      </c>
      <c r="F81">
        <f t="shared" si="11"/>
        <v>687</v>
      </c>
      <c r="G81">
        <f t="shared" si="11"/>
        <v>359</v>
      </c>
      <c r="H81" t="str">
        <f t="shared" si="12"/>
        <v>Malinowo-Truskawkowa</v>
      </c>
      <c r="I81">
        <f>IF(E81=MIN($E81:$G81), E81, E81-MEDIAN($E81:G81))</f>
        <v>59</v>
      </c>
      <c r="J81">
        <f>IF(F81=MIN($E81:$G81), F81, F81-MEDIAN($E81:G81))</f>
        <v>0</v>
      </c>
      <c r="K81">
        <f>IF(G81=MIN($E81:$G81), G81, G81-MEDIAN($E81:G81))</f>
        <v>359</v>
      </c>
      <c r="L81">
        <f t="shared" si="8"/>
        <v>687</v>
      </c>
      <c r="M81">
        <f t="shared" si="9"/>
        <v>0</v>
      </c>
      <c r="N81">
        <f t="shared" si="10"/>
        <v>0</v>
      </c>
    </row>
    <row r="82" spans="1:14" x14ac:dyDescent="0.25">
      <c r="A82" s="1">
        <v>44032</v>
      </c>
      <c r="B82">
        <v>360</v>
      </c>
      <c r="C82">
        <v>331</v>
      </c>
      <c r="D82">
        <v>445</v>
      </c>
      <c r="E82">
        <f t="shared" si="11"/>
        <v>419</v>
      </c>
      <c r="F82">
        <f t="shared" si="11"/>
        <v>331</v>
      </c>
      <c r="G82">
        <f t="shared" si="11"/>
        <v>804</v>
      </c>
      <c r="H82" t="str">
        <f t="shared" si="12"/>
        <v>Malinowo-Porzeczkowa</v>
      </c>
      <c r="I82">
        <f>IF(E82=MIN($E82:$G82), E82, E82-MEDIAN($E82:G82))</f>
        <v>0</v>
      </c>
      <c r="J82">
        <f>IF(F82=MIN($E82:$G82), F82, F82-MEDIAN($E82:G82))</f>
        <v>331</v>
      </c>
      <c r="K82">
        <f>IF(G82=MIN($E82:$G82), G82, G82-MEDIAN($E82:G82))</f>
        <v>385</v>
      </c>
      <c r="L82">
        <f t="shared" si="8"/>
        <v>0</v>
      </c>
      <c r="M82">
        <f t="shared" si="9"/>
        <v>419</v>
      </c>
      <c r="N82">
        <f t="shared" si="10"/>
        <v>0</v>
      </c>
    </row>
    <row r="83" spans="1:14" x14ac:dyDescent="0.25">
      <c r="A83" s="1">
        <v>44033</v>
      </c>
      <c r="B83">
        <v>391</v>
      </c>
      <c r="C83">
        <v>455</v>
      </c>
      <c r="D83">
        <v>427</v>
      </c>
      <c r="E83">
        <f t="shared" si="11"/>
        <v>391</v>
      </c>
      <c r="F83">
        <f t="shared" si="11"/>
        <v>786</v>
      </c>
      <c r="G83">
        <f t="shared" si="11"/>
        <v>812</v>
      </c>
      <c r="H83" t="str">
        <f t="shared" si="12"/>
        <v>Truskawkowo-Porzeczkowa</v>
      </c>
      <c r="I83">
        <f>IF(E83=MIN($E83:$G83), E83, E83-MEDIAN($E83:G83))</f>
        <v>391</v>
      </c>
      <c r="J83">
        <f>IF(F83=MIN($E83:$G83), F83, F83-MEDIAN($E83:G83))</f>
        <v>0</v>
      </c>
      <c r="K83">
        <f>IF(G83=MIN($E83:$G83), G83, G83-MEDIAN($E83:G83))</f>
        <v>26</v>
      </c>
      <c r="L83">
        <f t="shared" si="8"/>
        <v>0</v>
      </c>
      <c r="M83">
        <f t="shared" si="9"/>
        <v>0</v>
      </c>
      <c r="N83">
        <f t="shared" si="10"/>
        <v>786</v>
      </c>
    </row>
    <row r="84" spans="1:14" x14ac:dyDescent="0.25">
      <c r="A84" s="1">
        <v>44034</v>
      </c>
      <c r="B84">
        <v>327</v>
      </c>
      <c r="C84">
        <v>471</v>
      </c>
      <c r="D84">
        <v>423</v>
      </c>
      <c r="E84">
        <f t="shared" si="11"/>
        <v>718</v>
      </c>
      <c r="F84">
        <f t="shared" si="11"/>
        <v>471</v>
      </c>
      <c r="G84">
        <f t="shared" si="11"/>
        <v>449</v>
      </c>
      <c r="H84" t="str">
        <f t="shared" si="12"/>
        <v>Malinowo-Truskawkowa</v>
      </c>
      <c r="I84">
        <f>IF(E84=MIN($E84:$G84), E84, E84-MEDIAN($E84:G84))</f>
        <v>247</v>
      </c>
      <c r="J84">
        <f>IF(F84=MIN($E84:$G84), F84, F84-MEDIAN($E84:G84))</f>
        <v>0</v>
      </c>
      <c r="K84">
        <f>IF(G84=MIN($E84:$G84), G84, G84-MEDIAN($E84:G84))</f>
        <v>449</v>
      </c>
      <c r="L84">
        <f t="shared" si="8"/>
        <v>471</v>
      </c>
      <c r="M84">
        <f t="shared" si="9"/>
        <v>0</v>
      </c>
      <c r="N84">
        <f t="shared" si="10"/>
        <v>0</v>
      </c>
    </row>
    <row r="85" spans="1:14" x14ac:dyDescent="0.25">
      <c r="A85" s="1">
        <v>44035</v>
      </c>
      <c r="B85">
        <v>355</v>
      </c>
      <c r="C85">
        <v>490</v>
      </c>
      <c r="D85">
        <v>449</v>
      </c>
      <c r="E85">
        <f t="shared" si="11"/>
        <v>602</v>
      </c>
      <c r="F85">
        <f t="shared" si="11"/>
        <v>490</v>
      </c>
      <c r="G85">
        <f t="shared" si="11"/>
        <v>898</v>
      </c>
      <c r="H85" t="str">
        <f t="shared" si="12"/>
        <v>Malinowo-Porzeczkowa</v>
      </c>
      <c r="I85">
        <f>IF(E85=MIN($E85:$G85), E85, E85-MEDIAN($E85:G85))</f>
        <v>0</v>
      </c>
      <c r="J85">
        <f>IF(F85=MIN($E85:$G85), F85, F85-MEDIAN($E85:G85))</f>
        <v>490</v>
      </c>
      <c r="K85">
        <f>IF(G85=MIN($E85:$G85), G85, G85-MEDIAN($E85:G85))</f>
        <v>296</v>
      </c>
      <c r="L85">
        <f t="shared" si="8"/>
        <v>0</v>
      </c>
      <c r="M85">
        <f t="shared" si="9"/>
        <v>602</v>
      </c>
      <c r="N85">
        <f t="shared" si="10"/>
        <v>0</v>
      </c>
    </row>
    <row r="86" spans="1:14" x14ac:dyDescent="0.25">
      <c r="A86" s="1">
        <v>44036</v>
      </c>
      <c r="B86">
        <v>360</v>
      </c>
      <c r="C86">
        <v>339</v>
      </c>
      <c r="D86">
        <v>470</v>
      </c>
      <c r="E86">
        <f t="shared" si="11"/>
        <v>360</v>
      </c>
      <c r="F86">
        <f t="shared" si="11"/>
        <v>829</v>
      </c>
      <c r="G86">
        <f t="shared" si="11"/>
        <v>766</v>
      </c>
      <c r="H86" t="str">
        <f t="shared" si="12"/>
        <v>Truskawkowo-Porzeczkowa</v>
      </c>
      <c r="I86">
        <f>IF(E86=MIN($E86:$G86), E86, E86-MEDIAN($E86:G86))</f>
        <v>360</v>
      </c>
      <c r="J86">
        <f>IF(F86=MIN($E86:$G86), F86, F86-MEDIAN($E86:G86))</f>
        <v>63</v>
      </c>
      <c r="K86">
        <f>IF(G86=MIN($E86:$G86), G86, G86-MEDIAN($E86:G86))</f>
        <v>0</v>
      </c>
      <c r="L86">
        <f t="shared" si="8"/>
        <v>0</v>
      </c>
      <c r="M86">
        <f t="shared" si="9"/>
        <v>0</v>
      </c>
      <c r="N86">
        <f t="shared" si="10"/>
        <v>766</v>
      </c>
    </row>
    <row r="87" spans="1:14" x14ac:dyDescent="0.25">
      <c r="A87" s="1">
        <v>44037</v>
      </c>
      <c r="B87">
        <v>303</v>
      </c>
      <c r="C87">
        <v>404</v>
      </c>
      <c r="D87">
        <v>434</v>
      </c>
      <c r="E87">
        <f t="shared" si="11"/>
        <v>663</v>
      </c>
      <c r="F87">
        <f t="shared" si="11"/>
        <v>467</v>
      </c>
      <c r="G87">
        <f t="shared" si="11"/>
        <v>434</v>
      </c>
      <c r="H87" t="str">
        <f t="shared" si="12"/>
        <v>Malinowo-Truskawkowa</v>
      </c>
      <c r="I87">
        <f>IF(E87=MIN($E87:$G87), E87, E87-MEDIAN($E87:G87))</f>
        <v>196</v>
      </c>
      <c r="J87">
        <f>IF(F87=MIN($E87:$G87), F87, F87-MEDIAN($E87:G87))</f>
        <v>0</v>
      </c>
      <c r="K87">
        <f>IF(G87=MIN($E87:$G87), G87, G87-MEDIAN($E87:G87))</f>
        <v>434</v>
      </c>
      <c r="L87">
        <f t="shared" si="8"/>
        <v>467</v>
      </c>
      <c r="M87">
        <f t="shared" si="9"/>
        <v>0</v>
      </c>
      <c r="N87">
        <f t="shared" si="10"/>
        <v>0</v>
      </c>
    </row>
    <row r="88" spans="1:14" x14ac:dyDescent="0.25">
      <c r="A88" s="1">
        <v>44038</v>
      </c>
      <c r="B88">
        <v>310</v>
      </c>
      <c r="C88">
        <v>332</v>
      </c>
      <c r="D88">
        <v>536</v>
      </c>
      <c r="E88">
        <f t="shared" si="11"/>
        <v>506</v>
      </c>
      <c r="F88">
        <f t="shared" si="11"/>
        <v>332</v>
      </c>
      <c r="G88">
        <f t="shared" si="11"/>
        <v>970</v>
      </c>
      <c r="H88" t="str">
        <f t="shared" si="12"/>
        <v>Malinowo-Porzeczkowa</v>
      </c>
      <c r="I88">
        <f>IF(E88=MIN($E88:$G88), E88, E88-MEDIAN($E88:G88))</f>
        <v>0</v>
      </c>
      <c r="J88">
        <f>IF(F88=MIN($E88:$G88), F88, F88-MEDIAN($E88:G88))</f>
        <v>332</v>
      </c>
      <c r="K88">
        <f>IF(G88=MIN($E88:$G88), G88, G88-MEDIAN($E88:G88))</f>
        <v>464</v>
      </c>
      <c r="L88">
        <f t="shared" si="8"/>
        <v>0</v>
      </c>
      <c r="M88">
        <f t="shared" si="9"/>
        <v>506</v>
      </c>
      <c r="N88">
        <f t="shared" si="10"/>
        <v>0</v>
      </c>
    </row>
    <row r="89" spans="1:14" x14ac:dyDescent="0.25">
      <c r="A89" s="1">
        <v>44039</v>
      </c>
      <c r="B89">
        <v>435</v>
      </c>
      <c r="C89">
        <v>406</v>
      </c>
      <c r="D89">
        <v>421</v>
      </c>
      <c r="E89">
        <f t="shared" si="11"/>
        <v>435</v>
      </c>
      <c r="F89">
        <f t="shared" si="11"/>
        <v>738</v>
      </c>
      <c r="G89">
        <f t="shared" si="11"/>
        <v>885</v>
      </c>
      <c r="H89" t="str">
        <f t="shared" si="12"/>
        <v>Truskawkowo-Porzeczkowa</v>
      </c>
      <c r="I89">
        <f>IF(E89=MIN($E89:$G89), E89, E89-MEDIAN($E89:G89))</f>
        <v>435</v>
      </c>
      <c r="J89">
        <f>IF(F89=MIN($E89:$G89), F89, F89-MEDIAN($E89:G89))</f>
        <v>0</v>
      </c>
      <c r="K89">
        <f>IF(G89=MIN($E89:$G89), G89, G89-MEDIAN($E89:G89))</f>
        <v>147</v>
      </c>
      <c r="L89">
        <f t="shared" si="8"/>
        <v>0</v>
      </c>
      <c r="M89">
        <f t="shared" si="9"/>
        <v>0</v>
      </c>
      <c r="N89">
        <f t="shared" si="10"/>
        <v>738</v>
      </c>
    </row>
    <row r="90" spans="1:14" x14ac:dyDescent="0.25">
      <c r="A90" s="1">
        <v>44040</v>
      </c>
      <c r="B90">
        <v>344</v>
      </c>
      <c r="C90">
        <v>348</v>
      </c>
      <c r="D90">
        <v>555</v>
      </c>
      <c r="E90">
        <f t="shared" si="11"/>
        <v>779</v>
      </c>
      <c r="F90">
        <f t="shared" si="11"/>
        <v>348</v>
      </c>
      <c r="G90">
        <f t="shared" si="11"/>
        <v>702</v>
      </c>
      <c r="H90" t="str">
        <f t="shared" si="12"/>
        <v>Malinowo-Porzeczkowa</v>
      </c>
      <c r="I90">
        <f>IF(E90=MIN($E90:$G90), E90, E90-MEDIAN($E90:G90))</f>
        <v>77</v>
      </c>
      <c r="J90">
        <f>IF(F90=MIN($E90:$G90), F90, F90-MEDIAN($E90:G90))</f>
        <v>348</v>
      </c>
      <c r="K90">
        <f>IF(G90=MIN($E90:$G90), G90, G90-MEDIAN($E90:G90))</f>
        <v>0</v>
      </c>
      <c r="L90">
        <f t="shared" si="8"/>
        <v>0</v>
      </c>
      <c r="M90">
        <f t="shared" si="9"/>
        <v>702</v>
      </c>
      <c r="N90">
        <f t="shared" si="10"/>
        <v>0</v>
      </c>
    </row>
    <row r="91" spans="1:14" x14ac:dyDescent="0.25">
      <c r="A91" s="1">
        <v>44041</v>
      </c>
      <c r="B91">
        <v>303</v>
      </c>
      <c r="C91">
        <v>335</v>
      </c>
      <c r="D91">
        <v>436</v>
      </c>
      <c r="E91">
        <f t="shared" si="11"/>
        <v>380</v>
      </c>
      <c r="F91">
        <f t="shared" si="11"/>
        <v>683</v>
      </c>
      <c r="G91">
        <f t="shared" si="11"/>
        <v>436</v>
      </c>
      <c r="H91" t="str">
        <f t="shared" si="12"/>
        <v>Truskawkowo-Porzeczkowa</v>
      </c>
      <c r="I91">
        <f>IF(E91=MIN($E91:$G91), E91, E91-MEDIAN($E91:G91))</f>
        <v>380</v>
      </c>
      <c r="J91">
        <f>IF(F91=MIN($E91:$G91), F91, F91-MEDIAN($E91:G91))</f>
        <v>247</v>
      </c>
      <c r="K91">
        <f>IF(G91=MIN($E91:$G91), G91, G91-MEDIAN($E91:G91))</f>
        <v>0</v>
      </c>
      <c r="L91">
        <f t="shared" si="8"/>
        <v>0</v>
      </c>
      <c r="M91">
        <f t="shared" si="9"/>
        <v>0</v>
      </c>
      <c r="N91">
        <f t="shared" si="10"/>
        <v>436</v>
      </c>
    </row>
    <row r="92" spans="1:14" x14ac:dyDescent="0.25">
      <c r="A92" s="1">
        <v>44042</v>
      </c>
      <c r="B92">
        <v>433</v>
      </c>
      <c r="C92">
        <v>425</v>
      </c>
      <c r="D92">
        <v>422</v>
      </c>
      <c r="E92">
        <f t="shared" si="11"/>
        <v>813</v>
      </c>
      <c r="F92">
        <f t="shared" si="11"/>
        <v>672</v>
      </c>
      <c r="G92">
        <f t="shared" si="11"/>
        <v>422</v>
      </c>
      <c r="H92" t="str">
        <f t="shared" si="12"/>
        <v>Malinowo-Truskawkowa</v>
      </c>
      <c r="I92">
        <f>IF(E92=MIN($E92:$G92), E92, E92-MEDIAN($E92:G92))</f>
        <v>141</v>
      </c>
      <c r="J92">
        <f>IF(F92=MIN($E92:$G92), F92, F92-MEDIAN($E92:G92))</f>
        <v>0</v>
      </c>
      <c r="K92">
        <f>IF(G92=MIN($E92:$G92), G92, G92-MEDIAN($E92:G92))</f>
        <v>422</v>
      </c>
      <c r="L92">
        <f t="shared" si="8"/>
        <v>672</v>
      </c>
      <c r="M92">
        <f t="shared" si="9"/>
        <v>0</v>
      </c>
      <c r="N92">
        <f t="shared" si="10"/>
        <v>0</v>
      </c>
    </row>
    <row r="93" spans="1:14" x14ac:dyDescent="0.25">
      <c r="A93" s="1">
        <v>44043</v>
      </c>
      <c r="B93">
        <v>350</v>
      </c>
      <c r="C93">
        <v>378</v>
      </c>
      <c r="D93">
        <v>419</v>
      </c>
      <c r="E93">
        <f t="shared" si="11"/>
        <v>491</v>
      </c>
      <c r="F93">
        <f t="shared" si="11"/>
        <v>378</v>
      </c>
      <c r="G93">
        <f t="shared" si="11"/>
        <v>841</v>
      </c>
      <c r="H93" t="str">
        <f t="shared" si="12"/>
        <v>Malinowo-Porzeczkowa</v>
      </c>
      <c r="I93">
        <f>IF(E93=MIN($E93:$G93), E93, E93-MEDIAN($E93:G93))</f>
        <v>0</v>
      </c>
      <c r="J93">
        <f>IF(F93=MIN($E93:$G93), F93, F93-MEDIAN($E93:G93))</f>
        <v>378</v>
      </c>
      <c r="K93">
        <f>IF(G93=MIN($E93:$G93), G93, G93-MEDIAN($E93:G93))</f>
        <v>350</v>
      </c>
      <c r="L93">
        <f t="shared" si="8"/>
        <v>0</v>
      </c>
      <c r="M93">
        <f t="shared" si="9"/>
        <v>491</v>
      </c>
      <c r="N93">
        <f t="shared" si="10"/>
        <v>0</v>
      </c>
    </row>
    <row r="94" spans="1:14" x14ac:dyDescent="0.25">
      <c r="A94" s="1">
        <v>44044</v>
      </c>
      <c r="B94">
        <v>396</v>
      </c>
      <c r="C94">
        <v>466</v>
      </c>
      <c r="D94">
        <v>434</v>
      </c>
      <c r="E94">
        <f t="shared" si="11"/>
        <v>396</v>
      </c>
      <c r="F94">
        <f t="shared" si="11"/>
        <v>844</v>
      </c>
      <c r="G94">
        <f t="shared" si="11"/>
        <v>784</v>
      </c>
      <c r="H94" t="str">
        <f t="shared" si="12"/>
        <v>Truskawkowo-Porzeczkowa</v>
      </c>
      <c r="I94">
        <f>IF(E94=MIN($E94:$G94), E94, E94-MEDIAN($E94:G94))</f>
        <v>396</v>
      </c>
      <c r="J94">
        <f>IF(F94=MIN($E94:$G94), F94, F94-MEDIAN($E94:G94))</f>
        <v>60</v>
      </c>
      <c r="K94">
        <f>IF(G94=MIN($E94:$G94), G94, G94-MEDIAN($E94:G94))</f>
        <v>0</v>
      </c>
      <c r="L94">
        <f t="shared" si="8"/>
        <v>0</v>
      </c>
      <c r="M94">
        <f t="shared" si="9"/>
        <v>0</v>
      </c>
      <c r="N94">
        <f t="shared" si="10"/>
        <v>784</v>
      </c>
    </row>
    <row r="95" spans="1:14" x14ac:dyDescent="0.25">
      <c r="A95" s="1">
        <v>44045</v>
      </c>
      <c r="B95">
        <v>495</v>
      </c>
      <c r="C95">
        <v>410</v>
      </c>
      <c r="D95">
        <v>418</v>
      </c>
      <c r="E95">
        <f t="shared" si="11"/>
        <v>891</v>
      </c>
      <c r="F95">
        <f t="shared" si="11"/>
        <v>470</v>
      </c>
      <c r="G95">
        <f t="shared" si="11"/>
        <v>418</v>
      </c>
      <c r="H95" t="str">
        <f t="shared" si="12"/>
        <v>Malinowo-Truskawkowa</v>
      </c>
      <c r="I95">
        <f>IF(E95=MIN($E95:$G95), E95, E95-MEDIAN($E95:G95))</f>
        <v>421</v>
      </c>
      <c r="J95">
        <f>IF(F95=MIN($E95:$G95), F95, F95-MEDIAN($E95:G95))</f>
        <v>0</v>
      </c>
      <c r="K95">
        <f>IF(G95=MIN($E95:$G95), G95, G95-MEDIAN($E95:G95))</f>
        <v>418</v>
      </c>
      <c r="L95">
        <f t="shared" si="8"/>
        <v>470</v>
      </c>
      <c r="M95">
        <f t="shared" si="9"/>
        <v>0</v>
      </c>
      <c r="N95">
        <f t="shared" si="10"/>
        <v>0</v>
      </c>
    </row>
    <row r="96" spans="1:14" x14ac:dyDescent="0.25">
      <c r="A96" s="1">
        <v>44046</v>
      </c>
      <c r="B96">
        <v>420</v>
      </c>
      <c r="C96">
        <v>328</v>
      </c>
      <c r="D96">
        <v>422</v>
      </c>
      <c r="E96">
        <f t="shared" si="11"/>
        <v>841</v>
      </c>
      <c r="F96">
        <f t="shared" si="11"/>
        <v>328</v>
      </c>
      <c r="G96">
        <f t="shared" si="11"/>
        <v>840</v>
      </c>
      <c r="H96" t="str">
        <f t="shared" si="12"/>
        <v>Malinowo-Porzeczkowa</v>
      </c>
      <c r="I96">
        <f>IF(E96=MIN($E96:$G96), E96, E96-MEDIAN($E96:G96))</f>
        <v>1</v>
      </c>
      <c r="J96">
        <f>IF(F96=MIN($E96:$G96), F96, F96-MEDIAN($E96:G96))</f>
        <v>328</v>
      </c>
      <c r="K96">
        <f>IF(G96=MIN($E96:$G96), G96, G96-MEDIAN($E96:G96))</f>
        <v>0</v>
      </c>
      <c r="L96">
        <f t="shared" si="8"/>
        <v>0</v>
      </c>
      <c r="M96">
        <f t="shared" si="9"/>
        <v>840</v>
      </c>
      <c r="N96">
        <f t="shared" si="10"/>
        <v>0</v>
      </c>
    </row>
    <row r="97" spans="1:14" x14ac:dyDescent="0.25">
      <c r="A97" s="1">
        <v>44047</v>
      </c>
      <c r="B97">
        <v>411</v>
      </c>
      <c r="C97">
        <v>481</v>
      </c>
      <c r="D97">
        <v>445</v>
      </c>
      <c r="E97">
        <f t="shared" si="11"/>
        <v>412</v>
      </c>
      <c r="F97">
        <f t="shared" si="11"/>
        <v>809</v>
      </c>
      <c r="G97">
        <f t="shared" si="11"/>
        <v>445</v>
      </c>
      <c r="H97" t="str">
        <f t="shared" si="12"/>
        <v>Truskawkowo-Porzeczkowa</v>
      </c>
      <c r="I97">
        <f>IF(E97=MIN($E97:$G97), E97, E97-MEDIAN($E97:G97))</f>
        <v>412</v>
      </c>
      <c r="J97">
        <f>IF(F97=MIN($E97:$G97), F97, F97-MEDIAN($E97:G97))</f>
        <v>364</v>
      </c>
      <c r="K97">
        <f>IF(G97=MIN($E97:$G97), G97, G97-MEDIAN($E97:G97))</f>
        <v>0</v>
      </c>
      <c r="L97">
        <f t="shared" si="8"/>
        <v>0</v>
      </c>
      <c r="M97">
        <f t="shared" si="9"/>
        <v>0</v>
      </c>
      <c r="N97">
        <f t="shared" si="10"/>
        <v>445</v>
      </c>
    </row>
    <row r="98" spans="1:14" x14ac:dyDescent="0.25">
      <c r="A98" s="1">
        <v>44048</v>
      </c>
      <c r="B98">
        <v>317</v>
      </c>
      <c r="C98">
        <v>434</v>
      </c>
      <c r="D98">
        <v>411</v>
      </c>
      <c r="E98">
        <f t="shared" si="11"/>
        <v>729</v>
      </c>
      <c r="F98">
        <f t="shared" si="11"/>
        <v>798</v>
      </c>
      <c r="G98">
        <f t="shared" si="11"/>
        <v>411</v>
      </c>
      <c r="H98" t="str">
        <f t="shared" si="12"/>
        <v>Malinowo-Truskawkowa</v>
      </c>
      <c r="I98">
        <f>IF(E98=MIN($E98:$G98), E98, E98-MEDIAN($E98:G98))</f>
        <v>0</v>
      </c>
      <c r="J98">
        <f>IF(F98=MIN($E98:$G98), F98, F98-MEDIAN($E98:G98))</f>
        <v>69</v>
      </c>
      <c r="K98">
        <f>IF(G98=MIN($E98:$G98), G98, G98-MEDIAN($E98:G98))</f>
        <v>411</v>
      </c>
      <c r="L98">
        <f t="shared" ref="L98:L129" si="13">IF(H98="Malinowo-Truskawkowa", MEDIAN($E98:$G98), 0)</f>
        <v>729</v>
      </c>
      <c r="M98">
        <f t="shared" ref="M98:M129" si="14">IF(H98="Malinowo-Porzeczkowa", MEDIAN($E98:$G98), 0)</f>
        <v>0</v>
      </c>
      <c r="N98">
        <f t="shared" ref="N98:N129" si="15">IF(H98="Truskawkowo-Porzeczkowa", MEDIAN($E98:$G98), 0)</f>
        <v>0</v>
      </c>
    </row>
    <row r="99" spans="1:14" x14ac:dyDescent="0.25">
      <c r="A99" s="1">
        <v>44049</v>
      </c>
      <c r="B99">
        <v>342</v>
      </c>
      <c r="C99">
        <v>465</v>
      </c>
      <c r="D99">
        <v>417</v>
      </c>
      <c r="E99">
        <f t="shared" si="11"/>
        <v>342</v>
      </c>
      <c r="F99">
        <f t="shared" si="11"/>
        <v>534</v>
      </c>
      <c r="G99">
        <f t="shared" si="11"/>
        <v>828</v>
      </c>
      <c r="H99" t="str">
        <f t="shared" si="12"/>
        <v>Truskawkowo-Porzeczkowa</v>
      </c>
      <c r="I99">
        <f>IF(E99=MIN($E99:$G99), E99, E99-MEDIAN($E99:G99))</f>
        <v>342</v>
      </c>
      <c r="J99">
        <f>IF(F99=MIN($E99:$G99), F99, F99-MEDIAN($E99:G99))</f>
        <v>0</v>
      </c>
      <c r="K99">
        <f>IF(G99=MIN($E99:$G99), G99, G99-MEDIAN($E99:G99))</f>
        <v>294</v>
      </c>
      <c r="L99">
        <f t="shared" si="13"/>
        <v>0</v>
      </c>
      <c r="M99">
        <f t="shared" si="14"/>
        <v>0</v>
      </c>
      <c r="N99">
        <f t="shared" si="15"/>
        <v>534</v>
      </c>
    </row>
    <row r="100" spans="1:14" x14ac:dyDescent="0.25">
      <c r="A100" s="1">
        <v>44050</v>
      </c>
      <c r="B100">
        <v>450</v>
      </c>
      <c r="C100">
        <v>318</v>
      </c>
      <c r="D100">
        <v>490</v>
      </c>
      <c r="E100">
        <f t="shared" si="11"/>
        <v>792</v>
      </c>
      <c r="F100">
        <f t="shared" si="11"/>
        <v>318</v>
      </c>
      <c r="G100">
        <f t="shared" si="11"/>
        <v>784</v>
      </c>
      <c r="H100" t="str">
        <f t="shared" si="12"/>
        <v>Malinowo-Porzeczkowa</v>
      </c>
      <c r="I100">
        <f>IF(E100=MIN($E100:$G100), E100, E100-MEDIAN($E100:G100))</f>
        <v>8</v>
      </c>
      <c r="J100">
        <f>IF(F100=MIN($E100:$G100), F100, F100-MEDIAN($E100:G100))</f>
        <v>318</v>
      </c>
      <c r="K100">
        <f>IF(G100=MIN($E100:$G100), G100, G100-MEDIAN($E100:G100))</f>
        <v>0</v>
      </c>
      <c r="L100">
        <f t="shared" si="13"/>
        <v>0</v>
      </c>
      <c r="M100">
        <f t="shared" si="14"/>
        <v>784</v>
      </c>
      <c r="N100">
        <f t="shared" si="15"/>
        <v>0</v>
      </c>
    </row>
    <row r="101" spans="1:14" x14ac:dyDescent="0.25">
      <c r="A101" s="1">
        <v>44051</v>
      </c>
      <c r="B101">
        <v>343</v>
      </c>
      <c r="C101">
        <v>329</v>
      </c>
      <c r="D101">
        <v>345</v>
      </c>
      <c r="E101">
        <f t="shared" si="11"/>
        <v>351</v>
      </c>
      <c r="F101">
        <f t="shared" si="11"/>
        <v>647</v>
      </c>
      <c r="G101">
        <f t="shared" si="11"/>
        <v>345</v>
      </c>
      <c r="H101" t="str">
        <f t="shared" si="12"/>
        <v>Malinowo-Truskawkowa</v>
      </c>
      <c r="I101">
        <f>IF(E101=MIN($E101:$G101), E101, E101-MEDIAN($E101:G101))</f>
        <v>0</v>
      </c>
      <c r="J101">
        <f>IF(F101=MIN($E101:$G101), F101, F101-MEDIAN($E101:G101))</f>
        <v>296</v>
      </c>
      <c r="K101">
        <f>IF(G101=MIN($E101:$G101), G101, G101-MEDIAN($E101:G101))</f>
        <v>345</v>
      </c>
      <c r="L101">
        <f t="shared" si="13"/>
        <v>351</v>
      </c>
      <c r="M101">
        <f t="shared" si="14"/>
        <v>0</v>
      </c>
      <c r="N101">
        <f t="shared" si="15"/>
        <v>0</v>
      </c>
    </row>
    <row r="102" spans="1:14" x14ac:dyDescent="0.25">
      <c r="A102" s="1">
        <v>44052</v>
      </c>
      <c r="B102">
        <v>287</v>
      </c>
      <c r="C102">
        <v>328</v>
      </c>
      <c r="D102">
        <v>377</v>
      </c>
      <c r="E102">
        <f t="shared" si="11"/>
        <v>287</v>
      </c>
      <c r="F102">
        <f t="shared" si="11"/>
        <v>624</v>
      </c>
      <c r="G102">
        <f t="shared" si="11"/>
        <v>722</v>
      </c>
      <c r="H102" t="str">
        <f t="shared" si="12"/>
        <v>Truskawkowo-Porzeczkowa</v>
      </c>
      <c r="I102">
        <f>IF(E102=MIN($E102:$G102), E102, E102-MEDIAN($E102:G102))</f>
        <v>287</v>
      </c>
      <c r="J102">
        <f>IF(F102=MIN($E102:$G102), F102, F102-MEDIAN($E102:G102))</f>
        <v>0</v>
      </c>
      <c r="K102">
        <f>IF(G102=MIN($E102:$G102), G102, G102-MEDIAN($E102:G102))</f>
        <v>98</v>
      </c>
      <c r="L102">
        <f t="shared" si="13"/>
        <v>0</v>
      </c>
      <c r="M102">
        <f t="shared" si="14"/>
        <v>0</v>
      </c>
      <c r="N102">
        <f t="shared" si="15"/>
        <v>624</v>
      </c>
    </row>
    <row r="103" spans="1:14" x14ac:dyDescent="0.25">
      <c r="A103" s="1">
        <v>44053</v>
      </c>
      <c r="B103">
        <v>298</v>
      </c>
      <c r="C103">
        <v>401</v>
      </c>
      <c r="D103">
        <v>416</v>
      </c>
      <c r="E103">
        <f t="shared" si="11"/>
        <v>585</v>
      </c>
      <c r="F103">
        <f t="shared" si="11"/>
        <v>401</v>
      </c>
      <c r="G103">
        <f t="shared" si="11"/>
        <v>514</v>
      </c>
      <c r="H103" t="str">
        <f t="shared" si="12"/>
        <v>Malinowo-Porzeczkowa</v>
      </c>
      <c r="I103">
        <f>IF(E103=MIN($E103:$G103), E103, E103-MEDIAN($E103:G103))</f>
        <v>71</v>
      </c>
      <c r="J103">
        <f>IF(F103=MIN($E103:$G103), F103, F103-MEDIAN($E103:G103))</f>
        <v>401</v>
      </c>
      <c r="K103">
        <f>IF(G103=MIN($E103:$G103), G103, G103-MEDIAN($E103:G103))</f>
        <v>0</v>
      </c>
      <c r="L103">
        <f t="shared" si="13"/>
        <v>0</v>
      </c>
      <c r="M103">
        <f t="shared" si="14"/>
        <v>514</v>
      </c>
      <c r="N103">
        <f t="shared" si="15"/>
        <v>0</v>
      </c>
    </row>
    <row r="104" spans="1:14" x14ac:dyDescent="0.25">
      <c r="A104" s="1">
        <v>44054</v>
      </c>
      <c r="B104">
        <v>429</v>
      </c>
      <c r="C104">
        <v>348</v>
      </c>
      <c r="D104">
        <v>426</v>
      </c>
      <c r="E104">
        <f t="shared" si="11"/>
        <v>500</v>
      </c>
      <c r="F104">
        <f t="shared" si="11"/>
        <v>749</v>
      </c>
      <c r="G104">
        <f t="shared" si="11"/>
        <v>426</v>
      </c>
      <c r="H104" t="str">
        <f t="shared" si="12"/>
        <v>Malinowo-Truskawkowa</v>
      </c>
      <c r="I104">
        <f>IF(E104=MIN($E104:$G104), E104, E104-MEDIAN($E104:G104))</f>
        <v>0</v>
      </c>
      <c r="J104">
        <f>IF(F104=MIN($E104:$G104), F104, F104-MEDIAN($E104:G104))</f>
        <v>249</v>
      </c>
      <c r="K104">
        <f>IF(G104=MIN($E104:$G104), G104, G104-MEDIAN($E104:G104))</f>
        <v>426</v>
      </c>
      <c r="L104">
        <f t="shared" si="13"/>
        <v>500</v>
      </c>
      <c r="M104">
        <f t="shared" si="14"/>
        <v>0</v>
      </c>
      <c r="N104">
        <f t="shared" si="15"/>
        <v>0</v>
      </c>
    </row>
    <row r="105" spans="1:14" x14ac:dyDescent="0.25">
      <c r="A105" s="1">
        <v>44055</v>
      </c>
      <c r="B105">
        <v>417</v>
      </c>
      <c r="C105">
        <v>457</v>
      </c>
      <c r="D105">
        <v>438</v>
      </c>
      <c r="E105">
        <f t="shared" si="11"/>
        <v>417</v>
      </c>
      <c r="F105">
        <f t="shared" si="11"/>
        <v>706</v>
      </c>
      <c r="G105">
        <f t="shared" si="11"/>
        <v>864</v>
      </c>
      <c r="H105" t="str">
        <f t="shared" si="12"/>
        <v>Truskawkowo-Porzeczkowa</v>
      </c>
      <c r="I105">
        <f>IF(E105=MIN($E105:$G105), E105, E105-MEDIAN($E105:G105))</f>
        <v>417</v>
      </c>
      <c r="J105">
        <f>IF(F105=MIN($E105:$G105), F105, F105-MEDIAN($E105:G105))</f>
        <v>0</v>
      </c>
      <c r="K105">
        <f>IF(G105=MIN($E105:$G105), G105, G105-MEDIAN($E105:G105))</f>
        <v>158</v>
      </c>
      <c r="L105">
        <f t="shared" si="13"/>
        <v>0</v>
      </c>
      <c r="M105">
        <f t="shared" si="14"/>
        <v>0</v>
      </c>
      <c r="N105">
        <f t="shared" si="15"/>
        <v>706</v>
      </c>
    </row>
    <row r="106" spans="1:14" x14ac:dyDescent="0.25">
      <c r="A106" s="1">
        <v>44056</v>
      </c>
      <c r="B106">
        <v>384</v>
      </c>
      <c r="C106">
        <v>330</v>
      </c>
      <c r="D106">
        <v>292</v>
      </c>
      <c r="E106">
        <f t="shared" si="11"/>
        <v>801</v>
      </c>
      <c r="F106">
        <f t="shared" si="11"/>
        <v>330</v>
      </c>
      <c r="G106">
        <f t="shared" si="11"/>
        <v>450</v>
      </c>
      <c r="H106" t="str">
        <f t="shared" si="12"/>
        <v>Malinowo-Porzeczkowa</v>
      </c>
      <c r="I106">
        <f>IF(E106=MIN($E106:$G106), E106, E106-MEDIAN($E106:G106))</f>
        <v>351</v>
      </c>
      <c r="J106">
        <f>IF(F106=MIN($E106:$G106), F106, F106-MEDIAN($E106:G106))</f>
        <v>330</v>
      </c>
      <c r="K106">
        <f>IF(G106=MIN($E106:$G106), G106, G106-MEDIAN($E106:G106))</f>
        <v>0</v>
      </c>
      <c r="L106">
        <f t="shared" si="13"/>
        <v>0</v>
      </c>
      <c r="M106">
        <f t="shared" si="14"/>
        <v>450</v>
      </c>
      <c r="N106">
        <f t="shared" si="15"/>
        <v>0</v>
      </c>
    </row>
    <row r="107" spans="1:14" x14ac:dyDescent="0.25">
      <c r="A107" s="1">
        <v>44057</v>
      </c>
      <c r="B107">
        <v>370</v>
      </c>
      <c r="C107">
        <v>388</v>
      </c>
      <c r="D107">
        <v>390</v>
      </c>
      <c r="E107">
        <f t="shared" si="11"/>
        <v>721</v>
      </c>
      <c r="F107">
        <f t="shared" si="11"/>
        <v>718</v>
      </c>
      <c r="G107">
        <f t="shared" si="11"/>
        <v>390</v>
      </c>
      <c r="H107" t="str">
        <f t="shared" si="12"/>
        <v>Malinowo-Truskawkowa</v>
      </c>
      <c r="I107">
        <f>IF(E107=MIN($E107:$G107), E107, E107-MEDIAN($E107:G107))</f>
        <v>3</v>
      </c>
      <c r="J107">
        <f>IF(F107=MIN($E107:$G107), F107, F107-MEDIAN($E107:G107))</f>
        <v>0</v>
      </c>
      <c r="K107">
        <f>IF(G107=MIN($E107:$G107), G107, G107-MEDIAN($E107:G107))</f>
        <v>390</v>
      </c>
      <c r="L107">
        <f t="shared" si="13"/>
        <v>718</v>
      </c>
      <c r="M107">
        <f t="shared" si="14"/>
        <v>0</v>
      </c>
      <c r="N107">
        <f t="shared" si="15"/>
        <v>0</v>
      </c>
    </row>
    <row r="108" spans="1:14" x14ac:dyDescent="0.25">
      <c r="A108" s="1">
        <v>44058</v>
      </c>
      <c r="B108">
        <v>436</v>
      </c>
      <c r="C108">
        <v>298</v>
      </c>
      <c r="D108">
        <v>420</v>
      </c>
      <c r="E108">
        <f t="shared" si="11"/>
        <v>439</v>
      </c>
      <c r="F108">
        <f t="shared" si="11"/>
        <v>298</v>
      </c>
      <c r="G108">
        <f t="shared" si="11"/>
        <v>810</v>
      </c>
      <c r="H108" t="str">
        <f t="shared" si="12"/>
        <v>Malinowo-Porzeczkowa</v>
      </c>
      <c r="I108">
        <f>IF(E108=MIN($E108:$G108), E108, E108-MEDIAN($E108:G108))</f>
        <v>0</v>
      </c>
      <c r="J108">
        <f>IF(F108=MIN($E108:$G108), F108, F108-MEDIAN($E108:G108))</f>
        <v>298</v>
      </c>
      <c r="K108">
        <f>IF(G108=MIN($E108:$G108), G108, G108-MEDIAN($E108:G108))</f>
        <v>371</v>
      </c>
      <c r="L108">
        <f t="shared" si="13"/>
        <v>0</v>
      </c>
      <c r="M108">
        <f t="shared" si="14"/>
        <v>439</v>
      </c>
      <c r="N108">
        <f t="shared" si="15"/>
        <v>0</v>
      </c>
    </row>
    <row r="109" spans="1:14" x14ac:dyDescent="0.25">
      <c r="A109" s="1">
        <v>44059</v>
      </c>
      <c r="B109">
        <v>303</v>
      </c>
      <c r="C109">
        <v>429</v>
      </c>
      <c r="D109">
        <v>407</v>
      </c>
      <c r="E109">
        <f t="shared" si="11"/>
        <v>303</v>
      </c>
      <c r="F109">
        <f t="shared" si="11"/>
        <v>727</v>
      </c>
      <c r="G109">
        <f t="shared" si="11"/>
        <v>778</v>
      </c>
      <c r="H109" t="str">
        <f t="shared" si="12"/>
        <v>Truskawkowo-Porzeczkowa</v>
      </c>
      <c r="I109">
        <f>IF(E109=MIN($E109:$G109), E109, E109-MEDIAN($E109:G109))</f>
        <v>303</v>
      </c>
      <c r="J109">
        <f>IF(F109=MIN($E109:$G109), F109, F109-MEDIAN($E109:G109))</f>
        <v>0</v>
      </c>
      <c r="K109">
        <f>IF(G109=MIN($E109:$G109), G109, G109-MEDIAN($E109:G109))</f>
        <v>51</v>
      </c>
      <c r="L109">
        <f t="shared" si="13"/>
        <v>0</v>
      </c>
      <c r="M109">
        <f t="shared" si="14"/>
        <v>0</v>
      </c>
      <c r="N109">
        <f t="shared" si="15"/>
        <v>727</v>
      </c>
    </row>
    <row r="110" spans="1:14" x14ac:dyDescent="0.25">
      <c r="A110" s="1">
        <v>44060</v>
      </c>
      <c r="B110">
        <v>449</v>
      </c>
      <c r="C110">
        <v>444</v>
      </c>
      <c r="D110">
        <v>425</v>
      </c>
      <c r="E110">
        <f t="shared" si="11"/>
        <v>752</v>
      </c>
      <c r="F110">
        <f t="shared" si="11"/>
        <v>444</v>
      </c>
      <c r="G110">
        <f t="shared" si="11"/>
        <v>476</v>
      </c>
      <c r="H110" t="str">
        <f t="shared" si="12"/>
        <v>Malinowo-Porzeczkowa</v>
      </c>
      <c r="I110">
        <f>IF(E110=MIN($E110:$G110), E110, E110-MEDIAN($E110:G110))</f>
        <v>276</v>
      </c>
      <c r="J110">
        <f>IF(F110=MIN($E110:$G110), F110, F110-MEDIAN($E110:G110))</f>
        <v>444</v>
      </c>
      <c r="K110">
        <f>IF(G110=MIN($E110:$G110), G110, G110-MEDIAN($E110:G110))</f>
        <v>0</v>
      </c>
      <c r="L110">
        <f t="shared" si="13"/>
        <v>0</v>
      </c>
      <c r="M110">
        <f t="shared" si="14"/>
        <v>476</v>
      </c>
      <c r="N110">
        <f t="shared" si="15"/>
        <v>0</v>
      </c>
    </row>
    <row r="111" spans="1:14" x14ac:dyDescent="0.25">
      <c r="A111" s="1">
        <v>44061</v>
      </c>
      <c r="B111">
        <v>300</v>
      </c>
      <c r="C111">
        <v>358</v>
      </c>
      <c r="D111">
        <v>377</v>
      </c>
      <c r="E111">
        <f t="shared" si="11"/>
        <v>576</v>
      </c>
      <c r="F111">
        <f t="shared" si="11"/>
        <v>802</v>
      </c>
      <c r="G111">
        <f t="shared" si="11"/>
        <v>377</v>
      </c>
      <c r="H111" t="str">
        <f t="shared" si="12"/>
        <v>Malinowo-Truskawkowa</v>
      </c>
      <c r="I111">
        <f>IF(E111=MIN($E111:$G111), E111, E111-MEDIAN($E111:G111))</f>
        <v>0</v>
      </c>
      <c r="J111">
        <f>IF(F111=MIN($E111:$G111), F111, F111-MEDIAN($E111:G111))</f>
        <v>226</v>
      </c>
      <c r="K111">
        <f>IF(G111=MIN($E111:$G111), G111, G111-MEDIAN($E111:G111))</f>
        <v>377</v>
      </c>
      <c r="L111">
        <f t="shared" si="13"/>
        <v>576</v>
      </c>
      <c r="M111">
        <f t="shared" si="14"/>
        <v>0</v>
      </c>
      <c r="N111">
        <f t="shared" si="15"/>
        <v>0</v>
      </c>
    </row>
    <row r="112" spans="1:14" x14ac:dyDescent="0.25">
      <c r="A112" s="1">
        <v>44062</v>
      </c>
      <c r="B112">
        <v>307</v>
      </c>
      <c r="C112">
        <v>417</v>
      </c>
      <c r="D112">
        <v>405</v>
      </c>
      <c r="E112">
        <f t="shared" si="11"/>
        <v>307</v>
      </c>
      <c r="F112">
        <f t="shared" si="11"/>
        <v>643</v>
      </c>
      <c r="G112">
        <f t="shared" si="11"/>
        <v>782</v>
      </c>
      <c r="H112" t="str">
        <f t="shared" si="12"/>
        <v>Truskawkowo-Porzeczkowa</v>
      </c>
      <c r="I112">
        <f>IF(E112=MIN($E112:$G112), E112, E112-MEDIAN($E112:G112))</f>
        <v>307</v>
      </c>
      <c r="J112">
        <f>IF(F112=MIN($E112:$G112), F112, F112-MEDIAN($E112:G112))</f>
        <v>0</v>
      </c>
      <c r="K112">
        <f>IF(G112=MIN($E112:$G112), G112, G112-MEDIAN($E112:G112))</f>
        <v>139</v>
      </c>
      <c r="L112">
        <f t="shared" si="13"/>
        <v>0</v>
      </c>
      <c r="M112">
        <f t="shared" si="14"/>
        <v>0</v>
      </c>
      <c r="N112">
        <f t="shared" si="15"/>
        <v>643</v>
      </c>
    </row>
    <row r="113" spans="1:14" x14ac:dyDescent="0.25">
      <c r="A113" s="1">
        <v>44063</v>
      </c>
      <c r="B113">
        <v>314</v>
      </c>
      <c r="C113">
        <v>340</v>
      </c>
      <c r="D113">
        <v>345</v>
      </c>
      <c r="E113">
        <f t="shared" si="11"/>
        <v>621</v>
      </c>
      <c r="F113">
        <f t="shared" si="11"/>
        <v>340</v>
      </c>
      <c r="G113">
        <f t="shared" si="11"/>
        <v>484</v>
      </c>
      <c r="H113" t="str">
        <f t="shared" si="12"/>
        <v>Malinowo-Porzeczkowa</v>
      </c>
      <c r="I113">
        <f>IF(E113=MIN($E113:$G113), E113, E113-MEDIAN($E113:G113))</f>
        <v>137</v>
      </c>
      <c r="J113">
        <f>IF(F113=MIN($E113:$G113), F113, F113-MEDIAN($E113:G113))</f>
        <v>340</v>
      </c>
      <c r="K113">
        <f>IF(G113=MIN($E113:$G113), G113, G113-MEDIAN($E113:G113))</f>
        <v>0</v>
      </c>
      <c r="L113">
        <f t="shared" si="13"/>
        <v>0</v>
      </c>
      <c r="M113">
        <f t="shared" si="14"/>
        <v>484</v>
      </c>
      <c r="N113">
        <f t="shared" si="15"/>
        <v>0</v>
      </c>
    </row>
    <row r="114" spans="1:14" x14ac:dyDescent="0.25">
      <c r="A114" s="1">
        <v>44064</v>
      </c>
      <c r="B114">
        <v>379</v>
      </c>
      <c r="C114">
        <v>288</v>
      </c>
      <c r="D114">
        <v>353</v>
      </c>
      <c r="E114">
        <f t="shared" si="11"/>
        <v>516</v>
      </c>
      <c r="F114">
        <f t="shared" si="11"/>
        <v>628</v>
      </c>
      <c r="G114">
        <f t="shared" si="11"/>
        <v>353</v>
      </c>
      <c r="H114" t="str">
        <f t="shared" si="12"/>
        <v>Malinowo-Truskawkowa</v>
      </c>
      <c r="I114">
        <f>IF(E114=MIN($E114:$G114), E114, E114-MEDIAN($E114:G114))</f>
        <v>0</v>
      </c>
      <c r="J114">
        <f>IF(F114=MIN($E114:$G114), F114, F114-MEDIAN($E114:G114))</f>
        <v>112</v>
      </c>
      <c r="K114">
        <f>IF(G114=MIN($E114:$G114), G114, G114-MEDIAN($E114:G114))</f>
        <v>353</v>
      </c>
      <c r="L114">
        <f t="shared" si="13"/>
        <v>516</v>
      </c>
      <c r="M114">
        <f t="shared" si="14"/>
        <v>0</v>
      </c>
      <c r="N114">
        <f t="shared" si="15"/>
        <v>0</v>
      </c>
    </row>
    <row r="115" spans="1:14" x14ac:dyDescent="0.25">
      <c r="A115" s="1">
        <v>44065</v>
      </c>
      <c r="B115">
        <v>405</v>
      </c>
      <c r="C115">
        <v>454</v>
      </c>
      <c r="D115">
        <v>342</v>
      </c>
      <c r="E115">
        <f t="shared" si="11"/>
        <v>405</v>
      </c>
      <c r="F115">
        <f t="shared" si="11"/>
        <v>566</v>
      </c>
      <c r="G115">
        <f t="shared" si="11"/>
        <v>695</v>
      </c>
      <c r="H115" t="str">
        <f t="shared" si="12"/>
        <v>Truskawkowo-Porzeczkowa</v>
      </c>
      <c r="I115">
        <f>IF(E115=MIN($E115:$G115), E115, E115-MEDIAN($E115:G115))</f>
        <v>405</v>
      </c>
      <c r="J115">
        <f>IF(F115=MIN($E115:$G115), F115, F115-MEDIAN($E115:G115))</f>
        <v>0</v>
      </c>
      <c r="K115">
        <f>IF(G115=MIN($E115:$G115), G115, G115-MEDIAN($E115:G115))</f>
        <v>129</v>
      </c>
      <c r="L115">
        <f t="shared" si="13"/>
        <v>0</v>
      </c>
      <c r="M115">
        <f t="shared" si="14"/>
        <v>0</v>
      </c>
      <c r="N115">
        <f t="shared" si="15"/>
        <v>566</v>
      </c>
    </row>
    <row r="116" spans="1:14" x14ac:dyDescent="0.25">
      <c r="A116" s="1">
        <v>44066</v>
      </c>
      <c r="B116">
        <v>407</v>
      </c>
      <c r="C116">
        <v>300</v>
      </c>
      <c r="D116">
        <v>365</v>
      </c>
      <c r="E116">
        <f t="shared" si="11"/>
        <v>812</v>
      </c>
      <c r="F116">
        <f t="shared" si="11"/>
        <v>300</v>
      </c>
      <c r="G116">
        <f t="shared" si="11"/>
        <v>494</v>
      </c>
      <c r="H116" t="str">
        <f t="shared" si="12"/>
        <v>Malinowo-Porzeczkowa</v>
      </c>
      <c r="I116">
        <f>IF(E116=MIN($E116:$G116), E116, E116-MEDIAN($E116:G116))</f>
        <v>318</v>
      </c>
      <c r="J116">
        <f>IF(F116=MIN($E116:$G116), F116, F116-MEDIAN($E116:G116))</f>
        <v>300</v>
      </c>
      <c r="K116">
        <f>IF(G116=MIN($E116:$G116), G116, G116-MEDIAN($E116:G116))</f>
        <v>0</v>
      </c>
      <c r="L116">
        <f t="shared" si="13"/>
        <v>0</v>
      </c>
      <c r="M116">
        <f t="shared" si="14"/>
        <v>494</v>
      </c>
      <c r="N116">
        <f t="shared" si="15"/>
        <v>0</v>
      </c>
    </row>
    <row r="117" spans="1:14" x14ac:dyDescent="0.25">
      <c r="A117" s="1">
        <v>44067</v>
      </c>
      <c r="B117">
        <v>432</v>
      </c>
      <c r="C117">
        <v>423</v>
      </c>
      <c r="D117">
        <v>221</v>
      </c>
      <c r="E117">
        <f t="shared" si="11"/>
        <v>750</v>
      </c>
      <c r="F117">
        <f t="shared" si="11"/>
        <v>723</v>
      </c>
      <c r="G117">
        <f t="shared" si="11"/>
        <v>221</v>
      </c>
      <c r="H117" t="str">
        <f t="shared" si="12"/>
        <v>Malinowo-Truskawkowa</v>
      </c>
      <c r="I117">
        <f>IF(E117=MIN($E117:$G117), E117, E117-MEDIAN($E117:G117))</f>
        <v>27</v>
      </c>
      <c r="J117">
        <f>IF(F117=MIN($E117:$G117), F117, F117-MEDIAN($E117:G117))</f>
        <v>0</v>
      </c>
      <c r="K117">
        <f>IF(G117=MIN($E117:$G117), G117, G117-MEDIAN($E117:G117))</f>
        <v>221</v>
      </c>
      <c r="L117">
        <f t="shared" si="13"/>
        <v>723</v>
      </c>
      <c r="M117">
        <f t="shared" si="14"/>
        <v>0</v>
      </c>
      <c r="N117">
        <f t="shared" si="15"/>
        <v>0</v>
      </c>
    </row>
    <row r="118" spans="1:14" x14ac:dyDescent="0.25">
      <c r="A118" s="1">
        <v>44068</v>
      </c>
      <c r="B118">
        <v>405</v>
      </c>
      <c r="C118">
        <v>449</v>
      </c>
      <c r="D118">
        <v>231</v>
      </c>
      <c r="E118">
        <f t="shared" si="11"/>
        <v>432</v>
      </c>
      <c r="F118">
        <f t="shared" si="11"/>
        <v>449</v>
      </c>
      <c r="G118">
        <f t="shared" si="11"/>
        <v>452</v>
      </c>
      <c r="H118" t="str">
        <f t="shared" si="12"/>
        <v>Truskawkowo-Porzeczkowa</v>
      </c>
      <c r="I118">
        <f>IF(E118=MIN($E118:$G118), E118, E118-MEDIAN($E118:G118))</f>
        <v>432</v>
      </c>
      <c r="J118">
        <f>IF(F118=MIN($E118:$G118), F118, F118-MEDIAN($E118:G118))</f>
        <v>0</v>
      </c>
      <c r="K118">
        <f>IF(G118=MIN($E118:$G118), G118, G118-MEDIAN($E118:G118))</f>
        <v>3</v>
      </c>
      <c r="L118">
        <f t="shared" si="13"/>
        <v>0</v>
      </c>
      <c r="M118">
        <f t="shared" si="14"/>
        <v>0</v>
      </c>
      <c r="N118">
        <f t="shared" si="15"/>
        <v>449</v>
      </c>
    </row>
    <row r="119" spans="1:14" x14ac:dyDescent="0.25">
      <c r="A119" s="1">
        <v>44069</v>
      </c>
      <c r="B119">
        <v>162</v>
      </c>
      <c r="C119">
        <v>294</v>
      </c>
      <c r="D119">
        <v>255</v>
      </c>
      <c r="E119">
        <f t="shared" si="11"/>
        <v>594</v>
      </c>
      <c r="F119">
        <f t="shared" si="11"/>
        <v>294</v>
      </c>
      <c r="G119">
        <f t="shared" si="11"/>
        <v>258</v>
      </c>
      <c r="H119" t="str">
        <f t="shared" si="12"/>
        <v>Malinowo-Truskawkowa</v>
      </c>
      <c r="I119">
        <f>IF(E119=MIN($E119:$G119), E119, E119-MEDIAN($E119:G119))</f>
        <v>300</v>
      </c>
      <c r="J119">
        <f>IF(F119=MIN($E119:$G119), F119, F119-MEDIAN($E119:G119))</f>
        <v>0</v>
      </c>
      <c r="K119">
        <f>IF(G119=MIN($E119:$G119), G119, G119-MEDIAN($E119:G119))</f>
        <v>258</v>
      </c>
      <c r="L119">
        <f t="shared" si="13"/>
        <v>294</v>
      </c>
      <c r="M119">
        <f t="shared" si="14"/>
        <v>0</v>
      </c>
      <c r="N119">
        <f t="shared" si="15"/>
        <v>0</v>
      </c>
    </row>
    <row r="120" spans="1:14" x14ac:dyDescent="0.25">
      <c r="A120" s="1">
        <v>44070</v>
      </c>
      <c r="B120">
        <v>297</v>
      </c>
      <c r="C120">
        <v>341</v>
      </c>
      <c r="D120">
        <v>223</v>
      </c>
      <c r="E120">
        <f t="shared" si="11"/>
        <v>597</v>
      </c>
      <c r="F120">
        <f t="shared" si="11"/>
        <v>341</v>
      </c>
      <c r="G120">
        <f t="shared" si="11"/>
        <v>481</v>
      </c>
      <c r="H120" t="str">
        <f t="shared" si="12"/>
        <v>Malinowo-Porzeczkowa</v>
      </c>
      <c r="I120">
        <f>IF(E120=MIN($E120:$G120), E120, E120-MEDIAN($E120:G120))</f>
        <v>116</v>
      </c>
      <c r="J120">
        <f>IF(F120=MIN($E120:$G120), F120, F120-MEDIAN($E120:G120))</f>
        <v>341</v>
      </c>
      <c r="K120">
        <f>IF(G120=MIN($E120:$G120), G120, G120-MEDIAN($E120:G120))</f>
        <v>0</v>
      </c>
      <c r="L120">
        <f t="shared" si="13"/>
        <v>0</v>
      </c>
      <c r="M120">
        <f t="shared" si="14"/>
        <v>481</v>
      </c>
      <c r="N120">
        <f t="shared" si="15"/>
        <v>0</v>
      </c>
    </row>
    <row r="121" spans="1:14" x14ac:dyDescent="0.25">
      <c r="A121" s="1">
        <v>44071</v>
      </c>
      <c r="B121">
        <v>226</v>
      </c>
      <c r="C121">
        <v>329</v>
      </c>
      <c r="D121">
        <v>261</v>
      </c>
      <c r="E121">
        <f t="shared" si="11"/>
        <v>342</v>
      </c>
      <c r="F121">
        <f t="shared" si="11"/>
        <v>670</v>
      </c>
      <c r="G121">
        <f t="shared" si="11"/>
        <v>261</v>
      </c>
      <c r="H121" t="str">
        <f t="shared" si="12"/>
        <v>Malinowo-Truskawkowa</v>
      </c>
      <c r="I121">
        <f>IF(E121=MIN($E121:$G121), E121, E121-MEDIAN($E121:G121))</f>
        <v>0</v>
      </c>
      <c r="J121">
        <f>IF(F121=MIN($E121:$G121), F121, F121-MEDIAN($E121:G121))</f>
        <v>328</v>
      </c>
      <c r="K121">
        <f>IF(G121=MIN($E121:$G121), G121, G121-MEDIAN($E121:G121))</f>
        <v>261</v>
      </c>
      <c r="L121">
        <f t="shared" si="13"/>
        <v>342</v>
      </c>
      <c r="M121">
        <f t="shared" si="14"/>
        <v>0</v>
      </c>
      <c r="N121">
        <f t="shared" si="15"/>
        <v>0</v>
      </c>
    </row>
    <row r="122" spans="1:14" x14ac:dyDescent="0.25">
      <c r="A122" s="1">
        <v>44072</v>
      </c>
      <c r="B122">
        <v>226</v>
      </c>
      <c r="C122">
        <v>256</v>
      </c>
      <c r="D122">
        <v>239</v>
      </c>
      <c r="E122">
        <f t="shared" si="11"/>
        <v>226</v>
      </c>
      <c r="F122">
        <f t="shared" si="11"/>
        <v>584</v>
      </c>
      <c r="G122">
        <f t="shared" si="11"/>
        <v>500</v>
      </c>
      <c r="H122" t="str">
        <f t="shared" si="12"/>
        <v>Truskawkowo-Porzeczkowa</v>
      </c>
      <c r="I122">
        <f>IF(E122=MIN($E122:$G122), E122, E122-MEDIAN($E122:G122))</f>
        <v>226</v>
      </c>
      <c r="J122">
        <f>IF(F122=MIN($E122:$G122), F122, F122-MEDIAN($E122:G122))</f>
        <v>84</v>
      </c>
      <c r="K122">
        <f>IF(G122=MIN($E122:$G122), G122, G122-MEDIAN($E122:G122))</f>
        <v>0</v>
      </c>
      <c r="L122">
        <f t="shared" si="13"/>
        <v>0</v>
      </c>
      <c r="M122">
        <f t="shared" si="14"/>
        <v>0</v>
      </c>
      <c r="N122">
        <f t="shared" si="15"/>
        <v>500</v>
      </c>
    </row>
    <row r="123" spans="1:14" x14ac:dyDescent="0.25">
      <c r="A123" s="1">
        <v>44073</v>
      </c>
      <c r="B123">
        <v>287</v>
      </c>
      <c r="C123">
        <v>217</v>
      </c>
      <c r="D123">
        <v>262</v>
      </c>
      <c r="E123">
        <f t="shared" si="11"/>
        <v>513</v>
      </c>
      <c r="F123">
        <f t="shared" si="11"/>
        <v>301</v>
      </c>
      <c r="G123">
        <f t="shared" si="11"/>
        <v>262</v>
      </c>
      <c r="H123" t="str">
        <f t="shared" si="12"/>
        <v>Malinowo-Truskawkowa</v>
      </c>
      <c r="I123">
        <f>IF(E123=MIN($E123:$G123), E123, E123-MEDIAN($E123:G123))</f>
        <v>212</v>
      </c>
      <c r="J123">
        <f>IF(F123=MIN($E123:$G123), F123, F123-MEDIAN($E123:G123))</f>
        <v>0</v>
      </c>
      <c r="K123">
        <f>IF(G123=MIN($E123:$G123), G123, G123-MEDIAN($E123:G123))</f>
        <v>262</v>
      </c>
      <c r="L123">
        <f t="shared" si="13"/>
        <v>301</v>
      </c>
      <c r="M123">
        <f t="shared" si="14"/>
        <v>0</v>
      </c>
      <c r="N123">
        <f t="shared" si="15"/>
        <v>0</v>
      </c>
    </row>
    <row r="124" spans="1:14" x14ac:dyDescent="0.25">
      <c r="A124" s="1">
        <v>44074</v>
      </c>
      <c r="B124">
        <v>351</v>
      </c>
      <c r="C124">
        <v>266</v>
      </c>
      <c r="D124">
        <v>226</v>
      </c>
      <c r="E124">
        <f t="shared" si="11"/>
        <v>563</v>
      </c>
      <c r="F124">
        <f t="shared" si="11"/>
        <v>266</v>
      </c>
      <c r="G124">
        <f t="shared" si="11"/>
        <v>488</v>
      </c>
      <c r="H124" t="str">
        <f t="shared" si="12"/>
        <v>Malinowo-Porzeczkowa</v>
      </c>
      <c r="I124">
        <f>IF(E124=MIN($E124:$G124), E124, E124-MEDIAN($E124:G124))</f>
        <v>75</v>
      </c>
      <c r="J124">
        <f>IF(F124=MIN($E124:$G124), F124, F124-MEDIAN($E124:G124))</f>
        <v>266</v>
      </c>
      <c r="K124">
        <f>IF(G124=MIN($E124:$G124), G124, G124-MEDIAN($E124:G124))</f>
        <v>0</v>
      </c>
      <c r="L124">
        <f t="shared" si="13"/>
        <v>0</v>
      </c>
      <c r="M124">
        <f t="shared" si="14"/>
        <v>488</v>
      </c>
      <c r="N124">
        <f t="shared" si="15"/>
        <v>0</v>
      </c>
    </row>
    <row r="125" spans="1:14" x14ac:dyDescent="0.25">
      <c r="A125" s="1">
        <v>44075</v>
      </c>
      <c r="B125">
        <v>214</v>
      </c>
      <c r="C125">
        <v>260</v>
      </c>
      <c r="D125">
        <v>241</v>
      </c>
      <c r="E125">
        <f t="shared" si="11"/>
        <v>289</v>
      </c>
      <c r="F125">
        <f t="shared" si="11"/>
        <v>526</v>
      </c>
      <c r="G125">
        <f t="shared" si="11"/>
        <v>241</v>
      </c>
      <c r="H125" t="str">
        <f t="shared" si="12"/>
        <v>Malinowo-Truskawkowa</v>
      </c>
      <c r="I125">
        <f>IF(E125=MIN($E125:$G125), E125, E125-MEDIAN($E125:G125))</f>
        <v>0</v>
      </c>
      <c r="J125">
        <f>IF(F125=MIN($E125:$G125), F125, F125-MEDIAN($E125:G125))</f>
        <v>237</v>
      </c>
      <c r="K125">
        <f>IF(G125=MIN($E125:$G125), G125, G125-MEDIAN($E125:G125))</f>
        <v>241</v>
      </c>
      <c r="L125">
        <f t="shared" si="13"/>
        <v>289</v>
      </c>
      <c r="M125">
        <f t="shared" si="14"/>
        <v>0</v>
      </c>
      <c r="N125">
        <f t="shared" si="15"/>
        <v>0</v>
      </c>
    </row>
    <row r="126" spans="1:14" x14ac:dyDescent="0.25">
      <c r="A126" s="1">
        <v>44076</v>
      </c>
      <c r="B126">
        <v>282</v>
      </c>
      <c r="C126">
        <v>227</v>
      </c>
      <c r="D126">
        <v>258</v>
      </c>
      <c r="E126">
        <f t="shared" si="11"/>
        <v>282</v>
      </c>
      <c r="F126">
        <f t="shared" si="11"/>
        <v>464</v>
      </c>
      <c r="G126">
        <f t="shared" si="11"/>
        <v>499</v>
      </c>
      <c r="H126" t="str">
        <f t="shared" si="12"/>
        <v>Truskawkowo-Porzeczkowa</v>
      </c>
      <c r="I126">
        <f>IF(E126=MIN($E126:$G126), E126, E126-MEDIAN($E126:G126))</f>
        <v>282</v>
      </c>
      <c r="J126">
        <f>IF(F126=MIN($E126:$G126), F126, F126-MEDIAN($E126:G126))</f>
        <v>0</v>
      </c>
      <c r="K126">
        <f>IF(G126=MIN($E126:$G126), G126, G126-MEDIAN($E126:G126))</f>
        <v>35</v>
      </c>
      <c r="L126">
        <f t="shared" si="13"/>
        <v>0</v>
      </c>
      <c r="M126">
        <f t="shared" si="14"/>
        <v>0</v>
      </c>
      <c r="N126">
        <f t="shared" si="15"/>
        <v>464</v>
      </c>
    </row>
    <row r="127" spans="1:14" x14ac:dyDescent="0.25">
      <c r="A127" s="1">
        <v>44077</v>
      </c>
      <c r="B127">
        <v>257</v>
      </c>
      <c r="C127">
        <v>251</v>
      </c>
      <c r="D127">
        <v>252</v>
      </c>
      <c r="E127">
        <f t="shared" si="11"/>
        <v>539</v>
      </c>
      <c r="F127">
        <f t="shared" si="11"/>
        <v>251</v>
      </c>
      <c r="G127">
        <f t="shared" si="11"/>
        <v>287</v>
      </c>
      <c r="H127" t="str">
        <f t="shared" si="12"/>
        <v>Malinowo-Porzeczkowa</v>
      </c>
      <c r="I127">
        <f>IF(E127=MIN($E127:$G127), E127, E127-MEDIAN($E127:G127))</f>
        <v>252</v>
      </c>
      <c r="J127">
        <f>IF(F127=MIN($E127:$G127), F127, F127-MEDIAN($E127:G127))</f>
        <v>251</v>
      </c>
      <c r="K127">
        <f>IF(G127=MIN($E127:$G127), G127, G127-MEDIAN($E127:G127))</f>
        <v>0</v>
      </c>
      <c r="L127">
        <f t="shared" si="13"/>
        <v>0</v>
      </c>
      <c r="M127">
        <f t="shared" si="14"/>
        <v>287</v>
      </c>
      <c r="N127">
        <f t="shared" si="15"/>
        <v>0</v>
      </c>
    </row>
    <row r="128" spans="1:14" x14ac:dyDescent="0.25">
      <c r="A128" s="1">
        <v>44078</v>
      </c>
      <c r="B128">
        <v>172</v>
      </c>
      <c r="C128">
        <v>171</v>
      </c>
      <c r="D128">
        <v>268</v>
      </c>
      <c r="E128">
        <f t="shared" si="11"/>
        <v>424</v>
      </c>
      <c r="F128">
        <f t="shared" si="11"/>
        <v>422</v>
      </c>
      <c r="G128">
        <f t="shared" si="11"/>
        <v>268</v>
      </c>
      <c r="H128" t="str">
        <f t="shared" si="12"/>
        <v>Malinowo-Truskawkowa</v>
      </c>
      <c r="I128">
        <f>IF(E128=MIN($E128:$G128), E128, E128-MEDIAN($E128:G128))</f>
        <v>2</v>
      </c>
      <c r="J128">
        <f>IF(F128=MIN($E128:$G128), F128, F128-MEDIAN($E128:G128))</f>
        <v>0</v>
      </c>
      <c r="K128">
        <f>IF(G128=MIN($E128:$G128), G128, G128-MEDIAN($E128:G128))</f>
        <v>268</v>
      </c>
      <c r="L128">
        <f t="shared" si="13"/>
        <v>422</v>
      </c>
      <c r="M128">
        <f t="shared" si="14"/>
        <v>0</v>
      </c>
      <c r="N128">
        <f t="shared" si="15"/>
        <v>0</v>
      </c>
    </row>
    <row r="129" spans="1:14" x14ac:dyDescent="0.25">
      <c r="A129" s="1">
        <v>44079</v>
      </c>
      <c r="B129">
        <v>197</v>
      </c>
      <c r="C129">
        <v>326</v>
      </c>
      <c r="D129">
        <v>224</v>
      </c>
      <c r="E129">
        <f t="shared" si="11"/>
        <v>199</v>
      </c>
      <c r="F129">
        <f t="shared" si="11"/>
        <v>326</v>
      </c>
      <c r="G129">
        <f t="shared" si="11"/>
        <v>492</v>
      </c>
      <c r="H129" t="str">
        <f t="shared" si="12"/>
        <v>Truskawkowo-Porzeczkowa</v>
      </c>
      <c r="I129">
        <f>IF(E129=MIN($E129:$G129), E129, E129-MEDIAN($E129:G129))</f>
        <v>199</v>
      </c>
      <c r="J129">
        <f>IF(F129=MIN($E129:$G129), F129, F129-MEDIAN($E129:G129))</f>
        <v>0</v>
      </c>
      <c r="K129">
        <f>IF(G129=MIN($E129:$G129), G129, G129-MEDIAN($E129:G129))</f>
        <v>166</v>
      </c>
      <c r="L129">
        <f t="shared" si="13"/>
        <v>0</v>
      </c>
      <c r="M129">
        <f t="shared" si="14"/>
        <v>0</v>
      </c>
      <c r="N129">
        <f t="shared" si="15"/>
        <v>326</v>
      </c>
    </row>
    <row r="130" spans="1:14" x14ac:dyDescent="0.25">
      <c r="A130" s="1">
        <v>44080</v>
      </c>
      <c r="B130">
        <v>292</v>
      </c>
      <c r="C130">
        <v>329</v>
      </c>
      <c r="D130">
        <v>255</v>
      </c>
      <c r="E130">
        <f t="shared" si="11"/>
        <v>491</v>
      </c>
      <c r="F130">
        <f t="shared" si="11"/>
        <v>329</v>
      </c>
      <c r="G130">
        <f t="shared" si="11"/>
        <v>421</v>
      </c>
      <c r="H130" t="str">
        <f t="shared" si="12"/>
        <v>Malinowo-Porzeczkowa</v>
      </c>
      <c r="I130">
        <f>IF(E130=MIN($E130:$G130), E130, E130-MEDIAN($E130:G130))</f>
        <v>70</v>
      </c>
      <c r="J130">
        <f>IF(F130=MIN($E130:$G130), F130, F130-MEDIAN($E130:G130))</f>
        <v>329</v>
      </c>
      <c r="K130">
        <f>IF(G130=MIN($E130:$G130), G130, G130-MEDIAN($E130:G130))</f>
        <v>0</v>
      </c>
      <c r="L130">
        <f t="shared" ref="L130:L154" si="16">IF(H130="Malinowo-Truskawkowa", MEDIAN($E130:$G130), 0)</f>
        <v>0</v>
      </c>
      <c r="M130">
        <f t="shared" ref="M130:M154" si="17">IF(H130="Malinowo-Porzeczkowa", MEDIAN($E130:$G130), 0)</f>
        <v>421</v>
      </c>
      <c r="N130">
        <f t="shared" ref="N130:N154" si="18">IF(H130="Truskawkowo-Porzeczkowa", MEDIAN($E130:$G130), 0)</f>
        <v>0</v>
      </c>
    </row>
    <row r="131" spans="1:14" x14ac:dyDescent="0.25">
      <c r="A131" s="1">
        <v>44081</v>
      </c>
      <c r="B131">
        <v>172</v>
      </c>
      <c r="C131">
        <v>216</v>
      </c>
      <c r="D131">
        <v>199</v>
      </c>
      <c r="E131">
        <f t="shared" si="11"/>
        <v>242</v>
      </c>
      <c r="F131">
        <f t="shared" si="11"/>
        <v>545</v>
      </c>
      <c r="G131">
        <f t="shared" si="11"/>
        <v>199</v>
      </c>
      <c r="H131" t="str">
        <f t="shared" si="12"/>
        <v>Malinowo-Truskawkowa</v>
      </c>
      <c r="I131">
        <f>IF(E131=MIN($E131:$G131), E131, E131-MEDIAN($E131:G131))</f>
        <v>0</v>
      </c>
      <c r="J131">
        <f>IF(F131=MIN($E131:$G131), F131, F131-MEDIAN($E131:G131))</f>
        <v>303</v>
      </c>
      <c r="K131">
        <f>IF(G131=MIN($E131:$G131), G131, G131-MEDIAN($E131:G131))</f>
        <v>199</v>
      </c>
      <c r="L131">
        <f t="shared" si="16"/>
        <v>242</v>
      </c>
      <c r="M131">
        <f t="shared" si="17"/>
        <v>0</v>
      </c>
      <c r="N131">
        <f t="shared" si="18"/>
        <v>0</v>
      </c>
    </row>
    <row r="132" spans="1:14" x14ac:dyDescent="0.25">
      <c r="A132" s="1">
        <v>44082</v>
      </c>
      <c r="B132">
        <v>258</v>
      </c>
      <c r="C132">
        <v>291</v>
      </c>
      <c r="D132">
        <v>220</v>
      </c>
      <c r="E132">
        <f t="shared" ref="E132:G154" si="19">B132+I131</f>
        <v>258</v>
      </c>
      <c r="F132">
        <f t="shared" si="19"/>
        <v>594</v>
      </c>
      <c r="G132">
        <f t="shared" si="19"/>
        <v>419</v>
      </c>
      <c r="H132" t="str">
        <f t="shared" ref="H132:H154" si="20">IF(E132=MIN(E132:G132), "Truskawkowo-Porzeczkowa", IF(F132=MIN(E132:G132), "Malinowo-Porzeczkowa", "Malinowo-Truskawkowa"))</f>
        <v>Truskawkowo-Porzeczkowa</v>
      </c>
      <c r="I132">
        <f>IF(E132=MIN($E132:$G132), E132, E132-MEDIAN($E132:G132))</f>
        <v>258</v>
      </c>
      <c r="J132">
        <f>IF(F132=MIN($E132:$G132), F132, F132-MEDIAN($E132:G132))</f>
        <v>175</v>
      </c>
      <c r="K132">
        <f>IF(G132=MIN($E132:$G132), G132, G132-MEDIAN($E132:G132))</f>
        <v>0</v>
      </c>
      <c r="L132">
        <f t="shared" si="16"/>
        <v>0</v>
      </c>
      <c r="M132">
        <f t="shared" si="17"/>
        <v>0</v>
      </c>
      <c r="N132">
        <f t="shared" si="18"/>
        <v>419</v>
      </c>
    </row>
    <row r="133" spans="1:14" x14ac:dyDescent="0.25">
      <c r="A133" s="1">
        <v>44083</v>
      </c>
      <c r="B133">
        <v>276</v>
      </c>
      <c r="C133">
        <v>347</v>
      </c>
      <c r="D133">
        <v>197</v>
      </c>
      <c r="E133">
        <f t="shared" si="19"/>
        <v>534</v>
      </c>
      <c r="F133">
        <f t="shared" si="19"/>
        <v>522</v>
      </c>
      <c r="G133">
        <f t="shared" si="19"/>
        <v>197</v>
      </c>
      <c r="H133" t="str">
        <f t="shared" si="20"/>
        <v>Malinowo-Truskawkowa</v>
      </c>
      <c r="I133">
        <f>IF(E133=MIN($E133:$G133), E133, E133-MEDIAN($E133:G133))</f>
        <v>12</v>
      </c>
      <c r="J133">
        <f>IF(F133=MIN($E133:$G133), F133, F133-MEDIAN($E133:G133))</f>
        <v>0</v>
      </c>
      <c r="K133">
        <f>IF(G133=MIN($E133:$G133), G133, G133-MEDIAN($E133:G133))</f>
        <v>197</v>
      </c>
      <c r="L133">
        <f t="shared" si="16"/>
        <v>522</v>
      </c>
      <c r="M133">
        <f t="shared" si="17"/>
        <v>0</v>
      </c>
      <c r="N133">
        <f t="shared" si="18"/>
        <v>0</v>
      </c>
    </row>
    <row r="134" spans="1:14" x14ac:dyDescent="0.25">
      <c r="A134" s="1">
        <v>44084</v>
      </c>
      <c r="B134">
        <v>210</v>
      </c>
      <c r="C134">
        <v>333</v>
      </c>
      <c r="D134">
        <v>218</v>
      </c>
      <c r="E134">
        <f t="shared" si="19"/>
        <v>222</v>
      </c>
      <c r="F134">
        <f t="shared" si="19"/>
        <v>333</v>
      </c>
      <c r="G134">
        <f t="shared" si="19"/>
        <v>415</v>
      </c>
      <c r="H134" t="str">
        <f t="shared" si="20"/>
        <v>Truskawkowo-Porzeczkowa</v>
      </c>
      <c r="I134">
        <f>IF(E134=MIN($E134:$G134), E134, E134-MEDIAN($E134:G134))</f>
        <v>222</v>
      </c>
      <c r="J134">
        <f>IF(F134=MIN($E134:$G134), F134, F134-MEDIAN($E134:G134))</f>
        <v>0</v>
      </c>
      <c r="K134">
        <f>IF(G134=MIN($E134:$G134), G134, G134-MEDIAN($E134:G134))</f>
        <v>82</v>
      </c>
      <c r="L134">
        <f t="shared" si="16"/>
        <v>0</v>
      </c>
      <c r="M134">
        <f t="shared" si="17"/>
        <v>0</v>
      </c>
      <c r="N134">
        <f t="shared" si="18"/>
        <v>333</v>
      </c>
    </row>
    <row r="135" spans="1:14" x14ac:dyDescent="0.25">
      <c r="A135" s="1">
        <v>44085</v>
      </c>
      <c r="B135">
        <v>168</v>
      </c>
      <c r="C135">
        <v>211</v>
      </c>
      <c r="D135">
        <v>180</v>
      </c>
      <c r="E135">
        <f t="shared" si="19"/>
        <v>390</v>
      </c>
      <c r="F135">
        <f t="shared" si="19"/>
        <v>211</v>
      </c>
      <c r="G135">
        <f t="shared" si="19"/>
        <v>262</v>
      </c>
      <c r="H135" t="str">
        <f t="shared" si="20"/>
        <v>Malinowo-Porzeczkowa</v>
      </c>
      <c r="I135">
        <f>IF(E135=MIN($E135:$G135), E135, E135-MEDIAN($E135:G135))</f>
        <v>128</v>
      </c>
      <c r="J135">
        <f>IF(F135=MIN($E135:$G135), F135, F135-MEDIAN($E135:G135))</f>
        <v>211</v>
      </c>
      <c r="K135">
        <f>IF(G135=MIN($E135:$G135), G135, G135-MEDIAN($E135:G135))</f>
        <v>0</v>
      </c>
      <c r="L135">
        <f t="shared" si="16"/>
        <v>0</v>
      </c>
      <c r="M135">
        <f t="shared" si="17"/>
        <v>262</v>
      </c>
      <c r="N135">
        <f t="shared" si="18"/>
        <v>0</v>
      </c>
    </row>
    <row r="136" spans="1:14" x14ac:dyDescent="0.25">
      <c r="A136" s="1">
        <v>44086</v>
      </c>
      <c r="B136">
        <v>196</v>
      </c>
      <c r="C136">
        <v>348</v>
      </c>
      <c r="D136">
        <v>225</v>
      </c>
      <c r="E136">
        <f t="shared" si="19"/>
        <v>324</v>
      </c>
      <c r="F136">
        <f t="shared" si="19"/>
        <v>559</v>
      </c>
      <c r="G136">
        <f t="shared" si="19"/>
        <v>225</v>
      </c>
      <c r="H136" t="str">
        <f t="shared" si="20"/>
        <v>Malinowo-Truskawkowa</v>
      </c>
      <c r="I136">
        <f>IF(E136=MIN($E136:$G136), E136, E136-MEDIAN($E136:G136))</f>
        <v>0</v>
      </c>
      <c r="J136">
        <f>IF(F136=MIN($E136:$G136), F136, F136-MEDIAN($E136:G136))</f>
        <v>235</v>
      </c>
      <c r="K136">
        <f>IF(G136=MIN($E136:$G136), G136, G136-MEDIAN($E136:G136))</f>
        <v>225</v>
      </c>
      <c r="L136">
        <f t="shared" si="16"/>
        <v>324</v>
      </c>
      <c r="M136">
        <f t="shared" si="17"/>
        <v>0</v>
      </c>
      <c r="N136">
        <f t="shared" si="18"/>
        <v>0</v>
      </c>
    </row>
    <row r="137" spans="1:14" x14ac:dyDescent="0.25">
      <c r="A137" s="1">
        <v>44087</v>
      </c>
      <c r="B137">
        <v>284</v>
      </c>
      <c r="C137">
        <v>226</v>
      </c>
      <c r="D137">
        <v>197</v>
      </c>
      <c r="E137">
        <f t="shared" si="19"/>
        <v>284</v>
      </c>
      <c r="F137">
        <f t="shared" si="19"/>
        <v>461</v>
      </c>
      <c r="G137">
        <f t="shared" si="19"/>
        <v>422</v>
      </c>
      <c r="H137" t="str">
        <f t="shared" si="20"/>
        <v>Truskawkowo-Porzeczkowa</v>
      </c>
      <c r="I137">
        <f>IF(E137=MIN($E137:$G137), E137, E137-MEDIAN($E137:G137))</f>
        <v>284</v>
      </c>
      <c r="J137">
        <f>IF(F137=MIN($E137:$G137), F137, F137-MEDIAN($E137:G137))</f>
        <v>39</v>
      </c>
      <c r="K137">
        <f>IF(G137=MIN($E137:$G137), G137, G137-MEDIAN($E137:G137))</f>
        <v>0</v>
      </c>
      <c r="L137">
        <f t="shared" si="16"/>
        <v>0</v>
      </c>
      <c r="M137">
        <f t="shared" si="17"/>
        <v>0</v>
      </c>
      <c r="N137">
        <f t="shared" si="18"/>
        <v>422</v>
      </c>
    </row>
    <row r="138" spans="1:14" x14ac:dyDescent="0.25">
      <c r="A138" s="1">
        <v>44088</v>
      </c>
      <c r="B138">
        <v>162</v>
      </c>
      <c r="C138">
        <v>345</v>
      </c>
      <c r="D138">
        <v>194</v>
      </c>
      <c r="E138">
        <f t="shared" si="19"/>
        <v>446</v>
      </c>
      <c r="F138">
        <f t="shared" si="19"/>
        <v>384</v>
      </c>
      <c r="G138">
        <f t="shared" si="19"/>
        <v>194</v>
      </c>
      <c r="H138" t="str">
        <f t="shared" si="20"/>
        <v>Malinowo-Truskawkowa</v>
      </c>
      <c r="I138">
        <f>IF(E138=MIN($E138:$G138), E138, E138-MEDIAN($E138:G138))</f>
        <v>62</v>
      </c>
      <c r="J138">
        <f>IF(F138=MIN($E138:$G138), F138, F138-MEDIAN($E138:G138))</f>
        <v>0</v>
      </c>
      <c r="K138">
        <f>IF(G138=MIN($E138:$G138), G138, G138-MEDIAN($E138:G138))</f>
        <v>194</v>
      </c>
      <c r="L138">
        <f t="shared" si="16"/>
        <v>384</v>
      </c>
      <c r="M138">
        <f t="shared" si="17"/>
        <v>0</v>
      </c>
      <c r="N138">
        <f t="shared" si="18"/>
        <v>0</v>
      </c>
    </row>
    <row r="139" spans="1:14" x14ac:dyDescent="0.25">
      <c r="A139" s="1">
        <v>44089</v>
      </c>
      <c r="B139">
        <v>212</v>
      </c>
      <c r="C139">
        <v>184</v>
      </c>
      <c r="D139">
        <v>183</v>
      </c>
      <c r="E139">
        <f t="shared" si="19"/>
        <v>274</v>
      </c>
      <c r="F139">
        <f t="shared" si="19"/>
        <v>184</v>
      </c>
      <c r="G139">
        <f t="shared" si="19"/>
        <v>377</v>
      </c>
      <c r="H139" t="str">
        <f t="shared" si="20"/>
        <v>Malinowo-Porzeczkowa</v>
      </c>
      <c r="I139">
        <f>IF(E139=MIN($E139:$G139), E139, E139-MEDIAN($E139:G139))</f>
        <v>0</v>
      </c>
      <c r="J139">
        <f>IF(F139=MIN($E139:$G139), F139, F139-MEDIAN($E139:G139))</f>
        <v>184</v>
      </c>
      <c r="K139">
        <f>IF(G139=MIN($E139:$G139), G139, G139-MEDIAN($E139:G139))</f>
        <v>103</v>
      </c>
      <c r="L139">
        <f t="shared" si="16"/>
        <v>0</v>
      </c>
      <c r="M139">
        <f t="shared" si="17"/>
        <v>274</v>
      </c>
      <c r="N139">
        <f t="shared" si="18"/>
        <v>0</v>
      </c>
    </row>
    <row r="140" spans="1:14" x14ac:dyDescent="0.25">
      <c r="A140" s="1">
        <v>44090</v>
      </c>
      <c r="B140">
        <v>165</v>
      </c>
      <c r="C140">
        <v>232</v>
      </c>
      <c r="D140">
        <v>202</v>
      </c>
      <c r="E140">
        <f t="shared" si="19"/>
        <v>165</v>
      </c>
      <c r="F140">
        <f t="shared" si="19"/>
        <v>416</v>
      </c>
      <c r="G140">
        <f t="shared" si="19"/>
        <v>305</v>
      </c>
      <c r="H140" t="str">
        <f t="shared" si="20"/>
        <v>Truskawkowo-Porzeczkowa</v>
      </c>
      <c r="I140">
        <f>IF(E140=MIN($E140:$G140), E140, E140-MEDIAN($E140:G140))</f>
        <v>165</v>
      </c>
      <c r="J140">
        <f>IF(F140=MIN($E140:$G140), F140, F140-MEDIAN($E140:G140))</f>
        <v>111</v>
      </c>
      <c r="K140">
        <f>IF(G140=MIN($E140:$G140), G140, G140-MEDIAN($E140:G140))</f>
        <v>0</v>
      </c>
      <c r="L140">
        <f t="shared" si="16"/>
        <v>0</v>
      </c>
      <c r="M140">
        <f t="shared" si="17"/>
        <v>0</v>
      </c>
      <c r="N140">
        <f t="shared" si="18"/>
        <v>305</v>
      </c>
    </row>
    <row r="141" spans="1:14" x14ac:dyDescent="0.25">
      <c r="A141" s="1">
        <v>44091</v>
      </c>
      <c r="B141">
        <v>163</v>
      </c>
      <c r="C141">
        <v>314</v>
      </c>
      <c r="D141">
        <v>213</v>
      </c>
      <c r="E141">
        <f t="shared" si="19"/>
        <v>328</v>
      </c>
      <c r="F141">
        <f t="shared" si="19"/>
        <v>425</v>
      </c>
      <c r="G141">
        <f t="shared" si="19"/>
        <v>213</v>
      </c>
      <c r="H141" t="str">
        <f t="shared" si="20"/>
        <v>Malinowo-Truskawkowa</v>
      </c>
      <c r="I141">
        <f>IF(E141=MIN($E141:$G141), E141, E141-MEDIAN($E141:G141))</f>
        <v>0</v>
      </c>
      <c r="J141">
        <f>IF(F141=MIN($E141:$G141), F141, F141-MEDIAN($E141:G141))</f>
        <v>97</v>
      </c>
      <c r="K141">
        <f>IF(G141=MIN($E141:$G141), G141, G141-MEDIAN($E141:G141))</f>
        <v>213</v>
      </c>
      <c r="L141">
        <f t="shared" si="16"/>
        <v>328</v>
      </c>
      <c r="M141">
        <f t="shared" si="17"/>
        <v>0</v>
      </c>
      <c r="N141">
        <f t="shared" si="18"/>
        <v>0</v>
      </c>
    </row>
    <row r="142" spans="1:14" x14ac:dyDescent="0.25">
      <c r="A142" s="1">
        <v>44092</v>
      </c>
      <c r="B142">
        <v>200</v>
      </c>
      <c r="C142">
        <v>307</v>
      </c>
      <c r="D142">
        <v>206</v>
      </c>
      <c r="E142">
        <f t="shared" si="19"/>
        <v>200</v>
      </c>
      <c r="F142">
        <f t="shared" si="19"/>
        <v>404</v>
      </c>
      <c r="G142">
        <f t="shared" si="19"/>
        <v>419</v>
      </c>
      <c r="H142" t="str">
        <f t="shared" si="20"/>
        <v>Truskawkowo-Porzeczkowa</v>
      </c>
      <c r="I142">
        <f>IF(E142=MIN($E142:$G142), E142, E142-MEDIAN($E142:G142))</f>
        <v>200</v>
      </c>
      <c r="J142">
        <f>IF(F142=MIN($E142:$G142), F142, F142-MEDIAN($E142:G142))</f>
        <v>0</v>
      </c>
      <c r="K142">
        <f>IF(G142=MIN($E142:$G142), G142, G142-MEDIAN($E142:G142))</f>
        <v>15</v>
      </c>
      <c r="L142">
        <f t="shared" si="16"/>
        <v>0</v>
      </c>
      <c r="M142">
        <f t="shared" si="17"/>
        <v>0</v>
      </c>
      <c r="N142">
        <f t="shared" si="18"/>
        <v>404</v>
      </c>
    </row>
    <row r="143" spans="1:14" x14ac:dyDescent="0.25">
      <c r="A143" s="1">
        <v>44093</v>
      </c>
      <c r="B143">
        <v>201</v>
      </c>
      <c r="C143">
        <v>274</v>
      </c>
      <c r="D143">
        <v>210</v>
      </c>
      <c r="E143">
        <f t="shared" si="19"/>
        <v>401</v>
      </c>
      <c r="F143">
        <f t="shared" si="19"/>
        <v>274</v>
      </c>
      <c r="G143">
        <f t="shared" si="19"/>
        <v>225</v>
      </c>
      <c r="H143" t="str">
        <f t="shared" si="20"/>
        <v>Malinowo-Truskawkowa</v>
      </c>
      <c r="I143">
        <f>IF(E143=MIN($E143:$G143), E143, E143-MEDIAN($E143:G143))</f>
        <v>127</v>
      </c>
      <c r="J143">
        <f>IF(F143=MIN($E143:$G143), F143, F143-MEDIAN($E143:G143))</f>
        <v>0</v>
      </c>
      <c r="K143">
        <f>IF(G143=MIN($E143:$G143), G143, G143-MEDIAN($E143:G143))</f>
        <v>225</v>
      </c>
      <c r="L143">
        <f t="shared" si="16"/>
        <v>274</v>
      </c>
      <c r="M143">
        <f t="shared" si="17"/>
        <v>0</v>
      </c>
      <c r="N143">
        <f t="shared" si="18"/>
        <v>0</v>
      </c>
    </row>
    <row r="144" spans="1:14" x14ac:dyDescent="0.25">
      <c r="A144" s="1">
        <v>44094</v>
      </c>
      <c r="B144">
        <v>269</v>
      </c>
      <c r="C144">
        <v>278</v>
      </c>
      <c r="D144">
        <v>228</v>
      </c>
      <c r="E144">
        <f t="shared" si="19"/>
        <v>396</v>
      </c>
      <c r="F144">
        <f t="shared" si="19"/>
        <v>278</v>
      </c>
      <c r="G144">
        <f t="shared" si="19"/>
        <v>453</v>
      </c>
      <c r="H144" t="str">
        <f t="shared" si="20"/>
        <v>Malinowo-Porzeczkowa</v>
      </c>
      <c r="I144">
        <f>IF(E144=MIN($E144:$G144), E144, E144-MEDIAN($E144:G144))</f>
        <v>0</v>
      </c>
      <c r="J144">
        <f>IF(F144=MIN($E144:$G144), F144, F144-MEDIAN($E144:G144))</f>
        <v>278</v>
      </c>
      <c r="K144">
        <f>IF(G144=MIN($E144:$G144), G144, G144-MEDIAN($E144:G144))</f>
        <v>57</v>
      </c>
      <c r="L144">
        <f t="shared" si="16"/>
        <v>0</v>
      </c>
      <c r="M144">
        <f t="shared" si="17"/>
        <v>396</v>
      </c>
      <c r="N144">
        <f t="shared" si="18"/>
        <v>0</v>
      </c>
    </row>
    <row r="145" spans="1:14" x14ac:dyDescent="0.25">
      <c r="A145" s="1">
        <v>44095</v>
      </c>
      <c r="B145">
        <v>188</v>
      </c>
      <c r="C145">
        <v>195</v>
      </c>
      <c r="D145">
        <v>207</v>
      </c>
      <c r="E145">
        <f t="shared" si="19"/>
        <v>188</v>
      </c>
      <c r="F145">
        <f t="shared" si="19"/>
        <v>473</v>
      </c>
      <c r="G145">
        <f t="shared" si="19"/>
        <v>264</v>
      </c>
      <c r="H145" t="str">
        <f t="shared" si="20"/>
        <v>Truskawkowo-Porzeczkowa</v>
      </c>
      <c r="I145">
        <f>IF(E145=MIN($E145:$G145), E145, E145-MEDIAN($E145:G145))</f>
        <v>188</v>
      </c>
      <c r="J145">
        <f>IF(F145=MIN($E145:$G145), F145, F145-MEDIAN($E145:G145))</f>
        <v>209</v>
      </c>
      <c r="K145">
        <f>IF(G145=MIN($E145:$G145), G145, G145-MEDIAN($E145:G145))</f>
        <v>0</v>
      </c>
      <c r="L145">
        <f t="shared" si="16"/>
        <v>0</v>
      </c>
      <c r="M145">
        <f t="shared" si="17"/>
        <v>0</v>
      </c>
      <c r="N145">
        <f t="shared" si="18"/>
        <v>264</v>
      </c>
    </row>
    <row r="146" spans="1:14" x14ac:dyDescent="0.25">
      <c r="A146" s="1">
        <v>44096</v>
      </c>
      <c r="B146">
        <v>142</v>
      </c>
      <c r="C146">
        <v>249</v>
      </c>
      <c r="D146">
        <v>202</v>
      </c>
      <c r="E146">
        <f t="shared" si="19"/>
        <v>330</v>
      </c>
      <c r="F146">
        <f t="shared" si="19"/>
        <v>458</v>
      </c>
      <c r="G146">
        <f t="shared" si="19"/>
        <v>202</v>
      </c>
      <c r="H146" t="str">
        <f t="shared" si="20"/>
        <v>Malinowo-Truskawkowa</v>
      </c>
      <c r="I146">
        <f>IF(E146=MIN($E146:$G146), E146, E146-MEDIAN($E146:G146))</f>
        <v>0</v>
      </c>
      <c r="J146">
        <f>IF(F146=MIN($E146:$G146), F146, F146-MEDIAN($E146:G146))</f>
        <v>128</v>
      </c>
      <c r="K146">
        <f>IF(G146=MIN($E146:$G146), G146, G146-MEDIAN($E146:G146))</f>
        <v>202</v>
      </c>
      <c r="L146">
        <f t="shared" si="16"/>
        <v>330</v>
      </c>
      <c r="M146">
        <f t="shared" si="17"/>
        <v>0</v>
      </c>
      <c r="N146">
        <f t="shared" si="18"/>
        <v>0</v>
      </c>
    </row>
    <row r="147" spans="1:14" x14ac:dyDescent="0.25">
      <c r="A147" s="1">
        <v>44097</v>
      </c>
      <c r="B147">
        <v>232</v>
      </c>
      <c r="C147">
        <v>116</v>
      </c>
      <c r="D147">
        <v>195</v>
      </c>
      <c r="E147">
        <f t="shared" si="19"/>
        <v>232</v>
      </c>
      <c r="F147">
        <f t="shared" si="19"/>
        <v>244</v>
      </c>
      <c r="G147">
        <f t="shared" si="19"/>
        <v>397</v>
      </c>
      <c r="H147" t="str">
        <f t="shared" si="20"/>
        <v>Truskawkowo-Porzeczkowa</v>
      </c>
      <c r="I147">
        <f>IF(E147=MIN($E147:$G147), E147, E147-MEDIAN($E147:G147))</f>
        <v>232</v>
      </c>
      <c r="J147">
        <f>IF(F147=MIN($E147:$G147), F147, F147-MEDIAN($E147:G147))</f>
        <v>0</v>
      </c>
      <c r="K147">
        <f>IF(G147=MIN($E147:$G147), G147, G147-MEDIAN($E147:G147))</f>
        <v>153</v>
      </c>
      <c r="L147">
        <f t="shared" si="16"/>
        <v>0</v>
      </c>
      <c r="M147">
        <f t="shared" si="17"/>
        <v>0</v>
      </c>
      <c r="N147">
        <f t="shared" si="18"/>
        <v>244</v>
      </c>
    </row>
    <row r="148" spans="1:14" x14ac:dyDescent="0.25">
      <c r="A148" s="1">
        <v>44098</v>
      </c>
      <c r="B148">
        <v>296</v>
      </c>
      <c r="C148">
        <v>102</v>
      </c>
      <c r="D148">
        <v>192</v>
      </c>
      <c r="E148">
        <f t="shared" si="19"/>
        <v>528</v>
      </c>
      <c r="F148">
        <f t="shared" si="19"/>
        <v>102</v>
      </c>
      <c r="G148">
        <f t="shared" si="19"/>
        <v>345</v>
      </c>
      <c r="H148" t="str">
        <f t="shared" si="20"/>
        <v>Malinowo-Porzeczkowa</v>
      </c>
      <c r="I148">
        <f>IF(E148=MIN($E148:$G148), E148, E148-MEDIAN($E148:G148))</f>
        <v>183</v>
      </c>
      <c r="J148">
        <f>IF(F148=MIN($E148:$G148), F148, F148-MEDIAN($E148:G148))</f>
        <v>102</v>
      </c>
      <c r="K148">
        <f>IF(G148=MIN($E148:$G148), G148, G148-MEDIAN($E148:G148))</f>
        <v>0</v>
      </c>
      <c r="L148">
        <f t="shared" si="16"/>
        <v>0</v>
      </c>
      <c r="M148">
        <f t="shared" si="17"/>
        <v>345</v>
      </c>
      <c r="N148">
        <f t="shared" si="18"/>
        <v>0</v>
      </c>
    </row>
    <row r="149" spans="1:14" x14ac:dyDescent="0.25">
      <c r="A149" s="1">
        <v>44099</v>
      </c>
      <c r="B149">
        <v>161</v>
      </c>
      <c r="C149">
        <v>151</v>
      </c>
      <c r="D149">
        <v>216</v>
      </c>
      <c r="E149">
        <f t="shared" si="19"/>
        <v>344</v>
      </c>
      <c r="F149">
        <f t="shared" si="19"/>
        <v>253</v>
      </c>
      <c r="G149">
        <f t="shared" si="19"/>
        <v>216</v>
      </c>
      <c r="H149" t="str">
        <f t="shared" si="20"/>
        <v>Malinowo-Truskawkowa</v>
      </c>
      <c r="I149">
        <f>IF(E149=MIN($E149:$G149), E149, E149-MEDIAN($E149:G149))</f>
        <v>91</v>
      </c>
      <c r="J149">
        <f>IF(F149=MIN($E149:$G149), F149, F149-MEDIAN($E149:G149))</f>
        <v>0</v>
      </c>
      <c r="K149">
        <f>IF(G149=MIN($E149:$G149), G149, G149-MEDIAN($E149:G149))</f>
        <v>216</v>
      </c>
      <c r="L149">
        <f t="shared" si="16"/>
        <v>253</v>
      </c>
      <c r="M149">
        <f t="shared" si="17"/>
        <v>0</v>
      </c>
      <c r="N149">
        <f t="shared" si="18"/>
        <v>0</v>
      </c>
    </row>
    <row r="150" spans="1:14" x14ac:dyDescent="0.25">
      <c r="A150" s="1">
        <v>44100</v>
      </c>
      <c r="B150">
        <v>162</v>
      </c>
      <c r="C150">
        <v>261</v>
      </c>
      <c r="D150">
        <v>184</v>
      </c>
      <c r="E150">
        <f t="shared" si="19"/>
        <v>253</v>
      </c>
      <c r="F150">
        <f t="shared" si="19"/>
        <v>261</v>
      </c>
      <c r="G150">
        <f t="shared" si="19"/>
        <v>400</v>
      </c>
      <c r="H150" t="str">
        <f t="shared" si="20"/>
        <v>Truskawkowo-Porzeczkowa</v>
      </c>
      <c r="I150">
        <f>IF(E150=MIN($E150:$G150), E150, E150-MEDIAN($E150:G150))</f>
        <v>253</v>
      </c>
      <c r="J150">
        <f>IF(F150=MIN($E150:$G150), F150, F150-MEDIAN($E150:G150))</f>
        <v>0</v>
      </c>
      <c r="K150">
        <f>IF(G150=MIN($E150:$G150), G150, G150-MEDIAN($E150:G150))</f>
        <v>139</v>
      </c>
      <c r="L150">
        <f t="shared" si="16"/>
        <v>0</v>
      </c>
      <c r="M150">
        <f t="shared" si="17"/>
        <v>0</v>
      </c>
      <c r="N150">
        <f t="shared" si="18"/>
        <v>261</v>
      </c>
    </row>
    <row r="151" spans="1:14" x14ac:dyDescent="0.25">
      <c r="A151" s="1">
        <v>44101</v>
      </c>
      <c r="B151">
        <v>216</v>
      </c>
      <c r="C151">
        <v>147</v>
      </c>
      <c r="D151">
        <v>204</v>
      </c>
      <c r="E151">
        <f t="shared" si="19"/>
        <v>469</v>
      </c>
      <c r="F151">
        <f t="shared" si="19"/>
        <v>147</v>
      </c>
      <c r="G151">
        <f t="shared" si="19"/>
        <v>343</v>
      </c>
      <c r="H151" t="str">
        <f t="shared" si="20"/>
        <v>Malinowo-Porzeczkowa</v>
      </c>
      <c r="I151">
        <f>IF(E151=MIN($E151:$G151), E151, E151-MEDIAN($E151:G151))</f>
        <v>126</v>
      </c>
      <c r="J151">
        <f>IF(F151=MIN($E151:$G151), F151, F151-MEDIAN($E151:G151))</f>
        <v>147</v>
      </c>
      <c r="K151">
        <f>IF(G151=MIN($E151:$G151), G151, G151-MEDIAN($E151:G151))</f>
        <v>0</v>
      </c>
      <c r="L151">
        <f t="shared" si="16"/>
        <v>0</v>
      </c>
      <c r="M151">
        <f t="shared" si="17"/>
        <v>343</v>
      </c>
      <c r="N151">
        <f t="shared" si="18"/>
        <v>0</v>
      </c>
    </row>
    <row r="152" spans="1:14" x14ac:dyDescent="0.25">
      <c r="A152" s="1">
        <v>44102</v>
      </c>
      <c r="B152">
        <v>282</v>
      </c>
      <c r="C152">
        <v>297</v>
      </c>
      <c r="D152">
        <v>195</v>
      </c>
      <c r="E152">
        <f t="shared" si="19"/>
        <v>408</v>
      </c>
      <c r="F152">
        <f t="shared" si="19"/>
        <v>444</v>
      </c>
      <c r="G152">
        <f t="shared" si="19"/>
        <v>195</v>
      </c>
      <c r="H152" t="str">
        <f t="shared" si="20"/>
        <v>Malinowo-Truskawkowa</v>
      </c>
      <c r="I152">
        <f>IF(E152=MIN($E152:$G152), E152, E152-MEDIAN($E152:G152))</f>
        <v>0</v>
      </c>
      <c r="J152">
        <f>IF(F152=MIN($E152:$G152), F152, F152-MEDIAN($E152:G152))</f>
        <v>36</v>
      </c>
      <c r="K152">
        <f>IF(G152=MIN($E152:$G152), G152, G152-MEDIAN($E152:G152))</f>
        <v>195</v>
      </c>
      <c r="L152">
        <f t="shared" si="16"/>
        <v>408</v>
      </c>
      <c r="M152">
        <f t="shared" si="17"/>
        <v>0</v>
      </c>
      <c r="N152">
        <f t="shared" si="18"/>
        <v>0</v>
      </c>
    </row>
    <row r="153" spans="1:14" x14ac:dyDescent="0.25">
      <c r="A153" s="1">
        <v>44103</v>
      </c>
      <c r="B153">
        <v>214</v>
      </c>
      <c r="C153">
        <v>198</v>
      </c>
      <c r="D153">
        <v>200</v>
      </c>
      <c r="E153">
        <f t="shared" si="19"/>
        <v>214</v>
      </c>
      <c r="F153">
        <f t="shared" si="19"/>
        <v>234</v>
      </c>
      <c r="G153">
        <f t="shared" si="19"/>
        <v>395</v>
      </c>
      <c r="H153" t="str">
        <f t="shared" si="20"/>
        <v>Truskawkowo-Porzeczkowa</v>
      </c>
      <c r="I153">
        <f>IF(E153=MIN($E153:$G153), E153, E153-MEDIAN($E153:G153))</f>
        <v>214</v>
      </c>
      <c r="J153">
        <f>IF(F153=MIN($E153:$G153), F153, F153-MEDIAN($E153:G153))</f>
        <v>0</v>
      </c>
      <c r="K153">
        <f>IF(G153=MIN($E153:$G153), G153, G153-MEDIAN($E153:G153))</f>
        <v>161</v>
      </c>
      <c r="L153">
        <f t="shared" si="16"/>
        <v>0</v>
      </c>
      <c r="M153">
        <f t="shared" si="17"/>
        <v>0</v>
      </c>
      <c r="N153">
        <f t="shared" si="18"/>
        <v>234</v>
      </c>
    </row>
    <row r="154" spans="1:14" x14ac:dyDescent="0.25">
      <c r="A154" s="1">
        <v>44104</v>
      </c>
      <c r="B154">
        <v>289</v>
      </c>
      <c r="C154">
        <v>290</v>
      </c>
      <c r="D154">
        <v>190</v>
      </c>
      <c r="E154">
        <f t="shared" si="19"/>
        <v>503</v>
      </c>
      <c r="F154">
        <f t="shared" si="19"/>
        <v>290</v>
      </c>
      <c r="G154">
        <f t="shared" si="19"/>
        <v>351</v>
      </c>
      <c r="H154" t="str">
        <f t="shared" si="20"/>
        <v>Malinowo-Porzeczkowa</v>
      </c>
      <c r="I154">
        <f>IF(E154=MIN($E154:$G154), E154, E154-MEDIAN($E154:G154))</f>
        <v>152</v>
      </c>
      <c r="J154">
        <f>IF(F154=MIN($E154:$G154), F154, F154-MEDIAN($E154:G154))</f>
        <v>290</v>
      </c>
      <c r="K154">
        <f>IF(G154=MIN($E154:$G154), G154, G154-MEDIAN($E154:G154))</f>
        <v>0</v>
      </c>
      <c r="L154">
        <f t="shared" si="16"/>
        <v>0</v>
      </c>
      <c r="M154">
        <f t="shared" si="17"/>
        <v>351</v>
      </c>
      <c r="N154">
        <f t="shared" si="18"/>
        <v>0</v>
      </c>
    </row>
  </sheetData>
  <pageMargins left="0.7" right="0.7" top="0.75" bottom="0.75" header="0.3" footer="0.3"/>
  <pageSetup paperSize="0"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C12C50-DCC2-46CF-82B8-9CEB2488FC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owoce</vt:lpstr>
      <vt:lpstr>6_1</vt:lpstr>
      <vt:lpstr>6_2</vt:lpstr>
      <vt:lpstr>6_3</vt:lpstr>
      <vt:lpstr>6_4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2015-06-05T18:17:20Z</dcterms:created>
  <dcterms:modified xsi:type="dcterms:W3CDTF">2026-08-13T11:08:27Z</dcterms:modified>
</cp:coreProperties>
</file>