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an\Desktop\Dane_PR2\"/>
    </mc:Choice>
  </mc:AlternateContent>
  <xr:revisionPtr revIDLastSave="0" documentId="13_ncr:1_{3AA82B26-6006-4D42-993F-0E742ABAB9B1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kraina" sheetId="2" r:id="rId1"/>
    <sheet name="5_1" sheetId="3" r:id="rId2"/>
    <sheet name="5_2" sheetId="4" r:id="rId3"/>
    <sheet name="5_3" sheetId="5" r:id="rId4"/>
  </sheets>
  <definedNames>
    <definedName name="ExternalData_1" localSheetId="1" hidden="1">'5_1'!$A$1:$E$51</definedName>
    <definedName name="ExternalData_1" localSheetId="2" hidden="1">'5_2'!$A$1:$E$51</definedName>
    <definedName name="ExternalData_1" localSheetId="3" hidden="1">'5_3'!$A$1:$E$51</definedName>
    <definedName name="ExternalData_1" localSheetId="0" hidden="1">kraina!$A$1:$E$51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5" l="1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F9" i="5"/>
  <c r="F23" i="5"/>
  <c r="F20" i="5"/>
  <c r="F36" i="5"/>
  <c r="F28" i="5"/>
  <c r="F4" i="5"/>
  <c r="F24" i="5"/>
  <c r="F19" i="5"/>
  <c r="F37" i="5"/>
  <c r="F35" i="5"/>
  <c r="F22" i="5"/>
  <c r="F2" i="5"/>
  <c r="F15" i="5"/>
  <c r="F32" i="5"/>
  <c r="F30" i="5"/>
  <c r="F6" i="5"/>
  <c r="F38" i="5"/>
  <c r="F41" i="5"/>
  <c r="F39" i="5"/>
  <c r="F26" i="5"/>
  <c r="F43" i="5"/>
  <c r="F10" i="5"/>
  <c r="F33" i="5"/>
  <c r="F18" i="5"/>
  <c r="F17" i="5"/>
  <c r="F27" i="5"/>
  <c r="F40" i="5"/>
  <c r="F44" i="5"/>
  <c r="F29" i="5"/>
  <c r="F45" i="5"/>
  <c r="F25" i="5"/>
  <c r="F5" i="5"/>
  <c r="F46" i="5"/>
  <c r="F21" i="5"/>
  <c r="F42" i="5"/>
  <c r="F47" i="5"/>
  <c r="F31" i="5"/>
  <c r="F48" i="5"/>
  <c r="F8" i="5"/>
  <c r="F13" i="5"/>
  <c r="F49" i="5"/>
  <c r="F50" i="5"/>
  <c r="F51" i="5"/>
  <c r="F16" i="5"/>
  <c r="F14" i="5"/>
  <c r="F11" i="5"/>
  <c r="F12" i="5"/>
  <c r="F3" i="5"/>
  <c r="F7" i="5"/>
  <c r="F34" i="5"/>
  <c r="H30" i="5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H38" i="5"/>
  <c r="I38" i="5" s="1"/>
  <c r="J38" i="5" s="1"/>
  <c r="K38" i="5" s="1"/>
  <c r="L38" i="5" s="1"/>
  <c r="M38" i="5" s="1"/>
  <c r="N38" i="5" s="1"/>
  <c r="O38" i="5" s="1"/>
  <c r="P38" i="5" s="1"/>
  <c r="Q38" i="5" s="1"/>
  <c r="R38" i="5" s="1"/>
  <c r="H41" i="5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H40" i="5"/>
  <c r="I40" i="5" s="1"/>
  <c r="J40" i="5" s="1"/>
  <c r="K40" i="5" s="1"/>
  <c r="L40" i="5" s="1"/>
  <c r="M40" i="5" s="1"/>
  <c r="N40" i="5" s="1"/>
  <c r="O40" i="5" s="1"/>
  <c r="P40" i="5" s="1"/>
  <c r="Q40" i="5" s="1"/>
  <c r="R40" i="5" s="1"/>
  <c r="H48" i="5"/>
  <c r="I48" i="5" s="1"/>
  <c r="J48" i="5" s="1"/>
  <c r="K48" i="5" s="1"/>
  <c r="L48" i="5" s="1"/>
  <c r="M48" i="5" s="1"/>
  <c r="N48" i="5" s="1"/>
  <c r="O48" i="5" s="1"/>
  <c r="P48" i="5" s="1"/>
  <c r="Q48" i="5" s="1"/>
  <c r="R48" i="5" s="1"/>
  <c r="H13" i="5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H50" i="5"/>
  <c r="I50" i="5" s="1"/>
  <c r="J50" i="5" s="1"/>
  <c r="K50" i="5" s="1"/>
  <c r="L50" i="5" s="1"/>
  <c r="M50" i="5" s="1"/>
  <c r="N50" i="5" s="1"/>
  <c r="O50" i="5" s="1"/>
  <c r="P50" i="5" s="1"/>
  <c r="Q50" i="5" s="1"/>
  <c r="R50" i="5" s="1"/>
  <c r="H51" i="5"/>
  <c r="I51" i="5"/>
  <c r="J51" i="5" s="1"/>
  <c r="K51" i="5" s="1"/>
  <c r="L51" i="5" s="1"/>
  <c r="M51" i="5" s="1"/>
  <c r="N51" i="5" s="1"/>
  <c r="O51" i="5" s="1"/>
  <c r="P51" i="5" s="1"/>
  <c r="Q51" i="5" s="1"/>
  <c r="R51" i="5" s="1"/>
  <c r="G9" i="5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G23" i="5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G20" i="5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G36" i="5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G28" i="5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G4" i="5"/>
  <c r="G24" i="5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G19" i="5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G37" i="5"/>
  <c r="G35" i="5"/>
  <c r="H35" i="5" s="1"/>
  <c r="I35" i="5" s="1"/>
  <c r="J35" i="5" s="1"/>
  <c r="K35" i="5" s="1"/>
  <c r="L35" i="5" s="1"/>
  <c r="M35" i="5" s="1"/>
  <c r="N35" i="5" s="1"/>
  <c r="O35" i="5" s="1"/>
  <c r="P35" i="5" s="1"/>
  <c r="Q35" i="5" s="1"/>
  <c r="R35" i="5" s="1"/>
  <c r="G22" i="5"/>
  <c r="G2" i="5"/>
  <c r="G15" i="5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G32" i="5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G30" i="5"/>
  <c r="G6" i="5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G38" i="5"/>
  <c r="G41" i="5"/>
  <c r="G39" i="5"/>
  <c r="G26" i="5"/>
  <c r="H26" i="5" s="1"/>
  <c r="I26" i="5" s="1"/>
  <c r="J26" i="5" s="1"/>
  <c r="K26" i="5" s="1"/>
  <c r="L26" i="5" s="1"/>
  <c r="M26" i="5" s="1"/>
  <c r="N26" i="5" s="1"/>
  <c r="O26" i="5" s="1"/>
  <c r="P26" i="5" s="1"/>
  <c r="Q26" i="5" s="1"/>
  <c r="R26" i="5" s="1"/>
  <c r="G43" i="5"/>
  <c r="H43" i="5" s="1"/>
  <c r="I43" i="5" s="1"/>
  <c r="J43" i="5" s="1"/>
  <c r="K43" i="5" s="1"/>
  <c r="L43" i="5" s="1"/>
  <c r="M43" i="5" s="1"/>
  <c r="N43" i="5" s="1"/>
  <c r="O43" i="5" s="1"/>
  <c r="P43" i="5" s="1"/>
  <c r="Q43" i="5" s="1"/>
  <c r="R43" i="5" s="1"/>
  <c r="G10" i="5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R10" i="5" s="1"/>
  <c r="G33" i="5"/>
  <c r="G18" i="5"/>
  <c r="G17" i="5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G27" i="5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G40" i="5"/>
  <c r="G44" i="5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G29" i="5"/>
  <c r="H29" i="5" s="1"/>
  <c r="I29" i="5" s="1"/>
  <c r="J29" i="5" s="1"/>
  <c r="K29" i="5" s="1"/>
  <c r="L29" i="5" s="1"/>
  <c r="M29" i="5" s="1"/>
  <c r="N29" i="5" s="1"/>
  <c r="O29" i="5" s="1"/>
  <c r="P29" i="5" s="1"/>
  <c r="Q29" i="5" s="1"/>
  <c r="R29" i="5" s="1"/>
  <c r="G45" i="5"/>
  <c r="G25" i="5"/>
  <c r="G5" i="5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G46" i="5"/>
  <c r="H46" i="5" s="1"/>
  <c r="I46" i="5" s="1"/>
  <c r="J46" i="5" s="1"/>
  <c r="K46" i="5" s="1"/>
  <c r="L46" i="5" s="1"/>
  <c r="M46" i="5" s="1"/>
  <c r="N46" i="5" s="1"/>
  <c r="O46" i="5" s="1"/>
  <c r="P46" i="5" s="1"/>
  <c r="Q46" i="5" s="1"/>
  <c r="R46" i="5" s="1"/>
  <c r="G21" i="5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G42" i="5"/>
  <c r="G47" i="5"/>
  <c r="G31" i="5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G48" i="5"/>
  <c r="G8" i="5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G13" i="5"/>
  <c r="G49" i="5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G50" i="5"/>
  <c r="G51" i="5"/>
  <c r="G16" i="5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G14" i="5"/>
  <c r="G11" i="5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G12" i="5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G3" i="5"/>
  <c r="G7" i="5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G34" i="5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K11" i="4"/>
  <c r="K12" i="4"/>
  <c r="K13" i="4"/>
  <c r="K10" i="4"/>
  <c r="K7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J9" i="3"/>
  <c r="J10" i="3"/>
  <c r="J11" i="3"/>
  <c r="J1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H14" i="5" l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H25" i="5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H39" i="5"/>
  <c r="I39" i="5" s="1"/>
  <c r="J39" i="5" s="1"/>
  <c r="K39" i="5" s="1"/>
  <c r="L39" i="5" s="1"/>
  <c r="M39" i="5" s="1"/>
  <c r="N39" i="5" s="1"/>
  <c r="O39" i="5" s="1"/>
  <c r="P39" i="5" s="1"/>
  <c r="Q39" i="5" s="1"/>
  <c r="R39" i="5" s="1"/>
  <c r="H45" i="5"/>
  <c r="I45" i="5" s="1"/>
  <c r="J45" i="5" s="1"/>
  <c r="K45" i="5" s="1"/>
  <c r="L45" i="5" s="1"/>
  <c r="M45" i="5" s="1"/>
  <c r="N45" i="5" s="1"/>
  <c r="O45" i="5" s="1"/>
  <c r="P45" i="5" s="1"/>
  <c r="Q45" i="5" s="1"/>
  <c r="R45" i="5" s="1"/>
  <c r="H4" i="5"/>
  <c r="I4" i="5" s="1"/>
  <c r="J4" i="5" s="1"/>
  <c r="K4" i="5" s="1"/>
  <c r="L4" i="5" s="1"/>
  <c r="M4" i="5" s="1"/>
  <c r="N4" i="5" s="1"/>
  <c r="O4" i="5" s="1"/>
  <c r="P4" i="5" s="1"/>
  <c r="Q4" i="5" s="1"/>
  <c r="R4" i="5" s="1"/>
  <c r="H37" i="5"/>
  <c r="I37" i="5" s="1"/>
  <c r="J37" i="5" s="1"/>
  <c r="K37" i="5" s="1"/>
  <c r="L37" i="5" s="1"/>
  <c r="M37" i="5" s="1"/>
  <c r="N37" i="5" s="1"/>
  <c r="O37" i="5" s="1"/>
  <c r="P37" i="5" s="1"/>
  <c r="Q37" i="5" s="1"/>
  <c r="R37" i="5" s="1"/>
  <c r="H3" i="5"/>
  <c r="I3" i="5" s="1"/>
  <c r="J3" i="5" s="1"/>
  <c r="K3" i="5" s="1"/>
  <c r="L3" i="5" s="1"/>
  <c r="M3" i="5" s="1"/>
  <c r="N3" i="5" s="1"/>
  <c r="O3" i="5" s="1"/>
  <c r="P3" i="5" s="1"/>
  <c r="Q3" i="5" s="1"/>
  <c r="R3" i="5" s="1"/>
  <c r="H47" i="5"/>
  <c r="I47" i="5" s="1"/>
  <c r="J47" i="5" s="1"/>
  <c r="K47" i="5" s="1"/>
  <c r="L47" i="5" s="1"/>
  <c r="M47" i="5" s="1"/>
  <c r="N47" i="5" s="1"/>
  <c r="O47" i="5" s="1"/>
  <c r="P47" i="5" s="1"/>
  <c r="Q47" i="5" s="1"/>
  <c r="R47" i="5" s="1"/>
  <c r="H18" i="5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H2" i="5"/>
  <c r="I2" i="5" s="1"/>
  <c r="J2" i="5" s="1"/>
  <c r="K2" i="5" s="1"/>
  <c r="L2" i="5" s="1"/>
  <c r="M2" i="5" s="1"/>
  <c r="N2" i="5" s="1"/>
  <c r="O2" i="5" s="1"/>
  <c r="P2" i="5" s="1"/>
  <c r="Q2" i="5" s="1"/>
  <c r="R2" i="5" s="1"/>
  <c r="H42" i="5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H33" i="5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H22" i="5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V12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EBE891-7955-4EE7-8272-2F662B9D61D6}" keepAlive="1" name="Zapytanie — kraina" description="Połączenie z zapytaniem „kraina” w skoroszycie." type="5" refreshedVersion="8" background="1" saveData="1">
    <dbPr connection="Provider=Microsoft.Mashup.OleDb.1;Data Source=$Workbook$;Location=kraina;Extended Properties=&quot;&quot;" command="SELECT * FROM [kraina]"/>
  </connection>
  <connection id="2" xr16:uid="{BDBBB64C-9FA5-4B96-BFCF-3AA6D4AA0B27}" keepAlive="1" name="Zapytanie — kraina (2)" description="Połączenie z zapytaniem „kraina (2)” w skoroszycie." type="5" refreshedVersion="8" background="1" saveData="1">
    <dbPr connection="Provider=Microsoft.Mashup.OleDb.1;Data Source=$Workbook$;Location=&quot;kraina (2)&quot;;Extended Properties=&quot;&quot;" command="SELECT * FROM [kraina (2)]"/>
  </connection>
  <connection id="3" xr16:uid="{CA184A17-617A-4D8E-B2E5-A0991F5CF46D}" keepAlive="1" name="Zapytanie — kraina (3)" description="Połączenie z zapytaniem „kraina (3)” w skoroszycie." type="5" refreshedVersion="8" background="1" saveData="1">
    <dbPr connection="Provider=Microsoft.Mashup.OleDb.1;Data Source=$Workbook$;Location=&quot;kraina (3)&quot;;Extended Properties=&quot;&quot;" command="SELECT * FROM [kraina (3)]"/>
  </connection>
  <connection id="4" xr16:uid="{779A872C-2E8F-4CC2-A8F5-82093D778430}" keepAlive="1" name="Zapytanie — kraina (4)" description="Połączenie z zapytaniem „kraina (4)” w skoroszycie." type="5" refreshedVersion="8" background="1" saveData="1">
    <dbPr connection="Provider=Microsoft.Mashup.OleDb.1;Data Source=$Workbook$;Location=&quot;kraina (4)&quot;;Extended Properties=&quot;&quot;" command="SELECT * FROM [kraina (4)]"/>
  </connection>
  <connection id="5" xr16:uid="{B06BF41F-BA2E-4705-AF6D-EFAFFB3252B1}" keepAlive="1" name="Zapytanie — kraina (5)" description="Połączenie z zapytaniem „kraina (5)” w skoroszycie." type="5" refreshedVersion="8" background="1" saveData="1">
    <dbPr connection="Provider=Microsoft.Mashup.OleDb.1;Data Source=$Workbook$;Location=&quot;kraina (5)&quot;;Extended Properties=&quot;&quot;" command="SELECT * FROM [kraina (5)]"/>
  </connection>
</connections>
</file>

<file path=xl/sharedStrings.xml><?xml version="1.0" encoding="utf-8"?>
<sst xmlns="http://schemas.openxmlformats.org/spreadsheetml/2006/main" count="251" uniqueCount="81">
  <si>
    <t>w01D</t>
  </si>
  <si>
    <t>w02D</t>
  </si>
  <si>
    <t>w03C</t>
  </si>
  <si>
    <t>w04D</t>
  </si>
  <si>
    <t>w05A</t>
  </si>
  <si>
    <t>w06D</t>
  </si>
  <si>
    <t>w07B</t>
  </si>
  <si>
    <t>w08A</t>
  </si>
  <si>
    <t>w09C</t>
  </si>
  <si>
    <t>w10C</t>
  </si>
  <si>
    <t>w11D</t>
  </si>
  <si>
    <t>w12C</t>
  </si>
  <si>
    <t>w13A</t>
  </si>
  <si>
    <t>w14A</t>
  </si>
  <si>
    <t>w15A</t>
  </si>
  <si>
    <t>w16C</t>
  </si>
  <si>
    <t>w17A</t>
  </si>
  <si>
    <t>w18D</t>
  </si>
  <si>
    <t>w19C</t>
  </si>
  <si>
    <t>w20C</t>
  </si>
  <si>
    <t>w21A</t>
  </si>
  <si>
    <t>w22B</t>
  </si>
  <si>
    <t>w23B</t>
  </si>
  <si>
    <t>w24C</t>
  </si>
  <si>
    <t>w25B</t>
  </si>
  <si>
    <t>w26C</t>
  </si>
  <si>
    <t>w27C</t>
  </si>
  <si>
    <t>w28D</t>
  </si>
  <si>
    <t>w29A</t>
  </si>
  <si>
    <t>w30C</t>
  </si>
  <si>
    <t>w31C</t>
  </si>
  <si>
    <t>w32D</t>
  </si>
  <si>
    <t>w33B</t>
  </si>
  <si>
    <t>w34C</t>
  </si>
  <si>
    <t>w35C</t>
  </si>
  <si>
    <t>w36B</t>
  </si>
  <si>
    <t>w37A</t>
  </si>
  <si>
    <t>w38B</t>
  </si>
  <si>
    <t>w39D</t>
  </si>
  <si>
    <t>w40A</t>
  </si>
  <si>
    <t>w41D</t>
  </si>
  <si>
    <t>w42B</t>
  </si>
  <si>
    <t>w43D</t>
  </si>
  <si>
    <t>w44C</t>
  </si>
  <si>
    <t>w45B</t>
  </si>
  <si>
    <t>w46C</t>
  </si>
  <si>
    <t>w47B</t>
  </si>
  <si>
    <t>w48C</t>
  </si>
  <si>
    <t>w49C</t>
  </si>
  <si>
    <t>w50B</t>
  </si>
  <si>
    <t>Nazwa Województwa</t>
  </si>
  <si>
    <t>liczba kobiet 2013</t>
  </si>
  <si>
    <t>liczba mężczyzn 2013</t>
  </si>
  <si>
    <t>liczba kobiet 2014</t>
  </si>
  <si>
    <t>liczba mężczyzn 2014</t>
  </si>
  <si>
    <t>A</t>
  </si>
  <si>
    <t>B</t>
  </si>
  <si>
    <t>C</t>
  </si>
  <si>
    <t>D</t>
  </si>
  <si>
    <t>Region</t>
  </si>
  <si>
    <t>Liczba mieszkańcow</t>
  </si>
  <si>
    <t>Liczba ludnosci 2013</t>
  </si>
  <si>
    <t>czy_wiecej</t>
  </si>
  <si>
    <t>Liczba województw w całym kraju:</t>
  </si>
  <si>
    <t>Czy więcej</t>
  </si>
  <si>
    <t>tempo_wzrostu</t>
  </si>
  <si>
    <t>ludnosc_2014</t>
  </si>
  <si>
    <t>ludnosc_2015</t>
  </si>
  <si>
    <t>ludnosc_2016</t>
  </si>
  <si>
    <t>ludnosc_2017</t>
  </si>
  <si>
    <t>ludnosc_2018</t>
  </si>
  <si>
    <t>ludnosc_2019</t>
  </si>
  <si>
    <t>ludnosc_2020</t>
  </si>
  <si>
    <t>ludnosc_2021</t>
  </si>
  <si>
    <t>ludnosc_2022</t>
  </si>
  <si>
    <t>ludnosc_2023</t>
  </si>
  <si>
    <t>ludnosc_2024</t>
  </si>
  <si>
    <t>ludnosc_2025</t>
  </si>
  <si>
    <t>Ludnosc_2025:</t>
  </si>
  <si>
    <t>Przeludnienie</t>
  </si>
  <si>
    <t>Liczba_przeludnień_2025: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</si>
</sst>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/>
  </cellXfs>
  <cellStyles count="2">
    <cellStyle name="Dziesiętny" xfId="1" builtinId="3"/>
    <cellStyle name="Normalny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Liczba mieszkańcow w</a:t>
            </a:r>
            <a:r>
              <a:rPr lang="en-US" baseline="0"/>
              <a:t> poszczególnych regionach w 2013 roku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'5_1'!$J$8</c:f>
              <c:strCache>
                <c:ptCount val="1"/>
                <c:pt idx="0">
                  <c:v>Liczba mieszkańcow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'5_1'!$I$9:$I$12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'5_1'!$J$9:$J$12</c:f>
              <c:numCache>
                <c:formatCode>General</c:formatCode>
                <c:ptCount val="4"/>
                <c:pt idx="0">
                  <c:v>33929579</c:v>
                </c:pt>
                <c:pt idx="1">
                  <c:v>41736619</c:v>
                </c:pt>
                <c:pt idx="2">
                  <c:v>57649017</c:v>
                </c:pt>
                <c:pt idx="3">
                  <c:v>36530387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5-4861-BB6B-7E8A50CE4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129104"/>
        <c:axId val="503648720"/>
      </c:barChart>
      <c:catAx>
        <c:axId val="59812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48720"/>
        <c:crosses val="autoZero"/>
        <c:auto val="1"/>
        <c:lblAlgn val="ctr"/>
        <c:lblOffset val="100"/>
        <c:noMultiLvlLbl val="0"/>
      </c:catAx>
      <c:valAx>
        <c:axId val="5036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2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610912</xdr:colOff>
      <xdr:row>13</xdr:row>
      <xdr:rowOff>188527</xdr:rowOff>
    </xdr:from>
    <xdr:to>
      <xdr:col>15</xdr:col>
      <xdr:colOff>19706</xdr:colOff>
      <xdr:row>32</xdr:row>
      <xdr:rowOff>6568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0A52F6B-7A57-9E81-D27F-66AEA872B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0E053E-A0F5-4CAA-A1E0-107CC568915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BD79A93-9DAB-4E93-AFDE-46ACCF07D119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A8CEA0F-09E9-4E31-A502-77F404FBCD07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99DA0C6-0767-4663-9B46-2EAB5DE5DDF3}" autoFormatId="16" applyNumberFormats="0" applyBorderFormats="0" applyFontFormats="0" applyPatternFormats="0" applyAlignmentFormats="0" applyWidthHeightFormats="0">
  <queryTableRefresh nextId="20" unboundColumnsRight="14">
    <queryTableFields count="1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86A47-6B79-4401-9F40-84E1932A7338}" name="kraina" displayName="kraina" ref="A1:E51" tableType="queryTable" totalsRowShown="0">
  <autoFilter ref="A1:E51" xr:uid="{B1D86A47-6B79-4401-9F40-84E1932A7338}"/>
  <tableColumns count="5">
    <tableColumn id="1" xr3:uid="{F156428C-E04F-4304-B6CB-DBA61EECE4EF}" uniqueName="1" name="Nazwa Województwa" queryTableFieldId="1" dataDxfId="10"/>
    <tableColumn id="2" xr3:uid="{2ED62D5B-62D7-41E7-941E-B27768A08C08}" uniqueName="2" name="liczba kobiet 2013" queryTableFieldId="2"/>
    <tableColumn id="3" xr3:uid="{033F7E59-D32E-4F4A-8D05-3D4AE0FDF3B2}" uniqueName="3" name="liczba mężczyzn 2013" queryTableFieldId="3"/>
    <tableColumn id="4" xr3:uid="{966C3D32-198A-40C6-AE6C-D269BFBF2BA8}" uniqueName="4" name="liczba kobiet 2014" queryTableFieldId="4"/>
    <tableColumn id="5" xr3:uid="{590B5CB3-B63E-49FA-A2D2-FD159F2CCC04}" uniqueName="5" name="liczba mężczyzn 2014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30C969-912F-4FD9-B6D8-0C9E557C3A7E}" name="kraina4" displayName="kraina4" ref="A1:F51" tableType="queryTable" totalsRowShown="0">
  <autoFilter ref="A1:F51" xr:uid="{E330C969-912F-4FD9-B6D8-0C9E557C3A7E}"/>
  <tableColumns count="6">
    <tableColumn id="1" xr3:uid="{5A22EDBC-4113-4252-BE80-35DFAD30EA7B}" uniqueName="1" name="Nazwa Województwa" queryTableFieldId="1" dataDxfId="9"/>
    <tableColumn id="2" xr3:uid="{9089E785-852D-4422-9DC8-778658A2EE66}" uniqueName="2" name="liczba kobiet 2013" queryTableFieldId="2"/>
    <tableColumn id="3" xr3:uid="{1298C5C2-E6A4-47EB-938D-FDE265BD0AF9}" uniqueName="3" name="liczba mężczyzn 2013" queryTableFieldId="3"/>
    <tableColumn id="4" xr3:uid="{01D5EE0F-B3BD-46EF-9530-DE5A4D101310}" uniqueName="4" name="liczba kobiet 2014" queryTableFieldId="4"/>
    <tableColumn id="5" xr3:uid="{01016AA8-2210-4A5D-BA6E-4CE86DA2F3B4}" uniqueName="5" name="liczba mężczyzn 2014" queryTableFieldId="5"/>
    <tableColumn id="6" xr3:uid="{F497F671-1531-4801-B07B-E61CCF2A37D5}" uniqueName="6" name="Liczba ludnosci 2013" queryTableFieldId="6" dataDxfId="8">
      <calculatedColumnFormula>B2+C2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E569FD-5B79-4938-8628-3AB63EEDE28E}" name="Tabela4" displayName="Tabela4" ref="I8:J12" totalsRowShown="0">
  <autoFilter ref="I8:J12" xr:uid="{48E569FD-5B79-4938-8628-3AB63EEDE28E}"/>
  <tableColumns count="2">
    <tableColumn id="1" xr3:uid="{A9AF54C5-7B1B-45AE-B2A3-1506793E080C}" name="Region"/>
    <tableColumn id="2" xr3:uid="{0ADC33B6-7266-4542-85D6-857EB96CA4E5}" name="Liczba mieszkańcow" dataDxfId="7" dataCellStyle="Dziesiętny">
      <calculatedColumnFormula>SUMIF($A$2:$A$51,"*"&amp;I9,$F$2:$F$51)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6459EA-0363-4DBF-9B69-A64451A3A43E}" name="kraina6" displayName="kraina6" ref="A1:F51" tableType="queryTable" totalsRowShown="0">
  <autoFilter ref="A1:F51" xr:uid="{D36459EA-0363-4DBF-9B69-A64451A3A43E}"/>
  <tableColumns count="6">
    <tableColumn id="1" xr3:uid="{1677ED4F-A7C8-42D7-8288-678E377A65BD}" uniqueName="1" name="Nazwa Województwa" queryTableFieldId="1" dataDxfId="6"/>
    <tableColumn id="2" xr3:uid="{41B66C74-20E9-49C9-B0FF-336D1CCE7573}" uniqueName="2" name="liczba kobiet 2013" queryTableFieldId="2"/>
    <tableColumn id="3" xr3:uid="{F5CCAD51-50CA-499A-A858-2BCC06B35FE8}" uniqueName="3" name="liczba mężczyzn 2013" queryTableFieldId="3"/>
    <tableColumn id="4" xr3:uid="{13A8D6DB-8B25-48B0-9C81-CD5E62A77814}" uniqueName="4" name="liczba kobiet 2014" queryTableFieldId="4"/>
    <tableColumn id="5" xr3:uid="{0B4EC7C9-58E8-4A79-A112-727034FC23A5}" uniqueName="5" name="liczba mężczyzn 2014" queryTableFieldId="5"/>
    <tableColumn id="6" xr3:uid="{9D55192B-7B1E-48D8-992C-BE6060A7F5C7}" uniqueName="6" name="czy_wiecej" queryTableFieldId="6" dataDxfId="5">
      <calculatedColumnFormula>IF(AND(B2&lt;D2, C2&lt;E2), 1, 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8CC4D1-370B-4AB5-BA5D-0FA592401443}" name="Tabela6" displayName="Tabela6" ref="J9:K13" totalsRowShown="0">
  <autoFilter ref="J9:K13" xr:uid="{CA8CC4D1-370B-4AB5-BA5D-0FA592401443}"/>
  <tableColumns count="2">
    <tableColumn id="1" xr3:uid="{0B39BFE2-77FA-4FCC-BB91-F97FD7BB3064}" name="Region"/>
    <tableColumn id="2" xr3:uid="{B0B3F9A0-B2A9-42AB-BA9F-D9861BCD15BA}" name="Czy więcej">
      <calculatedColumnFormula>SUMIF($A$2:$A$51, "*"&amp;J10,$F$2:$F$51)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3718E4-86E7-4F0F-A2B2-2A5D7976515B}" name="Tabela7" displayName="Tabela7" ref="J7:K7" headerRowCount="0" totalsRowShown="0">
  <tableColumns count="2">
    <tableColumn id="1" xr3:uid="{E9CA6CAA-479C-4BDF-82B4-0470674ECCCF}" name="Kolumna1"/>
    <tableColumn id="2" xr3:uid="{194E1E49-33AB-4F88-B51D-8F11C2BC68FF}" name="Kolumna2">
      <calculatedColumnFormula>SUM(F2:F51)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11D967-6ED5-41DB-BAC4-704D6D393945}" name="kraina9" displayName="kraina9" ref="A1:S51" tableType="queryTable" totalsRowShown="0">
  <autoFilter ref="A1:S51" xr:uid="{6511D967-6ED5-41DB-BAC4-704D6D393945}"/>
  <sortState xmlns:xlrd2="http://schemas.microsoft.com/office/spreadsheetml/2017/richdata2" ref="A2:R51">
    <sortCondition descending="1" ref="R1:R51"/>
  </sortState>
  <tableColumns count="19">
    <tableColumn id="1" xr3:uid="{D1807E21-FCE1-4800-9BFD-FA9EA27196A9}" uniqueName="1" name="Nazwa Województwa" queryTableFieldId="1" dataDxfId="4"/>
    <tableColumn id="2" xr3:uid="{A1E7C83D-8785-4F95-8437-E98F6766586E}" uniqueName="2" name="liczba kobiet 2013" queryTableFieldId="2"/>
    <tableColumn id="3" xr3:uid="{C3927578-7AEA-4EC1-89E9-A6AB815DD501}" uniqueName="3" name="liczba mężczyzn 2013" queryTableFieldId="3"/>
    <tableColumn id="4" xr3:uid="{6992209C-3387-4954-B587-DBCB938DF173}" uniqueName="4" name="liczba kobiet 2014" queryTableFieldId="4"/>
    <tableColumn id="5" xr3:uid="{0D6F18F1-7702-439B-8849-C795A09B9FD7}" uniqueName="5" name="liczba mężczyzn 2014" queryTableFieldId="5"/>
    <tableColumn id="6" xr3:uid="{A47A964E-93C7-4760-898A-DE6D73E9494A}" uniqueName="6" name="tempo_wzrostu" queryTableFieldId="6" dataDxfId="1">
      <calculatedColumnFormula>ROUNDDOWN((D2+E2)/(B2+C2), 4)</calculatedColumnFormula>
    </tableColumn>
    <tableColumn id="7" xr3:uid="{9CC508AD-A365-4F81-A6CE-B5E1D546BBD0}" uniqueName="7" name="ludnosc_2014" queryTableFieldId="7" dataDxfId="3">
      <calculatedColumnFormula>D2+E2</calculatedColumnFormula>
    </tableColumn>
    <tableColumn id="8" xr3:uid="{A014A77E-E9C5-47CB-BBA3-4B5CE8BF1D75}" uniqueName="8" name="ludnosc_2015" queryTableFieldId="8" dataDxfId="2">
      <calculatedColumnFormula>IF(G2 &gt; 2*($B2+$C2), G2, ROUNDDOWN(G2*$F2, 0))</calculatedColumnFormula>
    </tableColumn>
    <tableColumn id="9" xr3:uid="{235CA0F2-71EE-4EAB-98DF-5FDAC1E7579F}" uniqueName="9" name="ludnosc_2016" queryTableFieldId="9">
      <calculatedColumnFormula>IF(H2 &gt; 2*($B2+$C2), H2, ROUNDDOWN(H2*$F2, 0))</calculatedColumnFormula>
    </tableColumn>
    <tableColumn id="10" xr3:uid="{516E8F39-9E9B-49F0-99E0-1A4834D2C74D}" uniqueName="10" name="ludnosc_2017" queryTableFieldId="10">
      <calculatedColumnFormula>IF(I2 &gt; 2*($B2+$C2), I2, ROUNDDOWN(I2*$F2, 0))</calculatedColumnFormula>
    </tableColumn>
    <tableColumn id="11" xr3:uid="{9E415E4D-5426-4EB9-8EE1-76D397AD1323}" uniqueName="11" name="ludnosc_2018" queryTableFieldId="11">
      <calculatedColumnFormula>IF(J2 &gt; 2*($B2+$C2), J2, ROUNDDOWN(J2*$F2, 0))</calculatedColumnFormula>
    </tableColumn>
    <tableColumn id="12" xr3:uid="{632CFAA0-5603-4547-955D-8E72FF8C58BF}" uniqueName="12" name="ludnosc_2019" queryTableFieldId="12">
      <calculatedColumnFormula>IF(K2 &gt; 2*($B2+$C2), K2, ROUNDDOWN(K2*$F2, 0))</calculatedColumnFormula>
    </tableColumn>
    <tableColumn id="13" xr3:uid="{27988469-FA0C-4856-A097-9A853A740EEE}" uniqueName="13" name="ludnosc_2020" queryTableFieldId="13">
      <calculatedColumnFormula>IF(L2 &gt; 2*($B2+$C2), L2, ROUNDDOWN(L2*$F2, 0))</calculatedColumnFormula>
    </tableColumn>
    <tableColumn id="14" xr3:uid="{99FD9946-F90F-4721-B2A7-DA20E45B62DA}" uniqueName="14" name="ludnosc_2021" queryTableFieldId="14">
      <calculatedColumnFormula>IF(M2 &gt; 2*($B2+$C2), M2, ROUNDDOWN(M2*$F2, 0))</calculatedColumnFormula>
    </tableColumn>
    <tableColumn id="15" xr3:uid="{24EB2B76-6149-4C79-87B3-0B047FA880BF}" uniqueName="15" name="ludnosc_2022" queryTableFieldId="15">
      <calculatedColumnFormula>IF(N2 &gt; 2*($B2+$C2), N2, ROUNDDOWN(N2*$F2, 0))</calculatedColumnFormula>
    </tableColumn>
    <tableColumn id="16" xr3:uid="{7B1BF69F-7488-4F53-A7EE-13587CD042AD}" uniqueName="16" name="ludnosc_2023" queryTableFieldId="16">
      <calculatedColumnFormula>IF(O2 &gt; 2*($B2+$C2), O2, ROUNDDOWN(O2*$F2, 0))</calculatedColumnFormula>
    </tableColumn>
    <tableColumn id="17" xr3:uid="{A9E6C9B5-D297-4568-B852-C98B00686340}" uniqueName="17" name="ludnosc_2024" queryTableFieldId="17">
      <calculatedColumnFormula>IF(P2 &gt; 2*($B2+$C2), P2, ROUNDDOWN(P2*$F2, 0))</calculatedColumnFormula>
    </tableColumn>
    <tableColumn id="18" xr3:uid="{98F9F480-D0B7-4958-A823-1CE35EDD4CE0}" uniqueName="18" name="ludnosc_2025" queryTableFieldId="18">
      <calculatedColumnFormula>IF(Q2 &gt; 2*($B2+$C2), Q2, ROUNDDOWN(Q2*$F2, 0))</calculatedColumnFormula>
    </tableColumn>
    <tableColumn id="19" xr3:uid="{5F50DDE0-15F5-4649-903A-B344BCCB29F1}" uniqueName="19" name="Przeludnienie" queryTableFieldId="19" dataDxfId="0">
      <calculatedColumnFormula>IF(R2&gt;2*(B2+C2),1,0)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0663375-A6A7-45CB-9AFA-0AF2655E8311}" name="Tabela9" displayName="Tabela9" ref="U12:V13" headerRowCount="0" totalsRowShown="0">
  <tableColumns count="2">
    <tableColumn id="1" xr3:uid="{1E347AF4-397A-497C-9B9B-AF22755D9F45}" name="Kolumna1"/>
    <tableColumn id="2" xr3:uid="{A72B6B24-9BE7-4F6C-8A51-B221E1613B09}" name="Kolumna2">
      <calculatedColumnFormula>SUM(S1:S33)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5969-E629-47A9-9A99-55CC479EEC3A}">
  <dimension ref="A1:E51"/>
  <sheetViews>
    <sheetView topLeftCell="A19" zoomScale="160" zoomScaleNormal="160" workbookViewId="0">
      <selection sqref="A1:E51"/>
    </sheetView>
  </sheetViews>
  <sheetFormatPr defaultRowHeight="15" x14ac:dyDescent="0.25"/>
  <cols>
    <col min="1" max="1" width="22.7109375" bestFit="1" customWidth="1"/>
    <col min="2" max="2" width="19" bestFit="1" customWidth="1"/>
    <col min="3" max="3" width="21.85546875" bestFit="1" customWidth="1"/>
    <col min="4" max="4" width="19" bestFit="1" customWidth="1"/>
    <col min="5" max="5" width="21.85546875" bestFit="1" customWidth="1"/>
  </cols>
  <sheetData>
    <row r="1" spans="1:5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25">
      <c r="A2" s="1" t="s">
        <v>0</v>
      </c>
      <c r="B2">
        <v>1415007</v>
      </c>
      <c r="C2">
        <v>1397195</v>
      </c>
      <c r="D2">
        <v>1499070</v>
      </c>
      <c r="E2">
        <v>1481105</v>
      </c>
    </row>
    <row r="3" spans="1:5" x14ac:dyDescent="0.25">
      <c r="A3" s="1" t="s">
        <v>1</v>
      </c>
      <c r="B3">
        <v>1711390</v>
      </c>
      <c r="C3">
        <v>1641773</v>
      </c>
      <c r="D3">
        <v>1522030</v>
      </c>
      <c r="E3">
        <v>1618733</v>
      </c>
    </row>
    <row r="4" spans="1:5" x14ac:dyDescent="0.25">
      <c r="A4" s="1" t="s">
        <v>2</v>
      </c>
      <c r="B4">
        <v>1165105</v>
      </c>
      <c r="C4">
        <v>1278732</v>
      </c>
      <c r="D4">
        <v>1299953</v>
      </c>
      <c r="E4">
        <v>1191621</v>
      </c>
    </row>
    <row r="5" spans="1:5" x14ac:dyDescent="0.25">
      <c r="A5" s="1" t="s">
        <v>3</v>
      </c>
      <c r="B5">
        <v>949065</v>
      </c>
      <c r="C5">
        <v>1026050</v>
      </c>
      <c r="D5">
        <v>688027</v>
      </c>
      <c r="E5">
        <v>723233</v>
      </c>
    </row>
    <row r="6" spans="1:5" x14ac:dyDescent="0.25">
      <c r="A6" s="1" t="s">
        <v>4</v>
      </c>
      <c r="B6">
        <v>2436107</v>
      </c>
      <c r="C6">
        <v>2228622</v>
      </c>
      <c r="D6">
        <v>1831600</v>
      </c>
      <c r="E6">
        <v>1960624</v>
      </c>
    </row>
    <row r="7" spans="1:5" x14ac:dyDescent="0.25">
      <c r="A7" s="1" t="s">
        <v>5</v>
      </c>
      <c r="B7">
        <v>1846928</v>
      </c>
      <c r="C7">
        <v>1851433</v>
      </c>
      <c r="D7">
        <v>2125113</v>
      </c>
      <c r="E7">
        <v>2028635</v>
      </c>
    </row>
    <row r="8" spans="1:5" x14ac:dyDescent="0.25">
      <c r="A8" s="1" t="s">
        <v>6</v>
      </c>
      <c r="B8">
        <v>3841577</v>
      </c>
      <c r="C8">
        <v>3848394</v>
      </c>
      <c r="D8">
        <v>3595975</v>
      </c>
      <c r="E8">
        <v>3123039</v>
      </c>
    </row>
    <row r="9" spans="1:5" x14ac:dyDescent="0.25">
      <c r="A9" s="1" t="s">
        <v>7</v>
      </c>
      <c r="B9">
        <v>679557</v>
      </c>
      <c r="C9">
        <v>655500</v>
      </c>
      <c r="D9">
        <v>1012012</v>
      </c>
      <c r="E9">
        <v>1067022</v>
      </c>
    </row>
    <row r="10" spans="1:5" x14ac:dyDescent="0.25">
      <c r="A10" s="1" t="s">
        <v>8</v>
      </c>
      <c r="B10">
        <v>1660998</v>
      </c>
      <c r="C10">
        <v>1630345</v>
      </c>
      <c r="D10">
        <v>1130119</v>
      </c>
      <c r="E10">
        <v>1080238</v>
      </c>
    </row>
    <row r="11" spans="1:5" x14ac:dyDescent="0.25">
      <c r="A11" s="1" t="s">
        <v>9</v>
      </c>
      <c r="B11">
        <v>1157622</v>
      </c>
      <c r="C11">
        <v>1182345</v>
      </c>
      <c r="D11">
        <v>830785</v>
      </c>
      <c r="E11">
        <v>833779</v>
      </c>
    </row>
    <row r="12" spans="1:5" x14ac:dyDescent="0.25">
      <c r="A12" s="1" t="s">
        <v>10</v>
      </c>
      <c r="B12">
        <v>1987047</v>
      </c>
      <c r="C12">
        <v>1996208</v>
      </c>
      <c r="D12">
        <v>2053892</v>
      </c>
      <c r="E12">
        <v>1697247</v>
      </c>
    </row>
    <row r="13" spans="1:5" x14ac:dyDescent="0.25">
      <c r="A13" s="1" t="s">
        <v>11</v>
      </c>
      <c r="B13">
        <v>3997724</v>
      </c>
      <c r="C13">
        <v>3690756</v>
      </c>
      <c r="D13">
        <v>4339393</v>
      </c>
      <c r="E13">
        <v>4639643</v>
      </c>
    </row>
    <row r="14" spans="1:5" x14ac:dyDescent="0.25">
      <c r="A14" s="1" t="s">
        <v>12</v>
      </c>
      <c r="B14">
        <v>996113</v>
      </c>
      <c r="C14">
        <v>964279</v>
      </c>
      <c r="D14">
        <v>1012487</v>
      </c>
      <c r="E14">
        <v>1128940</v>
      </c>
    </row>
    <row r="15" spans="1:5" x14ac:dyDescent="0.25">
      <c r="A15" s="1" t="s">
        <v>13</v>
      </c>
      <c r="B15">
        <v>1143634</v>
      </c>
      <c r="C15">
        <v>1033836</v>
      </c>
      <c r="D15">
        <v>909534</v>
      </c>
      <c r="E15">
        <v>856349</v>
      </c>
    </row>
    <row r="16" spans="1:5" x14ac:dyDescent="0.25">
      <c r="A16" s="1" t="s">
        <v>14</v>
      </c>
      <c r="B16">
        <v>2549276</v>
      </c>
      <c r="C16">
        <v>2584751</v>
      </c>
      <c r="D16">
        <v>2033079</v>
      </c>
      <c r="E16">
        <v>2066918</v>
      </c>
    </row>
    <row r="17" spans="1:5" x14ac:dyDescent="0.25">
      <c r="A17" s="1" t="s">
        <v>15</v>
      </c>
      <c r="B17">
        <v>1367212</v>
      </c>
      <c r="C17">
        <v>1361389</v>
      </c>
      <c r="D17">
        <v>1572320</v>
      </c>
      <c r="E17">
        <v>1836258</v>
      </c>
    </row>
    <row r="18" spans="1:5" x14ac:dyDescent="0.25">
      <c r="A18" s="1" t="s">
        <v>16</v>
      </c>
      <c r="B18">
        <v>2567464</v>
      </c>
      <c r="C18">
        <v>2441857</v>
      </c>
      <c r="D18">
        <v>1524132</v>
      </c>
      <c r="E18">
        <v>1496810</v>
      </c>
    </row>
    <row r="19" spans="1:5" x14ac:dyDescent="0.25">
      <c r="A19" s="1" t="s">
        <v>17</v>
      </c>
      <c r="B19">
        <v>1334060</v>
      </c>
      <c r="C19">
        <v>1395231</v>
      </c>
      <c r="D19">
        <v>578655</v>
      </c>
      <c r="E19">
        <v>677663</v>
      </c>
    </row>
    <row r="20" spans="1:5" x14ac:dyDescent="0.25">
      <c r="A20" s="1" t="s">
        <v>18</v>
      </c>
      <c r="B20">
        <v>2976209</v>
      </c>
      <c r="C20">
        <v>3199665</v>
      </c>
      <c r="D20">
        <v>1666477</v>
      </c>
      <c r="E20">
        <v>1759240</v>
      </c>
    </row>
    <row r="21" spans="1:5" x14ac:dyDescent="0.25">
      <c r="A21" s="1" t="s">
        <v>19</v>
      </c>
      <c r="B21">
        <v>1443351</v>
      </c>
      <c r="C21">
        <v>1565539</v>
      </c>
      <c r="D21">
        <v>1355276</v>
      </c>
      <c r="E21">
        <v>1423414</v>
      </c>
    </row>
    <row r="22" spans="1:5" x14ac:dyDescent="0.25">
      <c r="A22" s="1" t="s">
        <v>20</v>
      </c>
      <c r="B22">
        <v>2486640</v>
      </c>
      <c r="C22">
        <v>2265936</v>
      </c>
      <c r="D22">
        <v>297424</v>
      </c>
      <c r="E22">
        <v>274759</v>
      </c>
    </row>
    <row r="23" spans="1:5" x14ac:dyDescent="0.25">
      <c r="A23" s="1" t="s">
        <v>21</v>
      </c>
      <c r="B23">
        <v>685438</v>
      </c>
      <c r="C23">
        <v>749124</v>
      </c>
      <c r="D23">
        <v>2697677</v>
      </c>
      <c r="E23">
        <v>2821550</v>
      </c>
    </row>
    <row r="24" spans="1:5" x14ac:dyDescent="0.25">
      <c r="A24" s="1" t="s">
        <v>22</v>
      </c>
      <c r="B24">
        <v>2166753</v>
      </c>
      <c r="C24">
        <v>2338698</v>
      </c>
      <c r="D24">
        <v>1681433</v>
      </c>
      <c r="E24">
        <v>1592443</v>
      </c>
    </row>
    <row r="25" spans="1:5" x14ac:dyDescent="0.25">
      <c r="A25" s="1" t="s">
        <v>23</v>
      </c>
      <c r="B25">
        <v>643177</v>
      </c>
      <c r="C25">
        <v>684187</v>
      </c>
      <c r="D25">
        <v>796213</v>
      </c>
      <c r="E25">
        <v>867904</v>
      </c>
    </row>
    <row r="26" spans="1:5" x14ac:dyDescent="0.25">
      <c r="A26" s="1" t="s">
        <v>24</v>
      </c>
      <c r="B26">
        <v>450192</v>
      </c>
      <c r="C26">
        <v>434755</v>
      </c>
      <c r="D26">
        <v>1656446</v>
      </c>
      <c r="E26">
        <v>1691000</v>
      </c>
    </row>
    <row r="27" spans="1:5" x14ac:dyDescent="0.25">
      <c r="A27" s="1" t="s">
        <v>25</v>
      </c>
      <c r="B27">
        <v>1037774</v>
      </c>
      <c r="C27">
        <v>1113789</v>
      </c>
      <c r="D27">
        <v>877464</v>
      </c>
      <c r="E27">
        <v>990837</v>
      </c>
    </row>
    <row r="28" spans="1:5" x14ac:dyDescent="0.25">
      <c r="A28" s="1" t="s">
        <v>26</v>
      </c>
      <c r="B28">
        <v>2351213</v>
      </c>
      <c r="C28">
        <v>2358482</v>
      </c>
      <c r="D28">
        <v>1098384</v>
      </c>
      <c r="E28">
        <v>1121488</v>
      </c>
    </row>
    <row r="29" spans="1:5" x14ac:dyDescent="0.25">
      <c r="A29" s="1" t="s">
        <v>27</v>
      </c>
      <c r="B29">
        <v>2613354</v>
      </c>
      <c r="C29">
        <v>2837241</v>
      </c>
      <c r="D29">
        <v>431144</v>
      </c>
      <c r="E29">
        <v>434113</v>
      </c>
    </row>
    <row r="30" spans="1:5" x14ac:dyDescent="0.25">
      <c r="A30" s="1" t="s">
        <v>28</v>
      </c>
      <c r="B30">
        <v>1859691</v>
      </c>
      <c r="C30">
        <v>1844250</v>
      </c>
      <c r="D30">
        <v>1460134</v>
      </c>
      <c r="E30">
        <v>1585258</v>
      </c>
    </row>
    <row r="31" spans="1:5" x14ac:dyDescent="0.25">
      <c r="A31" s="1" t="s">
        <v>29</v>
      </c>
      <c r="B31">
        <v>2478386</v>
      </c>
      <c r="C31">
        <v>2562144</v>
      </c>
      <c r="D31">
        <v>30035</v>
      </c>
      <c r="E31">
        <v>29396</v>
      </c>
    </row>
    <row r="32" spans="1:5" x14ac:dyDescent="0.25">
      <c r="A32" s="1" t="s">
        <v>30</v>
      </c>
      <c r="B32">
        <v>1938122</v>
      </c>
      <c r="C32">
        <v>1816647</v>
      </c>
      <c r="D32">
        <v>1602356</v>
      </c>
      <c r="E32">
        <v>1875221</v>
      </c>
    </row>
    <row r="33" spans="1:5" x14ac:dyDescent="0.25">
      <c r="A33" s="1" t="s">
        <v>31</v>
      </c>
      <c r="B33">
        <v>992523</v>
      </c>
      <c r="C33">
        <v>1028501</v>
      </c>
      <c r="D33">
        <v>1995446</v>
      </c>
      <c r="E33">
        <v>1860524</v>
      </c>
    </row>
    <row r="34" spans="1:5" x14ac:dyDescent="0.25">
      <c r="A34" s="1" t="s">
        <v>32</v>
      </c>
      <c r="B34">
        <v>2966291</v>
      </c>
      <c r="C34">
        <v>2889963</v>
      </c>
      <c r="D34">
        <v>462453</v>
      </c>
      <c r="E34">
        <v>486354</v>
      </c>
    </row>
    <row r="35" spans="1:5" x14ac:dyDescent="0.25">
      <c r="A35" s="1" t="s">
        <v>33</v>
      </c>
      <c r="B35">
        <v>76648</v>
      </c>
      <c r="C35">
        <v>81385</v>
      </c>
      <c r="D35">
        <v>1374708</v>
      </c>
      <c r="E35">
        <v>1379567</v>
      </c>
    </row>
    <row r="36" spans="1:5" x14ac:dyDescent="0.25">
      <c r="A36" s="1" t="s">
        <v>34</v>
      </c>
      <c r="B36">
        <v>2574432</v>
      </c>
      <c r="C36">
        <v>2409710</v>
      </c>
      <c r="D36">
        <v>987486</v>
      </c>
      <c r="E36">
        <v>999043</v>
      </c>
    </row>
    <row r="37" spans="1:5" x14ac:dyDescent="0.25">
      <c r="A37" s="1" t="s">
        <v>35</v>
      </c>
      <c r="B37">
        <v>1778590</v>
      </c>
      <c r="C37">
        <v>1874844</v>
      </c>
      <c r="D37">
        <v>111191</v>
      </c>
      <c r="E37">
        <v>117846</v>
      </c>
    </row>
    <row r="38" spans="1:5" x14ac:dyDescent="0.25">
      <c r="A38" s="1" t="s">
        <v>36</v>
      </c>
      <c r="B38">
        <v>1506541</v>
      </c>
      <c r="C38">
        <v>1414887</v>
      </c>
      <c r="D38">
        <v>1216612</v>
      </c>
      <c r="E38">
        <v>1166775</v>
      </c>
    </row>
    <row r="39" spans="1:5" x14ac:dyDescent="0.25">
      <c r="A39" s="1" t="s">
        <v>37</v>
      </c>
      <c r="B39">
        <v>1598886</v>
      </c>
      <c r="C39">
        <v>1687917</v>
      </c>
      <c r="D39">
        <v>449788</v>
      </c>
      <c r="E39">
        <v>427615</v>
      </c>
    </row>
    <row r="40" spans="1:5" x14ac:dyDescent="0.25">
      <c r="A40" s="1" t="s">
        <v>38</v>
      </c>
      <c r="B40">
        <v>548989</v>
      </c>
      <c r="C40">
        <v>514636</v>
      </c>
      <c r="D40">
        <v>2770344</v>
      </c>
      <c r="E40">
        <v>3187897</v>
      </c>
    </row>
    <row r="41" spans="1:5" x14ac:dyDescent="0.25">
      <c r="A41" s="1" t="s">
        <v>39</v>
      </c>
      <c r="B41">
        <v>1175198</v>
      </c>
      <c r="C41">
        <v>1095440</v>
      </c>
      <c r="D41">
        <v>2657174</v>
      </c>
      <c r="E41">
        <v>2491947</v>
      </c>
    </row>
    <row r="42" spans="1:5" x14ac:dyDescent="0.25">
      <c r="A42" s="1" t="s">
        <v>40</v>
      </c>
      <c r="B42">
        <v>2115336</v>
      </c>
      <c r="C42">
        <v>2202769</v>
      </c>
      <c r="D42">
        <v>15339</v>
      </c>
      <c r="E42">
        <v>14652</v>
      </c>
    </row>
    <row r="43" spans="1:5" x14ac:dyDescent="0.25">
      <c r="A43" s="1" t="s">
        <v>41</v>
      </c>
      <c r="B43">
        <v>2346640</v>
      </c>
      <c r="C43">
        <v>2197559</v>
      </c>
      <c r="D43">
        <v>373470</v>
      </c>
      <c r="E43">
        <v>353365</v>
      </c>
    </row>
    <row r="44" spans="1:5" x14ac:dyDescent="0.25">
      <c r="A44" s="1" t="s">
        <v>42</v>
      </c>
      <c r="B44">
        <v>2548438</v>
      </c>
      <c r="C44">
        <v>2577213</v>
      </c>
      <c r="D44">
        <v>37986</v>
      </c>
      <c r="E44">
        <v>37766</v>
      </c>
    </row>
    <row r="45" spans="1:5" x14ac:dyDescent="0.25">
      <c r="A45" s="1" t="s">
        <v>43</v>
      </c>
      <c r="B45">
        <v>835495</v>
      </c>
      <c r="C45">
        <v>837746</v>
      </c>
      <c r="D45">
        <v>1106177</v>
      </c>
      <c r="E45">
        <v>917781</v>
      </c>
    </row>
    <row r="46" spans="1:5" x14ac:dyDescent="0.25">
      <c r="A46" s="1" t="s">
        <v>44</v>
      </c>
      <c r="B46">
        <v>1187448</v>
      </c>
      <c r="C46">
        <v>1070426</v>
      </c>
      <c r="D46">
        <v>1504608</v>
      </c>
      <c r="E46">
        <v>1756990</v>
      </c>
    </row>
    <row r="47" spans="1:5" x14ac:dyDescent="0.25">
      <c r="A47" s="1" t="s">
        <v>45</v>
      </c>
      <c r="B47">
        <v>140026</v>
      </c>
      <c r="C47">
        <v>146354</v>
      </c>
      <c r="D47">
        <v>2759991</v>
      </c>
      <c r="E47">
        <v>2742120</v>
      </c>
    </row>
    <row r="48" spans="1:5" x14ac:dyDescent="0.25">
      <c r="A48" s="1" t="s">
        <v>46</v>
      </c>
      <c r="B48">
        <v>1198765</v>
      </c>
      <c r="C48">
        <v>1304945</v>
      </c>
      <c r="D48">
        <v>2786493</v>
      </c>
      <c r="E48">
        <v>2602643</v>
      </c>
    </row>
    <row r="49" spans="1:5" x14ac:dyDescent="0.25">
      <c r="A49" s="1" t="s">
        <v>47</v>
      </c>
      <c r="B49">
        <v>2619776</v>
      </c>
      <c r="C49">
        <v>2749623</v>
      </c>
      <c r="D49">
        <v>2888215</v>
      </c>
      <c r="E49">
        <v>2800174</v>
      </c>
    </row>
    <row r="50" spans="1:5" x14ac:dyDescent="0.25">
      <c r="A50" s="1" t="s">
        <v>48</v>
      </c>
      <c r="B50">
        <v>248398</v>
      </c>
      <c r="C50">
        <v>268511</v>
      </c>
      <c r="D50">
        <v>3110853</v>
      </c>
      <c r="E50">
        <v>2986411</v>
      </c>
    </row>
    <row r="51" spans="1:5" x14ac:dyDescent="0.25">
      <c r="A51" s="1" t="s">
        <v>49</v>
      </c>
      <c r="B51">
        <v>2494207</v>
      </c>
      <c r="C51">
        <v>2625207</v>
      </c>
      <c r="D51">
        <v>1796293</v>
      </c>
      <c r="E51">
        <v>1853602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AA8C-846D-4A20-9376-DD3A7C5BC371}">
  <dimension ref="A1:J51"/>
  <sheetViews>
    <sheetView topLeftCell="B1" zoomScale="145" zoomScaleNormal="145" workbookViewId="0">
      <selection activeCell="I8" sqref="I8:J12"/>
    </sheetView>
  </sheetViews>
  <sheetFormatPr defaultRowHeight="15" x14ac:dyDescent="0.25"/>
  <cols>
    <col min="1" max="1" width="15.42578125" customWidth="1"/>
    <col min="2" max="2" width="19" bestFit="1" customWidth="1"/>
    <col min="3" max="3" width="21.85546875" bestFit="1" customWidth="1"/>
    <col min="4" max="4" width="19" bestFit="1" customWidth="1"/>
    <col min="5" max="5" width="21.85546875" bestFit="1" customWidth="1"/>
    <col min="6" max="6" width="21.140625" bestFit="1" customWidth="1"/>
    <col min="9" max="9" width="10.7109375" customWidth="1"/>
    <col min="10" max="10" width="21.140625" bestFit="1" customWidth="1"/>
  </cols>
  <sheetData>
    <row r="1" spans="1:10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61</v>
      </c>
    </row>
    <row r="2" spans="1:10" x14ac:dyDescent="0.25">
      <c r="A2" s="1" t="s">
        <v>0</v>
      </c>
      <c r="B2">
        <v>1415007</v>
      </c>
      <c r="C2">
        <v>1397195</v>
      </c>
      <c r="D2">
        <v>1499070</v>
      </c>
      <c r="E2">
        <v>1481105</v>
      </c>
      <c r="F2">
        <f t="shared" ref="F2:F33" si="0">B2+C2</f>
        <v>2812202</v>
      </c>
    </row>
    <row r="3" spans="1:10" x14ac:dyDescent="0.25">
      <c r="A3" s="1" t="s">
        <v>1</v>
      </c>
      <c r="B3">
        <v>1711390</v>
      </c>
      <c r="C3">
        <v>1641773</v>
      </c>
      <c r="D3">
        <v>1522030</v>
      </c>
      <c r="E3">
        <v>1618733</v>
      </c>
      <c r="F3">
        <f t="shared" si="0"/>
        <v>3353163</v>
      </c>
    </row>
    <row r="4" spans="1:10" x14ac:dyDescent="0.25">
      <c r="A4" s="1" t="s">
        <v>2</v>
      </c>
      <c r="B4">
        <v>1165105</v>
      </c>
      <c r="C4">
        <v>1278732</v>
      </c>
      <c r="D4">
        <v>1299953</v>
      </c>
      <c r="E4">
        <v>1191621</v>
      </c>
      <c r="F4">
        <f t="shared" si="0"/>
        <v>2443837</v>
      </c>
    </row>
    <row r="5" spans="1:10" x14ac:dyDescent="0.25">
      <c r="A5" s="1" t="s">
        <v>3</v>
      </c>
      <c r="B5">
        <v>949065</v>
      </c>
      <c r="C5">
        <v>1026050</v>
      </c>
      <c r="D5">
        <v>688027</v>
      </c>
      <c r="E5">
        <v>723233</v>
      </c>
      <c r="F5">
        <f t="shared" si="0"/>
        <v>1975115</v>
      </c>
    </row>
    <row r="6" spans="1:10" x14ac:dyDescent="0.25">
      <c r="A6" s="1" t="s">
        <v>4</v>
      </c>
      <c r="B6">
        <v>2436107</v>
      </c>
      <c r="C6">
        <v>2228622</v>
      </c>
      <c r="D6">
        <v>1831600</v>
      </c>
      <c r="E6">
        <v>1960624</v>
      </c>
      <c r="F6">
        <f t="shared" si="0"/>
        <v>4664729</v>
      </c>
    </row>
    <row r="7" spans="1:10" x14ac:dyDescent="0.25">
      <c r="A7" s="1" t="s">
        <v>5</v>
      </c>
      <c r="B7">
        <v>1846928</v>
      </c>
      <c r="C7">
        <v>1851433</v>
      </c>
      <c r="D7">
        <v>2125113</v>
      </c>
      <c r="E7">
        <v>2028635</v>
      </c>
      <c r="F7">
        <f t="shared" si="0"/>
        <v>3698361</v>
      </c>
    </row>
    <row r="8" spans="1:10" x14ac:dyDescent="0.25">
      <c r="A8" s="1" t="s">
        <v>6</v>
      </c>
      <c r="B8">
        <v>3841577</v>
      </c>
      <c r="C8">
        <v>3848394</v>
      </c>
      <c r="D8">
        <v>3595975</v>
      </c>
      <c r="E8">
        <v>3123039</v>
      </c>
      <c r="F8">
        <f t="shared" si="0"/>
        <v>7689971</v>
      </c>
      <c r="I8" t="s">
        <v>59</v>
      </c>
      <c r="J8" t="s">
        <v>60</v>
      </c>
    </row>
    <row r="9" spans="1:10" x14ac:dyDescent="0.25">
      <c r="A9" s="1" t="s">
        <v>7</v>
      </c>
      <c r="B9">
        <v>679557</v>
      </c>
      <c r="C9">
        <v>655500</v>
      </c>
      <c r="D9">
        <v>1012012</v>
      </c>
      <c r="E9">
        <v>1067022</v>
      </c>
      <c r="F9">
        <f t="shared" si="0"/>
        <v>1335057</v>
      </c>
      <c r="I9" t="s">
        <v>55</v>
      </c>
      <c r="J9" s="2">
        <f t="shared" ref="J9:J12" si="1">SUMIF($A$2:$A$51,"*"&amp;I9,$F$2:$F$51)</f>
        <v>33929579</v>
      </c>
    </row>
    <row r="10" spans="1:10" x14ac:dyDescent="0.25">
      <c r="A10" s="1" t="s">
        <v>8</v>
      </c>
      <c r="B10">
        <v>1660998</v>
      </c>
      <c r="C10">
        <v>1630345</v>
      </c>
      <c r="D10">
        <v>1130119</v>
      </c>
      <c r="E10">
        <v>1080238</v>
      </c>
      <c r="F10">
        <f t="shared" si="0"/>
        <v>3291343</v>
      </c>
      <c r="I10" t="s">
        <v>56</v>
      </c>
      <c r="J10" s="2">
        <f t="shared" si="1"/>
        <v>41736619</v>
      </c>
    </row>
    <row r="11" spans="1:10" x14ac:dyDescent="0.25">
      <c r="A11" s="1" t="s">
        <v>9</v>
      </c>
      <c r="B11">
        <v>1157622</v>
      </c>
      <c r="C11">
        <v>1182345</v>
      </c>
      <c r="D11">
        <v>830785</v>
      </c>
      <c r="E11">
        <v>833779</v>
      </c>
      <c r="F11">
        <f t="shared" si="0"/>
        <v>2339967</v>
      </c>
      <c r="I11" t="s">
        <v>57</v>
      </c>
      <c r="J11" s="2">
        <f t="shared" si="1"/>
        <v>57649017</v>
      </c>
    </row>
    <row r="12" spans="1:10" x14ac:dyDescent="0.25">
      <c r="A12" s="1" t="s">
        <v>10</v>
      </c>
      <c r="B12">
        <v>1987047</v>
      </c>
      <c r="C12">
        <v>1996208</v>
      </c>
      <c r="D12">
        <v>2053892</v>
      </c>
      <c r="E12">
        <v>1697247</v>
      </c>
      <c r="F12">
        <f t="shared" si="0"/>
        <v>3983255</v>
      </c>
      <c r="I12" t="s">
        <v>58</v>
      </c>
      <c r="J12" s="2">
        <f t="shared" si="1"/>
        <v>36530387</v>
      </c>
    </row>
    <row r="13" spans="1:10" x14ac:dyDescent="0.25">
      <c r="A13" s="1" t="s">
        <v>11</v>
      </c>
      <c r="B13">
        <v>3997724</v>
      </c>
      <c r="C13">
        <v>3690756</v>
      </c>
      <c r="D13">
        <v>4339393</v>
      </c>
      <c r="E13">
        <v>4639643</v>
      </c>
      <c r="F13">
        <f t="shared" si="0"/>
        <v>7688480</v>
      </c>
    </row>
    <row r="14" spans="1:10" x14ac:dyDescent="0.25">
      <c r="A14" s="1" t="s">
        <v>12</v>
      </c>
      <c r="B14">
        <v>996113</v>
      </c>
      <c r="C14">
        <v>964279</v>
      </c>
      <c r="D14">
        <v>1012487</v>
      </c>
      <c r="E14">
        <v>1128940</v>
      </c>
      <c r="F14">
        <f t="shared" si="0"/>
        <v>1960392</v>
      </c>
    </row>
    <row r="15" spans="1:10" x14ac:dyDescent="0.25">
      <c r="A15" s="1" t="s">
        <v>13</v>
      </c>
      <c r="B15">
        <v>1143634</v>
      </c>
      <c r="C15">
        <v>1033836</v>
      </c>
      <c r="D15">
        <v>909534</v>
      </c>
      <c r="E15">
        <v>856349</v>
      </c>
      <c r="F15">
        <f t="shared" si="0"/>
        <v>2177470</v>
      </c>
    </row>
    <row r="16" spans="1:10" x14ac:dyDescent="0.25">
      <c r="A16" s="1" t="s">
        <v>14</v>
      </c>
      <c r="B16">
        <v>2549276</v>
      </c>
      <c r="C16">
        <v>2584751</v>
      </c>
      <c r="D16">
        <v>2033079</v>
      </c>
      <c r="E16">
        <v>2066918</v>
      </c>
      <c r="F16">
        <f t="shared" si="0"/>
        <v>5134027</v>
      </c>
    </row>
    <row r="17" spans="1:6" x14ac:dyDescent="0.25">
      <c r="A17" s="1" t="s">
        <v>15</v>
      </c>
      <c r="B17">
        <v>1367212</v>
      </c>
      <c r="C17">
        <v>1361389</v>
      </c>
      <c r="D17">
        <v>1572320</v>
      </c>
      <c r="E17">
        <v>1836258</v>
      </c>
      <c r="F17">
        <f t="shared" si="0"/>
        <v>2728601</v>
      </c>
    </row>
    <row r="18" spans="1:6" x14ac:dyDescent="0.25">
      <c r="A18" s="1" t="s">
        <v>16</v>
      </c>
      <c r="B18">
        <v>2567464</v>
      </c>
      <c r="C18">
        <v>2441857</v>
      </c>
      <c r="D18">
        <v>1524132</v>
      </c>
      <c r="E18">
        <v>1496810</v>
      </c>
      <c r="F18">
        <f t="shared" si="0"/>
        <v>5009321</v>
      </c>
    </row>
    <row r="19" spans="1:6" x14ac:dyDescent="0.25">
      <c r="A19" s="1" t="s">
        <v>17</v>
      </c>
      <c r="B19">
        <v>1334060</v>
      </c>
      <c r="C19">
        <v>1395231</v>
      </c>
      <c r="D19">
        <v>578655</v>
      </c>
      <c r="E19">
        <v>677663</v>
      </c>
      <c r="F19">
        <f t="shared" si="0"/>
        <v>2729291</v>
      </c>
    </row>
    <row r="20" spans="1:6" x14ac:dyDescent="0.25">
      <c r="A20" s="1" t="s">
        <v>18</v>
      </c>
      <c r="B20">
        <v>2976209</v>
      </c>
      <c r="C20">
        <v>3199665</v>
      </c>
      <c r="D20">
        <v>1666477</v>
      </c>
      <c r="E20">
        <v>1759240</v>
      </c>
      <c r="F20">
        <f t="shared" si="0"/>
        <v>6175874</v>
      </c>
    </row>
    <row r="21" spans="1:6" x14ac:dyDescent="0.25">
      <c r="A21" s="1" t="s">
        <v>19</v>
      </c>
      <c r="B21">
        <v>1443351</v>
      </c>
      <c r="C21">
        <v>1565539</v>
      </c>
      <c r="D21">
        <v>1355276</v>
      </c>
      <c r="E21">
        <v>1423414</v>
      </c>
      <c r="F21">
        <f t="shared" si="0"/>
        <v>3008890</v>
      </c>
    </row>
    <row r="22" spans="1:6" x14ac:dyDescent="0.25">
      <c r="A22" s="1" t="s">
        <v>20</v>
      </c>
      <c r="B22">
        <v>2486640</v>
      </c>
      <c r="C22">
        <v>2265936</v>
      </c>
      <c r="D22">
        <v>297424</v>
      </c>
      <c r="E22">
        <v>274759</v>
      </c>
      <c r="F22">
        <f t="shared" si="0"/>
        <v>4752576</v>
      </c>
    </row>
    <row r="23" spans="1:6" x14ac:dyDescent="0.25">
      <c r="A23" s="1" t="s">
        <v>21</v>
      </c>
      <c r="B23">
        <v>685438</v>
      </c>
      <c r="C23">
        <v>749124</v>
      </c>
      <c r="D23">
        <v>2697677</v>
      </c>
      <c r="E23">
        <v>2821550</v>
      </c>
      <c r="F23">
        <f t="shared" si="0"/>
        <v>1434562</v>
      </c>
    </row>
    <row r="24" spans="1:6" x14ac:dyDescent="0.25">
      <c r="A24" s="1" t="s">
        <v>22</v>
      </c>
      <c r="B24">
        <v>2166753</v>
      </c>
      <c r="C24">
        <v>2338698</v>
      </c>
      <c r="D24">
        <v>1681433</v>
      </c>
      <c r="E24">
        <v>1592443</v>
      </c>
      <c r="F24">
        <f t="shared" si="0"/>
        <v>4505451</v>
      </c>
    </row>
    <row r="25" spans="1:6" x14ac:dyDescent="0.25">
      <c r="A25" s="1" t="s">
        <v>23</v>
      </c>
      <c r="B25">
        <v>643177</v>
      </c>
      <c r="C25">
        <v>684187</v>
      </c>
      <c r="D25">
        <v>796213</v>
      </c>
      <c r="E25">
        <v>867904</v>
      </c>
      <c r="F25">
        <f t="shared" si="0"/>
        <v>1327364</v>
      </c>
    </row>
    <row r="26" spans="1:6" x14ac:dyDescent="0.25">
      <c r="A26" s="1" t="s">
        <v>24</v>
      </c>
      <c r="B26">
        <v>450192</v>
      </c>
      <c r="C26">
        <v>434755</v>
      </c>
      <c r="D26">
        <v>1656446</v>
      </c>
      <c r="E26">
        <v>1691000</v>
      </c>
      <c r="F26">
        <f t="shared" si="0"/>
        <v>884947</v>
      </c>
    </row>
    <row r="27" spans="1:6" x14ac:dyDescent="0.25">
      <c r="A27" s="1" t="s">
        <v>25</v>
      </c>
      <c r="B27">
        <v>1037774</v>
      </c>
      <c r="C27">
        <v>1113789</v>
      </c>
      <c r="D27">
        <v>877464</v>
      </c>
      <c r="E27">
        <v>990837</v>
      </c>
      <c r="F27">
        <f t="shared" si="0"/>
        <v>2151563</v>
      </c>
    </row>
    <row r="28" spans="1:6" x14ac:dyDescent="0.25">
      <c r="A28" s="1" t="s">
        <v>26</v>
      </c>
      <c r="B28">
        <v>2351213</v>
      </c>
      <c r="C28">
        <v>2358482</v>
      </c>
      <c r="D28">
        <v>1098384</v>
      </c>
      <c r="E28">
        <v>1121488</v>
      </c>
      <c r="F28">
        <f t="shared" si="0"/>
        <v>4709695</v>
      </c>
    </row>
    <row r="29" spans="1:6" x14ac:dyDescent="0.25">
      <c r="A29" s="1" t="s">
        <v>27</v>
      </c>
      <c r="B29">
        <v>2613354</v>
      </c>
      <c r="C29">
        <v>2837241</v>
      </c>
      <c r="D29">
        <v>431144</v>
      </c>
      <c r="E29">
        <v>434113</v>
      </c>
      <c r="F29">
        <f t="shared" si="0"/>
        <v>5450595</v>
      </c>
    </row>
    <row r="30" spans="1:6" x14ac:dyDescent="0.25">
      <c r="A30" s="1" t="s">
        <v>28</v>
      </c>
      <c r="B30">
        <v>1859691</v>
      </c>
      <c r="C30">
        <v>1844250</v>
      </c>
      <c r="D30">
        <v>1460134</v>
      </c>
      <c r="E30">
        <v>1585258</v>
      </c>
      <c r="F30">
        <f t="shared" si="0"/>
        <v>3703941</v>
      </c>
    </row>
    <row r="31" spans="1:6" x14ac:dyDescent="0.25">
      <c r="A31" s="1" t="s">
        <v>29</v>
      </c>
      <c r="B31">
        <v>2478386</v>
      </c>
      <c r="C31">
        <v>2562144</v>
      </c>
      <c r="D31">
        <v>30035</v>
      </c>
      <c r="E31">
        <v>29396</v>
      </c>
      <c r="F31">
        <f t="shared" si="0"/>
        <v>5040530</v>
      </c>
    </row>
    <row r="32" spans="1:6" x14ac:dyDescent="0.25">
      <c r="A32" s="1" t="s">
        <v>30</v>
      </c>
      <c r="B32">
        <v>1938122</v>
      </c>
      <c r="C32">
        <v>1816647</v>
      </c>
      <c r="D32">
        <v>1602356</v>
      </c>
      <c r="E32">
        <v>1875221</v>
      </c>
      <c r="F32">
        <f t="shared" si="0"/>
        <v>3754769</v>
      </c>
    </row>
    <row r="33" spans="1:6" x14ac:dyDescent="0.25">
      <c r="A33" s="1" t="s">
        <v>31</v>
      </c>
      <c r="B33">
        <v>992523</v>
      </c>
      <c r="C33">
        <v>1028501</v>
      </c>
      <c r="D33">
        <v>1995446</v>
      </c>
      <c r="E33">
        <v>1860524</v>
      </c>
      <c r="F33">
        <f t="shared" si="0"/>
        <v>2021024</v>
      </c>
    </row>
    <row r="34" spans="1:6" x14ac:dyDescent="0.25">
      <c r="A34" s="1" t="s">
        <v>32</v>
      </c>
      <c r="B34">
        <v>2966291</v>
      </c>
      <c r="C34">
        <v>2889963</v>
      </c>
      <c r="D34">
        <v>462453</v>
      </c>
      <c r="E34">
        <v>486354</v>
      </c>
      <c r="F34">
        <f t="shared" ref="F34:F51" si="2">B34+C34</f>
        <v>5856254</v>
      </c>
    </row>
    <row r="35" spans="1:6" x14ac:dyDescent="0.25">
      <c r="A35" s="1" t="s">
        <v>33</v>
      </c>
      <c r="B35">
        <v>76648</v>
      </c>
      <c r="C35">
        <v>81385</v>
      </c>
      <c r="D35">
        <v>1374708</v>
      </c>
      <c r="E35">
        <v>1379567</v>
      </c>
      <c r="F35">
        <f t="shared" si="2"/>
        <v>158033</v>
      </c>
    </row>
    <row r="36" spans="1:6" x14ac:dyDescent="0.25">
      <c r="A36" s="1" t="s">
        <v>34</v>
      </c>
      <c r="B36">
        <v>2574432</v>
      </c>
      <c r="C36">
        <v>2409710</v>
      </c>
      <c r="D36">
        <v>987486</v>
      </c>
      <c r="E36">
        <v>999043</v>
      </c>
      <c r="F36">
        <f t="shared" si="2"/>
        <v>4984142</v>
      </c>
    </row>
    <row r="37" spans="1:6" x14ac:dyDescent="0.25">
      <c r="A37" s="1" t="s">
        <v>35</v>
      </c>
      <c r="B37">
        <v>1778590</v>
      </c>
      <c r="C37">
        <v>1874844</v>
      </c>
      <c r="D37">
        <v>111191</v>
      </c>
      <c r="E37">
        <v>117846</v>
      </c>
      <c r="F37">
        <f t="shared" si="2"/>
        <v>3653434</v>
      </c>
    </row>
    <row r="38" spans="1:6" x14ac:dyDescent="0.25">
      <c r="A38" s="1" t="s">
        <v>36</v>
      </c>
      <c r="B38">
        <v>1506541</v>
      </c>
      <c r="C38">
        <v>1414887</v>
      </c>
      <c r="D38">
        <v>1216612</v>
      </c>
      <c r="E38">
        <v>1166775</v>
      </c>
      <c r="F38">
        <f t="shared" si="2"/>
        <v>2921428</v>
      </c>
    </row>
    <row r="39" spans="1:6" x14ac:dyDescent="0.25">
      <c r="A39" s="1" t="s">
        <v>37</v>
      </c>
      <c r="B39">
        <v>1598886</v>
      </c>
      <c r="C39">
        <v>1687917</v>
      </c>
      <c r="D39">
        <v>449788</v>
      </c>
      <c r="E39">
        <v>427615</v>
      </c>
      <c r="F39">
        <f t="shared" si="2"/>
        <v>3286803</v>
      </c>
    </row>
    <row r="40" spans="1:6" x14ac:dyDescent="0.25">
      <c r="A40" s="1" t="s">
        <v>38</v>
      </c>
      <c r="B40">
        <v>548989</v>
      </c>
      <c r="C40">
        <v>514636</v>
      </c>
      <c r="D40">
        <v>2770344</v>
      </c>
      <c r="E40">
        <v>3187897</v>
      </c>
      <c r="F40">
        <f t="shared" si="2"/>
        <v>1063625</v>
      </c>
    </row>
    <row r="41" spans="1:6" x14ac:dyDescent="0.25">
      <c r="A41" s="1" t="s">
        <v>39</v>
      </c>
      <c r="B41">
        <v>1175198</v>
      </c>
      <c r="C41">
        <v>1095440</v>
      </c>
      <c r="D41">
        <v>2657174</v>
      </c>
      <c r="E41">
        <v>2491947</v>
      </c>
      <c r="F41">
        <f t="shared" si="2"/>
        <v>2270638</v>
      </c>
    </row>
    <row r="42" spans="1:6" x14ac:dyDescent="0.25">
      <c r="A42" s="1" t="s">
        <v>40</v>
      </c>
      <c r="B42">
        <v>2115336</v>
      </c>
      <c r="C42">
        <v>2202769</v>
      </c>
      <c r="D42">
        <v>15339</v>
      </c>
      <c r="E42">
        <v>14652</v>
      </c>
      <c r="F42">
        <f t="shared" si="2"/>
        <v>4318105</v>
      </c>
    </row>
    <row r="43" spans="1:6" x14ac:dyDescent="0.25">
      <c r="A43" s="1" t="s">
        <v>41</v>
      </c>
      <c r="B43">
        <v>2346640</v>
      </c>
      <c r="C43">
        <v>2197559</v>
      </c>
      <c r="D43">
        <v>373470</v>
      </c>
      <c r="E43">
        <v>353365</v>
      </c>
      <c r="F43">
        <f t="shared" si="2"/>
        <v>4544199</v>
      </c>
    </row>
    <row r="44" spans="1:6" x14ac:dyDescent="0.25">
      <c r="A44" s="1" t="s">
        <v>42</v>
      </c>
      <c r="B44">
        <v>2548438</v>
      </c>
      <c r="C44">
        <v>2577213</v>
      </c>
      <c r="D44">
        <v>37986</v>
      </c>
      <c r="E44">
        <v>37766</v>
      </c>
      <c r="F44">
        <f t="shared" si="2"/>
        <v>5125651</v>
      </c>
    </row>
    <row r="45" spans="1:6" x14ac:dyDescent="0.25">
      <c r="A45" s="1" t="s">
        <v>43</v>
      </c>
      <c r="B45">
        <v>835495</v>
      </c>
      <c r="C45">
        <v>837746</v>
      </c>
      <c r="D45">
        <v>1106177</v>
      </c>
      <c r="E45">
        <v>917781</v>
      </c>
      <c r="F45">
        <f t="shared" si="2"/>
        <v>1673241</v>
      </c>
    </row>
    <row r="46" spans="1:6" x14ac:dyDescent="0.25">
      <c r="A46" s="1" t="s">
        <v>44</v>
      </c>
      <c r="B46">
        <v>1187448</v>
      </c>
      <c r="C46">
        <v>1070426</v>
      </c>
      <c r="D46">
        <v>1504608</v>
      </c>
      <c r="E46">
        <v>1756990</v>
      </c>
      <c r="F46">
        <f t="shared" si="2"/>
        <v>2257874</v>
      </c>
    </row>
    <row r="47" spans="1:6" x14ac:dyDescent="0.25">
      <c r="A47" s="1" t="s">
        <v>45</v>
      </c>
      <c r="B47">
        <v>140026</v>
      </c>
      <c r="C47">
        <v>146354</v>
      </c>
      <c r="D47">
        <v>2759991</v>
      </c>
      <c r="E47">
        <v>2742120</v>
      </c>
      <c r="F47">
        <f t="shared" si="2"/>
        <v>286380</v>
      </c>
    </row>
    <row r="48" spans="1:6" x14ac:dyDescent="0.25">
      <c r="A48" s="1" t="s">
        <v>46</v>
      </c>
      <c r="B48">
        <v>1198765</v>
      </c>
      <c r="C48">
        <v>1304945</v>
      </c>
      <c r="D48">
        <v>2786493</v>
      </c>
      <c r="E48">
        <v>2602643</v>
      </c>
      <c r="F48">
        <f t="shared" si="2"/>
        <v>2503710</v>
      </c>
    </row>
    <row r="49" spans="1:6" x14ac:dyDescent="0.25">
      <c r="A49" s="1" t="s">
        <v>47</v>
      </c>
      <c r="B49">
        <v>2619776</v>
      </c>
      <c r="C49">
        <v>2749623</v>
      </c>
      <c r="D49">
        <v>2888215</v>
      </c>
      <c r="E49">
        <v>2800174</v>
      </c>
      <c r="F49">
        <f t="shared" si="2"/>
        <v>5369399</v>
      </c>
    </row>
    <row r="50" spans="1:6" x14ac:dyDescent="0.25">
      <c r="A50" s="1" t="s">
        <v>48</v>
      </c>
      <c r="B50">
        <v>248398</v>
      </c>
      <c r="C50">
        <v>268511</v>
      </c>
      <c r="D50">
        <v>3110853</v>
      </c>
      <c r="E50">
        <v>2986411</v>
      </c>
      <c r="F50">
        <f t="shared" si="2"/>
        <v>516909</v>
      </c>
    </row>
    <row r="51" spans="1:6" x14ac:dyDescent="0.25">
      <c r="A51" s="1" t="s">
        <v>49</v>
      </c>
      <c r="B51">
        <v>2494207</v>
      </c>
      <c r="C51">
        <v>2625207</v>
      </c>
      <c r="D51">
        <v>1796293</v>
      </c>
      <c r="E51">
        <v>1853602</v>
      </c>
      <c r="F51">
        <f t="shared" si="2"/>
        <v>5119414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D7A7-8D11-408A-B008-23DB0F5350B3}">
  <dimension ref="A1:K51"/>
  <sheetViews>
    <sheetView zoomScale="130" zoomScaleNormal="130" workbookViewId="0">
      <selection activeCell="J18" sqref="J18"/>
    </sheetView>
  </sheetViews>
  <sheetFormatPr defaultRowHeight="15" x14ac:dyDescent="0.25"/>
  <cols>
    <col min="1" max="1" width="17.28515625" customWidth="1"/>
    <col min="2" max="2" width="19" bestFit="1" customWidth="1"/>
    <col min="3" max="3" width="21.85546875" bestFit="1" customWidth="1"/>
    <col min="4" max="4" width="19" bestFit="1" customWidth="1"/>
    <col min="5" max="5" width="21.85546875" bestFit="1" customWidth="1"/>
    <col min="6" max="6" width="12.85546875" bestFit="1" customWidth="1"/>
    <col min="10" max="10" width="31.85546875" bestFit="1" customWidth="1"/>
    <col min="11" max="11" width="11" customWidth="1"/>
  </cols>
  <sheetData>
    <row r="1" spans="1:11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62</v>
      </c>
    </row>
    <row r="2" spans="1:11" x14ac:dyDescent="0.25">
      <c r="A2" s="1" t="s">
        <v>0</v>
      </c>
      <c r="B2">
        <v>1415007</v>
      </c>
      <c r="C2">
        <v>1397195</v>
      </c>
      <c r="D2">
        <v>1499070</v>
      </c>
      <c r="E2">
        <v>1481105</v>
      </c>
      <c r="F2">
        <f t="shared" ref="F2:F33" si="0">IF(AND(B2&lt;D2, C2&lt;E2), 1, 0)</f>
        <v>1</v>
      </c>
    </row>
    <row r="3" spans="1:11" x14ac:dyDescent="0.25">
      <c r="A3" s="1" t="s">
        <v>1</v>
      </c>
      <c r="B3">
        <v>1711390</v>
      </c>
      <c r="C3">
        <v>1641773</v>
      </c>
      <c r="D3">
        <v>1522030</v>
      </c>
      <c r="E3">
        <v>1618733</v>
      </c>
      <c r="F3">
        <f t="shared" si="0"/>
        <v>0</v>
      </c>
    </row>
    <row r="4" spans="1:11" x14ac:dyDescent="0.25">
      <c r="A4" s="1" t="s">
        <v>2</v>
      </c>
      <c r="B4">
        <v>1165105</v>
      </c>
      <c r="C4">
        <v>1278732</v>
      </c>
      <c r="D4">
        <v>1299953</v>
      </c>
      <c r="E4">
        <v>1191621</v>
      </c>
      <c r="F4">
        <f t="shared" si="0"/>
        <v>0</v>
      </c>
    </row>
    <row r="5" spans="1:11" x14ac:dyDescent="0.25">
      <c r="A5" s="1" t="s">
        <v>3</v>
      </c>
      <c r="B5">
        <v>949065</v>
      </c>
      <c r="C5">
        <v>1026050</v>
      </c>
      <c r="D5">
        <v>688027</v>
      </c>
      <c r="E5">
        <v>723233</v>
      </c>
      <c r="F5">
        <f t="shared" si="0"/>
        <v>0</v>
      </c>
    </row>
    <row r="6" spans="1:11" x14ac:dyDescent="0.25">
      <c r="A6" s="1" t="s">
        <v>4</v>
      </c>
      <c r="B6">
        <v>2436107</v>
      </c>
      <c r="C6">
        <v>2228622</v>
      </c>
      <c r="D6">
        <v>1831600</v>
      </c>
      <c r="E6">
        <v>1960624</v>
      </c>
      <c r="F6">
        <f t="shared" si="0"/>
        <v>0</v>
      </c>
    </row>
    <row r="7" spans="1:11" x14ac:dyDescent="0.25">
      <c r="A7" s="1" t="s">
        <v>5</v>
      </c>
      <c r="B7">
        <v>1846928</v>
      </c>
      <c r="C7">
        <v>1851433</v>
      </c>
      <c r="D7">
        <v>2125113</v>
      </c>
      <c r="E7">
        <v>2028635</v>
      </c>
      <c r="F7">
        <f t="shared" si="0"/>
        <v>1</v>
      </c>
      <c r="J7" t="s">
        <v>63</v>
      </c>
      <c r="K7">
        <f>SUM(F2:F51)</f>
        <v>19</v>
      </c>
    </row>
    <row r="8" spans="1:11" x14ac:dyDescent="0.25">
      <c r="A8" s="1" t="s">
        <v>6</v>
      </c>
      <c r="B8">
        <v>3841577</v>
      </c>
      <c r="C8">
        <v>3848394</v>
      </c>
      <c r="D8">
        <v>3595975</v>
      </c>
      <c r="E8">
        <v>3123039</v>
      </c>
      <c r="F8">
        <f t="shared" si="0"/>
        <v>0</v>
      </c>
    </row>
    <row r="9" spans="1:11" x14ac:dyDescent="0.25">
      <c r="A9" s="1" t="s">
        <v>7</v>
      </c>
      <c r="B9">
        <v>679557</v>
      </c>
      <c r="C9">
        <v>655500</v>
      </c>
      <c r="D9">
        <v>1012012</v>
      </c>
      <c r="E9">
        <v>1067022</v>
      </c>
      <c r="F9">
        <f t="shared" si="0"/>
        <v>1</v>
      </c>
      <c r="J9" t="s">
        <v>59</v>
      </c>
      <c r="K9" t="s">
        <v>64</v>
      </c>
    </row>
    <row r="10" spans="1:11" x14ac:dyDescent="0.25">
      <c r="A10" s="1" t="s">
        <v>8</v>
      </c>
      <c r="B10">
        <v>1660998</v>
      </c>
      <c r="C10">
        <v>1630345</v>
      </c>
      <c r="D10">
        <v>1130119</v>
      </c>
      <c r="E10">
        <v>1080238</v>
      </c>
      <c r="F10">
        <f t="shared" si="0"/>
        <v>0</v>
      </c>
      <c r="J10" t="s">
        <v>55</v>
      </c>
      <c r="K10">
        <f>SUMIF($A$2:$A$51, "*"&amp;J10,$F$2:$F$51)</f>
        <v>3</v>
      </c>
    </row>
    <row r="11" spans="1:11" x14ac:dyDescent="0.25">
      <c r="A11" s="1" t="s">
        <v>9</v>
      </c>
      <c r="B11">
        <v>1157622</v>
      </c>
      <c r="C11">
        <v>1182345</v>
      </c>
      <c r="D11">
        <v>830785</v>
      </c>
      <c r="E11">
        <v>833779</v>
      </c>
      <c r="F11">
        <f t="shared" si="0"/>
        <v>0</v>
      </c>
      <c r="J11" t="s">
        <v>56</v>
      </c>
      <c r="K11">
        <f t="shared" ref="K11:K13" si="1">SUMIF($A$2:$A$51, "*"&amp;J11,$F$2:$F$51)</f>
        <v>4</v>
      </c>
    </row>
    <row r="12" spans="1:11" x14ac:dyDescent="0.25">
      <c r="A12" s="1" t="s">
        <v>10</v>
      </c>
      <c r="B12">
        <v>1987047</v>
      </c>
      <c r="C12">
        <v>1996208</v>
      </c>
      <c r="D12">
        <v>2053892</v>
      </c>
      <c r="E12">
        <v>1697247</v>
      </c>
      <c r="F12">
        <f t="shared" si="0"/>
        <v>0</v>
      </c>
      <c r="J12" t="s">
        <v>57</v>
      </c>
      <c r="K12">
        <f t="shared" si="1"/>
        <v>8</v>
      </c>
    </row>
    <row r="13" spans="1:11" x14ac:dyDescent="0.25">
      <c r="A13" s="1" t="s">
        <v>11</v>
      </c>
      <c r="B13">
        <v>3997724</v>
      </c>
      <c r="C13">
        <v>3690756</v>
      </c>
      <c r="D13">
        <v>4339393</v>
      </c>
      <c r="E13">
        <v>4639643</v>
      </c>
      <c r="F13">
        <f t="shared" si="0"/>
        <v>1</v>
      </c>
      <c r="J13" t="s">
        <v>58</v>
      </c>
      <c r="K13">
        <f t="shared" si="1"/>
        <v>4</v>
      </c>
    </row>
    <row r="14" spans="1:11" x14ac:dyDescent="0.25">
      <c r="A14" s="1" t="s">
        <v>12</v>
      </c>
      <c r="B14">
        <v>996113</v>
      </c>
      <c r="C14">
        <v>964279</v>
      </c>
      <c r="D14">
        <v>1012487</v>
      </c>
      <c r="E14">
        <v>1128940</v>
      </c>
      <c r="F14">
        <f t="shared" si="0"/>
        <v>1</v>
      </c>
    </row>
    <row r="15" spans="1:11" x14ac:dyDescent="0.25">
      <c r="A15" s="1" t="s">
        <v>13</v>
      </c>
      <c r="B15">
        <v>1143634</v>
      </c>
      <c r="C15">
        <v>1033836</v>
      </c>
      <c r="D15">
        <v>909534</v>
      </c>
      <c r="E15">
        <v>856349</v>
      </c>
      <c r="F15">
        <f t="shared" si="0"/>
        <v>0</v>
      </c>
    </row>
    <row r="16" spans="1:11" x14ac:dyDescent="0.25">
      <c r="A16" s="1" t="s">
        <v>14</v>
      </c>
      <c r="B16">
        <v>2549276</v>
      </c>
      <c r="C16">
        <v>2584751</v>
      </c>
      <c r="D16">
        <v>2033079</v>
      </c>
      <c r="E16">
        <v>2066918</v>
      </c>
      <c r="F16">
        <f t="shared" si="0"/>
        <v>0</v>
      </c>
    </row>
    <row r="17" spans="1:6" x14ac:dyDescent="0.25">
      <c r="A17" s="1" t="s">
        <v>15</v>
      </c>
      <c r="B17">
        <v>1367212</v>
      </c>
      <c r="C17">
        <v>1361389</v>
      </c>
      <c r="D17">
        <v>1572320</v>
      </c>
      <c r="E17">
        <v>1836258</v>
      </c>
      <c r="F17">
        <f t="shared" si="0"/>
        <v>1</v>
      </c>
    </row>
    <row r="18" spans="1:6" x14ac:dyDescent="0.25">
      <c r="A18" s="1" t="s">
        <v>16</v>
      </c>
      <c r="B18">
        <v>2567464</v>
      </c>
      <c r="C18">
        <v>2441857</v>
      </c>
      <c r="D18">
        <v>1524132</v>
      </c>
      <c r="E18">
        <v>1496810</v>
      </c>
      <c r="F18">
        <f t="shared" si="0"/>
        <v>0</v>
      </c>
    </row>
    <row r="19" spans="1:6" x14ac:dyDescent="0.25">
      <c r="A19" s="1" t="s">
        <v>17</v>
      </c>
      <c r="B19">
        <v>1334060</v>
      </c>
      <c r="C19">
        <v>1395231</v>
      </c>
      <c r="D19">
        <v>578655</v>
      </c>
      <c r="E19">
        <v>677663</v>
      </c>
      <c r="F19">
        <f t="shared" si="0"/>
        <v>0</v>
      </c>
    </row>
    <row r="20" spans="1:6" x14ac:dyDescent="0.25">
      <c r="A20" s="1" t="s">
        <v>18</v>
      </c>
      <c r="B20">
        <v>2976209</v>
      </c>
      <c r="C20">
        <v>3199665</v>
      </c>
      <c r="D20">
        <v>1666477</v>
      </c>
      <c r="E20">
        <v>1759240</v>
      </c>
      <c r="F20">
        <f t="shared" si="0"/>
        <v>0</v>
      </c>
    </row>
    <row r="21" spans="1:6" x14ac:dyDescent="0.25">
      <c r="A21" s="1" t="s">
        <v>19</v>
      </c>
      <c r="B21">
        <v>1443351</v>
      </c>
      <c r="C21">
        <v>1565539</v>
      </c>
      <c r="D21">
        <v>1355276</v>
      </c>
      <c r="E21">
        <v>1423414</v>
      </c>
      <c r="F21">
        <f t="shared" si="0"/>
        <v>0</v>
      </c>
    </row>
    <row r="22" spans="1:6" x14ac:dyDescent="0.25">
      <c r="A22" s="1" t="s">
        <v>20</v>
      </c>
      <c r="B22">
        <v>2486640</v>
      </c>
      <c r="C22">
        <v>2265936</v>
      </c>
      <c r="D22">
        <v>297424</v>
      </c>
      <c r="E22">
        <v>274759</v>
      </c>
      <c r="F22">
        <f t="shared" si="0"/>
        <v>0</v>
      </c>
    </row>
    <row r="23" spans="1:6" x14ac:dyDescent="0.25">
      <c r="A23" s="1" t="s">
        <v>21</v>
      </c>
      <c r="B23">
        <v>685438</v>
      </c>
      <c r="C23">
        <v>749124</v>
      </c>
      <c r="D23">
        <v>2697677</v>
      </c>
      <c r="E23">
        <v>2821550</v>
      </c>
      <c r="F23">
        <f t="shared" si="0"/>
        <v>1</v>
      </c>
    </row>
    <row r="24" spans="1:6" x14ac:dyDescent="0.25">
      <c r="A24" s="1" t="s">
        <v>22</v>
      </c>
      <c r="B24">
        <v>2166753</v>
      </c>
      <c r="C24">
        <v>2338698</v>
      </c>
      <c r="D24">
        <v>1681433</v>
      </c>
      <c r="E24">
        <v>1592443</v>
      </c>
      <c r="F24">
        <f t="shared" si="0"/>
        <v>0</v>
      </c>
    </row>
    <row r="25" spans="1:6" x14ac:dyDescent="0.25">
      <c r="A25" s="1" t="s">
        <v>23</v>
      </c>
      <c r="B25">
        <v>643177</v>
      </c>
      <c r="C25">
        <v>684187</v>
      </c>
      <c r="D25">
        <v>796213</v>
      </c>
      <c r="E25">
        <v>867904</v>
      </c>
      <c r="F25">
        <f t="shared" si="0"/>
        <v>1</v>
      </c>
    </row>
    <row r="26" spans="1:6" x14ac:dyDescent="0.25">
      <c r="A26" s="1" t="s">
        <v>24</v>
      </c>
      <c r="B26">
        <v>450192</v>
      </c>
      <c r="C26">
        <v>434755</v>
      </c>
      <c r="D26">
        <v>1656446</v>
      </c>
      <c r="E26">
        <v>1691000</v>
      </c>
      <c r="F26">
        <f t="shared" si="0"/>
        <v>1</v>
      </c>
    </row>
    <row r="27" spans="1:6" x14ac:dyDescent="0.25">
      <c r="A27" s="1" t="s">
        <v>25</v>
      </c>
      <c r="B27">
        <v>1037774</v>
      </c>
      <c r="C27">
        <v>1113789</v>
      </c>
      <c r="D27">
        <v>877464</v>
      </c>
      <c r="E27">
        <v>990837</v>
      </c>
      <c r="F27">
        <f t="shared" si="0"/>
        <v>0</v>
      </c>
    </row>
    <row r="28" spans="1:6" x14ac:dyDescent="0.25">
      <c r="A28" s="1" t="s">
        <v>26</v>
      </c>
      <c r="B28">
        <v>2351213</v>
      </c>
      <c r="C28">
        <v>2358482</v>
      </c>
      <c r="D28">
        <v>1098384</v>
      </c>
      <c r="E28">
        <v>1121488</v>
      </c>
      <c r="F28">
        <f t="shared" si="0"/>
        <v>0</v>
      </c>
    </row>
    <row r="29" spans="1:6" x14ac:dyDescent="0.25">
      <c r="A29" s="1" t="s">
        <v>27</v>
      </c>
      <c r="B29">
        <v>2613354</v>
      </c>
      <c r="C29">
        <v>2837241</v>
      </c>
      <c r="D29">
        <v>431144</v>
      </c>
      <c r="E29">
        <v>434113</v>
      </c>
      <c r="F29">
        <f t="shared" si="0"/>
        <v>0</v>
      </c>
    </row>
    <row r="30" spans="1:6" x14ac:dyDescent="0.25">
      <c r="A30" s="1" t="s">
        <v>28</v>
      </c>
      <c r="B30">
        <v>1859691</v>
      </c>
      <c r="C30">
        <v>1844250</v>
      </c>
      <c r="D30">
        <v>1460134</v>
      </c>
      <c r="E30">
        <v>1585258</v>
      </c>
      <c r="F30">
        <f t="shared" si="0"/>
        <v>0</v>
      </c>
    </row>
    <row r="31" spans="1:6" x14ac:dyDescent="0.25">
      <c r="A31" s="1" t="s">
        <v>29</v>
      </c>
      <c r="B31">
        <v>2478386</v>
      </c>
      <c r="C31">
        <v>2562144</v>
      </c>
      <c r="D31">
        <v>30035</v>
      </c>
      <c r="E31">
        <v>29396</v>
      </c>
      <c r="F31">
        <f t="shared" si="0"/>
        <v>0</v>
      </c>
    </row>
    <row r="32" spans="1:6" x14ac:dyDescent="0.25">
      <c r="A32" s="1" t="s">
        <v>30</v>
      </c>
      <c r="B32">
        <v>1938122</v>
      </c>
      <c r="C32">
        <v>1816647</v>
      </c>
      <c r="D32">
        <v>1602356</v>
      </c>
      <c r="E32">
        <v>1875221</v>
      </c>
      <c r="F32">
        <f t="shared" si="0"/>
        <v>0</v>
      </c>
    </row>
    <row r="33" spans="1:6" x14ac:dyDescent="0.25">
      <c r="A33" s="1" t="s">
        <v>31</v>
      </c>
      <c r="B33">
        <v>992523</v>
      </c>
      <c r="C33">
        <v>1028501</v>
      </c>
      <c r="D33">
        <v>1995446</v>
      </c>
      <c r="E33">
        <v>1860524</v>
      </c>
      <c r="F33">
        <f t="shared" si="0"/>
        <v>1</v>
      </c>
    </row>
    <row r="34" spans="1:6" x14ac:dyDescent="0.25">
      <c r="A34" s="1" t="s">
        <v>32</v>
      </c>
      <c r="B34">
        <v>2966291</v>
      </c>
      <c r="C34">
        <v>2889963</v>
      </c>
      <c r="D34">
        <v>462453</v>
      </c>
      <c r="E34">
        <v>486354</v>
      </c>
      <c r="F34">
        <f t="shared" ref="F34:F65" si="2">IF(AND(B34&lt;D34, C34&lt;E34), 1, 0)</f>
        <v>0</v>
      </c>
    </row>
    <row r="35" spans="1:6" x14ac:dyDescent="0.25">
      <c r="A35" s="1" t="s">
        <v>33</v>
      </c>
      <c r="B35">
        <v>76648</v>
      </c>
      <c r="C35">
        <v>81385</v>
      </c>
      <c r="D35">
        <v>1374708</v>
      </c>
      <c r="E35">
        <v>1379567</v>
      </c>
      <c r="F35">
        <f t="shared" si="2"/>
        <v>1</v>
      </c>
    </row>
    <row r="36" spans="1:6" x14ac:dyDescent="0.25">
      <c r="A36" s="1" t="s">
        <v>34</v>
      </c>
      <c r="B36">
        <v>2574432</v>
      </c>
      <c r="C36">
        <v>2409710</v>
      </c>
      <c r="D36">
        <v>987486</v>
      </c>
      <c r="E36">
        <v>999043</v>
      </c>
      <c r="F36">
        <f t="shared" si="2"/>
        <v>0</v>
      </c>
    </row>
    <row r="37" spans="1:6" x14ac:dyDescent="0.25">
      <c r="A37" s="1" t="s">
        <v>35</v>
      </c>
      <c r="B37">
        <v>1778590</v>
      </c>
      <c r="C37">
        <v>1874844</v>
      </c>
      <c r="D37">
        <v>111191</v>
      </c>
      <c r="E37">
        <v>117846</v>
      </c>
      <c r="F37">
        <f t="shared" si="2"/>
        <v>0</v>
      </c>
    </row>
    <row r="38" spans="1:6" x14ac:dyDescent="0.25">
      <c r="A38" s="1" t="s">
        <v>36</v>
      </c>
      <c r="B38">
        <v>1506541</v>
      </c>
      <c r="C38">
        <v>1414887</v>
      </c>
      <c r="D38">
        <v>1216612</v>
      </c>
      <c r="E38">
        <v>1166775</v>
      </c>
      <c r="F38">
        <f t="shared" si="2"/>
        <v>0</v>
      </c>
    </row>
    <row r="39" spans="1:6" x14ac:dyDescent="0.25">
      <c r="A39" s="1" t="s">
        <v>37</v>
      </c>
      <c r="B39">
        <v>1598886</v>
      </c>
      <c r="C39">
        <v>1687917</v>
      </c>
      <c r="D39">
        <v>449788</v>
      </c>
      <c r="E39">
        <v>427615</v>
      </c>
      <c r="F39">
        <f t="shared" si="2"/>
        <v>0</v>
      </c>
    </row>
    <row r="40" spans="1:6" x14ac:dyDescent="0.25">
      <c r="A40" s="1" t="s">
        <v>38</v>
      </c>
      <c r="B40">
        <v>548989</v>
      </c>
      <c r="C40">
        <v>514636</v>
      </c>
      <c r="D40">
        <v>2770344</v>
      </c>
      <c r="E40">
        <v>3187897</v>
      </c>
      <c r="F40">
        <f t="shared" si="2"/>
        <v>1</v>
      </c>
    </row>
    <row r="41" spans="1:6" x14ac:dyDescent="0.25">
      <c r="A41" s="1" t="s">
        <v>39</v>
      </c>
      <c r="B41">
        <v>1175198</v>
      </c>
      <c r="C41">
        <v>1095440</v>
      </c>
      <c r="D41">
        <v>2657174</v>
      </c>
      <c r="E41">
        <v>2491947</v>
      </c>
      <c r="F41">
        <f t="shared" si="2"/>
        <v>1</v>
      </c>
    </row>
    <row r="42" spans="1:6" x14ac:dyDescent="0.25">
      <c r="A42" s="1" t="s">
        <v>40</v>
      </c>
      <c r="B42">
        <v>2115336</v>
      </c>
      <c r="C42">
        <v>2202769</v>
      </c>
      <c r="D42">
        <v>15339</v>
      </c>
      <c r="E42">
        <v>14652</v>
      </c>
      <c r="F42">
        <f t="shared" si="2"/>
        <v>0</v>
      </c>
    </row>
    <row r="43" spans="1:6" x14ac:dyDescent="0.25">
      <c r="A43" s="1" t="s">
        <v>41</v>
      </c>
      <c r="B43">
        <v>2346640</v>
      </c>
      <c r="C43">
        <v>2197559</v>
      </c>
      <c r="D43">
        <v>373470</v>
      </c>
      <c r="E43">
        <v>353365</v>
      </c>
      <c r="F43">
        <f t="shared" si="2"/>
        <v>0</v>
      </c>
    </row>
    <row r="44" spans="1:6" x14ac:dyDescent="0.25">
      <c r="A44" s="1" t="s">
        <v>42</v>
      </c>
      <c r="B44">
        <v>2548438</v>
      </c>
      <c r="C44">
        <v>2577213</v>
      </c>
      <c r="D44">
        <v>37986</v>
      </c>
      <c r="E44">
        <v>37766</v>
      </c>
      <c r="F44">
        <f t="shared" si="2"/>
        <v>0</v>
      </c>
    </row>
    <row r="45" spans="1:6" x14ac:dyDescent="0.25">
      <c r="A45" s="1" t="s">
        <v>43</v>
      </c>
      <c r="B45">
        <v>835495</v>
      </c>
      <c r="C45">
        <v>837746</v>
      </c>
      <c r="D45">
        <v>1106177</v>
      </c>
      <c r="E45">
        <v>917781</v>
      </c>
      <c r="F45">
        <f t="shared" si="2"/>
        <v>1</v>
      </c>
    </row>
    <row r="46" spans="1:6" x14ac:dyDescent="0.25">
      <c r="A46" s="1" t="s">
        <v>44</v>
      </c>
      <c r="B46">
        <v>1187448</v>
      </c>
      <c r="C46">
        <v>1070426</v>
      </c>
      <c r="D46">
        <v>1504608</v>
      </c>
      <c r="E46">
        <v>1756990</v>
      </c>
      <c r="F46">
        <f t="shared" si="2"/>
        <v>1</v>
      </c>
    </row>
    <row r="47" spans="1:6" x14ac:dyDescent="0.25">
      <c r="A47" s="1" t="s">
        <v>45</v>
      </c>
      <c r="B47">
        <v>140026</v>
      </c>
      <c r="C47">
        <v>146354</v>
      </c>
      <c r="D47">
        <v>2759991</v>
      </c>
      <c r="E47">
        <v>2742120</v>
      </c>
      <c r="F47">
        <f t="shared" si="2"/>
        <v>1</v>
      </c>
    </row>
    <row r="48" spans="1:6" x14ac:dyDescent="0.25">
      <c r="A48" s="1" t="s">
        <v>46</v>
      </c>
      <c r="B48">
        <v>1198765</v>
      </c>
      <c r="C48">
        <v>1304945</v>
      </c>
      <c r="D48">
        <v>2786493</v>
      </c>
      <c r="E48">
        <v>2602643</v>
      </c>
      <c r="F48">
        <f t="shared" si="2"/>
        <v>1</v>
      </c>
    </row>
    <row r="49" spans="1:6" x14ac:dyDescent="0.25">
      <c r="A49" s="1" t="s">
        <v>47</v>
      </c>
      <c r="B49">
        <v>2619776</v>
      </c>
      <c r="C49">
        <v>2749623</v>
      </c>
      <c r="D49">
        <v>2888215</v>
      </c>
      <c r="E49">
        <v>2800174</v>
      </c>
      <c r="F49">
        <f t="shared" si="2"/>
        <v>1</v>
      </c>
    </row>
    <row r="50" spans="1:6" x14ac:dyDescent="0.25">
      <c r="A50" s="1" t="s">
        <v>48</v>
      </c>
      <c r="B50">
        <v>248398</v>
      </c>
      <c r="C50">
        <v>268511</v>
      </c>
      <c r="D50">
        <v>3110853</v>
      </c>
      <c r="E50">
        <v>2986411</v>
      </c>
      <c r="F50">
        <f t="shared" si="2"/>
        <v>1</v>
      </c>
    </row>
    <row r="51" spans="1:6" x14ac:dyDescent="0.25">
      <c r="A51" s="1" t="s">
        <v>49</v>
      </c>
      <c r="B51">
        <v>2494207</v>
      </c>
      <c r="C51">
        <v>2625207</v>
      </c>
      <c r="D51">
        <v>1796293</v>
      </c>
      <c r="E51">
        <v>1853602</v>
      </c>
      <c r="F51">
        <f t="shared" si="2"/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E5FA-E9A2-4CAE-80A4-D0097A840E1C}">
  <dimension ref="A1:V51"/>
  <sheetViews>
    <sheetView tabSelected="1" topLeftCell="G1" zoomScale="160" zoomScaleNormal="160" workbookViewId="0">
      <selection activeCell="U9" sqref="U9"/>
    </sheetView>
  </sheetViews>
  <sheetFormatPr defaultRowHeight="15" x14ac:dyDescent="0.25"/>
  <cols>
    <col min="1" max="1" width="14.42578125" customWidth="1"/>
    <col min="2" max="2" width="15.85546875" customWidth="1"/>
    <col min="3" max="3" width="19.85546875" customWidth="1"/>
    <col min="4" max="4" width="16.7109375" customWidth="1"/>
    <col min="5" max="5" width="19.42578125" customWidth="1"/>
    <col min="6" max="6" width="14.140625" customWidth="1"/>
    <col min="7" max="7" width="12.85546875" customWidth="1"/>
    <col min="8" max="8" width="9.85546875" bestFit="1" customWidth="1"/>
    <col min="18" max="18" width="15.140625" bestFit="1" customWidth="1"/>
    <col min="19" max="19" width="15.85546875" bestFit="1" customWidth="1"/>
    <col min="20" max="20" width="13.85546875" bestFit="1" customWidth="1"/>
    <col min="21" max="21" width="24" bestFit="1" customWidth="1"/>
    <col min="22" max="22" width="10.5703125" bestFit="1" customWidth="1"/>
  </cols>
  <sheetData>
    <row r="1" spans="1:22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79</v>
      </c>
    </row>
    <row r="2" spans="1:22" x14ac:dyDescent="0.25">
      <c r="A2" s="1" t="s">
        <v>11</v>
      </c>
      <c r="B2">
        <v>3997724</v>
      </c>
      <c r="C2">
        <v>3690756</v>
      </c>
      <c r="D2">
        <v>4339393</v>
      </c>
      <c r="E2">
        <v>4639643</v>
      </c>
      <c r="F2">
        <f>ROUNDDOWN((D2+E2)/(B2+C2), 4)</f>
        <v>1.1677999999999999</v>
      </c>
      <c r="G2">
        <f>D2+E2</f>
        <v>8979036</v>
      </c>
      <c r="H2">
        <f>IF(G2 &gt; 2*($B2+$C2), G2, ROUNDDOWN(G2*$F2, 0))</f>
        <v>10485718</v>
      </c>
      <c r="I2">
        <f>IF(H2 &gt; 2*($B2+$C2), H2, ROUNDDOWN(H2*$F2, 0))</f>
        <v>12245221</v>
      </c>
      <c r="J2">
        <f>IF(I2 &gt; 2*($B2+$C2), I2, ROUNDDOWN(I2*$F2, 0))</f>
        <v>14299969</v>
      </c>
      <c r="K2">
        <f>IF(J2 &gt; 2*($B2+$C2), J2, ROUNDDOWN(J2*$F2, 0))</f>
        <v>16699503</v>
      </c>
      <c r="L2">
        <f>IF(K2 &gt; 2*($B2+$C2), K2, ROUNDDOWN(K2*$F2, 0))</f>
        <v>16699503</v>
      </c>
      <c r="M2">
        <f>IF(L2 &gt; 2*($B2+$C2), L2, ROUNDDOWN(L2*$F2, 0))</f>
        <v>16699503</v>
      </c>
      <c r="N2">
        <f>IF(M2 &gt; 2*($B2+$C2), M2, ROUNDDOWN(M2*$F2, 0))</f>
        <v>16699503</v>
      </c>
      <c r="O2">
        <f>IF(N2 &gt; 2*($B2+$C2), N2, ROUNDDOWN(N2*$F2, 0))</f>
        <v>16699503</v>
      </c>
      <c r="P2">
        <f>IF(O2 &gt; 2*($B2+$C2), O2, ROUNDDOWN(O2*$F2, 0))</f>
        <v>16699503</v>
      </c>
      <c r="Q2">
        <f>IF(P2 &gt; 2*($B2+$C2), P2, ROUNDDOWN(P2*$F2, 0))</f>
        <v>16699503</v>
      </c>
      <c r="R2">
        <f>IF(Q2 &gt; 2*($B2+$C2), Q2, ROUNDDOWN(Q2*$F2, 0))</f>
        <v>16699503</v>
      </c>
      <c r="S2">
        <f t="shared" ref="S2:S33" si="0">IF(R2&gt;2*(B2+C2),1,0)</f>
        <v>1</v>
      </c>
    </row>
    <row r="3" spans="1:22" x14ac:dyDescent="0.25">
      <c r="A3" s="1" t="s">
        <v>47</v>
      </c>
      <c r="B3">
        <v>2619776</v>
      </c>
      <c r="C3">
        <v>2749623</v>
      </c>
      <c r="D3">
        <v>2888215</v>
      </c>
      <c r="E3">
        <v>2800174</v>
      </c>
      <c r="F3">
        <f>ROUNDDOWN((D3+E3)/(B3+C3), 4)</f>
        <v>1.0593999999999999</v>
      </c>
      <c r="G3">
        <f>D3+E3</f>
        <v>5688389</v>
      </c>
      <c r="H3">
        <f>IF(G3 &gt; 2*($B3+$C3), G3, ROUNDDOWN(G3*$F3, 0))</f>
        <v>6026279</v>
      </c>
      <c r="I3">
        <f>IF(H3 &gt; 2*($B3+$C3), H3, ROUNDDOWN(H3*$F3, 0))</f>
        <v>6384239</v>
      </c>
      <c r="J3">
        <f>IF(I3 &gt; 2*($B3+$C3), I3, ROUNDDOWN(I3*$F3, 0))</f>
        <v>6763462</v>
      </c>
      <c r="K3">
        <f>IF(J3 &gt; 2*($B3+$C3), J3, ROUNDDOWN(J3*$F3, 0))</f>
        <v>7165211</v>
      </c>
      <c r="L3">
        <f>IF(K3 &gt; 2*($B3+$C3), K3, ROUNDDOWN(K3*$F3, 0))</f>
        <v>7590824</v>
      </c>
      <c r="M3">
        <f>IF(L3 &gt; 2*($B3+$C3), L3, ROUNDDOWN(L3*$F3, 0))</f>
        <v>8041718</v>
      </c>
      <c r="N3">
        <f>IF(M3 &gt; 2*($B3+$C3), M3, ROUNDDOWN(M3*$F3, 0))</f>
        <v>8519396</v>
      </c>
      <c r="O3">
        <f>IF(N3 &gt; 2*($B3+$C3), N3, ROUNDDOWN(N3*$F3, 0))</f>
        <v>9025448</v>
      </c>
      <c r="P3">
        <f>IF(O3 &gt; 2*($B3+$C3), O3, ROUNDDOWN(O3*$F3, 0))</f>
        <v>9561559</v>
      </c>
      <c r="Q3">
        <f>IF(P3 &gt; 2*($B3+$C3), P3, ROUNDDOWN(P3*$F3, 0))</f>
        <v>10129515</v>
      </c>
      <c r="R3">
        <f>IF(Q3 &gt; 2*($B3+$C3), Q3, ROUNDDOWN(Q3*$F3, 0))</f>
        <v>10731208</v>
      </c>
      <c r="S3">
        <f t="shared" si="0"/>
        <v>0</v>
      </c>
    </row>
    <row r="4" spans="1:22" x14ac:dyDescent="0.25">
      <c r="A4" s="1" t="s">
        <v>5</v>
      </c>
      <c r="B4">
        <v>1846928</v>
      </c>
      <c r="C4">
        <v>1851433</v>
      </c>
      <c r="D4">
        <v>2125113</v>
      </c>
      <c r="E4">
        <v>2028635</v>
      </c>
      <c r="F4">
        <f>ROUNDDOWN((D4+E4)/(B4+C4), 4)</f>
        <v>1.1231</v>
      </c>
      <c r="G4">
        <f>D4+E4</f>
        <v>4153748</v>
      </c>
      <c r="H4">
        <f>IF(G4 &gt; 2*($B4+$C4), G4, ROUNDDOWN(G4*$F4, 0))</f>
        <v>4665074</v>
      </c>
      <c r="I4">
        <f>IF(H4 &gt; 2*($B4+$C4), H4, ROUNDDOWN(H4*$F4, 0))</f>
        <v>5239344</v>
      </c>
      <c r="J4">
        <f>IF(I4 &gt; 2*($B4+$C4), I4, ROUNDDOWN(I4*$F4, 0))</f>
        <v>5884307</v>
      </c>
      <c r="K4">
        <f>IF(J4 &gt; 2*($B4+$C4), J4, ROUNDDOWN(J4*$F4, 0))</f>
        <v>6608665</v>
      </c>
      <c r="L4">
        <f>IF(K4 &gt; 2*($B4+$C4), K4, ROUNDDOWN(K4*$F4, 0))</f>
        <v>7422191</v>
      </c>
      <c r="M4">
        <f>IF(L4 &gt; 2*($B4+$C4), L4, ROUNDDOWN(L4*$F4, 0))</f>
        <v>7422191</v>
      </c>
      <c r="N4">
        <f>IF(M4 &gt; 2*($B4+$C4), M4, ROUNDDOWN(M4*$F4, 0))</f>
        <v>7422191</v>
      </c>
      <c r="O4">
        <f>IF(N4 &gt; 2*($B4+$C4), N4, ROUNDDOWN(N4*$F4, 0))</f>
        <v>7422191</v>
      </c>
      <c r="P4">
        <f>IF(O4 &gt; 2*($B4+$C4), O4, ROUNDDOWN(O4*$F4, 0))</f>
        <v>7422191</v>
      </c>
      <c r="Q4">
        <f>IF(P4 &gt; 2*($B4+$C4), P4, ROUNDDOWN(P4*$F4, 0))</f>
        <v>7422191</v>
      </c>
      <c r="R4">
        <f>IF(Q4 &gt; 2*($B4+$C4), Q4, ROUNDDOWN(Q4*$F4, 0))</f>
        <v>7422191</v>
      </c>
      <c r="S4">
        <f t="shared" si="0"/>
        <v>1</v>
      </c>
    </row>
    <row r="5" spans="1:22" x14ac:dyDescent="0.25">
      <c r="A5" s="1" t="s">
        <v>31</v>
      </c>
      <c r="B5">
        <v>992523</v>
      </c>
      <c r="C5">
        <v>1028501</v>
      </c>
      <c r="D5">
        <v>1995446</v>
      </c>
      <c r="E5">
        <v>1860524</v>
      </c>
      <c r="F5">
        <f>ROUNDDOWN((D5+E5)/(B5+C5), 4)</f>
        <v>1.9078999999999999</v>
      </c>
      <c r="G5">
        <f>D5+E5</f>
        <v>3855970</v>
      </c>
      <c r="H5">
        <f>IF(G5 &gt; 2*($B5+$C5), G5, ROUNDDOWN(G5*$F5, 0))</f>
        <v>7356805</v>
      </c>
      <c r="I5">
        <f>IF(H5 &gt; 2*($B5+$C5), H5, ROUNDDOWN(H5*$F5, 0))</f>
        <v>7356805</v>
      </c>
      <c r="J5">
        <f>IF(I5 &gt; 2*($B5+$C5), I5, ROUNDDOWN(I5*$F5, 0))</f>
        <v>7356805</v>
      </c>
      <c r="K5">
        <f>IF(J5 &gt; 2*($B5+$C5), J5, ROUNDDOWN(J5*$F5, 0))</f>
        <v>7356805</v>
      </c>
      <c r="L5">
        <f>IF(K5 &gt; 2*($B5+$C5), K5, ROUNDDOWN(K5*$F5, 0))</f>
        <v>7356805</v>
      </c>
      <c r="M5">
        <f>IF(L5 &gt; 2*($B5+$C5), L5, ROUNDDOWN(L5*$F5, 0))</f>
        <v>7356805</v>
      </c>
      <c r="N5">
        <f>IF(M5 &gt; 2*($B5+$C5), M5, ROUNDDOWN(M5*$F5, 0))</f>
        <v>7356805</v>
      </c>
      <c r="O5">
        <f>IF(N5 &gt; 2*($B5+$C5), N5, ROUNDDOWN(N5*$F5, 0))</f>
        <v>7356805</v>
      </c>
      <c r="P5">
        <f>IF(O5 &gt; 2*($B5+$C5), O5, ROUNDDOWN(O5*$F5, 0))</f>
        <v>7356805</v>
      </c>
      <c r="Q5">
        <f>IF(P5 &gt; 2*($B5+$C5), P5, ROUNDDOWN(P5*$F5, 0))</f>
        <v>7356805</v>
      </c>
      <c r="R5">
        <f>IF(Q5 &gt; 2*($B5+$C5), Q5, ROUNDDOWN(Q5*$F5, 0))</f>
        <v>7356805</v>
      </c>
      <c r="S5">
        <f t="shared" si="0"/>
        <v>1</v>
      </c>
    </row>
    <row r="6" spans="1:22" x14ac:dyDescent="0.25">
      <c r="A6" s="1" t="s">
        <v>15</v>
      </c>
      <c r="B6">
        <v>1367212</v>
      </c>
      <c r="C6">
        <v>1361389</v>
      </c>
      <c r="D6">
        <v>1572320</v>
      </c>
      <c r="E6">
        <v>1836258</v>
      </c>
      <c r="F6">
        <f>ROUNDDOWN((D6+E6)/(B6+C6), 4)</f>
        <v>1.2492000000000001</v>
      </c>
      <c r="G6">
        <f>D6+E6</f>
        <v>3408578</v>
      </c>
      <c r="H6">
        <f>IF(G6 &gt; 2*($B6+$C6), G6, ROUNDDOWN(G6*$F6, 0))</f>
        <v>4257995</v>
      </c>
      <c r="I6">
        <f>IF(H6 &gt; 2*($B6+$C6), H6, ROUNDDOWN(H6*$F6, 0))</f>
        <v>5319087</v>
      </c>
      <c r="J6">
        <f>IF(I6 &gt; 2*($B6+$C6), I6, ROUNDDOWN(I6*$F6, 0))</f>
        <v>6644603</v>
      </c>
      <c r="K6">
        <f>IF(J6 &gt; 2*($B6+$C6), J6, ROUNDDOWN(J6*$F6, 0))</f>
        <v>6644603</v>
      </c>
      <c r="L6">
        <f>IF(K6 &gt; 2*($B6+$C6), K6, ROUNDDOWN(K6*$F6, 0))</f>
        <v>6644603</v>
      </c>
      <c r="M6">
        <f>IF(L6 &gt; 2*($B6+$C6), L6, ROUNDDOWN(L6*$F6, 0))</f>
        <v>6644603</v>
      </c>
      <c r="N6">
        <f>IF(M6 &gt; 2*($B6+$C6), M6, ROUNDDOWN(M6*$F6, 0))</f>
        <v>6644603</v>
      </c>
      <c r="O6">
        <f>IF(N6 &gt; 2*($B6+$C6), N6, ROUNDDOWN(N6*$F6, 0))</f>
        <v>6644603</v>
      </c>
      <c r="P6">
        <f>IF(O6 &gt; 2*($B6+$C6), O6, ROUNDDOWN(O6*$F6, 0))</f>
        <v>6644603</v>
      </c>
      <c r="Q6">
        <f>IF(P6 &gt; 2*($B6+$C6), P6, ROUNDDOWN(P6*$F6, 0))</f>
        <v>6644603</v>
      </c>
      <c r="R6">
        <f>IF(Q6 &gt; 2*($B6+$C6), Q6, ROUNDDOWN(Q6*$F6, 0))</f>
        <v>6644603</v>
      </c>
      <c r="S6">
        <f t="shared" si="0"/>
        <v>1</v>
      </c>
    </row>
    <row r="7" spans="1:22" x14ac:dyDescent="0.25">
      <c r="A7" s="1" t="s">
        <v>48</v>
      </c>
      <c r="B7">
        <v>248398</v>
      </c>
      <c r="C7">
        <v>268511</v>
      </c>
      <c r="D7">
        <v>3110853</v>
      </c>
      <c r="E7">
        <v>2986411</v>
      </c>
      <c r="F7">
        <f>ROUNDDOWN((D7+E7)/(B7+C7), 4)</f>
        <v>11.7956</v>
      </c>
      <c r="G7">
        <f>D7+E7</f>
        <v>6097264</v>
      </c>
      <c r="H7">
        <f>IF(G7 &gt; 2*($B7+$C7), G7, ROUNDDOWN(G7*$F7, 0))</f>
        <v>6097264</v>
      </c>
      <c r="I7">
        <f>IF(H7 &gt; 2*($B7+$C7), H7, ROUNDDOWN(H7*$F7, 0))</f>
        <v>6097264</v>
      </c>
      <c r="J7">
        <f>IF(I7 &gt; 2*($B7+$C7), I7, ROUNDDOWN(I7*$F7, 0))</f>
        <v>6097264</v>
      </c>
      <c r="K7">
        <f>IF(J7 &gt; 2*($B7+$C7), J7, ROUNDDOWN(J7*$F7, 0))</f>
        <v>6097264</v>
      </c>
      <c r="L7">
        <f>IF(K7 &gt; 2*($B7+$C7), K7, ROUNDDOWN(K7*$F7, 0))</f>
        <v>6097264</v>
      </c>
      <c r="M7">
        <f>IF(L7 &gt; 2*($B7+$C7), L7, ROUNDDOWN(L7*$F7, 0))</f>
        <v>6097264</v>
      </c>
      <c r="N7">
        <f>IF(M7 &gt; 2*($B7+$C7), M7, ROUNDDOWN(M7*$F7, 0))</f>
        <v>6097264</v>
      </c>
      <c r="O7">
        <f>IF(N7 &gt; 2*($B7+$C7), N7, ROUNDDOWN(N7*$F7, 0))</f>
        <v>6097264</v>
      </c>
      <c r="P7">
        <f>IF(O7 &gt; 2*($B7+$C7), O7, ROUNDDOWN(O7*$F7, 0))</f>
        <v>6097264</v>
      </c>
      <c r="Q7">
        <f>IF(P7 &gt; 2*($B7+$C7), P7, ROUNDDOWN(P7*$F7, 0))</f>
        <v>6097264</v>
      </c>
      <c r="R7">
        <f>IF(Q7 &gt; 2*($B7+$C7), Q7, ROUNDDOWN(Q7*$F7, 0))</f>
        <v>6097264</v>
      </c>
      <c r="S7">
        <f t="shared" si="0"/>
        <v>1</v>
      </c>
    </row>
    <row r="8" spans="1:22" x14ac:dyDescent="0.25">
      <c r="A8" s="1" t="s">
        <v>38</v>
      </c>
      <c r="B8">
        <v>548989</v>
      </c>
      <c r="C8">
        <v>514636</v>
      </c>
      <c r="D8">
        <v>2770344</v>
      </c>
      <c r="E8">
        <v>3187897</v>
      </c>
      <c r="F8">
        <f>ROUNDDOWN((D8+E8)/(B8+C8), 4)</f>
        <v>5.6017999999999999</v>
      </c>
      <c r="G8">
        <f>D8+E8</f>
        <v>5958241</v>
      </c>
      <c r="H8">
        <f>IF(G8 &gt; 2*($B8+$C8), G8, ROUNDDOWN(G8*$F8, 0))</f>
        <v>5958241</v>
      </c>
      <c r="I8">
        <f>IF(H8 &gt; 2*($B8+$C8), H8, ROUNDDOWN(H8*$F8, 0))</f>
        <v>5958241</v>
      </c>
      <c r="J8">
        <f>IF(I8 &gt; 2*($B8+$C8), I8, ROUNDDOWN(I8*$F8, 0))</f>
        <v>5958241</v>
      </c>
      <c r="K8">
        <f>IF(J8 &gt; 2*($B8+$C8), J8, ROUNDDOWN(J8*$F8, 0))</f>
        <v>5958241</v>
      </c>
      <c r="L8">
        <f>IF(K8 &gt; 2*($B8+$C8), K8, ROUNDDOWN(K8*$F8, 0))</f>
        <v>5958241</v>
      </c>
      <c r="M8">
        <f>IF(L8 &gt; 2*($B8+$C8), L8, ROUNDDOWN(L8*$F8, 0))</f>
        <v>5958241</v>
      </c>
      <c r="N8">
        <f>IF(M8 &gt; 2*($B8+$C8), M8, ROUNDDOWN(M8*$F8, 0))</f>
        <v>5958241</v>
      </c>
      <c r="O8">
        <f>IF(N8 &gt; 2*($B8+$C8), N8, ROUNDDOWN(N8*$F8, 0))</f>
        <v>5958241</v>
      </c>
      <c r="P8">
        <f>IF(O8 &gt; 2*($B8+$C8), O8, ROUNDDOWN(O8*$F8, 0))</f>
        <v>5958241</v>
      </c>
      <c r="Q8">
        <f>IF(P8 &gt; 2*($B8+$C8), P8, ROUNDDOWN(P8*$F8, 0))</f>
        <v>5958241</v>
      </c>
      <c r="R8">
        <f>IF(Q8 &gt; 2*($B8+$C8), Q8, ROUNDDOWN(Q8*$F8, 0))</f>
        <v>5958241</v>
      </c>
      <c r="S8">
        <f t="shared" si="0"/>
        <v>1</v>
      </c>
    </row>
    <row r="9" spans="1:22" x14ac:dyDescent="0.25">
      <c r="A9" s="1" t="s">
        <v>0</v>
      </c>
      <c r="B9">
        <v>1415007</v>
      </c>
      <c r="C9">
        <v>1397195</v>
      </c>
      <c r="D9">
        <v>1499070</v>
      </c>
      <c r="E9">
        <v>1481105</v>
      </c>
      <c r="F9">
        <f>ROUNDDOWN((D9+E9)/(B9+C9), 4)</f>
        <v>1.0597000000000001</v>
      </c>
      <c r="G9">
        <f>D9+E9</f>
        <v>2980175</v>
      </c>
      <c r="H9">
        <f>IF(G9 &gt; 2*($B9+$C9), G9, ROUNDDOWN(G9*$F9, 0))</f>
        <v>3158091</v>
      </c>
      <c r="I9">
        <f>IF(H9 &gt; 2*($B9+$C9), H9, ROUNDDOWN(H9*$F9, 0))</f>
        <v>3346629</v>
      </c>
      <c r="J9">
        <f>IF(I9 &gt; 2*($B9+$C9), I9, ROUNDDOWN(I9*$F9, 0))</f>
        <v>3546422</v>
      </c>
      <c r="K9">
        <f>IF(J9 &gt; 2*($B9+$C9), J9, ROUNDDOWN(J9*$F9, 0))</f>
        <v>3758143</v>
      </c>
      <c r="L9">
        <f>IF(K9 &gt; 2*($B9+$C9), K9, ROUNDDOWN(K9*$F9, 0))</f>
        <v>3982504</v>
      </c>
      <c r="M9">
        <f>IF(L9 &gt; 2*($B9+$C9), L9, ROUNDDOWN(L9*$F9, 0))</f>
        <v>4220259</v>
      </c>
      <c r="N9">
        <f>IF(M9 &gt; 2*($B9+$C9), M9, ROUNDDOWN(M9*$F9, 0))</f>
        <v>4472208</v>
      </c>
      <c r="O9">
        <f>IF(N9 &gt; 2*($B9+$C9), N9, ROUNDDOWN(N9*$F9, 0))</f>
        <v>4739198</v>
      </c>
      <c r="P9">
        <f>IF(O9 &gt; 2*($B9+$C9), O9, ROUNDDOWN(O9*$F9, 0))</f>
        <v>5022128</v>
      </c>
      <c r="Q9">
        <f>IF(P9 &gt; 2*($B9+$C9), P9, ROUNDDOWN(P9*$F9, 0))</f>
        <v>5321949</v>
      </c>
      <c r="R9">
        <f>IF(Q9 &gt; 2*($B9+$C9), Q9, ROUNDDOWN(Q9*$F9, 0))</f>
        <v>5639669</v>
      </c>
      <c r="S9">
        <f t="shared" si="0"/>
        <v>1</v>
      </c>
    </row>
    <row r="10" spans="1:22" x14ac:dyDescent="0.25">
      <c r="A10" s="1" t="s">
        <v>21</v>
      </c>
      <c r="B10">
        <v>685438</v>
      </c>
      <c r="C10">
        <v>749124</v>
      </c>
      <c r="D10">
        <v>2697677</v>
      </c>
      <c r="E10">
        <v>2821550</v>
      </c>
      <c r="F10">
        <f>ROUNDDOWN((D10+E10)/(B10+C10), 4)</f>
        <v>3.8473000000000002</v>
      </c>
      <c r="G10">
        <f>D10+E10</f>
        <v>5519227</v>
      </c>
      <c r="H10">
        <f>IF(G10 &gt; 2*($B10+$C10), G10, ROUNDDOWN(G10*$F10, 0))</f>
        <v>5519227</v>
      </c>
      <c r="I10">
        <f>IF(H10 &gt; 2*($B10+$C10), H10, ROUNDDOWN(H10*$F10, 0))</f>
        <v>5519227</v>
      </c>
      <c r="J10">
        <f>IF(I10 &gt; 2*($B10+$C10), I10, ROUNDDOWN(I10*$F10, 0))</f>
        <v>5519227</v>
      </c>
      <c r="K10">
        <f>IF(J10 &gt; 2*($B10+$C10), J10, ROUNDDOWN(J10*$F10, 0))</f>
        <v>5519227</v>
      </c>
      <c r="L10">
        <f>IF(K10 &gt; 2*($B10+$C10), K10, ROUNDDOWN(K10*$F10, 0))</f>
        <v>5519227</v>
      </c>
      <c r="M10">
        <f>IF(L10 &gt; 2*($B10+$C10), L10, ROUNDDOWN(L10*$F10, 0))</f>
        <v>5519227</v>
      </c>
      <c r="N10">
        <f>IF(M10 &gt; 2*($B10+$C10), M10, ROUNDDOWN(M10*$F10, 0))</f>
        <v>5519227</v>
      </c>
      <c r="O10">
        <f>IF(N10 &gt; 2*($B10+$C10), N10, ROUNDDOWN(N10*$F10, 0))</f>
        <v>5519227</v>
      </c>
      <c r="P10">
        <f>IF(O10 &gt; 2*($B10+$C10), O10, ROUNDDOWN(O10*$F10, 0))</f>
        <v>5519227</v>
      </c>
      <c r="Q10">
        <f>IF(P10 &gt; 2*($B10+$C10), P10, ROUNDDOWN(P10*$F10, 0))</f>
        <v>5519227</v>
      </c>
      <c r="R10">
        <f>IF(Q10 &gt; 2*($B10+$C10), Q10, ROUNDDOWN(Q10*$F10, 0))</f>
        <v>5519227</v>
      </c>
      <c r="S10">
        <f t="shared" si="0"/>
        <v>1</v>
      </c>
    </row>
    <row r="11" spans="1:22" x14ac:dyDescent="0.25">
      <c r="A11" s="1" t="s">
        <v>45</v>
      </c>
      <c r="B11">
        <v>140026</v>
      </c>
      <c r="C11">
        <v>146354</v>
      </c>
      <c r="D11">
        <v>2759991</v>
      </c>
      <c r="E11">
        <v>2742120</v>
      </c>
      <c r="F11">
        <f>ROUNDDOWN((D11+E11)/(B11+C11), 4)</f>
        <v>19.212599999999998</v>
      </c>
      <c r="G11">
        <f>D11+E11</f>
        <v>5502111</v>
      </c>
      <c r="H11">
        <f>IF(G11 &gt; 2*($B11+$C11), G11, ROUNDDOWN(G11*$F11, 0))</f>
        <v>5502111</v>
      </c>
      <c r="I11">
        <f>IF(H11 &gt; 2*($B11+$C11), H11, ROUNDDOWN(H11*$F11, 0))</f>
        <v>5502111</v>
      </c>
      <c r="J11">
        <f>IF(I11 &gt; 2*($B11+$C11), I11, ROUNDDOWN(I11*$F11, 0))</f>
        <v>5502111</v>
      </c>
      <c r="K11">
        <f>IF(J11 &gt; 2*($B11+$C11), J11, ROUNDDOWN(J11*$F11, 0))</f>
        <v>5502111</v>
      </c>
      <c r="L11">
        <f>IF(K11 &gt; 2*($B11+$C11), K11, ROUNDDOWN(K11*$F11, 0))</f>
        <v>5502111</v>
      </c>
      <c r="M11">
        <f>IF(L11 &gt; 2*($B11+$C11), L11, ROUNDDOWN(L11*$F11, 0))</f>
        <v>5502111</v>
      </c>
      <c r="N11">
        <f>IF(M11 &gt; 2*($B11+$C11), M11, ROUNDDOWN(M11*$F11, 0))</f>
        <v>5502111</v>
      </c>
      <c r="O11">
        <f>IF(N11 &gt; 2*($B11+$C11), N11, ROUNDDOWN(N11*$F11, 0))</f>
        <v>5502111</v>
      </c>
      <c r="P11">
        <f>IF(O11 &gt; 2*($B11+$C11), O11, ROUNDDOWN(O11*$F11, 0))</f>
        <v>5502111</v>
      </c>
      <c r="Q11">
        <f>IF(P11 &gt; 2*($B11+$C11), P11, ROUNDDOWN(P11*$F11, 0))</f>
        <v>5502111</v>
      </c>
      <c r="R11">
        <f>IF(Q11 &gt; 2*($B11+$C11), Q11, ROUNDDOWN(Q11*$F11, 0))</f>
        <v>5502111</v>
      </c>
      <c r="S11">
        <f t="shared" si="0"/>
        <v>1</v>
      </c>
    </row>
    <row r="12" spans="1:22" x14ac:dyDescent="0.25">
      <c r="A12" s="1" t="s">
        <v>46</v>
      </c>
      <c r="B12">
        <v>1198765</v>
      </c>
      <c r="C12">
        <v>1304945</v>
      </c>
      <c r="D12">
        <v>2786493</v>
      </c>
      <c r="E12">
        <v>2602643</v>
      </c>
      <c r="F12">
        <f>ROUNDDOWN((D12+E12)/(B12+C12), 4)</f>
        <v>2.1524000000000001</v>
      </c>
      <c r="G12">
        <f>D12+E12</f>
        <v>5389136</v>
      </c>
      <c r="H12">
        <f>IF(G12 &gt; 2*($B12+$C12), G12, ROUNDDOWN(G12*$F12, 0))</f>
        <v>5389136</v>
      </c>
      <c r="I12">
        <f>IF(H12 &gt; 2*($B12+$C12), H12, ROUNDDOWN(H12*$F12, 0))</f>
        <v>5389136</v>
      </c>
      <c r="J12">
        <f>IF(I12 &gt; 2*($B12+$C12), I12, ROUNDDOWN(I12*$F12, 0))</f>
        <v>5389136</v>
      </c>
      <c r="K12">
        <f>IF(J12 &gt; 2*($B12+$C12), J12, ROUNDDOWN(J12*$F12, 0))</f>
        <v>5389136</v>
      </c>
      <c r="L12">
        <f>IF(K12 &gt; 2*($B12+$C12), K12, ROUNDDOWN(K12*$F12, 0))</f>
        <v>5389136</v>
      </c>
      <c r="M12">
        <f>IF(L12 &gt; 2*($B12+$C12), L12, ROUNDDOWN(L12*$F12, 0))</f>
        <v>5389136</v>
      </c>
      <c r="N12">
        <f>IF(M12 &gt; 2*($B12+$C12), M12, ROUNDDOWN(M12*$F12, 0))</f>
        <v>5389136</v>
      </c>
      <c r="O12">
        <f>IF(N12 &gt; 2*($B12+$C12), N12, ROUNDDOWN(N12*$F12, 0))</f>
        <v>5389136</v>
      </c>
      <c r="P12">
        <f>IF(O12 &gt; 2*($B12+$C12), O12, ROUNDDOWN(O12*$F12, 0))</f>
        <v>5389136</v>
      </c>
      <c r="Q12">
        <f>IF(P12 &gt; 2*($B12+$C12), P12, ROUNDDOWN(P12*$F12, 0))</f>
        <v>5389136</v>
      </c>
      <c r="R12">
        <f>IF(Q12 &gt; 2*($B12+$C12), Q12, ROUNDDOWN(Q12*$F12, 0))</f>
        <v>5389136</v>
      </c>
      <c r="S12">
        <f t="shared" si="0"/>
        <v>1</v>
      </c>
      <c r="U12" t="s">
        <v>78</v>
      </c>
      <c r="V12">
        <f>SUM($R$2:$R$51)</f>
        <v>125930205</v>
      </c>
    </row>
    <row r="13" spans="1:22" x14ac:dyDescent="0.25">
      <c r="A13" s="1" t="s">
        <v>39</v>
      </c>
      <c r="B13">
        <v>1175198</v>
      </c>
      <c r="C13">
        <v>1095440</v>
      </c>
      <c r="D13">
        <v>2657174</v>
      </c>
      <c r="E13">
        <v>2491947</v>
      </c>
      <c r="F13">
        <f>ROUNDDOWN((D13+E13)/(B13+C13), 4)</f>
        <v>2.2675999999999998</v>
      </c>
      <c r="G13">
        <f>D13+E13</f>
        <v>5149121</v>
      </c>
      <c r="H13">
        <f>IF(G13 &gt; 2*($B13+$C13), G13, ROUNDDOWN(G13*$F13, 0))</f>
        <v>5149121</v>
      </c>
      <c r="I13">
        <f>IF(H13 &gt; 2*($B13+$C13), H13, ROUNDDOWN(H13*$F13, 0))</f>
        <v>5149121</v>
      </c>
      <c r="J13">
        <f>IF(I13 &gt; 2*($B13+$C13), I13, ROUNDDOWN(I13*$F13, 0))</f>
        <v>5149121</v>
      </c>
      <c r="K13">
        <f>IF(J13 &gt; 2*($B13+$C13), J13, ROUNDDOWN(J13*$F13, 0))</f>
        <v>5149121</v>
      </c>
      <c r="L13">
        <f>IF(K13 &gt; 2*($B13+$C13), K13, ROUNDDOWN(K13*$F13, 0))</f>
        <v>5149121</v>
      </c>
      <c r="M13">
        <f>IF(L13 &gt; 2*($B13+$C13), L13, ROUNDDOWN(L13*$F13, 0))</f>
        <v>5149121</v>
      </c>
      <c r="N13">
        <f>IF(M13 &gt; 2*($B13+$C13), M13, ROUNDDOWN(M13*$F13, 0))</f>
        <v>5149121</v>
      </c>
      <c r="O13">
        <f>IF(N13 &gt; 2*($B13+$C13), N13, ROUNDDOWN(N13*$F13, 0))</f>
        <v>5149121</v>
      </c>
      <c r="P13">
        <f>IF(O13 &gt; 2*($B13+$C13), O13, ROUNDDOWN(O13*$F13, 0))</f>
        <v>5149121</v>
      </c>
      <c r="Q13">
        <f>IF(P13 &gt; 2*($B13+$C13), P13, ROUNDDOWN(P13*$F13, 0))</f>
        <v>5149121</v>
      </c>
      <c r="R13">
        <f>IF(Q13 &gt; 2*($B13+$C13), Q13, ROUNDDOWN(Q13*$F13, 0))</f>
        <v>5149121</v>
      </c>
      <c r="S13">
        <f t="shared" si="0"/>
        <v>1</v>
      </c>
      <c r="U13" t="s">
        <v>80</v>
      </c>
      <c r="V13">
        <f>SUM(S2:S34)</f>
        <v>18</v>
      </c>
    </row>
    <row r="14" spans="1:22" x14ac:dyDescent="0.25">
      <c r="A14" s="1" t="s">
        <v>44</v>
      </c>
      <c r="B14">
        <v>1187448</v>
      </c>
      <c r="C14">
        <v>1070426</v>
      </c>
      <c r="D14">
        <v>1504608</v>
      </c>
      <c r="E14">
        <v>1756990</v>
      </c>
      <c r="F14">
        <f>ROUNDDOWN((D14+E14)/(B14+C14), 4)</f>
        <v>1.4444999999999999</v>
      </c>
      <c r="G14">
        <f>D14+E14</f>
        <v>3261598</v>
      </c>
      <c r="H14">
        <f>IF(G14 &gt; 2*($B14+$C14), G14, ROUNDDOWN(G14*$F14, 0))</f>
        <v>4711378</v>
      </c>
      <c r="I14">
        <f>IF(H14 &gt; 2*($B14+$C14), H14, ROUNDDOWN(H14*$F14, 0))</f>
        <v>4711378</v>
      </c>
      <c r="J14">
        <f>IF(I14 &gt; 2*($B14+$C14), I14, ROUNDDOWN(I14*$F14, 0))</f>
        <v>4711378</v>
      </c>
      <c r="K14">
        <f>IF(J14 &gt; 2*($B14+$C14), J14, ROUNDDOWN(J14*$F14, 0))</f>
        <v>4711378</v>
      </c>
      <c r="L14">
        <f>IF(K14 &gt; 2*($B14+$C14), K14, ROUNDDOWN(K14*$F14, 0))</f>
        <v>4711378</v>
      </c>
      <c r="M14">
        <f>IF(L14 &gt; 2*($B14+$C14), L14, ROUNDDOWN(L14*$F14, 0))</f>
        <v>4711378</v>
      </c>
      <c r="N14">
        <f>IF(M14 &gt; 2*($B14+$C14), M14, ROUNDDOWN(M14*$F14, 0))</f>
        <v>4711378</v>
      </c>
      <c r="O14">
        <f>IF(N14 &gt; 2*($B14+$C14), N14, ROUNDDOWN(N14*$F14, 0))</f>
        <v>4711378</v>
      </c>
      <c r="P14">
        <f>IF(O14 &gt; 2*($B14+$C14), O14, ROUNDDOWN(O14*$F14, 0))</f>
        <v>4711378</v>
      </c>
      <c r="Q14">
        <f>IF(P14 &gt; 2*($B14+$C14), P14, ROUNDDOWN(P14*$F14, 0))</f>
        <v>4711378</v>
      </c>
      <c r="R14">
        <f>IF(Q14 &gt; 2*($B14+$C14), Q14, ROUNDDOWN(Q14*$F14, 0))</f>
        <v>4711378</v>
      </c>
      <c r="S14">
        <f t="shared" si="0"/>
        <v>1</v>
      </c>
    </row>
    <row r="15" spans="1:22" x14ac:dyDescent="0.25">
      <c r="A15" s="1" t="s">
        <v>12</v>
      </c>
      <c r="B15">
        <v>996113</v>
      </c>
      <c r="C15">
        <v>964279</v>
      </c>
      <c r="D15">
        <v>1012487</v>
      </c>
      <c r="E15">
        <v>1128940</v>
      </c>
      <c r="F15">
        <f>ROUNDDOWN((D15+E15)/(B15+C15), 4)</f>
        <v>1.0923</v>
      </c>
      <c r="G15">
        <f>D15+E15</f>
        <v>2141427</v>
      </c>
      <c r="H15">
        <f>IF(G15 &gt; 2*($B15+$C15), G15, ROUNDDOWN(G15*$F15, 0))</f>
        <v>2339080</v>
      </c>
      <c r="I15">
        <f>IF(H15 &gt; 2*($B15+$C15), H15, ROUNDDOWN(H15*$F15, 0))</f>
        <v>2554977</v>
      </c>
      <c r="J15">
        <f>IF(I15 &gt; 2*($B15+$C15), I15, ROUNDDOWN(I15*$F15, 0))</f>
        <v>2790801</v>
      </c>
      <c r="K15">
        <f>IF(J15 &gt; 2*($B15+$C15), J15, ROUNDDOWN(J15*$F15, 0))</f>
        <v>3048391</v>
      </c>
      <c r="L15">
        <f>IF(K15 &gt; 2*($B15+$C15), K15, ROUNDDOWN(K15*$F15, 0))</f>
        <v>3329757</v>
      </c>
      <c r="M15">
        <f>IF(L15 &gt; 2*($B15+$C15), L15, ROUNDDOWN(L15*$F15, 0))</f>
        <v>3637093</v>
      </c>
      <c r="N15">
        <f>IF(M15 &gt; 2*($B15+$C15), M15, ROUNDDOWN(M15*$F15, 0))</f>
        <v>3972796</v>
      </c>
      <c r="O15">
        <f>IF(N15 &gt; 2*($B15+$C15), N15, ROUNDDOWN(N15*$F15, 0))</f>
        <v>3972796</v>
      </c>
      <c r="P15">
        <f>IF(O15 &gt; 2*($B15+$C15), O15, ROUNDDOWN(O15*$F15, 0))</f>
        <v>3972796</v>
      </c>
      <c r="Q15">
        <f>IF(P15 &gt; 2*($B15+$C15), P15, ROUNDDOWN(P15*$F15, 0))</f>
        <v>3972796</v>
      </c>
      <c r="R15">
        <f>IF(Q15 &gt; 2*($B15+$C15), Q15, ROUNDDOWN(Q15*$F15, 0))</f>
        <v>3972796</v>
      </c>
      <c r="S15">
        <f t="shared" si="0"/>
        <v>1</v>
      </c>
    </row>
    <row r="16" spans="1:22" x14ac:dyDescent="0.25">
      <c r="A16" s="1" t="s">
        <v>43</v>
      </c>
      <c r="B16">
        <v>835495</v>
      </c>
      <c r="C16">
        <v>837746</v>
      </c>
      <c r="D16">
        <v>1106177</v>
      </c>
      <c r="E16">
        <v>917781</v>
      </c>
      <c r="F16">
        <f>ROUNDDOWN((D16+E16)/(B16+C16), 4)</f>
        <v>1.2096</v>
      </c>
      <c r="G16">
        <f>D16+E16</f>
        <v>2023958</v>
      </c>
      <c r="H16">
        <f>IF(G16 &gt; 2*($B16+$C16), G16, ROUNDDOWN(G16*$F16, 0))</f>
        <v>2448179</v>
      </c>
      <c r="I16">
        <f>IF(H16 &gt; 2*($B16+$C16), H16, ROUNDDOWN(H16*$F16, 0))</f>
        <v>2961317</v>
      </c>
      <c r="J16">
        <f>IF(I16 &gt; 2*($B16+$C16), I16, ROUNDDOWN(I16*$F16, 0))</f>
        <v>3582009</v>
      </c>
      <c r="K16">
        <f>IF(J16 &gt; 2*($B16+$C16), J16, ROUNDDOWN(J16*$F16, 0))</f>
        <v>3582009</v>
      </c>
      <c r="L16">
        <f>IF(K16 &gt; 2*($B16+$C16), K16, ROUNDDOWN(K16*$F16, 0))</f>
        <v>3582009</v>
      </c>
      <c r="M16">
        <f>IF(L16 &gt; 2*($B16+$C16), L16, ROUNDDOWN(L16*$F16, 0))</f>
        <v>3582009</v>
      </c>
      <c r="N16">
        <f>IF(M16 &gt; 2*($B16+$C16), M16, ROUNDDOWN(M16*$F16, 0))</f>
        <v>3582009</v>
      </c>
      <c r="O16">
        <f>IF(N16 &gt; 2*($B16+$C16), N16, ROUNDDOWN(N16*$F16, 0))</f>
        <v>3582009</v>
      </c>
      <c r="P16">
        <f>IF(O16 &gt; 2*($B16+$C16), O16, ROUNDDOWN(O16*$F16, 0))</f>
        <v>3582009</v>
      </c>
      <c r="Q16">
        <f>IF(P16 &gt; 2*($B16+$C16), P16, ROUNDDOWN(P16*$F16, 0))</f>
        <v>3582009</v>
      </c>
      <c r="R16">
        <f>IF(Q16 &gt; 2*($B16+$C16), Q16, ROUNDDOWN(Q16*$F16, 0))</f>
        <v>3582009</v>
      </c>
      <c r="S16">
        <f t="shared" si="0"/>
        <v>1</v>
      </c>
    </row>
    <row r="17" spans="1:19" x14ac:dyDescent="0.25">
      <c r="A17" s="1" t="s">
        <v>24</v>
      </c>
      <c r="B17">
        <v>450192</v>
      </c>
      <c r="C17">
        <v>434755</v>
      </c>
      <c r="D17">
        <v>1656446</v>
      </c>
      <c r="E17">
        <v>1691000</v>
      </c>
      <c r="F17">
        <f>ROUNDDOWN((D17+E17)/(B17+C17), 4)</f>
        <v>3.7826</v>
      </c>
      <c r="G17">
        <f>D17+E17</f>
        <v>3347446</v>
      </c>
      <c r="H17">
        <f>IF(G17 &gt; 2*($B17+$C17), G17, ROUNDDOWN(G17*$F17, 0))</f>
        <v>3347446</v>
      </c>
      <c r="I17">
        <f>IF(H17 &gt; 2*($B17+$C17), H17, ROUNDDOWN(H17*$F17, 0))</f>
        <v>3347446</v>
      </c>
      <c r="J17">
        <f>IF(I17 &gt; 2*($B17+$C17), I17, ROUNDDOWN(I17*$F17, 0))</f>
        <v>3347446</v>
      </c>
      <c r="K17">
        <f>IF(J17 &gt; 2*($B17+$C17), J17, ROUNDDOWN(J17*$F17, 0))</f>
        <v>3347446</v>
      </c>
      <c r="L17">
        <f>IF(K17 &gt; 2*($B17+$C17), K17, ROUNDDOWN(K17*$F17, 0))</f>
        <v>3347446</v>
      </c>
      <c r="M17">
        <f>IF(L17 &gt; 2*($B17+$C17), L17, ROUNDDOWN(L17*$F17, 0))</f>
        <v>3347446</v>
      </c>
      <c r="N17">
        <f>IF(M17 &gt; 2*($B17+$C17), M17, ROUNDDOWN(M17*$F17, 0))</f>
        <v>3347446</v>
      </c>
      <c r="O17">
        <f>IF(N17 &gt; 2*($B17+$C17), N17, ROUNDDOWN(N17*$F17, 0))</f>
        <v>3347446</v>
      </c>
      <c r="P17">
        <f>IF(O17 &gt; 2*($B17+$C17), O17, ROUNDDOWN(O17*$F17, 0))</f>
        <v>3347446</v>
      </c>
      <c r="Q17">
        <f>IF(P17 &gt; 2*($B17+$C17), P17, ROUNDDOWN(P17*$F17, 0))</f>
        <v>3347446</v>
      </c>
      <c r="R17">
        <f>IF(Q17 &gt; 2*($B17+$C17), Q17, ROUNDDOWN(Q17*$F17, 0))</f>
        <v>3347446</v>
      </c>
      <c r="S17">
        <f t="shared" si="0"/>
        <v>1</v>
      </c>
    </row>
    <row r="18" spans="1:19" x14ac:dyDescent="0.25">
      <c r="A18" s="1" t="s">
        <v>23</v>
      </c>
      <c r="B18">
        <v>643177</v>
      </c>
      <c r="C18">
        <v>684187</v>
      </c>
      <c r="D18">
        <v>796213</v>
      </c>
      <c r="E18">
        <v>867904</v>
      </c>
      <c r="F18">
        <f>ROUNDDOWN((D18+E18)/(B18+C18), 4)</f>
        <v>1.2537</v>
      </c>
      <c r="G18">
        <f>D18+E18</f>
        <v>1664117</v>
      </c>
      <c r="H18">
        <f>IF(G18 &gt; 2*($B18+$C18), G18, ROUNDDOWN(G18*$F18, 0))</f>
        <v>2086303</v>
      </c>
      <c r="I18">
        <f>IF(H18 &gt; 2*($B18+$C18), H18, ROUNDDOWN(H18*$F18, 0))</f>
        <v>2615598</v>
      </c>
      <c r="J18">
        <f>IF(I18 &gt; 2*($B18+$C18), I18, ROUNDDOWN(I18*$F18, 0))</f>
        <v>3279175</v>
      </c>
      <c r="K18">
        <f>IF(J18 &gt; 2*($B18+$C18), J18, ROUNDDOWN(J18*$F18, 0))</f>
        <v>3279175</v>
      </c>
      <c r="L18">
        <f>IF(K18 &gt; 2*($B18+$C18), K18, ROUNDDOWN(K18*$F18, 0))</f>
        <v>3279175</v>
      </c>
      <c r="M18">
        <f>IF(L18 &gt; 2*($B18+$C18), L18, ROUNDDOWN(L18*$F18, 0))</f>
        <v>3279175</v>
      </c>
      <c r="N18">
        <f>IF(M18 &gt; 2*($B18+$C18), M18, ROUNDDOWN(M18*$F18, 0))</f>
        <v>3279175</v>
      </c>
      <c r="O18">
        <f>IF(N18 &gt; 2*($B18+$C18), N18, ROUNDDOWN(N18*$F18, 0))</f>
        <v>3279175</v>
      </c>
      <c r="P18">
        <f>IF(O18 &gt; 2*($B18+$C18), O18, ROUNDDOWN(O18*$F18, 0))</f>
        <v>3279175</v>
      </c>
      <c r="Q18">
        <f>IF(P18 &gt; 2*($B18+$C18), P18, ROUNDDOWN(P18*$F18, 0))</f>
        <v>3279175</v>
      </c>
      <c r="R18">
        <f>IF(Q18 &gt; 2*($B18+$C18), Q18, ROUNDDOWN(Q18*$F18, 0))</f>
        <v>3279175</v>
      </c>
      <c r="S18">
        <f t="shared" si="0"/>
        <v>1</v>
      </c>
    </row>
    <row r="19" spans="1:19" x14ac:dyDescent="0.25">
      <c r="A19" s="1" t="s">
        <v>7</v>
      </c>
      <c r="B19">
        <v>679557</v>
      </c>
      <c r="C19">
        <v>655500</v>
      </c>
      <c r="D19">
        <v>1012012</v>
      </c>
      <c r="E19">
        <v>1067022</v>
      </c>
      <c r="F19">
        <f>ROUNDDOWN((D19+E19)/(B19+C19), 4)</f>
        <v>1.5571999999999999</v>
      </c>
      <c r="G19">
        <f>D19+E19</f>
        <v>2079034</v>
      </c>
      <c r="H19">
        <f>IF(G19 &gt; 2*($B19+$C19), G19, ROUNDDOWN(G19*$F19, 0))</f>
        <v>3237471</v>
      </c>
      <c r="I19">
        <f>IF(H19 &gt; 2*($B19+$C19), H19, ROUNDDOWN(H19*$F19, 0))</f>
        <v>3237471</v>
      </c>
      <c r="J19">
        <f>IF(I19 &gt; 2*($B19+$C19), I19, ROUNDDOWN(I19*$F19, 0))</f>
        <v>3237471</v>
      </c>
      <c r="K19">
        <f>IF(J19 &gt; 2*($B19+$C19), J19, ROUNDDOWN(J19*$F19, 0))</f>
        <v>3237471</v>
      </c>
      <c r="L19">
        <f>IF(K19 &gt; 2*($B19+$C19), K19, ROUNDDOWN(K19*$F19, 0))</f>
        <v>3237471</v>
      </c>
      <c r="M19">
        <f>IF(L19 &gt; 2*($B19+$C19), L19, ROUNDDOWN(L19*$F19, 0))</f>
        <v>3237471</v>
      </c>
      <c r="N19">
        <f>IF(M19 &gt; 2*($B19+$C19), M19, ROUNDDOWN(M19*$F19, 0))</f>
        <v>3237471</v>
      </c>
      <c r="O19">
        <f>IF(N19 &gt; 2*($B19+$C19), N19, ROUNDDOWN(N19*$F19, 0))</f>
        <v>3237471</v>
      </c>
      <c r="P19">
        <f>IF(O19 &gt; 2*($B19+$C19), O19, ROUNDDOWN(O19*$F19, 0))</f>
        <v>3237471</v>
      </c>
      <c r="Q19">
        <f>IF(P19 &gt; 2*($B19+$C19), P19, ROUNDDOWN(P19*$F19, 0))</f>
        <v>3237471</v>
      </c>
      <c r="R19">
        <f>IF(Q19 &gt; 2*($B19+$C19), Q19, ROUNDDOWN(Q19*$F19, 0))</f>
        <v>3237471</v>
      </c>
      <c r="S19">
        <f t="shared" si="0"/>
        <v>1</v>
      </c>
    </row>
    <row r="20" spans="1:19" x14ac:dyDescent="0.25">
      <c r="A20" s="1" t="s">
        <v>2</v>
      </c>
      <c r="B20">
        <v>1165105</v>
      </c>
      <c r="C20">
        <v>1278732</v>
      </c>
      <c r="D20">
        <v>1299953</v>
      </c>
      <c r="E20">
        <v>1191621</v>
      </c>
      <c r="F20">
        <f>ROUNDDOWN((D20+E20)/(B20+C20), 4)</f>
        <v>1.0195000000000001</v>
      </c>
      <c r="G20">
        <f>D20+E20</f>
        <v>2491574</v>
      </c>
      <c r="H20">
        <f>IF(G20 &gt; 2*($B20+$C20), G20, ROUNDDOWN(G20*$F20, 0))</f>
        <v>2540159</v>
      </c>
      <c r="I20">
        <f>IF(H20 &gt; 2*($B20+$C20), H20, ROUNDDOWN(H20*$F20, 0))</f>
        <v>2589692</v>
      </c>
      <c r="J20">
        <f>IF(I20 &gt; 2*($B20+$C20), I20, ROUNDDOWN(I20*$F20, 0))</f>
        <v>2640190</v>
      </c>
      <c r="K20">
        <f>IF(J20 &gt; 2*($B20+$C20), J20, ROUNDDOWN(J20*$F20, 0))</f>
        <v>2691673</v>
      </c>
      <c r="L20">
        <f>IF(K20 &gt; 2*($B20+$C20), K20, ROUNDDOWN(K20*$F20, 0))</f>
        <v>2744160</v>
      </c>
      <c r="M20">
        <f>IF(L20 &gt; 2*($B20+$C20), L20, ROUNDDOWN(L20*$F20, 0))</f>
        <v>2797671</v>
      </c>
      <c r="N20">
        <f>IF(M20 &gt; 2*($B20+$C20), M20, ROUNDDOWN(M20*$F20, 0))</f>
        <v>2852225</v>
      </c>
      <c r="O20">
        <f>IF(N20 &gt; 2*($B20+$C20), N20, ROUNDDOWN(N20*$F20, 0))</f>
        <v>2907843</v>
      </c>
      <c r="P20">
        <f>IF(O20 &gt; 2*($B20+$C20), O20, ROUNDDOWN(O20*$F20, 0))</f>
        <v>2964545</v>
      </c>
      <c r="Q20">
        <f>IF(P20 &gt; 2*($B20+$C20), P20, ROUNDDOWN(P20*$F20, 0))</f>
        <v>3022353</v>
      </c>
      <c r="R20">
        <f>IF(Q20 &gt; 2*($B20+$C20), Q20, ROUNDDOWN(Q20*$F20, 0))</f>
        <v>3081288</v>
      </c>
      <c r="S20">
        <f t="shared" si="0"/>
        <v>0</v>
      </c>
    </row>
    <row r="21" spans="1:19" x14ac:dyDescent="0.25">
      <c r="A21" s="1" t="s">
        <v>33</v>
      </c>
      <c r="B21">
        <v>76648</v>
      </c>
      <c r="C21">
        <v>81385</v>
      </c>
      <c r="D21">
        <v>1374708</v>
      </c>
      <c r="E21">
        <v>1379567</v>
      </c>
      <c r="F21">
        <f>ROUNDDOWN((D21+E21)/(B21+C21), 4)</f>
        <v>17.4284</v>
      </c>
      <c r="G21">
        <f>D21+E21</f>
        <v>2754275</v>
      </c>
      <c r="H21">
        <f>IF(G21 &gt; 2*($B21+$C21), G21, ROUNDDOWN(G21*$F21, 0))</f>
        <v>2754275</v>
      </c>
      <c r="I21">
        <f>IF(H21 &gt; 2*($B21+$C21), H21, ROUNDDOWN(H21*$F21, 0))</f>
        <v>2754275</v>
      </c>
      <c r="J21">
        <f>IF(I21 &gt; 2*($B21+$C21), I21, ROUNDDOWN(I21*$F21, 0))</f>
        <v>2754275</v>
      </c>
      <c r="K21">
        <f>IF(J21 &gt; 2*($B21+$C21), J21, ROUNDDOWN(J21*$F21, 0))</f>
        <v>2754275</v>
      </c>
      <c r="L21">
        <f>IF(K21 &gt; 2*($B21+$C21), K21, ROUNDDOWN(K21*$F21, 0))</f>
        <v>2754275</v>
      </c>
      <c r="M21">
        <f>IF(L21 &gt; 2*($B21+$C21), L21, ROUNDDOWN(L21*$F21, 0))</f>
        <v>2754275</v>
      </c>
      <c r="N21">
        <f>IF(M21 &gt; 2*($B21+$C21), M21, ROUNDDOWN(M21*$F21, 0))</f>
        <v>2754275</v>
      </c>
      <c r="O21">
        <f>IF(N21 &gt; 2*($B21+$C21), N21, ROUNDDOWN(N21*$F21, 0))</f>
        <v>2754275</v>
      </c>
      <c r="P21">
        <f>IF(O21 &gt; 2*($B21+$C21), O21, ROUNDDOWN(O21*$F21, 0))</f>
        <v>2754275</v>
      </c>
      <c r="Q21">
        <f>IF(P21 &gt; 2*($B21+$C21), P21, ROUNDDOWN(P21*$F21, 0))</f>
        <v>2754275</v>
      </c>
      <c r="R21">
        <f>IF(Q21 &gt; 2*($B21+$C21), Q21, ROUNDDOWN(Q21*$F21, 0))</f>
        <v>2754275</v>
      </c>
      <c r="S21">
        <f t="shared" si="0"/>
        <v>1</v>
      </c>
    </row>
    <row r="22" spans="1:19" x14ac:dyDescent="0.25">
      <c r="A22" s="1" t="s">
        <v>10</v>
      </c>
      <c r="B22">
        <v>1987047</v>
      </c>
      <c r="C22">
        <v>1996208</v>
      </c>
      <c r="D22">
        <v>2053892</v>
      </c>
      <c r="E22">
        <v>1697247</v>
      </c>
      <c r="F22">
        <f>ROUNDDOWN((D22+E22)/(B22+C22), 4)</f>
        <v>0.94169999999999998</v>
      </c>
      <c r="G22">
        <f>D22+E22</f>
        <v>3751139</v>
      </c>
      <c r="H22">
        <f>IF(G22 &gt; 2*($B22+$C22), G22, ROUNDDOWN(G22*$F22, 0))</f>
        <v>3532447</v>
      </c>
      <c r="I22">
        <f>IF(H22 &gt; 2*($B22+$C22), H22, ROUNDDOWN(H22*$F22, 0))</f>
        <v>3326505</v>
      </c>
      <c r="J22">
        <f>IF(I22 &gt; 2*($B22+$C22), I22, ROUNDDOWN(I22*$F22, 0))</f>
        <v>3132569</v>
      </c>
      <c r="K22">
        <f>IF(J22 &gt; 2*($B22+$C22), J22, ROUNDDOWN(J22*$F22, 0))</f>
        <v>2949940</v>
      </c>
      <c r="L22">
        <f>IF(K22 &gt; 2*($B22+$C22), K22, ROUNDDOWN(K22*$F22, 0))</f>
        <v>2777958</v>
      </c>
      <c r="M22">
        <f>IF(L22 &gt; 2*($B22+$C22), L22, ROUNDDOWN(L22*$F22, 0))</f>
        <v>2616003</v>
      </c>
      <c r="N22">
        <f>IF(M22 &gt; 2*($B22+$C22), M22, ROUNDDOWN(M22*$F22, 0))</f>
        <v>2463490</v>
      </c>
      <c r="O22">
        <f>IF(N22 &gt; 2*($B22+$C22), N22, ROUNDDOWN(N22*$F22, 0))</f>
        <v>2319868</v>
      </c>
      <c r="P22">
        <f>IF(O22 &gt; 2*($B22+$C22), O22, ROUNDDOWN(O22*$F22, 0))</f>
        <v>2184619</v>
      </c>
      <c r="Q22">
        <f>IF(P22 &gt; 2*($B22+$C22), P22, ROUNDDOWN(P22*$F22, 0))</f>
        <v>2057255</v>
      </c>
      <c r="R22">
        <f>IF(Q22 &gt; 2*($B22+$C22), Q22, ROUNDDOWN(Q22*$F22, 0))</f>
        <v>1937317</v>
      </c>
      <c r="S22">
        <f t="shared" si="0"/>
        <v>0</v>
      </c>
    </row>
    <row r="23" spans="1:19" x14ac:dyDescent="0.25">
      <c r="A23" s="1" t="s">
        <v>1</v>
      </c>
      <c r="B23">
        <v>1711390</v>
      </c>
      <c r="C23">
        <v>1641773</v>
      </c>
      <c r="D23">
        <v>1522030</v>
      </c>
      <c r="E23">
        <v>1618733</v>
      </c>
      <c r="F23">
        <f>ROUNDDOWN((D23+E23)/(B23+C23), 4)</f>
        <v>0.93659999999999999</v>
      </c>
      <c r="G23">
        <f>D23+E23</f>
        <v>3140763</v>
      </c>
      <c r="H23">
        <f>IF(G23 &gt; 2*($B23+$C23), G23, ROUNDDOWN(G23*$F23, 0))</f>
        <v>2941638</v>
      </c>
      <c r="I23">
        <f>IF(H23 &gt; 2*($B23+$C23), H23, ROUNDDOWN(H23*$F23, 0))</f>
        <v>2755138</v>
      </c>
      <c r="J23">
        <f>IF(I23 &gt; 2*($B23+$C23), I23, ROUNDDOWN(I23*$F23, 0))</f>
        <v>2580462</v>
      </c>
      <c r="K23">
        <f>IF(J23 &gt; 2*($B23+$C23), J23, ROUNDDOWN(J23*$F23, 0))</f>
        <v>2416860</v>
      </c>
      <c r="L23">
        <f>IF(K23 &gt; 2*($B23+$C23), K23, ROUNDDOWN(K23*$F23, 0))</f>
        <v>2263631</v>
      </c>
      <c r="M23">
        <f>IF(L23 &gt; 2*($B23+$C23), L23, ROUNDDOWN(L23*$F23, 0))</f>
        <v>2120116</v>
      </c>
      <c r="N23">
        <f>IF(M23 &gt; 2*($B23+$C23), M23, ROUNDDOWN(M23*$F23, 0))</f>
        <v>1985700</v>
      </c>
      <c r="O23">
        <f>IF(N23 &gt; 2*($B23+$C23), N23, ROUNDDOWN(N23*$F23, 0))</f>
        <v>1859806</v>
      </c>
      <c r="P23">
        <f>IF(O23 &gt; 2*($B23+$C23), O23, ROUNDDOWN(O23*$F23, 0))</f>
        <v>1741894</v>
      </c>
      <c r="Q23">
        <f>IF(P23 &gt; 2*($B23+$C23), P23, ROUNDDOWN(P23*$F23, 0))</f>
        <v>1631457</v>
      </c>
      <c r="R23">
        <f>IF(Q23 &gt; 2*($B23+$C23), Q23, ROUNDDOWN(Q23*$F23, 0))</f>
        <v>1528022</v>
      </c>
      <c r="S23">
        <f t="shared" si="0"/>
        <v>0</v>
      </c>
    </row>
    <row r="24" spans="1:19" x14ac:dyDescent="0.25">
      <c r="A24" s="1" t="s">
        <v>6</v>
      </c>
      <c r="B24">
        <v>3841577</v>
      </c>
      <c r="C24">
        <v>3848394</v>
      </c>
      <c r="D24">
        <v>3595975</v>
      </c>
      <c r="E24">
        <v>3123039</v>
      </c>
      <c r="F24">
        <f>ROUNDDOWN((D24+E24)/(B24+C24), 4)</f>
        <v>0.87370000000000003</v>
      </c>
      <c r="G24">
        <f>D24+E24</f>
        <v>6719014</v>
      </c>
      <c r="H24">
        <f>IF(G24 &gt; 2*($B24+$C24), G24, ROUNDDOWN(G24*$F24, 0))</f>
        <v>5870402</v>
      </c>
      <c r="I24">
        <f>IF(H24 &gt; 2*($B24+$C24), H24, ROUNDDOWN(H24*$F24, 0))</f>
        <v>5128970</v>
      </c>
      <c r="J24">
        <f>IF(I24 &gt; 2*($B24+$C24), I24, ROUNDDOWN(I24*$F24, 0))</f>
        <v>4481181</v>
      </c>
      <c r="K24">
        <f>IF(J24 &gt; 2*($B24+$C24), J24, ROUNDDOWN(J24*$F24, 0))</f>
        <v>3915207</v>
      </c>
      <c r="L24">
        <f>IF(K24 &gt; 2*($B24+$C24), K24, ROUNDDOWN(K24*$F24, 0))</f>
        <v>3420716</v>
      </c>
      <c r="M24">
        <f>IF(L24 &gt; 2*($B24+$C24), L24, ROUNDDOWN(L24*$F24, 0))</f>
        <v>2988679</v>
      </c>
      <c r="N24">
        <f>IF(M24 &gt; 2*($B24+$C24), M24, ROUNDDOWN(M24*$F24, 0))</f>
        <v>2611208</v>
      </c>
      <c r="O24">
        <f>IF(N24 &gt; 2*($B24+$C24), N24, ROUNDDOWN(N24*$F24, 0))</f>
        <v>2281412</v>
      </c>
      <c r="P24">
        <f>IF(O24 &gt; 2*($B24+$C24), O24, ROUNDDOWN(O24*$F24, 0))</f>
        <v>1993269</v>
      </c>
      <c r="Q24">
        <f>IF(P24 &gt; 2*($B24+$C24), P24, ROUNDDOWN(P24*$F24, 0))</f>
        <v>1741519</v>
      </c>
      <c r="R24">
        <f>IF(Q24 &gt; 2*($B24+$C24), Q24, ROUNDDOWN(Q24*$F24, 0))</f>
        <v>1521565</v>
      </c>
      <c r="S24">
        <f t="shared" si="0"/>
        <v>0</v>
      </c>
    </row>
    <row r="25" spans="1:19" x14ac:dyDescent="0.25">
      <c r="A25" s="1" t="s">
        <v>30</v>
      </c>
      <c r="B25">
        <v>1938122</v>
      </c>
      <c r="C25">
        <v>1816647</v>
      </c>
      <c r="D25">
        <v>1602356</v>
      </c>
      <c r="E25">
        <v>1875221</v>
      </c>
      <c r="F25">
        <f>ROUNDDOWN((D25+E25)/(B25+C25), 4)</f>
        <v>0.92610000000000003</v>
      </c>
      <c r="G25">
        <f>D25+E25</f>
        <v>3477577</v>
      </c>
      <c r="H25">
        <f>IF(G25 &gt; 2*($B25+$C25), G25, ROUNDDOWN(G25*$F25, 0))</f>
        <v>3220584</v>
      </c>
      <c r="I25">
        <f>IF(H25 &gt; 2*($B25+$C25), H25, ROUNDDOWN(H25*$F25, 0))</f>
        <v>2982582</v>
      </c>
      <c r="J25">
        <f>IF(I25 &gt; 2*($B25+$C25), I25, ROUNDDOWN(I25*$F25, 0))</f>
        <v>2762169</v>
      </c>
      <c r="K25">
        <f>IF(J25 &gt; 2*($B25+$C25), J25, ROUNDDOWN(J25*$F25, 0))</f>
        <v>2558044</v>
      </c>
      <c r="L25">
        <f>IF(K25 &gt; 2*($B25+$C25), K25, ROUNDDOWN(K25*$F25, 0))</f>
        <v>2369004</v>
      </c>
      <c r="M25">
        <f>IF(L25 &gt; 2*($B25+$C25), L25, ROUNDDOWN(L25*$F25, 0))</f>
        <v>2193934</v>
      </c>
      <c r="N25">
        <f>IF(M25 &gt; 2*($B25+$C25), M25, ROUNDDOWN(M25*$F25, 0))</f>
        <v>2031802</v>
      </c>
      <c r="O25">
        <f>IF(N25 &gt; 2*($B25+$C25), N25, ROUNDDOWN(N25*$F25, 0))</f>
        <v>1881651</v>
      </c>
      <c r="P25">
        <f>IF(O25 &gt; 2*($B25+$C25), O25, ROUNDDOWN(O25*$F25, 0))</f>
        <v>1742596</v>
      </c>
      <c r="Q25">
        <f>IF(P25 &gt; 2*($B25+$C25), P25, ROUNDDOWN(P25*$F25, 0))</f>
        <v>1613818</v>
      </c>
      <c r="R25">
        <f>IF(Q25 &gt; 2*($B25+$C25), Q25, ROUNDDOWN(Q25*$F25, 0))</f>
        <v>1494556</v>
      </c>
      <c r="S25">
        <f t="shared" si="0"/>
        <v>0</v>
      </c>
    </row>
    <row r="26" spans="1:19" x14ac:dyDescent="0.25">
      <c r="A26" s="1" t="s">
        <v>19</v>
      </c>
      <c r="B26">
        <v>1443351</v>
      </c>
      <c r="C26">
        <v>1565539</v>
      </c>
      <c r="D26">
        <v>1355276</v>
      </c>
      <c r="E26">
        <v>1423414</v>
      </c>
      <c r="F26">
        <f>ROUNDDOWN((D26+E26)/(B26+C26), 4)</f>
        <v>0.9234</v>
      </c>
      <c r="G26">
        <f>D26+E26</f>
        <v>2778690</v>
      </c>
      <c r="H26">
        <f>IF(G26 &gt; 2*($B26+$C26), G26, ROUNDDOWN(G26*$F26, 0))</f>
        <v>2565842</v>
      </c>
      <c r="I26">
        <f>IF(H26 &gt; 2*($B26+$C26), H26, ROUNDDOWN(H26*$F26, 0))</f>
        <v>2369298</v>
      </c>
      <c r="J26">
        <f>IF(I26 &gt; 2*($B26+$C26), I26, ROUNDDOWN(I26*$F26, 0))</f>
        <v>2187809</v>
      </c>
      <c r="K26">
        <f>IF(J26 &gt; 2*($B26+$C26), J26, ROUNDDOWN(J26*$F26, 0))</f>
        <v>2020222</v>
      </c>
      <c r="L26">
        <f>IF(K26 &gt; 2*($B26+$C26), K26, ROUNDDOWN(K26*$F26, 0))</f>
        <v>1865472</v>
      </c>
      <c r="M26">
        <f>IF(L26 &gt; 2*($B26+$C26), L26, ROUNDDOWN(L26*$F26, 0))</f>
        <v>1722576</v>
      </c>
      <c r="N26">
        <f>IF(M26 &gt; 2*($B26+$C26), M26, ROUNDDOWN(M26*$F26, 0))</f>
        <v>1590626</v>
      </c>
      <c r="O26">
        <f>IF(N26 &gt; 2*($B26+$C26), N26, ROUNDDOWN(N26*$F26, 0))</f>
        <v>1468784</v>
      </c>
      <c r="P26">
        <f>IF(O26 &gt; 2*($B26+$C26), O26, ROUNDDOWN(O26*$F26, 0))</f>
        <v>1356275</v>
      </c>
      <c r="Q26">
        <f>IF(P26 &gt; 2*($B26+$C26), P26, ROUNDDOWN(P26*$F26, 0))</f>
        <v>1252384</v>
      </c>
      <c r="R26">
        <f>IF(Q26 &gt; 2*($B26+$C26), Q26, ROUNDDOWN(Q26*$F26, 0))</f>
        <v>1156451</v>
      </c>
      <c r="S26">
        <f t="shared" si="0"/>
        <v>0</v>
      </c>
    </row>
    <row r="27" spans="1:19" x14ac:dyDescent="0.25">
      <c r="A27" s="1" t="s">
        <v>25</v>
      </c>
      <c r="B27">
        <v>1037774</v>
      </c>
      <c r="C27">
        <v>1113789</v>
      </c>
      <c r="D27">
        <v>877464</v>
      </c>
      <c r="E27">
        <v>990837</v>
      </c>
      <c r="F27">
        <f>ROUNDDOWN((D27+E27)/(B27+C27), 4)</f>
        <v>0.86829999999999996</v>
      </c>
      <c r="G27">
        <f>D27+E27</f>
        <v>1868301</v>
      </c>
      <c r="H27">
        <f>IF(G27 &gt; 2*($B27+$C27), G27, ROUNDDOWN(G27*$F27, 0))</f>
        <v>1622245</v>
      </c>
      <c r="I27">
        <f>IF(H27 &gt; 2*($B27+$C27), H27, ROUNDDOWN(H27*$F27, 0))</f>
        <v>1408595</v>
      </c>
      <c r="J27">
        <f>IF(I27 &gt; 2*($B27+$C27), I27, ROUNDDOWN(I27*$F27, 0))</f>
        <v>1223083</v>
      </c>
      <c r="K27">
        <f>IF(J27 &gt; 2*($B27+$C27), J27, ROUNDDOWN(J27*$F27, 0))</f>
        <v>1062002</v>
      </c>
      <c r="L27">
        <f>IF(K27 &gt; 2*($B27+$C27), K27, ROUNDDOWN(K27*$F27, 0))</f>
        <v>922136</v>
      </c>
      <c r="M27">
        <f>IF(L27 &gt; 2*($B27+$C27), L27, ROUNDDOWN(L27*$F27, 0))</f>
        <v>800690</v>
      </c>
      <c r="N27">
        <f>IF(M27 &gt; 2*($B27+$C27), M27, ROUNDDOWN(M27*$F27, 0))</f>
        <v>695239</v>
      </c>
      <c r="O27">
        <f>IF(N27 &gt; 2*($B27+$C27), N27, ROUNDDOWN(N27*$F27, 0))</f>
        <v>603676</v>
      </c>
      <c r="P27">
        <f>IF(O27 &gt; 2*($B27+$C27), O27, ROUNDDOWN(O27*$F27, 0))</f>
        <v>524171</v>
      </c>
      <c r="Q27">
        <f>IF(P27 &gt; 2*($B27+$C27), P27, ROUNDDOWN(P27*$F27, 0))</f>
        <v>455137</v>
      </c>
      <c r="R27">
        <f>IF(Q27 &gt; 2*($B27+$C27), Q27, ROUNDDOWN(Q27*$F27, 0))</f>
        <v>395195</v>
      </c>
      <c r="S27">
        <f t="shared" si="0"/>
        <v>0</v>
      </c>
    </row>
    <row r="28" spans="1:19" x14ac:dyDescent="0.25">
      <c r="A28" s="1" t="s">
        <v>4</v>
      </c>
      <c r="B28">
        <v>2436107</v>
      </c>
      <c r="C28">
        <v>2228622</v>
      </c>
      <c r="D28">
        <v>1831600</v>
      </c>
      <c r="E28">
        <v>1960624</v>
      </c>
      <c r="F28">
        <f>ROUNDDOWN((D28+E28)/(B28+C28), 4)</f>
        <v>0.81289999999999996</v>
      </c>
      <c r="G28">
        <f>D28+E28</f>
        <v>3792224</v>
      </c>
      <c r="H28">
        <f>IF(G28 &gt; 2*($B28+$C28), G28, ROUNDDOWN(G28*$F28, 0))</f>
        <v>3082698</v>
      </c>
      <c r="I28">
        <f>IF(H28 &gt; 2*($B28+$C28), H28, ROUNDDOWN(H28*$F28, 0))</f>
        <v>2505925</v>
      </c>
      <c r="J28">
        <f>IF(I28 &gt; 2*($B28+$C28), I28, ROUNDDOWN(I28*$F28, 0))</f>
        <v>2037066</v>
      </c>
      <c r="K28">
        <f>IF(J28 &gt; 2*($B28+$C28), J28, ROUNDDOWN(J28*$F28, 0))</f>
        <v>1655930</v>
      </c>
      <c r="L28">
        <f>IF(K28 &gt; 2*($B28+$C28), K28, ROUNDDOWN(K28*$F28, 0))</f>
        <v>1346105</v>
      </c>
      <c r="M28">
        <f>IF(L28 &gt; 2*($B28+$C28), L28, ROUNDDOWN(L28*$F28, 0))</f>
        <v>1094248</v>
      </c>
      <c r="N28">
        <f>IF(M28 &gt; 2*($B28+$C28), M28, ROUNDDOWN(M28*$F28, 0))</f>
        <v>889514</v>
      </c>
      <c r="O28">
        <f>IF(N28 &gt; 2*($B28+$C28), N28, ROUNDDOWN(N28*$F28, 0))</f>
        <v>723085</v>
      </c>
      <c r="P28">
        <f>IF(O28 &gt; 2*($B28+$C28), O28, ROUNDDOWN(O28*$F28, 0))</f>
        <v>587795</v>
      </c>
      <c r="Q28">
        <f>IF(P28 &gt; 2*($B28+$C28), P28, ROUNDDOWN(P28*$F28, 0))</f>
        <v>477818</v>
      </c>
      <c r="R28">
        <f>IF(Q28 &gt; 2*($B28+$C28), Q28, ROUNDDOWN(Q28*$F28, 0))</f>
        <v>388418</v>
      </c>
      <c r="S28">
        <f t="shared" si="0"/>
        <v>0</v>
      </c>
    </row>
    <row r="29" spans="1:19" x14ac:dyDescent="0.25">
      <c r="A29" s="1" t="s">
        <v>28</v>
      </c>
      <c r="B29">
        <v>1859691</v>
      </c>
      <c r="C29">
        <v>1844250</v>
      </c>
      <c r="D29">
        <v>1460134</v>
      </c>
      <c r="E29">
        <v>1585258</v>
      </c>
      <c r="F29">
        <f>ROUNDDOWN((D29+E29)/(B29+C29), 4)</f>
        <v>0.82220000000000004</v>
      </c>
      <c r="G29">
        <f>D29+E29</f>
        <v>3045392</v>
      </c>
      <c r="H29">
        <f>IF(G29 &gt; 2*($B29+$C29), G29, ROUNDDOWN(G29*$F29, 0))</f>
        <v>2503921</v>
      </c>
      <c r="I29">
        <f>IF(H29 &gt; 2*($B29+$C29), H29, ROUNDDOWN(H29*$F29, 0))</f>
        <v>2058723</v>
      </c>
      <c r="J29">
        <f>IF(I29 &gt; 2*($B29+$C29), I29, ROUNDDOWN(I29*$F29, 0))</f>
        <v>1692682</v>
      </c>
      <c r="K29">
        <f>IF(J29 &gt; 2*($B29+$C29), J29, ROUNDDOWN(J29*$F29, 0))</f>
        <v>1391723</v>
      </c>
      <c r="L29">
        <f>IF(K29 &gt; 2*($B29+$C29), K29, ROUNDDOWN(K29*$F29, 0))</f>
        <v>1144274</v>
      </c>
      <c r="M29">
        <f>IF(L29 &gt; 2*($B29+$C29), L29, ROUNDDOWN(L29*$F29, 0))</f>
        <v>940822</v>
      </c>
      <c r="N29">
        <f>IF(M29 &gt; 2*($B29+$C29), M29, ROUNDDOWN(M29*$F29, 0))</f>
        <v>773543</v>
      </c>
      <c r="O29">
        <f>IF(N29 &gt; 2*($B29+$C29), N29, ROUNDDOWN(N29*$F29, 0))</f>
        <v>636007</v>
      </c>
      <c r="P29">
        <f>IF(O29 &gt; 2*($B29+$C29), O29, ROUNDDOWN(O29*$F29, 0))</f>
        <v>522924</v>
      </c>
      <c r="Q29">
        <f>IF(P29 &gt; 2*($B29+$C29), P29, ROUNDDOWN(P29*$F29, 0))</f>
        <v>429948</v>
      </c>
      <c r="R29">
        <f>IF(Q29 &gt; 2*($B29+$C29), Q29, ROUNDDOWN(Q29*$F29, 0))</f>
        <v>353503</v>
      </c>
      <c r="S29">
        <f t="shared" si="0"/>
        <v>0</v>
      </c>
    </row>
    <row r="30" spans="1:19" x14ac:dyDescent="0.25">
      <c r="A30" s="1" t="s">
        <v>14</v>
      </c>
      <c r="B30">
        <v>2549276</v>
      </c>
      <c r="C30">
        <v>2584751</v>
      </c>
      <c r="D30">
        <v>2033079</v>
      </c>
      <c r="E30">
        <v>2066918</v>
      </c>
      <c r="F30">
        <f>ROUNDDOWN((D30+E30)/(B30+C30), 4)</f>
        <v>0.79849999999999999</v>
      </c>
      <c r="G30">
        <f>D30+E30</f>
        <v>4099997</v>
      </c>
      <c r="H30">
        <f>IF(G30 &gt; 2*($B30+$C30), G30, ROUNDDOWN(G30*$F30, 0))</f>
        <v>3273847</v>
      </c>
      <c r="I30">
        <f>IF(H30 &gt; 2*($B30+$C30), H30, ROUNDDOWN(H30*$F30, 0))</f>
        <v>2614166</v>
      </c>
      <c r="J30">
        <f>IF(I30 &gt; 2*($B30+$C30), I30, ROUNDDOWN(I30*$F30, 0))</f>
        <v>2087411</v>
      </c>
      <c r="K30">
        <f>IF(J30 &gt; 2*($B30+$C30), J30, ROUNDDOWN(J30*$F30, 0))</f>
        <v>1666797</v>
      </c>
      <c r="L30">
        <f>IF(K30 &gt; 2*($B30+$C30), K30, ROUNDDOWN(K30*$F30, 0))</f>
        <v>1330937</v>
      </c>
      <c r="M30">
        <f>IF(L30 &gt; 2*($B30+$C30), L30, ROUNDDOWN(L30*$F30, 0))</f>
        <v>1062753</v>
      </c>
      <c r="N30">
        <f>IF(M30 &gt; 2*($B30+$C30), M30, ROUNDDOWN(M30*$F30, 0))</f>
        <v>848608</v>
      </c>
      <c r="O30">
        <f>IF(N30 &gt; 2*($B30+$C30), N30, ROUNDDOWN(N30*$F30, 0))</f>
        <v>677613</v>
      </c>
      <c r="P30">
        <f>IF(O30 &gt; 2*($B30+$C30), O30, ROUNDDOWN(O30*$F30, 0))</f>
        <v>541073</v>
      </c>
      <c r="Q30">
        <f>IF(P30 &gt; 2*($B30+$C30), P30, ROUNDDOWN(P30*$F30, 0))</f>
        <v>432046</v>
      </c>
      <c r="R30">
        <f>IF(Q30 &gt; 2*($B30+$C30), Q30, ROUNDDOWN(Q30*$F30, 0))</f>
        <v>344988</v>
      </c>
      <c r="S30">
        <f t="shared" si="0"/>
        <v>0</v>
      </c>
    </row>
    <row r="31" spans="1:19" x14ac:dyDescent="0.25">
      <c r="A31" s="1" t="s">
        <v>36</v>
      </c>
      <c r="B31">
        <v>1506541</v>
      </c>
      <c r="C31">
        <v>1414887</v>
      </c>
      <c r="D31">
        <v>1216612</v>
      </c>
      <c r="E31">
        <v>1166775</v>
      </c>
      <c r="F31">
        <f>ROUNDDOWN((D31+E31)/(B31+C31), 4)</f>
        <v>0.81579999999999997</v>
      </c>
      <c r="G31">
        <f>D31+E31</f>
        <v>2383387</v>
      </c>
      <c r="H31">
        <f>IF(G31 &gt; 2*($B31+$C31), G31, ROUNDDOWN(G31*$F31, 0))</f>
        <v>1944367</v>
      </c>
      <c r="I31">
        <f>IF(H31 &gt; 2*($B31+$C31), H31, ROUNDDOWN(H31*$F31, 0))</f>
        <v>1586214</v>
      </c>
      <c r="J31">
        <f>IF(I31 &gt; 2*($B31+$C31), I31, ROUNDDOWN(I31*$F31, 0))</f>
        <v>1294033</v>
      </c>
      <c r="K31">
        <f>IF(J31 &gt; 2*($B31+$C31), J31, ROUNDDOWN(J31*$F31, 0))</f>
        <v>1055672</v>
      </c>
      <c r="L31">
        <f>IF(K31 &gt; 2*($B31+$C31), K31, ROUNDDOWN(K31*$F31, 0))</f>
        <v>861217</v>
      </c>
      <c r="M31">
        <f>IF(L31 &gt; 2*($B31+$C31), L31, ROUNDDOWN(L31*$F31, 0))</f>
        <v>702580</v>
      </c>
      <c r="N31">
        <f>IF(M31 &gt; 2*($B31+$C31), M31, ROUNDDOWN(M31*$F31, 0))</f>
        <v>573164</v>
      </c>
      <c r="O31">
        <f>IF(N31 &gt; 2*($B31+$C31), N31, ROUNDDOWN(N31*$F31, 0))</f>
        <v>467587</v>
      </c>
      <c r="P31">
        <f>IF(O31 &gt; 2*($B31+$C31), O31, ROUNDDOWN(O31*$F31, 0))</f>
        <v>381457</v>
      </c>
      <c r="Q31">
        <f>IF(P31 &gt; 2*($B31+$C31), P31, ROUNDDOWN(P31*$F31, 0))</f>
        <v>311192</v>
      </c>
      <c r="R31">
        <f>IF(Q31 &gt; 2*($B31+$C31), Q31, ROUNDDOWN(Q31*$F31, 0))</f>
        <v>253870</v>
      </c>
      <c r="S31">
        <f t="shared" si="0"/>
        <v>0</v>
      </c>
    </row>
    <row r="32" spans="1:19" x14ac:dyDescent="0.25">
      <c r="A32" s="1" t="s">
        <v>13</v>
      </c>
      <c r="B32">
        <v>1143634</v>
      </c>
      <c r="C32">
        <v>1033836</v>
      </c>
      <c r="D32">
        <v>909534</v>
      </c>
      <c r="E32">
        <v>856349</v>
      </c>
      <c r="F32">
        <f>ROUNDDOWN((D32+E32)/(B32+C32), 4)</f>
        <v>0.81089999999999995</v>
      </c>
      <c r="G32">
        <f>D32+E32</f>
        <v>1765883</v>
      </c>
      <c r="H32">
        <f>IF(G32 &gt; 2*($B32+$C32), G32, ROUNDDOWN(G32*$F32, 0))</f>
        <v>1431954</v>
      </c>
      <c r="I32">
        <f>IF(H32 &gt; 2*($B32+$C32), H32, ROUNDDOWN(H32*$F32, 0))</f>
        <v>1161171</v>
      </c>
      <c r="J32">
        <f>IF(I32 &gt; 2*($B32+$C32), I32, ROUNDDOWN(I32*$F32, 0))</f>
        <v>941593</v>
      </c>
      <c r="K32">
        <f>IF(J32 &gt; 2*($B32+$C32), J32, ROUNDDOWN(J32*$F32, 0))</f>
        <v>763537</v>
      </c>
      <c r="L32">
        <f>IF(K32 &gt; 2*($B32+$C32), K32, ROUNDDOWN(K32*$F32, 0))</f>
        <v>619152</v>
      </c>
      <c r="M32">
        <f>IF(L32 &gt; 2*($B32+$C32), L32, ROUNDDOWN(L32*$F32, 0))</f>
        <v>502070</v>
      </c>
      <c r="N32">
        <f>IF(M32 &gt; 2*($B32+$C32), M32, ROUNDDOWN(M32*$F32, 0))</f>
        <v>407128</v>
      </c>
      <c r="O32">
        <f>IF(N32 &gt; 2*($B32+$C32), N32, ROUNDDOWN(N32*$F32, 0))</f>
        <v>330140</v>
      </c>
      <c r="P32">
        <f>IF(O32 &gt; 2*($B32+$C32), O32, ROUNDDOWN(O32*$F32, 0))</f>
        <v>267710</v>
      </c>
      <c r="Q32">
        <f>IF(P32 &gt; 2*($B32+$C32), P32, ROUNDDOWN(P32*$F32, 0))</f>
        <v>217086</v>
      </c>
      <c r="R32">
        <f>IF(Q32 &gt; 2*($B32+$C32), Q32, ROUNDDOWN(Q32*$F32, 0))</f>
        <v>176035</v>
      </c>
      <c r="S32">
        <f t="shared" si="0"/>
        <v>0</v>
      </c>
    </row>
    <row r="33" spans="1:19" x14ac:dyDescent="0.25">
      <c r="A33" s="1" t="s">
        <v>22</v>
      </c>
      <c r="B33">
        <v>2166753</v>
      </c>
      <c r="C33">
        <v>2338698</v>
      </c>
      <c r="D33">
        <v>1681433</v>
      </c>
      <c r="E33">
        <v>1592443</v>
      </c>
      <c r="F33">
        <f>ROUNDDOWN((D33+E33)/(B33+C33), 4)</f>
        <v>0.72660000000000002</v>
      </c>
      <c r="G33">
        <f>D33+E33</f>
        <v>3273876</v>
      </c>
      <c r="H33">
        <f>IF(G33 &gt; 2*($B33+$C33), G33, ROUNDDOWN(G33*$F33, 0))</f>
        <v>2378798</v>
      </c>
      <c r="I33">
        <f>IF(H33 &gt; 2*($B33+$C33), H33, ROUNDDOWN(H33*$F33, 0))</f>
        <v>1728434</v>
      </c>
      <c r="J33">
        <f>IF(I33 &gt; 2*($B33+$C33), I33, ROUNDDOWN(I33*$F33, 0))</f>
        <v>1255880</v>
      </c>
      <c r="K33">
        <f>IF(J33 &gt; 2*($B33+$C33), J33, ROUNDDOWN(J33*$F33, 0))</f>
        <v>912522</v>
      </c>
      <c r="L33">
        <f>IF(K33 &gt; 2*($B33+$C33), K33, ROUNDDOWN(K33*$F33, 0))</f>
        <v>663038</v>
      </c>
      <c r="M33">
        <f>IF(L33 &gt; 2*($B33+$C33), L33, ROUNDDOWN(L33*$F33, 0))</f>
        <v>481763</v>
      </c>
      <c r="N33">
        <f>IF(M33 &gt; 2*($B33+$C33), M33, ROUNDDOWN(M33*$F33, 0))</f>
        <v>350048</v>
      </c>
      <c r="O33">
        <f>IF(N33 &gt; 2*($B33+$C33), N33, ROUNDDOWN(N33*$F33, 0))</f>
        <v>254344</v>
      </c>
      <c r="P33">
        <f>IF(O33 &gt; 2*($B33+$C33), O33, ROUNDDOWN(O33*$F33, 0))</f>
        <v>184806</v>
      </c>
      <c r="Q33">
        <f>IF(P33 &gt; 2*($B33+$C33), P33, ROUNDDOWN(P33*$F33, 0))</f>
        <v>134280</v>
      </c>
      <c r="R33">
        <f>IF(Q33 &gt; 2*($B33+$C33), Q33, ROUNDDOWN(Q33*$F33, 0))</f>
        <v>97567</v>
      </c>
      <c r="S33">
        <f t="shared" si="0"/>
        <v>0</v>
      </c>
    </row>
    <row r="34" spans="1:19" x14ac:dyDescent="0.25">
      <c r="A34" s="1" t="s">
        <v>49</v>
      </c>
      <c r="B34">
        <v>2494207</v>
      </c>
      <c r="C34">
        <v>2625207</v>
      </c>
      <c r="D34">
        <v>1796293</v>
      </c>
      <c r="E34">
        <v>1853602</v>
      </c>
      <c r="F34">
        <f>ROUNDDOWN((D34+E34)/(B34+C34), 4)</f>
        <v>0.71289999999999998</v>
      </c>
      <c r="G34">
        <f>D34+E34</f>
        <v>3649895</v>
      </c>
      <c r="H34">
        <f>IF(G34 &gt; 2*($B34+$C34), G34, ROUNDDOWN(G34*$F34, 0))</f>
        <v>2602010</v>
      </c>
      <c r="I34">
        <f>IF(H34 &gt; 2*($B34+$C34), H34, ROUNDDOWN(H34*$F34, 0))</f>
        <v>1854972</v>
      </c>
      <c r="J34">
        <f>IF(I34 &gt; 2*($B34+$C34), I34, ROUNDDOWN(I34*$F34, 0))</f>
        <v>1322409</v>
      </c>
      <c r="K34">
        <f>IF(J34 &gt; 2*($B34+$C34), J34, ROUNDDOWN(J34*$F34, 0))</f>
        <v>942745</v>
      </c>
      <c r="L34">
        <f>IF(K34 &gt; 2*($B34+$C34), K34, ROUNDDOWN(K34*$F34, 0))</f>
        <v>672082</v>
      </c>
      <c r="M34">
        <f>IF(L34 &gt; 2*($B34+$C34), L34, ROUNDDOWN(L34*$F34, 0))</f>
        <v>479127</v>
      </c>
      <c r="N34">
        <f>IF(M34 &gt; 2*($B34+$C34), M34, ROUNDDOWN(M34*$F34, 0))</f>
        <v>341569</v>
      </c>
      <c r="O34">
        <f>IF(N34 &gt; 2*($B34+$C34), N34, ROUNDDOWN(N34*$F34, 0))</f>
        <v>243504</v>
      </c>
      <c r="P34">
        <f>IF(O34 &gt; 2*($B34+$C34), O34, ROUNDDOWN(O34*$F34, 0))</f>
        <v>173594</v>
      </c>
      <c r="Q34">
        <f>IF(P34 &gt; 2*($B34+$C34), P34, ROUNDDOWN(P34*$F34, 0))</f>
        <v>123755</v>
      </c>
      <c r="R34">
        <f>IF(Q34 &gt; 2*($B34+$C34), Q34, ROUNDDOWN(Q34*$F34, 0))</f>
        <v>88224</v>
      </c>
      <c r="S34">
        <f t="shared" ref="S34:S65" si="1">IF(R34&gt;2*(B34+C34),1,0)</f>
        <v>0</v>
      </c>
    </row>
    <row r="35" spans="1:19" x14ac:dyDescent="0.25">
      <c r="A35" s="1" t="s">
        <v>9</v>
      </c>
      <c r="B35">
        <v>1157622</v>
      </c>
      <c r="C35">
        <v>1182345</v>
      </c>
      <c r="D35">
        <v>830785</v>
      </c>
      <c r="E35">
        <v>833779</v>
      </c>
      <c r="F35">
        <f>ROUNDDOWN((D35+E35)/(B35+C35), 4)</f>
        <v>0.71130000000000004</v>
      </c>
      <c r="G35">
        <f>D35+E35</f>
        <v>1664564</v>
      </c>
      <c r="H35">
        <f>IF(G35 &gt; 2*($B35+$C35), G35, ROUNDDOWN(G35*$F35, 0))</f>
        <v>1184004</v>
      </c>
      <c r="I35">
        <f>IF(H35 &gt; 2*($B35+$C35), H35, ROUNDDOWN(H35*$F35, 0))</f>
        <v>842182</v>
      </c>
      <c r="J35">
        <f>IF(I35 &gt; 2*($B35+$C35), I35, ROUNDDOWN(I35*$F35, 0))</f>
        <v>599044</v>
      </c>
      <c r="K35">
        <f>IF(J35 &gt; 2*($B35+$C35), J35, ROUNDDOWN(J35*$F35, 0))</f>
        <v>426099</v>
      </c>
      <c r="L35">
        <f>IF(K35 &gt; 2*($B35+$C35), K35, ROUNDDOWN(K35*$F35, 0))</f>
        <v>303084</v>
      </c>
      <c r="M35">
        <f>IF(L35 &gt; 2*($B35+$C35), L35, ROUNDDOWN(L35*$F35, 0))</f>
        <v>215583</v>
      </c>
      <c r="N35">
        <f>IF(M35 &gt; 2*($B35+$C35), M35, ROUNDDOWN(M35*$F35, 0))</f>
        <v>153344</v>
      </c>
      <c r="O35">
        <f>IF(N35 &gt; 2*($B35+$C35), N35, ROUNDDOWN(N35*$F35, 0))</f>
        <v>109073</v>
      </c>
      <c r="P35">
        <f>IF(O35 &gt; 2*($B35+$C35), O35, ROUNDDOWN(O35*$F35, 0))</f>
        <v>77583</v>
      </c>
      <c r="Q35">
        <f>IF(P35 &gt; 2*($B35+$C35), P35, ROUNDDOWN(P35*$F35, 0))</f>
        <v>55184</v>
      </c>
      <c r="R35">
        <f>IF(Q35 &gt; 2*($B35+$C35), Q35, ROUNDDOWN(Q35*$F35, 0))</f>
        <v>39252</v>
      </c>
      <c r="S35">
        <f t="shared" si="1"/>
        <v>0</v>
      </c>
    </row>
    <row r="36" spans="1:19" x14ac:dyDescent="0.25">
      <c r="A36" s="1" t="s">
        <v>3</v>
      </c>
      <c r="B36">
        <v>949065</v>
      </c>
      <c r="C36">
        <v>1026050</v>
      </c>
      <c r="D36">
        <v>688027</v>
      </c>
      <c r="E36">
        <v>723233</v>
      </c>
      <c r="F36">
        <f>ROUNDDOWN((D36+E36)/(B36+C36), 4)</f>
        <v>0.71450000000000002</v>
      </c>
      <c r="G36">
        <f>D36+E36</f>
        <v>1411260</v>
      </c>
      <c r="H36">
        <f>IF(G36 &gt; 2*($B36+$C36), G36, ROUNDDOWN(G36*$F36, 0))</f>
        <v>1008345</v>
      </c>
      <c r="I36">
        <f>IF(H36 &gt; 2*($B36+$C36), H36, ROUNDDOWN(H36*$F36, 0))</f>
        <v>720462</v>
      </c>
      <c r="J36">
        <f>IF(I36 &gt; 2*($B36+$C36), I36, ROUNDDOWN(I36*$F36, 0))</f>
        <v>514770</v>
      </c>
      <c r="K36">
        <f>IF(J36 &gt; 2*($B36+$C36), J36, ROUNDDOWN(J36*$F36, 0))</f>
        <v>367803</v>
      </c>
      <c r="L36">
        <f>IF(K36 &gt; 2*($B36+$C36), K36, ROUNDDOWN(K36*$F36, 0))</f>
        <v>262795</v>
      </c>
      <c r="M36">
        <f>IF(L36 &gt; 2*($B36+$C36), L36, ROUNDDOWN(L36*$F36, 0))</f>
        <v>187767</v>
      </c>
      <c r="N36">
        <f>IF(M36 &gt; 2*($B36+$C36), M36, ROUNDDOWN(M36*$F36, 0))</f>
        <v>134159</v>
      </c>
      <c r="O36">
        <f>IF(N36 &gt; 2*($B36+$C36), N36, ROUNDDOWN(N36*$F36, 0))</f>
        <v>95856</v>
      </c>
      <c r="P36">
        <f>IF(O36 &gt; 2*($B36+$C36), O36, ROUNDDOWN(O36*$F36, 0))</f>
        <v>68489</v>
      </c>
      <c r="Q36">
        <f>IF(P36 &gt; 2*($B36+$C36), P36, ROUNDDOWN(P36*$F36, 0))</f>
        <v>48935</v>
      </c>
      <c r="R36">
        <f>IF(Q36 &gt; 2*($B36+$C36), Q36, ROUNDDOWN(Q36*$F36, 0))</f>
        <v>34964</v>
      </c>
      <c r="S36">
        <f t="shared" si="1"/>
        <v>0</v>
      </c>
    </row>
    <row r="37" spans="1:19" x14ac:dyDescent="0.25">
      <c r="A37" s="1" t="s">
        <v>8</v>
      </c>
      <c r="B37">
        <v>1660998</v>
      </c>
      <c r="C37">
        <v>1630345</v>
      </c>
      <c r="D37">
        <v>1130119</v>
      </c>
      <c r="E37">
        <v>1080238</v>
      </c>
      <c r="F37">
        <f>ROUNDDOWN((D37+E37)/(B37+C37), 4)</f>
        <v>0.67149999999999999</v>
      </c>
      <c r="G37">
        <f>D37+E37</f>
        <v>2210357</v>
      </c>
      <c r="H37">
        <f>IF(G37 &gt; 2*($B37+$C37), G37, ROUNDDOWN(G37*$F37, 0))</f>
        <v>1484254</v>
      </c>
      <c r="I37">
        <f>IF(H37 &gt; 2*($B37+$C37), H37, ROUNDDOWN(H37*$F37, 0))</f>
        <v>996676</v>
      </c>
      <c r="J37">
        <f>IF(I37 &gt; 2*($B37+$C37), I37, ROUNDDOWN(I37*$F37, 0))</f>
        <v>669267</v>
      </c>
      <c r="K37">
        <f>IF(J37 &gt; 2*($B37+$C37), J37, ROUNDDOWN(J37*$F37, 0))</f>
        <v>449412</v>
      </c>
      <c r="L37">
        <f>IF(K37 &gt; 2*($B37+$C37), K37, ROUNDDOWN(K37*$F37, 0))</f>
        <v>301780</v>
      </c>
      <c r="M37">
        <f>IF(L37 &gt; 2*($B37+$C37), L37, ROUNDDOWN(L37*$F37, 0))</f>
        <v>202645</v>
      </c>
      <c r="N37">
        <f>IF(M37 &gt; 2*($B37+$C37), M37, ROUNDDOWN(M37*$F37, 0))</f>
        <v>136076</v>
      </c>
      <c r="O37">
        <f>IF(N37 &gt; 2*($B37+$C37), N37, ROUNDDOWN(N37*$F37, 0))</f>
        <v>91375</v>
      </c>
      <c r="P37">
        <f>IF(O37 &gt; 2*($B37+$C37), O37, ROUNDDOWN(O37*$F37, 0))</f>
        <v>61358</v>
      </c>
      <c r="Q37">
        <f>IF(P37 &gt; 2*($B37+$C37), P37, ROUNDDOWN(P37*$F37, 0))</f>
        <v>41201</v>
      </c>
      <c r="R37">
        <f>IF(Q37 &gt; 2*($B37+$C37), Q37, ROUNDDOWN(Q37*$F37, 0))</f>
        <v>27666</v>
      </c>
      <c r="S37">
        <f t="shared" si="1"/>
        <v>0</v>
      </c>
    </row>
    <row r="38" spans="1:19" x14ac:dyDescent="0.25">
      <c r="A38" s="1" t="s">
        <v>16</v>
      </c>
      <c r="B38">
        <v>2567464</v>
      </c>
      <c r="C38">
        <v>2441857</v>
      </c>
      <c r="D38">
        <v>1524132</v>
      </c>
      <c r="E38">
        <v>1496810</v>
      </c>
      <c r="F38">
        <f>ROUNDDOWN((D38+E38)/(B38+C38), 4)</f>
        <v>0.60299999999999998</v>
      </c>
      <c r="G38">
        <f>D38+E38</f>
        <v>3020942</v>
      </c>
      <c r="H38">
        <f>IF(G38 &gt; 2*($B38+$C38), G38, ROUNDDOWN(G38*$F38, 0))</f>
        <v>1821628</v>
      </c>
      <c r="I38">
        <f>IF(H38 &gt; 2*($B38+$C38), H38, ROUNDDOWN(H38*$F38, 0))</f>
        <v>1098441</v>
      </c>
      <c r="J38">
        <f>IF(I38 &gt; 2*($B38+$C38), I38, ROUNDDOWN(I38*$F38, 0))</f>
        <v>662359</v>
      </c>
      <c r="K38">
        <f>IF(J38 &gt; 2*($B38+$C38), J38, ROUNDDOWN(J38*$F38, 0))</f>
        <v>399402</v>
      </c>
      <c r="L38">
        <f>IF(K38 &gt; 2*($B38+$C38), K38, ROUNDDOWN(K38*$F38, 0))</f>
        <v>240839</v>
      </c>
      <c r="M38">
        <f>IF(L38 &gt; 2*($B38+$C38), L38, ROUNDDOWN(L38*$F38, 0))</f>
        <v>145225</v>
      </c>
      <c r="N38">
        <f>IF(M38 &gt; 2*($B38+$C38), M38, ROUNDDOWN(M38*$F38, 0))</f>
        <v>87570</v>
      </c>
      <c r="O38">
        <f>IF(N38 &gt; 2*($B38+$C38), N38, ROUNDDOWN(N38*$F38, 0))</f>
        <v>52804</v>
      </c>
      <c r="P38">
        <f>IF(O38 &gt; 2*($B38+$C38), O38, ROUNDDOWN(O38*$F38, 0))</f>
        <v>31840</v>
      </c>
      <c r="Q38">
        <f>IF(P38 &gt; 2*($B38+$C38), P38, ROUNDDOWN(P38*$F38, 0))</f>
        <v>19199</v>
      </c>
      <c r="R38">
        <f>IF(Q38 &gt; 2*($B38+$C38), Q38, ROUNDDOWN(Q38*$F38, 0))</f>
        <v>11576</v>
      </c>
      <c r="S38">
        <f t="shared" si="1"/>
        <v>0</v>
      </c>
    </row>
    <row r="39" spans="1:19" x14ac:dyDescent="0.25">
      <c r="A39" s="1" t="s">
        <v>18</v>
      </c>
      <c r="B39">
        <v>2976209</v>
      </c>
      <c r="C39">
        <v>3199665</v>
      </c>
      <c r="D39">
        <v>1666477</v>
      </c>
      <c r="E39">
        <v>1759240</v>
      </c>
      <c r="F39">
        <f>ROUNDDOWN((D39+E39)/(B39+C39), 4)</f>
        <v>0.55459999999999998</v>
      </c>
      <c r="G39">
        <f>D39+E39</f>
        <v>3425717</v>
      </c>
      <c r="H39">
        <f>IF(G39 &gt; 2*($B39+$C39), G39, ROUNDDOWN(G39*$F39, 0))</f>
        <v>1899902</v>
      </c>
      <c r="I39">
        <f>IF(H39 &gt; 2*($B39+$C39), H39, ROUNDDOWN(H39*$F39, 0))</f>
        <v>1053685</v>
      </c>
      <c r="J39">
        <f>IF(I39 &gt; 2*($B39+$C39), I39, ROUNDDOWN(I39*$F39, 0))</f>
        <v>584373</v>
      </c>
      <c r="K39">
        <f>IF(J39 &gt; 2*($B39+$C39), J39, ROUNDDOWN(J39*$F39, 0))</f>
        <v>324093</v>
      </c>
      <c r="L39">
        <f>IF(K39 &gt; 2*($B39+$C39), K39, ROUNDDOWN(K39*$F39, 0))</f>
        <v>179741</v>
      </c>
      <c r="M39">
        <f>IF(L39 &gt; 2*($B39+$C39), L39, ROUNDDOWN(L39*$F39, 0))</f>
        <v>99684</v>
      </c>
      <c r="N39">
        <f>IF(M39 &gt; 2*($B39+$C39), M39, ROUNDDOWN(M39*$F39, 0))</f>
        <v>55284</v>
      </c>
      <c r="O39">
        <f>IF(N39 &gt; 2*($B39+$C39), N39, ROUNDDOWN(N39*$F39, 0))</f>
        <v>30660</v>
      </c>
      <c r="P39">
        <f>IF(O39 &gt; 2*($B39+$C39), O39, ROUNDDOWN(O39*$F39, 0))</f>
        <v>17004</v>
      </c>
      <c r="Q39">
        <f>IF(P39 &gt; 2*($B39+$C39), P39, ROUNDDOWN(P39*$F39, 0))</f>
        <v>9430</v>
      </c>
      <c r="R39">
        <f>IF(Q39 &gt; 2*($B39+$C39), Q39, ROUNDDOWN(Q39*$F39, 0))</f>
        <v>5229</v>
      </c>
      <c r="S39">
        <f t="shared" si="1"/>
        <v>0</v>
      </c>
    </row>
    <row r="40" spans="1:19" x14ac:dyDescent="0.25">
      <c r="A40" s="1" t="s">
        <v>26</v>
      </c>
      <c r="B40">
        <v>2351213</v>
      </c>
      <c r="C40">
        <v>2358482</v>
      </c>
      <c r="D40">
        <v>1098384</v>
      </c>
      <c r="E40">
        <v>1121488</v>
      </c>
      <c r="F40">
        <f>ROUNDDOWN((D40+E40)/(B40+C40), 4)</f>
        <v>0.4713</v>
      </c>
      <c r="G40">
        <f>D40+E40</f>
        <v>2219872</v>
      </c>
      <c r="H40">
        <f>IF(G40 &gt; 2*($B40+$C40), G40, ROUNDDOWN(G40*$F40, 0))</f>
        <v>1046225</v>
      </c>
      <c r="I40">
        <f>IF(H40 &gt; 2*($B40+$C40), H40, ROUNDDOWN(H40*$F40, 0))</f>
        <v>493085</v>
      </c>
      <c r="J40">
        <f>IF(I40 &gt; 2*($B40+$C40), I40, ROUNDDOWN(I40*$F40, 0))</f>
        <v>232390</v>
      </c>
      <c r="K40">
        <f>IF(J40 &gt; 2*($B40+$C40), J40, ROUNDDOWN(J40*$F40, 0))</f>
        <v>109525</v>
      </c>
      <c r="L40">
        <f>IF(K40 &gt; 2*($B40+$C40), K40, ROUNDDOWN(K40*$F40, 0))</f>
        <v>51619</v>
      </c>
      <c r="M40">
        <f>IF(L40 &gt; 2*($B40+$C40), L40, ROUNDDOWN(L40*$F40, 0))</f>
        <v>24328</v>
      </c>
      <c r="N40">
        <f>IF(M40 &gt; 2*($B40+$C40), M40, ROUNDDOWN(M40*$F40, 0))</f>
        <v>11465</v>
      </c>
      <c r="O40">
        <f>IF(N40 &gt; 2*($B40+$C40), N40, ROUNDDOWN(N40*$F40, 0))</f>
        <v>5403</v>
      </c>
      <c r="P40">
        <f>IF(O40 &gt; 2*($B40+$C40), O40, ROUNDDOWN(O40*$F40, 0))</f>
        <v>2546</v>
      </c>
      <c r="Q40">
        <f>IF(P40 &gt; 2*($B40+$C40), P40, ROUNDDOWN(P40*$F40, 0))</f>
        <v>1199</v>
      </c>
      <c r="R40">
        <f>IF(Q40 &gt; 2*($B40+$C40), Q40, ROUNDDOWN(Q40*$F40, 0))</f>
        <v>565</v>
      </c>
      <c r="S40">
        <f t="shared" si="1"/>
        <v>0</v>
      </c>
    </row>
    <row r="41" spans="1:19" x14ac:dyDescent="0.25">
      <c r="A41" s="1" t="s">
        <v>17</v>
      </c>
      <c r="B41">
        <v>1334060</v>
      </c>
      <c r="C41">
        <v>1395231</v>
      </c>
      <c r="D41">
        <v>578655</v>
      </c>
      <c r="E41">
        <v>677663</v>
      </c>
      <c r="F41">
        <f>ROUNDDOWN((D41+E41)/(B41+C41), 4)</f>
        <v>0.46029999999999999</v>
      </c>
      <c r="G41">
        <f>D41+E41</f>
        <v>1256318</v>
      </c>
      <c r="H41">
        <f>IF(G41 &gt; 2*($B41+$C41), G41, ROUNDDOWN(G41*$F41, 0))</f>
        <v>578283</v>
      </c>
      <c r="I41">
        <f>IF(H41 &gt; 2*($B41+$C41), H41, ROUNDDOWN(H41*$F41, 0))</f>
        <v>266183</v>
      </c>
      <c r="J41">
        <f>IF(I41 &gt; 2*($B41+$C41), I41, ROUNDDOWN(I41*$F41, 0))</f>
        <v>122524</v>
      </c>
      <c r="K41">
        <f>IF(J41 &gt; 2*($B41+$C41), J41, ROUNDDOWN(J41*$F41, 0))</f>
        <v>56397</v>
      </c>
      <c r="L41">
        <f>IF(K41 &gt; 2*($B41+$C41), K41, ROUNDDOWN(K41*$F41, 0))</f>
        <v>25959</v>
      </c>
      <c r="M41">
        <f>IF(L41 &gt; 2*($B41+$C41), L41, ROUNDDOWN(L41*$F41, 0))</f>
        <v>11948</v>
      </c>
      <c r="N41">
        <f>IF(M41 &gt; 2*($B41+$C41), M41, ROUNDDOWN(M41*$F41, 0))</f>
        <v>5499</v>
      </c>
      <c r="O41">
        <f>IF(N41 &gt; 2*($B41+$C41), N41, ROUNDDOWN(N41*$F41, 0))</f>
        <v>2531</v>
      </c>
      <c r="P41">
        <f>IF(O41 &gt; 2*($B41+$C41), O41, ROUNDDOWN(O41*$F41, 0))</f>
        <v>1165</v>
      </c>
      <c r="Q41">
        <f>IF(P41 &gt; 2*($B41+$C41), P41, ROUNDDOWN(P41*$F41, 0))</f>
        <v>536</v>
      </c>
      <c r="R41">
        <f>IF(Q41 &gt; 2*($B41+$C41), Q41, ROUNDDOWN(Q41*$F41, 0))</f>
        <v>246</v>
      </c>
      <c r="S41">
        <f t="shared" si="1"/>
        <v>0</v>
      </c>
    </row>
    <row r="42" spans="1:19" x14ac:dyDescent="0.25">
      <c r="A42" s="1" t="s">
        <v>34</v>
      </c>
      <c r="B42">
        <v>2574432</v>
      </c>
      <c r="C42">
        <v>2409710</v>
      </c>
      <c r="D42">
        <v>987486</v>
      </c>
      <c r="E42">
        <v>999043</v>
      </c>
      <c r="F42">
        <f>ROUNDDOWN((D42+E42)/(B42+C42), 4)</f>
        <v>0.39850000000000002</v>
      </c>
      <c r="G42">
        <f>D42+E42</f>
        <v>1986529</v>
      </c>
      <c r="H42">
        <f>IF(G42 &gt; 2*($B42+$C42), G42, ROUNDDOWN(G42*$F42, 0))</f>
        <v>791631</v>
      </c>
      <c r="I42">
        <f>IF(H42 &gt; 2*($B42+$C42), H42, ROUNDDOWN(H42*$F42, 0))</f>
        <v>315464</v>
      </c>
      <c r="J42">
        <f>IF(I42 &gt; 2*($B42+$C42), I42, ROUNDDOWN(I42*$F42, 0))</f>
        <v>125712</v>
      </c>
      <c r="K42">
        <f>IF(J42 &gt; 2*($B42+$C42), J42, ROUNDDOWN(J42*$F42, 0))</f>
        <v>50096</v>
      </c>
      <c r="L42">
        <f>IF(K42 &gt; 2*($B42+$C42), K42, ROUNDDOWN(K42*$F42, 0))</f>
        <v>19963</v>
      </c>
      <c r="M42">
        <f>IF(L42 &gt; 2*($B42+$C42), L42, ROUNDDOWN(L42*$F42, 0))</f>
        <v>7955</v>
      </c>
      <c r="N42">
        <f>IF(M42 &gt; 2*($B42+$C42), M42, ROUNDDOWN(M42*$F42, 0))</f>
        <v>3170</v>
      </c>
      <c r="O42">
        <f>IF(N42 &gt; 2*($B42+$C42), N42, ROUNDDOWN(N42*$F42, 0))</f>
        <v>1263</v>
      </c>
      <c r="P42">
        <f>IF(O42 &gt; 2*($B42+$C42), O42, ROUNDDOWN(O42*$F42, 0))</f>
        <v>503</v>
      </c>
      <c r="Q42">
        <f>IF(P42 &gt; 2*($B42+$C42), P42, ROUNDDOWN(P42*$F42, 0))</f>
        <v>200</v>
      </c>
      <c r="R42">
        <f>IF(Q42 &gt; 2*($B42+$C42), Q42, ROUNDDOWN(Q42*$F42, 0))</f>
        <v>79</v>
      </c>
      <c r="S42">
        <f t="shared" si="1"/>
        <v>0</v>
      </c>
    </row>
    <row r="43" spans="1:19" x14ac:dyDescent="0.25">
      <c r="A43" s="1" t="s">
        <v>20</v>
      </c>
      <c r="B43">
        <v>2486640</v>
      </c>
      <c r="C43">
        <v>2265936</v>
      </c>
      <c r="D43">
        <v>297424</v>
      </c>
      <c r="E43">
        <v>274759</v>
      </c>
      <c r="F43">
        <f>ROUNDDOWN((D43+E43)/(B43+C43), 4)</f>
        <v>0.1203</v>
      </c>
      <c r="G43">
        <f>D43+E43</f>
        <v>572183</v>
      </c>
      <c r="H43">
        <f>IF(G43 &gt; 2*($B43+$C43), G43, ROUNDDOWN(G43*$F43, 0))</f>
        <v>68833</v>
      </c>
      <c r="I43">
        <f>IF(H43 &gt; 2*($B43+$C43), H43, ROUNDDOWN(H43*$F43, 0))</f>
        <v>8280</v>
      </c>
      <c r="J43">
        <f>IF(I43 &gt; 2*($B43+$C43), I43, ROUNDDOWN(I43*$F43, 0))</f>
        <v>996</v>
      </c>
      <c r="K43">
        <f>IF(J43 &gt; 2*($B43+$C43), J43, ROUNDDOWN(J43*$F43, 0))</f>
        <v>119</v>
      </c>
      <c r="L43">
        <f>IF(K43 &gt; 2*($B43+$C43), K43, ROUNDDOWN(K43*$F43, 0))</f>
        <v>14</v>
      </c>
      <c r="M43">
        <f>IF(L43 &gt; 2*($B43+$C43), L43, ROUNDDOWN(L43*$F43, 0))</f>
        <v>1</v>
      </c>
      <c r="N43">
        <f>IF(M43 &gt; 2*($B43+$C43), M43, ROUNDDOWN(M43*$F43, 0))</f>
        <v>0</v>
      </c>
      <c r="O43">
        <f>IF(N43 &gt; 2*($B43+$C43), N43, ROUNDDOWN(N43*$F43, 0))</f>
        <v>0</v>
      </c>
      <c r="P43">
        <f>IF(O43 &gt; 2*($B43+$C43), O43, ROUNDDOWN(O43*$F43, 0))</f>
        <v>0</v>
      </c>
      <c r="Q43">
        <f>IF(P43 &gt; 2*($B43+$C43), P43, ROUNDDOWN(P43*$F43, 0))</f>
        <v>0</v>
      </c>
      <c r="R43">
        <f>IF(Q43 &gt; 2*($B43+$C43), Q43, ROUNDDOWN(Q43*$F43, 0))</f>
        <v>0</v>
      </c>
      <c r="S43">
        <f t="shared" si="1"/>
        <v>0</v>
      </c>
    </row>
    <row r="44" spans="1:19" x14ac:dyDescent="0.25">
      <c r="A44" s="1" t="s">
        <v>27</v>
      </c>
      <c r="B44">
        <v>2613354</v>
      </c>
      <c r="C44">
        <v>2837241</v>
      </c>
      <c r="D44">
        <v>431144</v>
      </c>
      <c r="E44">
        <v>434113</v>
      </c>
      <c r="F44">
        <f>ROUNDDOWN((D44+E44)/(B44+C44), 4)</f>
        <v>0.15870000000000001</v>
      </c>
      <c r="G44">
        <f>D44+E44</f>
        <v>865257</v>
      </c>
      <c r="H44">
        <f>IF(G44 &gt; 2*($B44+$C44), G44, ROUNDDOWN(G44*$F44, 0))</f>
        <v>137316</v>
      </c>
      <c r="I44">
        <f>IF(H44 &gt; 2*($B44+$C44), H44, ROUNDDOWN(H44*$F44, 0))</f>
        <v>21792</v>
      </c>
      <c r="J44">
        <f>IF(I44 &gt; 2*($B44+$C44), I44, ROUNDDOWN(I44*$F44, 0))</f>
        <v>3458</v>
      </c>
      <c r="K44">
        <f>IF(J44 &gt; 2*($B44+$C44), J44, ROUNDDOWN(J44*$F44, 0))</f>
        <v>548</v>
      </c>
      <c r="L44">
        <f>IF(K44 &gt; 2*($B44+$C44), K44, ROUNDDOWN(K44*$F44, 0))</f>
        <v>86</v>
      </c>
      <c r="M44">
        <f>IF(L44 &gt; 2*($B44+$C44), L44, ROUNDDOWN(L44*$F44, 0))</f>
        <v>13</v>
      </c>
      <c r="N44">
        <f>IF(M44 &gt; 2*($B44+$C44), M44, ROUNDDOWN(M44*$F44, 0))</f>
        <v>2</v>
      </c>
      <c r="O44">
        <f>IF(N44 &gt; 2*($B44+$C44), N44, ROUNDDOWN(N44*$F44, 0))</f>
        <v>0</v>
      </c>
      <c r="P44">
        <f>IF(O44 &gt; 2*($B44+$C44), O44, ROUNDDOWN(O44*$F44, 0))</f>
        <v>0</v>
      </c>
      <c r="Q44">
        <f>IF(P44 &gt; 2*($B44+$C44), P44, ROUNDDOWN(P44*$F44, 0))</f>
        <v>0</v>
      </c>
      <c r="R44">
        <f>IF(Q44 &gt; 2*($B44+$C44), Q44, ROUNDDOWN(Q44*$F44, 0))</f>
        <v>0</v>
      </c>
      <c r="S44">
        <f t="shared" si="1"/>
        <v>0</v>
      </c>
    </row>
    <row r="45" spans="1:19" x14ac:dyDescent="0.25">
      <c r="A45" s="1" t="s">
        <v>29</v>
      </c>
      <c r="B45">
        <v>2478386</v>
      </c>
      <c r="C45">
        <v>2562144</v>
      </c>
      <c r="D45">
        <v>30035</v>
      </c>
      <c r="E45">
        <v>29396</v>
      </c>
      <c r="F45">
        <f>ROUNDDOWN((D45+E45)/(B45+C45), 4)</f>
        <v>1.17E-2</v>
      </c>
      <c r="G45">
        <f>D45+E45</f>
        <v>59431</v>
      </c>
      <c r="H45">
        <f>IF(G45 &gt; 2*($B45+$C45), G45, ROUNDDOWN(G45*$F45, 0))</f>
        <v>695</v>
      </c>
      <c r="I45">
        <f>IF(H45 &gt; 2*($B45+$C45), H45, ROUNDDOWN(H45*$F45, 0))</f>
        <v>8</v>
      </c>
      <c r="J45">
        <f>IF(I45 &gt; 2*($B45+$C45), I45, ROUNDDOWN(I45*$F45, 0))</f>
        <v>0</v>
      </c>
      <c r="K45">
        <f>IF(J45 &gt; 2*($B45+$C45), J45, ROUNDDOWN(J45*$F45, 0))</f>
        <v>0</v>
      </c>
      <c r="L45">
        <f>IF(K45 &gt; 2*($B45+$C45), K45, ROUNDDOWN(K45*$F45, 0))</f>
        <v>0</v>
      </c>
      <c r="M45">
        <f>IF(L45 &gt; 2*($B45+$C45), L45, ROUNDDOWN(L45*$F45, 0))</f>
        <v>0</v>
      </c>
      <c r="N45">
        <f>IF(M45 &gt; 2*($B45+$C45), M45, ROUNDDOWN(M45*$F45, 0))</f>
        <v>0</v>
      </c>
      <c r="O45">
        <f>IF(N45 &gt; 2*($B45+$C45), N45, ROUNDDOWN(N45*$F45, 0))</f>
        <v>0</v>
      </c>
      <c r="P45">
        <f>IF(O45 &gt; 2*($B45+$C45), O45, ROUNDDOWN(O45*$F45, 0))</f>
        <v>0</v>
      </c>
      <c r="Q45">
        <f>IF(P45 &gt; 2*($B45+$C45), P45, ROUNDDOWN(P45*$F45, 0))</f>
        <v>0</v>
      </c>
      <c r="R45">
        <f>IF(Q45 &gt; 2*($B45+$C45), Q45, ROUNDDOWN(Q45*$F45, 0))</f>
        <v>0</v>
      </c>
      <c r="S45">
        <f t="shared" si="1"/>
        <v>0</v>
      </c>
    </row>
    <row r="46" spans="1:19" x14ac:dyDescent="0.25">
      <c r="A46" s="1" t="s">
        <v>32</v>
      </c>
      <c r="B46">
        <v>2966291</v>
      </c>
      <c r="C46">
        <v>2889963</v>
      </c>
      <c r="D46">
        <v>462453</v>
      </c>
      <c r="E46">
        <v>486354</v>
      </c>
      <c r="F46">
        <f>ROUNDDOWN((D46+E46)/(B46+C46), 4)</f>
        <v>0.16200000000000001</v>
      </c>
      <c r="G46">
        <f>D46+E46</f>
        <v>948807</v>
      </c>
      <c r="H46">
        <f>IF(G46 &gt; 2*($B46+$C46), G46, ROUNDDOWN(G46*$F46, 0))</f>
        <v>153706</v>
      </c>
      <c r="I46">
        <f>IF(H46 &gt; 2*($B46+$C46), H46, ROUNDDOWN(H46*$F46, 0))</f>
        <v>24900</v>
      </c>
      <c r="J46">
        <f>IF(I46 &gt; 2*($B46+$C46), I46, ROUNDDOWN(I46*$F46, 0))</f>
        <v>4033</v>
      </c>
      <c r="K46">
        <f>IF(J46 &gt; 2*($B46+$C46), J46, ROUNDDOWN(J46*$F46, 0))</f>
        <v>653</v>
      </c>
      <c r="L46">
        <f>IF(K46 &gt; 2*($B46+$C46), K46, ROUNDDOWN(K46*$F46, 0))</f>
        <v>105</v>
      </c>
      <c r="M46">
        <f>IF(L46 &gt; 2*($B46+$C46), L46, ROUNDDOWN(L46*$F46, 0))</f>
        <v>17</v>
      </c>
      <c r="N46">
        <f>IF(M46 &gt; 2*($B46+$C46), M46, ROUNDDOWN(M46*$F46, 0))</f>
        <v>2</v>
      </c>
      <c r="O46">
        <f>IF(N46 &gt; 2*($B46+$C46), N46, ROUNDDOWN(N46*$F46, 0))</f>
        <v>0</v>
      </c>
      <c r="P46">
        <f>IF(O46 &gt; 2*($B46+$C46), O46, ROUNDDOWN(O46*$F46, 0))</f>
        <v>0</v>
      </c>
      <c r="Q46">
        <f>IF(P46 &gt; 2*($B46+$C46), P46, ROUNDDOWN(P46*$F46, 0))</f>
        <v>0</v>
      </c>
      <c r="R46">
        <f>IF(Q46 &gt; 2*($B46+$C46), Q46, ROUNDDOWN(Q46*$F46, 0))</f>
        <v>0</v>
      </c>
      <c r="S46">
        <f t="shared" si="1"/>
        <v>0</v>
      </c>
    </row>
    <row r="47" spans="1:19" x14ac:dyDescent="0.25">
      <c r="A47" s="1" t="s">
        <v>35</v>
      </c>
      <c r="B47">
        <v>1778590</v>
      </c>
      <c r="C47">
        <v>1874844</v>
      </c>
      <c r="D47">
        <v>111191</v>
      </c>
      <c r="E47">
        <v>117846</v>
      </c>
      <c r="F47">
        <f>ROUNDDOWN((D47+E47)/(B47+C47), 4)</f>
        <v>6.2600000000000003E-2</v>
      </c>
      <c r="G47">
        <f>D47+E47</f>
        <v>229037</v>
      </c>
      <c r="H47">
        <f>IF(G47 &gt; 2*($B47+$C47), G47, ROUNDDOWN(G47*$F47, 0))</f>
        <v>14337</v>
      </c>
      <c r="I47">
        <f>IF(H47 &gt; 2*($B47+$C47), H47, ROUNDDOWN(H47*$F47, 0))</f>
        <v>897</v>
      </c>
      <c r="J47">
        <f>IF(I47 &gt; 2*($B47+$C47), I47, ROUNDDOWN(I47*$F47, 0))</f>
        <v>56</v>
      </c>
      <c r="K47">
        <f>IF(J47 &gt; 2*($B47+$C47), J47, ROUNDDOWN(J47*$F47, 0))</f>
        <v>3</v>
      </c>
      <c r="L47">
        <f>IF(K47 &gt; 2*($B47+$C47), K47, ROUNDDOWN(K47*$F47, 0))</f>
        <v>0</v>
      </c>
      <c r="M47">
        <f>IF(L47 &gt; 2*($B47+$C47), L47, ROUNDDOWN(L47*$F47, 0))</f>
        <v>0</v>
      </c>
      <c r="N47">
        <f>IF(M47 &gt; 2*($B47+$C47), M47, ROUNDDOWN(M47*$F47, 0))</f>
        <v>0</v>
      </c>
      <c r="O47">
        <f>IF(N47 &gt; 2*($B47+$C47), N47, ROUNDDOWN(N47*$F47, 0))</f>
        <v>0</v>
      </c>
      <c r="P47">
        <f>IF(O47 &gt; 2*($B47+$C47), O47, ROUNDDOWN(O47*$F47, 0))</f>
        <v>0</v>
      </c>
      <c r="Q47">
        <f>IF(P47 &gt; 2*($B47+$C47), P47, ROUNDDOWN(P47*$F47, 0))</f>
        <v>0</v>
      </c>
      <c r="R47">
        <f>IF(Q47 &gt; 2*($B47+$C47), Q47, ROUNDDOWN(Q47*$F47, 0))</f>
        <v>0</v>
      </c>
      <c r="S47">
        <f t="shared" si="1"/>
        <v>0</v>
      </c>
    </row>
    <row r="48" spans="1:19" x14ac:dyDescent="0.25">
      <c r="A48" s="1" t="s">
        <v>37</v>
      </c>
      <c r="B48">
        <v>1598886</v>
      </c>
      <c r="C48">
        <v>1687917</v>
      </c>
      <c r="D48">
        <v>449788</v>
      </c>
      <c r="E48">
        <v>427615</v>
      </c>
      <c r="F48">
        <f>ROUNDDOWN((D48+E48)/(B48+C48), 4)</f>
        <v>0.26690000000000003</v>
      </c>
      <c r="G48">
        <f>D48+E48</f>
        <v>877403</v>
      </c>
      <c r="H48">
        <f>IF(G48 &gt; 2*($B48+$C48), G48, ROUNDDOWN(G48*$F48, 0))</f>
        <v>234178</v>
      </c>
      <c r="I48">
        <f>IF(H48 &gt; 2*($B48+$C48), H48, ROUNDDOWN(H48*$F48, 0))</f>
        <v>62502</v>
      </c>
      <c r="J48">
        <f>IF(I48 &gt; 2*($B48+$C48), I48, ROUNDDOWN(I48*$F48, 0))</f>
        <v>16681</v>
      </c>
      <c r="K48">
        <f>IF(J48 &gt; 2*($B48+$C48), J48, ROUNDDOWN(J48*$F48, 0))</f>
        <v>4452</v>
      </c>
      <c r="L48">
        <f>IF(K48 &gt; 2*($B48+$C48), K48, ROUNDDOWN(K48*$F48, 0))</f>
        <v>1188</v>
      </c>
      <c r="M48">
        <f>IF(L48 &gt; 2*($B48+$C48), L48, ROUNDDOWN(L48*$F48, 0))</f>
        <v>317</v>
      </c>
      <c r="N48">
        <f>IF(M48 &gt; 2*($B48+$C48), M48, ROUNDDOWN(M48*$F48, 0))</f>
        <v>84</v>
      </c>
      <c r="O48">
        <f>IF(N48 &gt; 2*($B48+$C48), N48, ROUNDDOWN(N48*$F48, 0))</f>
        <v>22</v>
      </c>
      <c r="P48">
        <f>IF(O48 &gt; 2*($B48+$C48), O48, ROUNDDOWN(O48*$F48, 0))</f>
        <v>5</v>
      </c>
      <c r="Q48">
        <f>IF(P48 &gt; 2*($B48+$C48), P48, ROUNDDOWN(P48*$F48, 0))</f>
        <v>1</v>
      </c>
      <c r="R48">
        <f>IF(Q48 &gt; 2*($B48+$C48), Q48, ROUNDDOWN(Q48*$F48, 0))</f>
        <v>0</v>
      </c>
      <c r="S48">
        <f t="shared" si="1"/>
        <v>0</v>
      </c>
    </row>
    <row r="49" spans="1:19" x14ac:dyDescent="0.25">
      <c r="A49" s="1" t="s">
        <v>40</v>
      </c>
      <c r="B49">
        <v>2115336</v>
      </c>
      <c r="C49">
        <v>2202769</v>
      </c>
      <c r="D49">
        <v>15339</v>
      </c>
      <c r="E49">
        <v>14652</v>
      </c>
      <c r="F49">
        <f>ROUNDDOWN((D49+E49)/(B49+C49), 4)</f>
        <v>6.8999999999999999E-3</v>
      </c>
      <c r="G49">
        <f>D49+E49</f>
        <v>29991</v>
      </c>
      <c r="H49">
        <f>IF(G49 &gt; 2*($B49+$C49), G49, ROUNDDOWN(G49*$F49, 0))</f>
        <v>206</v>
      </c>
      <c r="I49">
        <f>IF(H49 &gt; 2*($B49+$C49), H49, ROUNDDOWN(H49*$F49, 0))</f>
        <v>1</v>
      </c>
      <c r="J49">
        <f>IF(I49 &gt; 2*($B49+$C49), I49, ROUNDDOWN(I49*$F49, 0))</f>
        <v>0</v>
      </c>
      <c r="K49">
        <f>IF(J49 &gt; 2*($B49+$C49), J49, ROUNDDOWN(J49*$F49, 0))</f>
        <v>0</v>
      </c>
      <c r="L49">
        <f>IF(K49 &gt; 2*($B49+$C49), K49, ROUNDDOWN(K49*$F49, 0))</f>
        <v>0</v>
      </c>
      <c r="M49">
        <f>IF(L49 &gt; 2*($B49+$C49), L49, ROUNDDOWN(L49*$F49, 0))</f>
        <v>0</v>
      </c>
      <c r="N49">
        <f>IF(M49 &gt; 2*($B49+$C49), M49, ROUNDDOWN(M49*$F49, 0))</f>
        <v>0</v>
      </c>
      <c r="O49">
        <f>IF(N49 &gt; 2*($B49+$C49), N49, ROUNDDOWN(N49*$F49, 0))</f>
        <v>0</v>
      </c>
      <c r="P49">
        <f>IF(O49 &gt; 2*($B49+$C49), O49, ROUNDDOWN(O49*$F49, 0))</f>
        <v>0</v>
      </c>
      <c r="Q49">
        <f>IF(P49 &gt; 2*($B49+$C49), P49, ROUNDDOWN(P49*$F49, 0))</f>
        <v>0</v>
      </c>
      <c r="R49">
        <f>IF(Q49 &gt; 2*($B49+$C49), Q49, ROUNDDOWN(Q49*$F49, 0))</f>
        <v>0</v>
      </c>
      <c r="S49">
        <f t="shared" si="1"/>
        <v>0</v>
      </c>
    </row>
    <row r="50" spans="1:19" x14ac:dyDescent="0.25">
      <c r="A50" s="1" t="s">
        <v>41</v>
      </c>
      <c r="B50">
        <v>2346640</v>
      </c>
      <c r="C50">
        <v>2197559</v>
      </c>
      <c r="D50">
        <v>373470</v>
      </c>
      <c r="E50">
        <v>353365</v>
      </c>
      <c r="F50">
        <f>ROUNDDOWN((D50+E50)/(B50+C50), 4)</f>
        <v>0.15989999999999999</v>
      </c>
      <c r="G50">
        <f>D50+E50</f>
        <v>726835</v>
      </c>
      <c r="H50">
        <f>IF(G50 &gt; 2*($B50+$C50), G50, ROUNDDOWN(G50*$F50, 0))</f>
        <v>116220</v>
      </c>
      <c r="I50">
        <f>IF(H50 &gt; 2*($B50+$C50), H50, ROUNDDOWN(H50*$F50, 0))</f>
        <v>18583</v>
      </c>
      <c r="J50">
        <f>IF(I50 &gt; 2*($B50+$C50), I50, ROUNDDOWN(I50*$F50, 0))</f>
        <v>2971</v>
      </c>
      <c r="K50">
        <f>IF(J50 &gt; 2*($B50+$C50), J50, ROUNDDOWN(J50*$F50, 0))</f>
        <v>475</v>
      </c>
      <c r="L50">
        <f>IF(K50 &gt; 2*($B50+$C50), K50, ROUNDDOWN(K50*$F50, 0))</f>
        <v>75</v>
      </c>
      <c r="M50">
        <f>IF(L50 &gt; 2*($B50+$C50), L50, ROUNDDOWN(L50*$F50, 0))</f>
        <v>11</v>
      </c>
      <c r="N50">
        <f>IF(M50 &gt; 2*($B50+$C50), M50, ROUNDDOWN(M50*$F50, 0))</f>
        <v>1</v>
      </c>
      <c r="O50">
        <f>IF(N50 &gt; 2*($B50+$C50), N50, ROUNDDOWN(N50*$F50, 0))</f>
        <v>0</v>
      </c>
      <c r="P50">
        <f>IF(O50 &gt; 2*($B50+$C50), O50, ROUNDDOWN(O50*$F50, 0))</f>
        <v>0</v>
      </c>
      <c r="Q50">
        <f>IF(P50 &gt; 2*($B50+$C50), P50, ROUNDDOWN(P50*$F50, 0))</f>
        <v>0</v>
      </c>
      <c r="R50">
        <f>IF(Q50 &gt; 2*($B50+$C50), Q50, ROUNDDOWN(Q50*$F50, 0))</f>
        <v>0</v>
      </c>
      <c r="S50">
        <f t="shared" si="1"/>
        <v>0</v>
      </c>
    </row>
    <row r="51" spans="1:19" x14ac:dyDescent="0.25">
      <c r="A51" s="1" t="s">
        <v>42</v>
      </c>
      <c r="B51">
        <v>2548438</v>
      </c>
      <c r="C51">
        <v>2577213</v>
      </c>
      <c r="D51">
        <v>37986</v>
      </c>
      <c r="E51">
        <v>37766</v>
      </c>
      <c r="F51">
        <f>ROUNDDOWN((D51+E51)/(B51+C51), 4)</f>
        <v>1.47E-2</v>
      </c>
      <c r="G51">
        <f>D51+E51</f>
        <v>75752</v>
      </c>
      <c r="H51">
        <f>IF(G51 &gt; 2*($B51+$C51), G51, ROUNDDOWN(G51*$F51, 0))</f>
        <v>1113</v>
      </c>
      <c r="I51">
        <f>IF(H51 &gt; 2*($B51+$C51), H51, ROUNDDOWN(H51*$F51, 0))</f>
        <v>16</v>
      </c>
      <c r="J51">
        <f>IF(I51 &gt; 2*($B51+$C51), I51, ROUNDDOWN(I51*$F51, 0))</f>
        <v>0</v>
      </c>
      <c r="K51">
        <f>IF(J51 &gt; 2*($B51+$C51), J51, ROUNDDOWN(J51*$F51, 0))</f>
        <v>0</v>
      </c>
      <c r="L51">
        <f>IF(K51 &gt; 2*($B51+$C51), K51, ROUNDDOWN(K51*$F51, 0))</f>
        <v>0</v>
      </c>
      <c r="M51">
        <f>IF(L51 &gt; 2*($B51+$C51), L51, ROUNDDOWN(L51*$F51, 0))</f>
        <v>0</v>
      </c>
      <c r="N51">
        <f>IF(M51 &gt; 2*($B51+$C51), M51, ROUNDDOWN(M51*$F51, 0))</f>
        <v>0</v>
      </c>
      <c r="O51">
        <f>IF(N51 &gt; 2*($B51+$C51), N51, ROUNDDOWN(N51*$F51, 0))</f>
        <v>0</v>
      </c>
      <c r="P51">
        <f>IF(O51 &gt; 2*($B51+$C51), O51, ROUNDDOWN(O51*$F51, 0))</f>
        <v>0</v>
      </c>
      <c r="Q51">
        <f>IF(P51 &gt; 2*($B51+$C51), P51, ROUNDDOWN(P51*$F51, 0))</f>
        <v>0</v>
      </c>
      <c r="R51">
        <f>IF(Q51 &gt; 2*($B51+$C51), Q51, ROUNDDOWN(Q51*$F51, 0))</f>
        <v>0</v>
      </c>
      <c r="S51">
        <f t="shared" si="1"/>
        <v>0</v>
      </c>
    </row>
  </sheetData>
  <pageMargins left="0.7" right="0.7" top="0.75" bottom="0.75" header="0.3" footer="0.3"/>
  <pageSetup paperSize="0" orientation="portrait" horizontalDpi="360" verticalDpi="36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65D666-3DF0-46E5-9C56-DE5091CE0A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kraina</vt:lpstr>
      <vt:lpstr>5_1</vt:lpstr>
      <vt:lpstr>5_2</vt:lpstr>
      <vt:lpstr>5_3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2015-06-05T18:17:20Z</dcterms:created>
  <dcterms:modified xsi:type="dcterms:W3CDTF">2026-08-31T12:33:35Z</dcterms:modified>
</cp:coreProperties>
</file>