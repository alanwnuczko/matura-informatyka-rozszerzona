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1010\"/>
    </mc:Choice>
  </mc:AlternateContent>
  <xr:revisionPtr revIDLastSave="0" documentId="13_ncr:1_{7274FC41-347C-4470-ABD6-EB26AE0BB314}" xr6:coauthVersionLast="47" xr6:coauthVersionMax="47" xr10:uidLastSave="{00000000-0000-0000-0000-000000000000}"/>
  <bookViews>
    <workbookView xWindow="-120" yWindow="-120" windowWidth="38640" windowHeight="21120" activeTab="5" xr2:uid="{3AC39108-FB9A-4650-AAC4-A089C39D74E7}"/>
  </bookViews>
  <sheets>
    <sheet name="staw" sheetId="3" r:id="rId1"/>
    <sheet name="7_1-pomoc" sheetId="4" r:id="rId2"/>
    <sheet name="7_1" sheetId="1" r:id="rId3"/>
    <sheet name="7_2" sheetId="6" r:id="rId4"/>
    <sheet name="7_3" sheetId="7" r:id="rId5"/>
    <sheet name="Arkusz6" sheetId="8" r:id="rId6"/>
  </sheets>
  <definedNames>
    <definedName name="ExternalData_1" localSheetId="0" hidden="1">staw!$A$1:$C$366</definedName>
  </definedNames>
  <calcPr calcId="191029"/>
  <pivotCaches>
    <pivotCache cacheId="4" r:id="rId7"/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2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F2" i="8"/>
  <c r="B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C4" i="7"/>
  <c r="C3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E3" i="7"/>
  <c r="E4" i="7"/>
  <c r="C5" i="7" s="1"/>
  <c r="F2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2" i="7"/>
  <c r="C351" i="6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20" i="6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288" i="6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257" i="6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25" i="6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193" i="6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162" i="6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30" i="6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99" i="6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67" i="6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6" i="6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E2" i="8" l="1"/>
  <c r="C3" i="8" s="1"/>
  <c r="F3" i="8" s="1"/>
  <c r="E5" i="7"/>
  <c r="C6" i="7" s="1"/>
  <c r="E6" i="7" s="1"/>
  <c r="C7" i="7" s="1"/>
  <c r="E7" i="7" s="1"/>
  <c r="C8" i="7" s="1"/>
  <c r="E8" i="7" s="1"/>
  <c r="C9" i="7" s="1"/>
  <c r="E9" i="7" s="1"/>
  <c r="C10" i="7" s="1"/>
  <c r="E10" i="7" s="1"/>
  <c r="C11" i="7" s="1"/>
  <c r="E11" i="7" s="1"/>
  <c r="C12" i="7" s="1"/>
  <c r="E12" i="7" s="1"/>
  <c r="C13" i="7" s="1"/>
  <c r="E13" i="7" s="1"/>
  <c r="C14" i="7" s="1"/>
  <c r="E14" i="7" s="1"/>
  <c r="C15" i="7" s="1"/>
  <c r="E15" i="7" s="1"/>
  <c r="C16" i="7" s="1"/>
  <c r="E16" i="7" s="1"/>
  <c r="C17" i="7" s="1"/>
  <c r="E17" i="7" s="1"/>
  <c r="C18" i="7" s="1"/>
  <c r="E18" i="7" s="1"/>
  <c r="C19" i="7" s="1"/>
  <c r="E19" i="7" s="1"/>
  <c r="C20" i="7" s="1"/>
  <c r="E20" i="7" s="1"/>
  <c r="C21" i="7" s="1"/>
  <c r="E21" i="7" s="1"/>
  <c r="C22" i="7" s="1"/>
  <c r="E22" i="7" s="1"/>
  <c r="C23" i="7" s="1"/>
  <c r="E23" i="7" s="1"/>
  <c r="C24" i="7" s="1"/>
  <c r="E24" i="7" s="1"/>
  <c r="C25" i="7" s="1"/>
  <c r="E25" i="7" s="1"/>
  <c r="C26" i="7" s="1"/>
  <c r="E26" i="7" s="1"/>
  <c r="C27" i="7" s="1"/>
  <c r="E27" i="7" s="1"/>
  <c r="C28" i="7" s="1"/>
  <c r="E28" i="7" s="1"/>
  <c r="C29" i="7" s="1"/>
  <c r="E29" i="7" s="1"/>
  <c r="C30" i="7" s="1"/>
  <c r="E30" i="7" s="1"/>
  <c r="C31" i="7" s="1"/>
  <c r="E31" i="7" s="1"/>
  <c r="C32" i="7" s="1"/>
  <c r="E32" i="7" s="1"/>
  <c r="C33" i="7" s="1"/>
  <c r="E33" i="7" s="1"/>
  <c r="C34" i="7" s="1"/>
  <c r="E34" i="7" s="1"/>
  <c r="C35" i="7" s="1"/>
  <c r="E35" i="7" s="1"/>
  <c r="C36" i="7" s="1"/>
  <c r="E36" i="7" s="1"/>
  <c r="C37" i="7" s="1"/>
  <c r="E37" i="7" s="1"/>
  <c r="C38" i="7" s="1"/>
  <c r="E38" i="7" s="1"/>
  <c r="C39" i="7" s="1"/>
  <c r="E39" i="7" s="1"/>
  <c r="C40" i="7" s="1"/>
  <c r="E40" i="7" s="1"/>
  <c r="C41" i="7" s="1"/>
  <c r="E41" i="7" s="1"/>
  <c r="C42" i="7" s="1"/>
  <c r="E42" i="7" s="1"/>
  <c r="C43" i="7" s="1"/>
  <c r="E43" i="7" s="1"/>
  <c r="C44" i="7" s="1"/>
  <c r="E44" i="7" s="1"/>
  <c r="C45" i="7" s="1"/>
  <c r="E45" i="7" s="1"/>
  <c r="C46" i="7" s="1"/>
  <c r="E46" i="7" s="1"/>
  <c r="C47" i="7" s="1"/>
  <c r="E47" i="7" s="1"/>
  <c r="C48" i="7" s="1"/>
  <c r="E48" i="7" s="1"/>
  <c r="C49" i="7" s="1"/>
  <c r="E49" i="7" s="1"/>
  <c r="C50" i="7" s="1"/>
  <c r="E50" i="7" s="1"/>
  <c r="C51" i="7" s="1"/>
  <c r="E51" i="7" s="1"/>
  <c r="C52" i="7" s="1"/>
  <c r="E52" i="7" s="1"/>
  <c r="C53" i="7" s="1"/>
  <c r="E53" i="7" s="1"/>
  <c r="C54" i="7" s="1"/>
  <c r="E54" i="7" s="1"/>
  <c r="C55" i="7" s="1"/>
  <c r="E55" i="7" s="1"/>
  <c r="C56" i="7" s="1"/>
  <c r="E56" i="7" s="1"/>
  <c r="C57" i="7" s="1"/>
  <c r="E57" i="7" s="1"/>
  <c r="C58" i="7" s="1"/>
  <c r="E58" i="7" s="1"/>
  <c r="C59" i="7" s="1"/>
  <c r="E59" i="7" s="1"/>
  <c r="C60" i="7" s="1"/>
  <c r="E60" i="7" s="1"/>
  <c r="C61" i="7" s="1"/>
  <c r="E61" i="7" s="1"/>
  <c r="C62" i="7" s="1"/>
  <c r="E62" i="7" s="1"/>
  <c r="C63" i="7" s="1"/>
  <c r="E63" i="7" s="1"/>
  <c r="C64" i="7" s="1"/>
  <c r="E64" i="7" s="1"/>
  <c r="C65" i="7" s="1"/>
  <c r="E65" i="7" s="1"/>
  <c r="C66" i="7" s="1"/>
  <c r="E66" i="7" s="1"/>
  <c r="C67" i="7" s="1"/>
  <c r="E67" i="7" s="1"/>
  <c r="C68" i="7" s="1"/>
  <c r="E68" i="7" s="1"/>
  <c r="C69" i="7" s="1"/>
  <c r="E69" i="7" s="1"/>
  <c r="C70" i="7" s="1"/>
  <c r="E70" i="7" s="1"/>
  <c r="C71" i="7" s="1"/>
  <c r="E71" i="7" s="1"/>
  <c r="C72" i="7" s="1"/>
  <c r="E72" i="7" s="1"/>
  <c r="C73" i="7" s="1"/>
  <c r="E73" i="7" s="1"/>
  <c r="C74" i="7" s="1"/>
  <c r="E74" i="7" s="1"/>
  <c r="C75" i="7" s="1"/>
  <c r="E75" i="7" s="1"/>
  <c r="C76" i="7" s="1"/>
  <c r="E76" i="7" s="1"/>
  <c r="C77" i="7" s="1"/>
  <c r="E77" i="7" s="1"/>
  <c r="C78" i="7" s="1"/>
  <c r="E78" i="7" s="1"/>
  <c r="C79" i="7" s="1"/>
  <c r="E79" i="7" s="1"/>
  <c r="C80" i="7" s="1"/>
  <c r="E80" i="7" s="1"/>
  <c r="C81" i="7" s="1"/>
  <c r="E81" i="7" s="1"/>
  <c r="C82" i="7" s="1"/>
  <c r="E82" i="7" s="1"/>
  <c r="C83" i="7" s="1"/>
  <c r="E83" i="7" s="1"/>
  <c r="C84" i="7" s="1"/>
  <c r="E84" i="7" s="1"/>
  <c r="C85" i="7" s="1"/>
  <c r="E85" i="7" s="1"/>
  <c r="C86" i="7" s="1"/>
  <c r="E86" i="7" s="1"/>
  <c r="C87" i="7" s="1"/>
  <c r="E87" i="7" s="1"/>
  <c r="C88" i="7" s="1"/>
  <c r="E88" i="7" s="1"/>
  <c r="C89" i="7" s="1"/>
  <c r="E89" i="7" s="1"/>
  <c r="C90" i="7" s="1"/>
  <c r="E90" i="7" s="1"/>
  <c r="C91" i="7" s="1"/>
  <c r="E91" i="7" s="1"/>
  <c r="C92" i="7" s="1"/>
  <c r="E92" i="7" s="1"/>
  <c r="C93" i="7" s="1"/>
  <c r="E93" i="7" s="1"/>
  <c r="C94" i="7" s="1"/>
  <c r="E94" i="7" s="1"/>
  <c r="C95" i="7" s="1"/>
  <c r="E95" i="7" s="1"/>
  <c r="C96" i="7" s="1"/>
  <c r="E96" i="7" s="1"/>
  <c r="C97" i="7" s="1"/>
  <c r="E97" i="7" s="1"/>
  <c r="C98" i="7" s="1"/>
  <c r="E98" i="7" s="1"/>
  <c r="C99" i="7" s="1"/>
  <c r="E99" i="7" s="1"/>
  <c r="C100" i="7" s="1"/>
  <c r="E100" i="7" s="1"/>
  <c r="C101" i="7" s="1"/>
  <c r="E101" i="7" s="1"/>
  <c r="C102" i="7" s="1"/>
  <c r="E102" i="7" s="1"/>
  <c r="C103" i="7" s="1"/>
  <c r="E103" i="7" s="1"/>
  <c r="C104" i="7" s="1"/>
  <c r="E104" i="7" s="1"/>
  <c r="C105" i="7" s="1"/>
  <c r="E105" i="7" s="1"/>
  <c r="C106" i="7" s="1"/>
  <c r="E106" i="7" s="1"/>
  <c r="C107" i="7" s="1"/>
  <c r="E107" i="7" s="1"/>
  <c r="C108" i="7" s="1"/>
  <c r="E108" i="7" s="1"/>
  <c r="C109" i="7" s="1"/>
  <c r="E109" i="7" s="1"/>
  <c r="C110" i="7" s="1"/>
  <c r="E110" i="7" s="1"/>
  <c r="C111" i="7" s="1"/>
  <c r="E111" i="7" s="1"/>
  <c r="C112" i="7" s="1"/>
  <c r="E112" i="7" s="1"/>
  <c r="C113" i="7" s="1"/>
  <c r="E113" i="7" s="1"/>
  <c r="C114" i="7" s="1"/>
  <c r="E114" i="7" s="1"/>
  <c r="C115" i="7" s="1"/>
  <c r="E115" i="7" s="1"/>
  <c r="C116" i="7" s="1"/>
  <c r="E116" i="7" s="1"/>
  <c r="C117" i="7" s="1"/>
  <c r="E117" i="7" s="1"/>
  <c r="C118" i="7" s="1"/>
  <c r="E118" i="7" s="1"/>
  <c r="C119" i="7" s="1"/>
  <c r="E119" i="7" s="1"/>
  <c r="C120" i="7" s="1"/>
  <c r="E120" i="7" s="1"/>
  <c r="C121" i="7" s="1"/>
  <c r="E121" i="7" s="1"/>
  <c r="C122" i="7" s="1"/>
  <c r="E122" i="7" s="1"/>
  <c r="C123" i="7" s="1"/>
  <c r="E123" i="7" s="1"/>
  <c r="C124" i="7" s="1"/>
  <c r="E124" i="7" s="1"/>
  <c r="C125" i="7" s="1"/>
  <c r="E125" i="7" s="1"/>
  <c r="C126" i="7" s="1"/>
  <c r="E126" i="7" s="1"/>
  <c r="C127" i="7" s="1"/>
  <c r="E127" i="7" s="1"/>
  <c r="C128" i="7" s="1"/>
  <c r="E128" i="7" s="1"/>
  <c r="C129" i="7" s="1"/>
  <c r="E129" i="7" s="1"/>
  <c r="C130" i="7" s="1"/>
  <c r="E130" i="7" s="1"/>
  <c r="C131" i="7" s="1"/>
  <c r="E131" i="7" s="1"/>
  <c r="C132" i="7" s="1"/>
  <c r="E132" i="7" s="1"/>
  <c r="C133" i="7" s="1"/>
  <c r="E133" i="7" s="1"/>
  <c r="C134" i="7" s="1"/>
  <c r="E134" i="7" s="1"/>
  <c r="C135" i="7" s="1"/>
  <c r="E135" i="7" s="1"/>
  <c r="C136" i="7" s="1"/>
  <c r="E136" i="7" s="1"/>
  <c r="C137" i="7" s="1"/>
  <c r="E137" i="7" s="1"/>
  <c r="C138" i="7" s="1"/>
  <c r="E138" i="7" s="1"/>
  <c r="C139" i="7" s="1"/>
  <c r="E139" i="7" s="1"/>
  <c r="C140" i="7" s="1"/>
  <c r="E140" i="7" s="1"/>
  <c r="C141" i="7" s="1"/>
  <c r="E141" i="7" s="1"/>
  <c r="C142" i="7" s="1"/>
  <c r="E142" i="7" s="1"/>
  <c r="C143" i="7" s="1"/>
  <c r="E143" i="7" s="1"/>
  <c r="C144" i="7" s="1"/>
  <c r="E144" i="7" s="1"/>
  <c r="C145" i="7" s="1"/>
  <c r="E145" i="7" s="1"/>
  <c r="C146" i="7" s="1"/>
  <c r="E146" i="7" s="1"/>
  <c r="C147" i="7" s="1"/>
  <c r="E147" i="7" s="1"/>
  <c r="C148" i="7" s="1"/>
  <c r="E148" i="7" s="1"/>
  <c r="C149" i="7" s="1"/>
  <c r="E149" i="7" s="1"/>
  <c r="C150" i="7" s="1"/>
  <c r="E150" i="7" s="1"/>
  <c r="C151" i="7" s="1"/>
  <c r="E151" i="7" s="1"/>
  <c r="C152" i="7" s="1"/>
  <c r="E152" i="7" s="1"/>
  <c r="C153" i="7" s="1"/>
  <c r="E153" i="7" s="1"/>
  <c r="C154" i="7" s="1"/>
  <c r="E154" i="7" s="1"/>
  <c r="C155" i="7" s="1"/>
  <c r="E155" i="7" s="1"/>
  <c r="C156" i="7" s="1"/>
  <c r="E156" i="7" s="1"/>
  <c r="C157" i="7" s="1"/>
  <c r="E157" i="7" s="1"/>
  <c r="C158" i="7" s="1"/>
  <c r="E158" i="7" s="1"/>
  <c r="C159" i="7" s="1"/>
  <c r="E159" i="7" s="1"/>
  <c r="C160" i="7" s="1"/>
  <c r="E160" i="7" s="1"/>
  <c r="C161" i="7" s="1"/>
  <c r="E161" i="7" s="1"/>
  <c r="C162" i="7" s="1"/>
  <c r="E162" i="7" s="1"/>
  <c r="C163" i="7" s="1"/>
  <c r="E163" i="7" s="1"/>
  <c r="C164" i="7" s="1"/>
  <c r="E164" i="7" s="1"/>
  <c r="C165" i="7" s="1"/>
  <c r="E165" i="7" s="1"/>
  <c r="C166" i="7" s="1"/>
  <c r="E166" i="7" s="1"/>
  <c r="C167" i="7" s="1"/>
  <c r="E167" i="7" s="1"/>
  <c r="C168" i="7" s="1"/>
  <c r="E168" i="7" s="1"/>
  <c r="C169" i="7" s="1"/>
  <c r="E169" i="7" s="1"/>
  <c r="C170" i="7" s="1"/>
  <c r="E170" i="7" s="1"/>
  <c r="C171" i="7" s="1"/>
  <c r="E171" i="7" s="1"/>
  <c r="C172" i="7" s="1"/>
  <c r="E172" i="7" s="1"/>
  <c r="C173" i="7" s="1"/>
  <c r="E173" i="7" s="1"/>
  <c r="C174" i="7" s="1"/>
  <c r="E174" i="7" s="1"/>
  <c r="C175" i="7" s="1"/>
  <c r="E175" i="7" s="1"/>
  <c r="C176" i="7" s="1"/>
  <c r="E176" i="7" s="1"/>
  <c r="C177" i="7" s="1"/>
  <c r="E177" i="7" s="1"/>
  <c r="C178" i="7" s="1"/>
  <c r="E178" i="7" s="1"/>
  <c r="C179" i="7" s="1"/>
  <c r="E179" i="7" s="1"/>
  <c r="C180" i="7" s="1"/>
  <c r="E180" i="7" s="1"/>
  <c r="C181" i="7" s="1"/>
  <c r="E181" i="7" s="1"/>
  <c r="C182" i="7" s="1"/>
  <c r="E182" i="7" s="1"/>
  <c r="C183" i="7" s="1"/>
  <c r="E183" i="7" s="1"/>
  <c r="C184" i="7" s="1"/>
  <c r="E184" i="7" s="1"/>
  <c r="C185" i="7" s="1"/>
  <c r="E185" i="7" s="1"/>
  <c r="E3" i="8" l="1"/>
  <c r="C4" i="8" s="1"/>
  <c r="F4" i="8"/>
  <c r="E4" i="8"/>
  <c r="C5" i="8" s="1"/>
  <c r="F5" i="8" l="1"/>
  <c r="E5" i="8"/>
  <c r="C6" i="8" s="1"/>
  <c r="F6" i="8" l="1"/>
  <c r="E6" i="8"/>
  <c r="C7" i="8" s="1"/>
  <c r="E7" i="8" l="1"/>
  <c r="C8" i="8" s="1"/>
  <c r="F7" i="8"/>
  <c r="F8" i="8" l="1"/>
  <c r="E8" i="8"/>
  <c r="C9" i="8" s="1"/>
  <c r="F9" i="8" l="1"/>
  <c r="E9" i="8"/>
  <c r="C10" i="8" s="1"/>
  <c r="E10" i="8" l="1"/>
  <c r="C11" i="8" s="1"/>
  <c r="F10" i="8"/>
  <c r="E11" i="8" l="1"/>
  <c r="C12" i="8" s="1"/>
  <c r="F11" i="8"/>
  <c r="F12" i="8" l="1"/>
  <c r="E12" i="8"/>
  <c r="C13" i="8" s="1"/>
  <c r="E13" i="8" l="1"/>
  <c r="C14" i="8" s="1"/>
  <c r="F13" i="8"/>
  <c r="F14" i="8" l="1"/>
  <c r="E14" i="8"/>
  <c r="C15" i="8" s="1"/>
  <c r="E15" i="8" l="1"/>
  <c r="C16" i="8" s="1"/>
  <c r="F15" i="8"/>
  <c r="F16" i="8" l="1"/>
  <c r="E16" i="8"/>
  <c r="C17" i="8" s="1"/>
  <c r="F17" i="8" l="1"/>
  <c r="E17" i="8"/>
  <c r="C18" i="8" s="1"/>
  <c r="F18" i="8" l="1"/>
  <c r="E18" i="8"/>
  <c r="C19" i="8" s="1"/>
  <c r="F19" i="8" l="1"/>
  <c r="E19" i="8"/>
  <c r="C20" i="8" s="1"/>
  <c r="F20" i="8" l="1"/>
  <c r="E20" i="8"/>
  <c r="C21" i="8" s="1"/>
  <c r="F21" i="8" l="1"/>
  <c r="E21" i="8"/>
  <c r="C22" i="8" s="1"/>
  <c r="E22" i="8" l="1"/>
  <c r="C23" i="8" s="1"/>
  <c r="F22" i="8"/>
  <c r="E23" i="8" l="1"/>
  <c r="C24" i="8" s="1"/>
  <c r="F23" i="8"/>
  <c r="E24" i="8" l="1"/>
  <c r="C25" i="8" s="1"/>
  <c r="F24" i="8"/>
  <c r="E25" i="8" l="1"/>
  <c r="C26" i="8" s="1"/>
  <c r="F25" i="8"/>
  <c r="F26" i="8" l="1"/>
  <c r="E26" i="8"/>
  <c r="C27" i="8" s="1"/>
  <c r="F27" i="8" l="1"/>
  <c r="E27" i="8"/>
  <c r="C28" i="8" s="1"/>
  <c r="F28" i="8" l="1"/>
  <c r="E28" i="8"/>
  <c r="C29" i="8" s="1"/>
  <c r="F29" i="8" l="1"/>
  <c r="E29" i="8"/>
  <c r="C30" i="8" s="1"/>
  <c r="F30" i="8" l="1"/>
  <c r="E30" i="8"/>
  <c r="C31" i="8" s="1"/>
  <c r="F31" i="8" l="1"/>
  <c r="E31" i="8"/>
  <c r="C32" i="8" s="1"/>
  <c r="F32" i="8" l="1"/>
  <c r="E32" i="8"/>
  <c r="C33" i="8" s="1"/>
  <c r="F33" i="8" l="1"/>
  <c r="E33" i="8"/>
  <c r="C34" i="8" s="1"/>
  <c r="E34" i="8" l="1"/>
  <c r="C35" i="8" s="1"/>
  <c r="F34" i="8"/>
  <c r="E35" i="8" l="1"/>
  <c r="C36" i="8" s="1"/>
  <c r="F35" i="8"/>
  <c r="E36" i="8" l="1"/>
  <c r="C37" i="8" s="1"/>
  <c r="F36" i="8"/>
  <c r="E37" i="8" l="1"/>
  <c r="C38" i="8" s="1"/>
  <c r="F37" i="8"/>
  <c r="F38" i="8" l="1"/>
  <c r="E38" i="8"/>
  <c r="C39" i="8" s="1"/>
  <c r="F39" i="8" l="1"/>
  <c r="E39" i="8"/>
  <c r="C40" i="8" s="1"/>
  <c r="F40" i="8" l="1"/>
  <c r="E40" i="8"/>
  <c r="C41" i="8" s="1"/>
  <c r="F41" i="8" l="1"/>
  <c r="E41" i="8"/>
  <c r="C42" i="8" s="1"/>
  <c r="F42" i="8" l="1"/>
  <c r="E42" i="8"/>
  <c r="C43" i="8" s="1"/>
  <c r="F43" i="8" l="1"/>
  <c r="E43" i="8"/>
  <c r="C44" i="8" s="1"/>
  <c r="F44" i="8" l="1"/>
  <c r="E44" i="8"/>
  <c r="C45" i="8" s="1"/>
  <c r="F45" i="8" l="1"/>
  <c r="E45" i="8"/>
  <c r="C46" i="8" s="1"/>
  <c r="E46" i="8" l="1"/>
  <c r="C47" i="8" s="1"/>
  <c r="F46" i="8"/>
  <c r="E47" i="8" l="1"/>
  <c r="C48" i="8" s="1"/>
  <c r="F47" i="8"/>
  <c r="E48" i="8" l="1"/>
  <c r="C49" i="8" s="1"/>
  <c r="F48" i="8"/>
  <c r="E49" i="8" l="1"/>
  <c r="C50" i="8" s="1"/>
  <c r="F49" i="8"/>
  <c r="F50" i="8" l="1"/>
  <c r="E50" i="8"/>
  <c r="C51" i="8" s="1"/>
  <c r="E51" i="8" l="1"/>
  <c r="C52" i="8" s="1"/>
  <c r="F51" i="8"/>
  <c r="F52" i="8" l="1"/>
  <c r="E52" i="8"/>
  <c r="C53" i="8" s="1"/>
  <c r="F53" i="8" l="1"/>
  <c r="E53" i="8"/>
  <c r="C54" i="8" s="1"/>
  <c r="F54" i="8" l="1"/>
  <c r="E54" i="8"/>
  <c r="C55" i="8" s="1"/>
  <c r="F55" i="8" l="1"/>
  <c r="E55" i="8"/>
  <c r="C56" i="8" s="1"/>
  <c r="F56" i="8" l="1"/>
  <c r="E56" i="8"/>
  <c r="C57" i="8" s="1"/>
  <c r="F57" i="8" l="1"/>
  <c r="E57" i="8"/>
  <c r="C58" i="8" s="1"/>
  <c r="E58" i="8" l="1"/>
  <c r="C59" i="8" s="1"/>
  <c r="F58" i="8"/>
  <c r="E59" i="8" l="1"/>
  <c r="C60" i="8" s="1"/>
  <c r="F59" i="8"/>
  <c r="F60" i="8" l="1"/>
  <c r="E60" i="8"/>
  <c r="C61" i="8" s="1"/>
  <c r="E61" i="8" l="1"/>
  <c r="C62" i="8" s="1"/>
  <c r="F61" i="8"/>
  <c r="F62" i="8" l="1"/>
  <c r="E62" i="8"/>
  <c r="C63" i="8" s="1"/>
  <c r="F63" i="8" l="1"/>
  <c r="E63" i="8"/>
  <c r="C64" i="8" s="1"/>
  <c r="F64" i="8" l="1"/>
  <c r="E64" i="8"/>
  <c r="C65" i="8" s="1"/>
  <c r="F65" i="8" l="1"/>
  <c r="E65" i="8"/>
  <c r="C66" i="8" s="1"/>
  <c r="F66" i="8" l="1"/>
  <c r="E66" i="8"/>
  <c r="C67" i="8" s="1"/>
  <c r="F67" i="8" l="1"/>
  <c r="E67" i="8"/>
  <c r="C68" i="8" s="1"/>
  <c r="F68" i="8" l="1"/>
  <c r="E68" i="8"/>
  <c r="C69" i="8" s="1"/>
  <c r="F69" i="8" l="1"/>
  <c r="E69" i="8"/>
  <c r="C70" i="8" s="1"/>
  <c r="E70" i="8" l="1"/>
  <c r="C71" i="8" s="1"/>
  <c r="F70" i="8"/>
  <c r="E71" i="8" l="1"/>
  <c r="C72" i="8" s="1"/>
  <c r="F71" i="8"/>
  <c r="F72" i="8" l="1"/>
  <c r="E72" i="8"/>
  <c r="C73" i="8" s="1"/>
  <c r="E73" i="8" l="1"/>
  <c r="C74" i="8" s="1"/>
  <c r="F73" i="8"/>
  <c r="F74" i="8" l="1"/>
  <c r="E74" i="8"/>
  <c r="C75" i="8" s="1"/>
  <c r="E75" i="8" l="1"/>
  <c r="C76" i="8" s="1"/>
  <c r="F75" i="8"/>
  <c r="F76" i="8" l="1"/>
  <c r="E76" i="8"/>
  <c r="C77" i="8" s="1"/>
  <c r="F77" i="8" l="1"/>
  <c r="E77" i="8"/>
  <c r="C78" i="8" s="1"/>
  <c r="F78" i="8" l="1"/>
  <c r="E78" i="8"/>
  <c r="C79" i="8" s="1"/>
  <c r="F79" i="8" l="1"/>
  <c r="E79" i="8"/>
  <c r="C80" i="8" s="1"/>
  <c r="F80" i="8" l="1"/>
  <c r="E80" i="8"/>
  <c r="C81" i="8" s="1"/>
  <c r="F81" i="8" l="1"/>
  <c r="E81" i="8"/>
  <c r="C82" i="8" s="1"/>
  <c r="E82" i="8" l="1"/>
  <c r="C83" i="8" s="1"/>
  <c r="F82" i="8"/>
  <c r="E83" i="8" l="1"/>
  <c r="C84" i="8" s="1"/>
  <c r="F83" i="8"/>
  <c r="F84" i="8" l="1"/>
  <c r="E84" i="8"/>
  <c r="C85" i="8" s="1"/>
  <c r="E85" i="8" l="1"/>
  <c r="C86" i="8" s="1"/>
  <c r="F85" i="8"/>
  <c r="F86" i="8" l="1"/>
  <c r="E86" i="8"/>
  <c r="C87" i="8" s="1"/>
  <c r="E87" i="8" l="1"/>
  <c r="C88" i="8" s="1"/>
  <c r="F87" i="8"/>
  <c r="F88" i="8" l="1"/>
  <c r="E88" i="8"/>
  <c r="C89" i="8" s="1"/>
  <c r="F89" i="8" l="1"/>
  <c r="E89" i="8"/>
  <c r="C90" i="8" s="1"/>
  <c r="F90" i="8" l="1"/>
  <c r="E90" i="8"/>
  <c r="C91" i="8" s="1"/>
  <c r="F91" i="8" l="1"/>
  <c r="E91" i="8"/>
  <c r="C92" i="8" s="1"/>
  <c r="F92" i="8" l="1"/>
  <c r="E92" i="8"/>
  <c r="C93" i="8" s="1"/>
  <c r="F93" i="8" l="1"/>
  <c r="E93" i="8"/>
  <c r="C94" i="8" s="1"/>
  <c r="E94" i="8" l="1"/>
  <c r="C95" i="8" s="1"/>
  <c r="F94" i="8"/>
  <c r="E95" i="8" l="1"/>
  <c r="C96" i="8" s="1"/>
  <c r="F95" i="8"/>
  <c r="F96" i="8" l="1"/>
  <c r="E96" i="8"/>
  <c r="C97" i="8" s="1"/>
  <c r="E97" i="8" l="1"/>
  <c r="C98" i="8" s="1"/>
  <c r="F97" i="8"/>
  <c r="F98" i="8" l="1"/>
  <c r="E98" i="8"/>
  <c r="C99" i="8" s="1"/>
  <c r="E99" i="8" l="1"/>
  <c r="C100" i="8" s="1"/>
  <c r="F99" i="8"/>
  <c r="F100" i="8" l="1"/>
  <c r="E100" i="8"/>
  <c r="C101" i="8" s="1"/>
  <c r="F101" i="8" l="1"/>
  <c r="E101" i="8"/>
  <c r="C102" i="8" s="1"/>
  <c r="F102" i="8" l="1"/>
  <c r="E102" i="8"/>
  <c r="C103" i="8" s="1"/>
  <c r="F103" i="8" l="1"/>
  <c r="E103" i="8"/>
  <c r="C104" i="8" s="1"/>
  <c r="F104" i="8" l="1"/>
  <c r="E104" i="8"/>
  <c r="C105" i="8" s="1"/>
  <c r="F105" i="8" l="1"/>
  <c r="E105" i="8"/>
  <c r="C106" i="8" s="1"/>
  <c r="E106" i="8" l="1"/>
  <c r="C107" i="8" s="1"/>
  <c r="F106" i="8"/>
  <c r="E107" i="8" l="1"/>
  <c r="C108" i="8" s="1"/>
  <c r="F107" i="8"/>
  <c r="F108" i="8" l="1"/>
  <c r="E108" i="8"/>
  <c r="C109" i="8" s="1"/>
  <c r="E109" i="8" l="1"/>
  <c r="C110" i="8" s="1"/>
  <c r="F109" i="8"/>
  <c r="F110" i="8" l="1"/>
  <c r="E110" i="8"/>
  <c r="C111" i="8" s="1"/>
  <c r="E111" i="8" l="1"/>
  <c r="C112" i="8" s="1"/>
  <c r="F111" i="8"/>
  <c r="F112" i="8" l="1"/>
  <c r="E112" i="8"/>
  <c r="C113" i="8" s="1"/>
  <c r="F113" i="8" l="1"/>
  <c r="E113" i="8"/>
  <c r="C114" i="8" s="1"/>
  <c r="F114" i="8" l="1"/>
  <c r="E114" i="8"/>
  <c r="C115" i="8" s="1"/>
  <c r="F115" i="8" l="1"/>
  <c r="E115" i="8"/>
  <c r="C116" i="8" s="1"/>
  <c r="F116" i="8" l="1"/>
  <c r="E116" i="8"/>
  <c r="C117" i="8" s="1"/>
  <c r="F117" i="8" l="1"/>
  <c r="E117" i="8"/>
  <c r="C118" i="8" s="1"/>
  <c r="E118" i="8" l="1"/>
  <c r="C119" i="8" s="1"/>
  <c r="F118" i="8"/>
  <c r="E119" i="8" l="1"/>
  <c r="C120" i="8" s="1"/>
  <c r="F119" i="8"/>
  <c r="F120" i="8" l="1"/>
  <c r="E120" i="8"/>
  <c r="C121" i="8" s="1"/>
  <c r="F121" i="8" l="1"/>
  <c r="E121" i="8"/>
  <c r="C122" i="8" s="1"/>
  <c r="F122" i="8" l="1"/>
  <c r="E122" i="8"/>
  <c r="C123" i="8" s="1"/>
  <c r="E123" i="8" l="1"/>
  <c r="C124" i="8" s="1"/>
  <c r="F123" i="8"/>
  <c r="F124" i="8" l="1"/>
  <c r="E124" i="8"/>
  <c r="C125" i="8" s="1"/>
  <c r="F125" i="8" l="1"/>
  <c r="E125" i="8"/>
  <c r="C126" i="8" s="1"/>
  <c r="F126" i="8" l="1"/>
  <c r="E126" i="8"/>
  <c r="C127" i="8" s="1"/>
  <c r="F127" i="8" l="1"/>
  <c r="E127" i="8"/>
  <c r="C128" i="8" s="1"/>
  <c r="F128" i="8" l="1"/>
  <c r="E128" i="8"/>
  <c r="C129" i="8" s="1"/>
  <c r="F129" i="8" l="1"/>
  <c r="E129" i="8"/>
  <c r="C130" i="8" s="1"/>
  <c r="E130" i="8" l="1"/>
  <c r="C131" i="8" s="1"/>
  <c r="F130" i="8"/>
  <c r="E131" i="8" l="1"/>
  <c r="C132" i="8" s="1"/>
  <c r="F131" i="8"/>
  <c r="F132" i="8" l="1"/>
  <c r="E132" i="8"/>
  <c r="C133" i="8" s="1"/>
  <c r="F133" i="8" l="1"/>
  <c r="E133" i="8"/>
  <c r="C134" i="8" s="1"/>
  <c r="F134" i="8" l="1"/>
  <c r="E134" i="8"/>
  <c r="C135" i="8" s="1"/>
  <c r="E135" i="8" l="1"/>
  <c r="C136" i="8" s="1"/>
  <c r="F135" i="8"/>
  <c r="F136" i="8" l="1"/>
  <c r="E136" i="8"/>
  <c r="C137" i="8" s="1"/>
  <c r="F137" i="8" l="1"/>
  <c r="E137" i="8"/>
  <c r="C138" i="8" s="1"/>
  <c r="F138" i="8" l="1"/>
  <c r="E138" i="8"/>
  <c r="C139" i="8" s="1"/>
  <c r="F139" i="8" l="1"/>
  <c r="E139" i="8"/>
  <c r="C140" i="8" s="1"/>
  <c r="F140" i="8" l="1"/>
  <c r="E140" i="8"/>
  <c r="C141" i="8" s="1"/>
  <c r="F141" i="8" l="1"/>
  <c r="E141" i="8"/>
  <c r="C142" i="8" s="1"/>
  <c r="E142" i="8" l="1"/>
  <c r="C143" i="8" s="1"/>
  <c r="F142" i="8"/>
  <c r="F143" i="8" l="1"/>
  <c r="E143" i="8"/>
  <c r="C144" i="8" s="1"/>
  <c r="F144" i="8" l="1"/>
  <c r="E144" i="8"/>
  <c r="C145" i="8" s="1"/>
  <c r="F145" i="8" l="1"/>
  <c r="E145" i="8"/>
  <c r="C146" i="8" s="1"/>
  <c r="F146" i="8" l="1"/>
  <c r="E146" i="8"/>
  <c r="C147" i="8" s="1"/>
  <c r="E147" i="8" l="1"/>
  <c r="C148" i="8" s="1"/>
  <c r="F147" i="8"/>
  <c r="F148" i="8" l="1"/>
  <c r="E148" i="8"/>
  <c r="C149" i="8" s="1"/>
  <c r="F149" i="8" l="1"/>
  <c r="E149" i="8"/>
  <c r="C150" i="8" s="1"/>
  <c r="F150" i="8" l="1"/>
  <c r="E150" i="8"/>
  <c r="C151" i="8" s="1"/>
  <c r="F151" i="8" l="1"/>
  <c r="E151" i="8"/>
  <c r="C152" i="8" s="1"/>
  <c r="F152" i="8" l="1"/>
  <c r="E152" i="8"/>
  <c r="C153" i="8" s="1"/>
  <c r="F153" i="8" l="1"/>
  <c r="E153" i="8"/>
  <c r="C154" i="8" s="1"/>
  <c r="E154" i="8" l="1"/>
  <c r="C155" i="8" s="1"/>
  <c r="F154" i="8"/>
  <c r="F155" i="8" l="1"/>
  <c r="E155" i="8"/>
  <c r="C156" i="8" s="1"/>
  <c r="F156" i="8" l="1"/>
  <c r="E156" i="8"/>
  <c r="C157" i="8" s="1"/>
  <c r="F157" i="8" l="1"/>
  <c r="E157" i="8"/>
  <c r="C158" i="8" s="1"/>
  <c r="F158" i="8" l="1"/>
  <c r="E158" i="8"/>
  <c r="C159" i="8" s="1"/>
  <c r="E159" i="8" l="1"/>
  <c r="C160" i="8" s="1"/>
  <c r="F159" i="8"/>
  <c r="F160" i="8" l="1"/>
  <c r="E160" i="8"/>
  <c r="C161" i="8" s="1"/>
  <c r="F161" i="8" l="1"/>
  <c r="E161" i="8"/>
  <c r="C162" i="8" s="1"/>
  <c r="F162" i="8" l="1"/>
  <c r="E162" i="8"/>
  <c r="C163" i="8" s="1"/>
  <c r="F163" i="8" l="1"/>
  <c r="E163" i="8"/>
  <c r="C164" i="8" s="1"/>
  <c r="F164" i="8" l="1"/>
  <c r="E164" i="8"/>
  <c r="C165" i="8" s="1"/>
  <c r="F165" i="8" l="1"/>
  <c r="E165" i="8"/>
  <c r="C166" i="8" s="1"/>
  <c r="E166" i="8" l="1"/>
  <c r="C167" i="8" s="1"/>
  <c r="F166" i="8"/>
  <c r="F167" i="8" l="1"/>
  <c r="E167" i="8"/>
  <c r="C168" i="8" s="1"/>
  <c r="F168" i="8" l="1"/>
  <c r="E168" i="8"/>
  <c r="C169" i="8" s="1"/>
  <c r="F169" i="8" l="1"/>
  <c r="E169" i="8"/>
  <c r="C170" i="8" s="1"/>
  <c r="F170" i="8" l="1"/>
  <c r="E170" i="8"/>
  <c r="C171" i="8" s="1"/>
  <c r="E171" i="8" l="1"/>
  <c r="C172" i="8" s="1"/>
  <c r="F171" i="8"/>
  <c r="F172" i="8" l="1"/>
  <c r="E172" i="8"/>
  <c r="C173" i="8" s="1"/>
  <c r="F173" i="8" l="1"/>
  <c r="E173" i="8"/>
  <c r="C174" i="8" s="1"/>
  <c r="F174" i="8" l="1"/>
  <c r="E174" i="8"/>
  <c r="C175" i="8" s="1"/>
  <c r="F175" i="8" l="1"/>
  <c r="E175" i="8"/>
  <c r="C176" i="8" s="1"/>
  <c r="F176" i="8" l="1"/>
  <c r="E176" i="8"/>
  <c r="C177" i="8" s="1"/>
  <c r="F177" i="8" l="1"/>
  <c r="E177" i="8"/>
  <c r="C178" i="8" s="1"/>
  <c r="E178" i="8" l="1"/>
  <c r="C179" i="8" s="1"/>
  <c r="F178" i="8"/>
  <c r="F179" i="8" l="1"/>
  <c r="E179" i="8"/>
  <c r="C180" i="8" s="1"/>
  <c r="F180" i="8" l="1"/>
  <c r="E180" i="8"/>
  <c r="C181" i="8" s="1"/>
  <c r="F181" i="8" l="1"/>
  <c r="E181" i="8"/>
  <c r="C182" i="8" s="1"/>
  <c r="F182" i="8" l="1"/>
  <c r="E182" i="8"/>
  <c r="C183" i="8" s="1"/>
  <c r="E183" i="8" l="1"/>
  <c r="C184" i="8" s="1"/>
  <c r="F183" i="8"/>
  <c r="F184" i="8" l="1"/>
  <c r="E184" i="8"/>
  <c r="C185" i="8" s="1"/>
  <c r="F185" i="8" l="1"/>
  <c r="M8" i="8" s="1"/>
  <c r="E18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CB186-4440-4B31-81B0-232AB23A99B2}" keepAlive="1" name="Zapytanie — staw" description="Połączenie z zapytaniem „staw” w skoroszycie." type="5" refreshedVersion="8" background="1" saveData="1">
    <dbPr connection="Provider=Microsoft.Mashup.OleDb.1;Data Source=$Workbook$;Location=staw;Extended Properties=&quot;&quot;" command="SELECT * FROM [staw]"/>
  </connection>
  <connection id="2" xr16:uid="{E9255C7D-C02E-494D-A71C-5EA9771377B6}" keepAlive="1" name="Zapytanie — staw (2)" description="Połączenie z zapytaniem „staw (2)” w skoroszycie." type="5" refreshedVersion="8" background="1" saveData="1">
    <dbPr connection="Provider=Microsoft.Mashup.OleDb.1;Data Source=$Workbook$;Location=&quot;staw (2)&quot;;Extended Properties=&quot;&quot;" command="SELECT * FROM [staw (2)]"/>
  </connection>
  <connection id="3" xr16:uid="{9DD84327-9E16-4A59-BD0E-9142495CA0A1}" keepAlive="1" name="Zapytanie — staw (3)" description="Połączenie z zapytaniem „staw (3)” w skoroszycie." type="5" refreshedVersion="8" background="1" saveData="1">
    <dbPr connection="Provider=Microsoft.Mashup.OleDb.1;Data Source=$Workbook$;Location=&quot;staw (3)&quot;;Extended Properties=&quot;&quot;" command="SELECT * FROM [staw (3)]"/>
  </connection>
  <connection id="4" xr16:uid="{32458FED-3B37-4586-AC99-F2C13516780C}" keepAlive="1" name="Zapytanie — staw (4)" description="Połączenie z zapytaniem „staw (4)” w skoroszycie." type="5" refreshedVersion="8" background="1" saveData="1">
    <dbPr connection="Provider=Microsoft.Mashup.OleDb.1;Data Source=$Workbook$;Location=&quot;staw (4)&quot;;Extended Properties=&quot;&quot;" command="SELECT * FROM [staw (4)]"/>
  </connection>
</connections>
</file>

<file path=xl/sharedStrings.xml><?xml version="1.0" encoding="utf-8"?>
<sst xmlns="http://schemas.openxmlformats.org/spreadsheetml/2006/main" count="455" uniqueCount="406">
  <si>
    <t>Data</t>
  </si>
  <si>
    <t>Temp</t>
  </si>
  <si>
    <t>Opady</t>
  </si>
  <si>
    <t>Etykiety wierszy</t>
  </si>
  <si>
    <t>Suma końcowa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</si>
  <si>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</si>
  <si>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</si>
  <si>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</si>
  <si>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</si>
  <si>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</si>
  <si>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</si>
  <si>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</si>
  <si>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</si>
  <si>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</si>
  <si>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</si>
  <si>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</si>
  <si>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</si>
  <si>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Średnia z Temp</t>
  </si>
  <si>
    <t>Miesiąc</t>
  </si>
  <si>
    <t>Suma z Opady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</si>
  <si>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</si>
  <si>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</si>
  <si>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</si>
  <si>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</si>
  <si>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</si>
  <si>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</si>
  <si>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</si>
  <si>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</si>
  <si>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</si>
  <si>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</si>
  <si>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</si>
  <si>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</si>
  <si>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</si>
  <si>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</si>
  <si>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</si>
  <si>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</si>
  <si>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</si>
  <si>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</si>
  <si>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</si>
  <si>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</si>
  <si>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</si>
  <si>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</si>
  <si>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</si>
  <si>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</si>
  <si>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</si>
  <si>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</si>
  <si>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</si>
  <si>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</si>
  <si>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</si>
  <si>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</si>
  <si>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</si>
  <si>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</si>
  <si>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</si>
  <si>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</si>
  <si>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</si>
  <si>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</si>
  <si>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</si>
  <si>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</si>
  <si>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</si>
  <si>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</si>
  <si>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</si>
  <si>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</si>
  <si>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</si>
  <si>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</si>
  <si>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</si>
  <si>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</si>
  <si>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</si>
  <si>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</si>
  <si>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</si>
  <si>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</si>
  <si>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</si>
  <si>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</si>
  <si>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</si>
  <si>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</si>
  <si>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</si>
  <si>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</si>
  <si>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</si>
  <si>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</si>
  <si>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</si>
  <si>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</si>
  <si>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</si>
  <si>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</si>
  <si>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</si>
  <si>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</si>
  <si>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</si>
  <si>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</si>
  <si>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</si>
  <si>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</si>
  <si>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</si>
  <si>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</si>
  <si>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</si>
  <si>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</si>
  <si>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</si>
  <si>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</si>
  <si>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</si>
  <si>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</si>
  <si>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</si>
  <si>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</si>
  <si>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</si>
  <si>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</si>
  <si>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</si>
  <si>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</si>
  <si>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</si>
  <si>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</si>
  <si>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</si>
  <si>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</si>
  <si>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</si>
  <si>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</si>
  <si>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</si>
  <si>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</si>
  <si>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</si>
  <si>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</si>
  <si>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</si>
  <si>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</si>
  <si>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</si>
  <si>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</si>
  <si>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</si>
  <si>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</si>
  <si>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</si>
  <si>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</si>
  <si>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</si>
  <si>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</si>
  <si>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</si>
  <si>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</si>
  <si>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</si>
  <si>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</si>
  <si>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</si>
  <si>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</si>
  <si>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</si>
  <si>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</si>
  <si>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</si>
  <si>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</si>
  <si>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</si>
  <si>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</si>
  <si>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</si>
  <si>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</si>
  <si>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</si>
  <si>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</si>
  <si>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</si>
  <si>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</si>
  <si>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</si>
  <si>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</si>
  <si>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</si>
  <si>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</si>
  <si>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</si>
  <si>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</si>
  <si>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</si>
  <si>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</si>
  <si>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</si>
  <si>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</si>
  <si>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</si>
  <si>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</si>
  <si>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</si>
  <si>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</si>
  <si>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</si>
  <si>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</si>
  <si>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</si>
  <si>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</si>
  <si>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</si>
  <si>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</si>
  <si>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</si>
  <si>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</si>
  <si>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</si>
  <si>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</si>
  <si>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</si>
  <si>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</si>
  <si>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</si>
  <si>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</si>
  <si>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</si>
  <si>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</si>
  <si>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</si>
  <si>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</si>
  <si>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</si>
  <si>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</si>
  <si>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</si>
  <si>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</si>
  <si>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</si>
  <si>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</si>
  <si>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</si>
  <si>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</si>
  <si>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</si>
  <si>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</si>
  <si>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</si>
  <si>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</si>
  <si>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</si>
  <si>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</si>
  <si>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</si>
  <si>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</si>
  <si>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</si>
  <si>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</si>
  <si>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</si>
  <si>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</si>
  <si>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</si>
  <si>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</si>
  <si>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</si>
  <si>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</si>
  <si>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</si>
  <si>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</si>
  <si>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</si>
  <si>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</si>
  <si>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</si>
  <si>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</si>
  <si>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</si>
  <si>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</si>
  <si>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</si>
  <si>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</si>
  <si>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</si>
  <si>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</si>
  <si>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</si>
  <si>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</si>
  <si>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</si>
  <si>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</si>
  <si>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</si>
  <si>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</si>
  <si>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</si>
  <si>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</si>
  <si>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</si>
  <si>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</si>
  <si>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</si>
  <si>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</si>
  <si>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</si>
  <si>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</si>
  <si>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</si>
  <si>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</si>
  <si>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</si>
  <si>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</si>
  <si>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</si>
  <si>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</si>
  <si>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</si>
  <si>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</si>
  <si>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</si>
  <si>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</si>
  <si>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</si>
  <si>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</si>
  <si>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</si>
  <si>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</si>
  <si>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</si>
  <si>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</si>
  <si>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</si>
  <si>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</si>
  <si>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</si>
  <si>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</si>
  <si>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</si>
  <si>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</si>
  <si>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</si>
  <si>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</si>
  <si>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</si>
  <si>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</si>
  <si>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</si>
  <si>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</si>
  <si>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</si>
  <si>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</si>
  <si>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</si>
  <si>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</si>
  <si>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</si>
  <si>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</si>
  <si>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</si>
  <si>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</si>
  <si>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</si>
  <si>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</si>
  <si>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</si>
  <si>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</si>
  <si>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</si>
  <si>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</si>
  <si>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</si>
  <si>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</si>
  <si>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</si>
  <si>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</si>
  <si>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</si>
  <si>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</si>
  <si>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</si>
  <si>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</si>
  <si>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</si>
  <si>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</si>
  <si>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</si>
  <si>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</si>
  <si>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</si>
  <si>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</si>
  <si>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</si>
  <si>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</si>
  <si>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</si>
  <si>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</si>
  <si>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</si>
  <si>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</si>
  <si>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</si>
  <si>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</si>
  <si>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</si>
  <si>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</si>
  <si>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</si>
  <si>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</si>
  <si>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</si>
  <si>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</si>
  <si>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</si>
  <si>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</si>
  <si>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</si>
  <si>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</si>
  <si>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</si>
  <si>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</si>
  <si>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</si>
  <si>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</si>
  <si>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</si>
  <si>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</si>
  <si>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</si>
  <si>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</si>
  <si>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</si>
  <si>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</si>
  <si>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</si>
  <si>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</si>
  <si>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</si>
  <si>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</si>
  <si>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</si>
  <si>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</si>
  <si>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</si>
  <si>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</si>
  <si>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</si>
  <si>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</si>
  <si>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</si>
  <si>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</si>
  <si>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</si>
  <si>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</si>
  <si>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</si>
  <si>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</si>
  <si>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</si>
  <si>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</si>
  <si>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</si>
  <si>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</si>
  <si>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</si>
  <si>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</si>
  <si>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</si>
  <si>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</si>
  <si>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</si>
  <si>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</si>
  <si>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</si>
  <si>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</si>
  <si>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</si>
  <si>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</si>
  <si>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</si>
  <si>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</si>
  <si>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</si>
  <si>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</si>
  <si>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</si>
  <si>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</si>
  <si>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</si>
  <si>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</si>
  <si>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</si>
  <si>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</si>
  <si>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</si>
  <si>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</si>
  <si>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</si>
  <si>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</si>
  <si>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</si>
  <si>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</si>
  <si>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</si>
  <si>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</si>
  <si>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</si>
  <si>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</si>
  <si>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</si>
  <si>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</si>
  <si>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</si>
  <si>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</si>
  <si>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</si>
  <si>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</si>
  <si>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</si>
  <si>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</si>
  <si>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</si>
  <si>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</si>
  <si>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</si>
  <si>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</si>
  <si>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</si>
  <si>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</si>
  <si>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</si>
  <si>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</si>
  <si>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</si>
  <si>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</si>
  <si>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</si>
  <si>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</si>
  <si>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</si>
  <si>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</si>
  <si>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</si>
  <si>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</si>
  <si>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</si>
  <si>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</si>
  <si>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</si>
  <si>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</si>
  <si>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</si>
  <si>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Ciąg</t>
  </si>
  <si>
    <t>Styczeń</t>
  </si>
  <si>
    <t>Luty</t>
  </si>
  <si>
    <t>Marzec</t>
  </si>
  <si>
    <t>Kwiecień</t>
  </si>
  <si>
    <t>Maj</t>
  </si>
  <si>
    <t>Czerwiec</t>
  </si>
  <si>
    <t>Lipiec</t>
  </si>
  <si>
    <t>Wrzesień</t>
  </si>
  <si>
    <t>Sierpień</t>
  </si>
  <si>
    <t>Październik</t>
  </si>
  <si>
    <t>Listopad</t>
  </si>
  <si>
    <t>Grudzień</t>
  </si>
  <si>
    <t>Najdłuższy ciąg</t>
  </si>
  <si>
    <t>Dzień tygodnia</t>
  </si>
  <si>
    <t>Stan rano</t>
  </si>
  <si>
    <t>Ubyto</t>
  </si>
  <si>
    <t>Stan wieczorem</t>
  </si>
  <si>
    <t>Procent rano</t>
  </si>
  <si>
    <t>Liczba amurów:</t>
  </si>
  <si>
    <t>Maksymalny [%] (F185)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</si>
</sst>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 indent="1"/>
    </xf>
    <xf numFmtId="0" fontId="0" fillId="3" borderId="0" xfId="0" applyFill="1"/>
    <xf numFmtId="0" fontId="0" fillId="3" borderId="1" xfId="0" applyFill="1" applyBorder="1"/>
    <xf numFmtId="14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9" fontId="0" fillId="0" borderId="0" xfId="1" applyFont="1"/>
    <xf numFmtId="14" fontId="0" fillId="4" borderId="0" xfId="0" applyNumberFormat="1" applyFill="1"/>
    <xf numFmtId="9" fontId="0" fillId="0" borderId="0" xfId="1" applyFont="1" applyFill="1"/>
    <xf numFmtId="0" fontId="0" fillId="5" borderId="1" xfId="0" applyFill="1" applyBorder="1"/>
    <xf numFmtId="0" fontId="0" fillId="6" borderId="1" xfId="0" applyFill="1" applyBorder="1"/>
    <xf numFmtId="9" fontId="0" fillId="6" borderId="1" xfId="0" applyNumberFormat="1" applyFill="1" applyBorder="1"/>
  </cellXfs>
  <cellStyles count="2">
    <cellStyle name="Normalny" xfId="0" builtinId="0"/>
    <cellStyle name="Procentowy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Średnia temperatura</a:t>
            </a:r>
            <a:r>
              <a:rPr lang="en-US" baseline="0"/>
              <a:t> w miesiącu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'7_1'!$C$7</c:f>
              <c:strCache>
                <c:ptCount val="1"/>
                <c:pt idx="0">
                  <c:v>Średnia z 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'7_1'!$B$8:$B$19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'7_1'!$C$8:$C$19</c:f>
              <c:numCache>
                <c:formatCode>General</c:formatCode>
                <c:ptCount val="12"/>
                <c:pt idx="0">
                  <c:v>1.1000000000000001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7.4</c:v>
                </c:pt>
                <c:pt idx="4">
                  <c:v>15.9</c:v>
                </c:pt>
                <c:pt idx="5">
                  <c:v>20.5</c:v>
                </c:pt>
                <c:pt idx="6">
                  <c:v>20.399999999999999</c:v>
                </c:pt>
                <c:pt idx="7">
                  <c:v>21.1</c:v>
                </c:pt>
                <c:pt idx="8">
                  <c:v>13.7</c:v>
                </c:pt>
                <c:pt idx="9">
                  <c:v>12.5</c:v>
                </c:pt>
                <c:pt idx="10">
                  <c:v>5.2</c:v>
                </c:pt>
                <c:pt idx="1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2-4065-A6C3-E6F13E0A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241007"/>
        <c:axId val="1439378671"/>
      </c:barChart>
      <c:catAx>
        <c:axId val="142724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Nazwa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78671"/>
        <c:crosses val="autoZero"/>
        <c:auto val="1"/>
        <c:lblAlgn val="ctr"/>
        <c:lblOffset val="100"/>
        <c:noMultiLvlLbl val="0"/>
      </c:catAx>
      <c:valAx>
        <c:axId val="14393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Średnia</a:t>
                </a:r>
                <a:r>
                  <a:rPr lang="en-GB" baseline="0"/>
                  <a:t> 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4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10885</xdr:colOff>
      <xdr:row>6</xdr:row>
      <xdr:rowOff>8165</xdr:rowOff>
    </xdr:from>
    <xdr:to>
      <xdr:col>11</xdr:col>
      <xdr:colOff>604156</xdr:colOff>
      <xdr:row>20</xdr:row>
      <xdr:rowOff>16329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856DB79-F061-EC49-7E9B-CF5074395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13.761997337962" createdVersion="8" refreshedVersion="8" minRefreshableVersion="3" recordCount="365" xr:uid="{8E051941-567A-482F-B47F-90E2C967CC37}">
  <cacheSource type="worksheet">
    <worksheetSource name="staw4"/>
  </cacheSource>
  <cacheFields count="5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4"/>
    </cacheField>
    <cacheField name="Temp" numFmtId="0">
      <sharedItems containsSemiMixedTypes="0" containsString="0" containsNumber="1" minValue="-6.6" maxValue="29.9" count="203">
        <n v="9.8000000000000007"/>
        <n v="8.1"/>
        <n v="9"/>
        <n v="7.3"/>
        <n v="5.7"/>
        <n v="1.7"/>
        <n v="-1.4"/>
        <n v="-1.5"/>
        <n v="-1.2"/>
        <n v="-3.8"/>
        <n v="-2.7"/>
        <n v="-3.9"/>
        <n v="1.6"/>
        <n v="3.1"/>
        <n v="1.2"/>
        <n v="-0.8"/>
        <n v="1.8"/>
        <n v="-0.2"/>
        <n v="1"/>
        <n v="0.5"/>
        <n v="-2.4"/>
        <n v="-2.5"/>
        <n v="-3.1"/>
        <n v="-6.6"/>
        <n v="0.2"/>
        <n v="2.2000000000000002"/>
        <n v="4"/>
        <n v="0.8"/>
        <n v="2"/>
        <n v="0.4"/>
        <n v="2.1"/>
        <n v="3.4"/>
        <n v="4.5"/>
        <n v="3.6"/>
        <n v="6.8"/>
        <n v="5.8"/>
        <n v="1.3"/>
        <n v="2.2999999999999998"/>
        <n v="5.6"/>
        <n v="6.4"/>
        <n v="7.4"/>
        <n v="6.9"/>
        <n v="8.8000000000000007"/>
        <n v="5.2"/>
        <n v="7.2"/>
        <n v="4.5999999999999996"/>
        <n v="3.9"/>
        <n v="1.9"/>
        <n v="-0.9"/>
        <n v="0.3"/>
        <n v="0.6"/>
        <n v="0.7"/>
        <n v="0"/>
        <n v="-1.6"/>
        <n v="-2.6"/>
        <n v="5.5"/>
        <n v="8.6"/>
        <n v="7.8"/>
        <n v="3.7"/>
        <n v="3"/>
        <n v="3.2"/>
        <n v="4.9000000000000004"/>
        <n v="9.1999999999999993"/>
        <n v="8.5"/>
        <n v="10.199999999999999"/>
        <n v="10.3"/>
        <n v="11.4"/>
        <n v="-0.1"/>
        <n v="2.8"/>
        <n v="11.6"/>
        <n v="14.3"/>
        <n v="11.3"/>
        <n v="4.3"/>
        <n v="13.9"/>
        <n v="6.2"/>
        <n v="5.4"/>
        <n v="5.3"/>
        <n v="4.7"/>
        <n v="7.7"/>
        <n v="9.4"/>
        <n v="11.1"/>
        <n v="9.5"/>
        <n v="12.1"/>
        <n v="12.8"/>
        <n v="14.4"/>
        <n v="15.3"/>
        <n v="15.4"/>
        <n v="16.100000000000001"/>
        <n v="14.9"/>
        <n v="16"/>
        <n v="16.3"/>
        <n v="15.5"/>
        <n v="15"/>
        <n v="18.600000000000001"/>
        <n v="22.2"/>
        <n v="17.399999999999999"/>
        <n v="16.2"/>
        <n v="16.399999999999999"/>
        <n v="15.9"/>
        <n v="15.8"/>
        <n v="12.4"/>
        <n v="20.3"/>
        <n v="19.8"/>
        <n v="14.1"/>
        <n v="13.1"/>
        <n v="16.7"/>
        <n v="12.3"/>
        <n v="13.3"/>
        <n v="14.2"/>
        <n v="17.2"/>
        <n v="19"/>
        <n v="16.899999999999999"/>
        <n v="18.399999999999999"/>
        <n v="17.5"/>
        <n v="19.899999999999999"/>
        <n v="21"/>
        <n v="22.7"/>
        <n v="19.2"/>
        <n v="19.399999999999999"/>
        <n v="18.100000000000001"/>
        <n v="18.2"/>
        <n v="17.899999999999999"/>
        <n v="20.100000000000001"/>
        <n v="24.6"/>
        <n v="24.7"/>
        <n v="18.7"/>
        <n v="19.100000000000001"/>
        <n v="21.4"/>
        <n v="24.4"/>
        <n v="24.1"/>
        <n v="26.1"/>
        <n v="24.9"/>
        <n v="29"/>
        <n v="29.9"/>
        <n v="19.7"/>
        <n v="21.6"/>
        <n v="17.600000000000001"/>
        <n v="14"/>
        <n v="21.7"/>
        <n v="23.2"/>
        <n v="17.100000000000001"/>
        <n v="22.1"/>
        <n v="25.6"/>
        <n v="25"/>
        <n v="21.8"/>
        <n v="21.9"/>
        <n v="20.399999999999999"/>
        <n v="21.1"/>
        <n v="20.7"/>
        <n v="16.600000000000001"/>
        <n v="22.6"/>
        <n v="18.5"/>
        <n v="19.600000000000001"/>
        <n v="22"/>
        <n v="23"/>
        <n v="22.9"/>
        <n v="26.8"/>
        <n v="24.5"/>
        <n v="21.2"/>
        <n v="20.6"/>
        <n v="16.5"/>
        <n v="12.2"/>
        <n v="14.7"/>
        <n v="14.5"/>
        <n v="12.6"/>
        <n v="9.3000000000000007"/>
        <n v="10.1"/>
        <n v="10.5"/>
        <n v="10.4"/>
        <n v="12"/>
        <n v="11"/>
        <n v="11.8"/>
        <n v="13"/>
        <n v="11.5"/>
        <n v="15.1"/>
        <n v="11.9"/>
        <n v="7.5"/>
        <n v="8.1999999999999993"/>
        <n v="16.8"/>
        <n v="13.6"/>
        <n v="13.8"/>
        <n v="13.4"/>
        <n v="13.2"/>
        <n v="10"/>
        <n v="9.1"/>
        <n v="6"/>
        <n v="5.9"/>
        <n v="-1"/>
        <n v="-2.2999999999999998"/>
        <n v="-2.8"/>
        <n v="0.1"/>
        <n v="-0.5"/>
        <n v="0.9"/>
        <n v="2.5"/>
        <n v="-1.9"/>
        <n v="-4.5999999999999996"/>
        <n v="-0.7"/>
        <n v="-3.3"/>
        <n v="-4.9000000000000004"/>
        <n v="-5.6"/>
        <n v="4.4000000000000004"/>
        <n v="8"/>
        <n v="5.0999999999999996"/>
      </sharedItems>
    </cacheField>
    <cacheField name="Opady" numFmtId="0">
      <sharedItems containsSemiMixedTypes="0" containsString="0" containsNumber="1" containsInteger="1" minValue="0" maxValue="43"/>
    </cacheField>
    <cacheField name="Dni (Data)" numFmtId="0" databaseField="0">
      <fieldGroup base="0">
        <rangePr groupBy="days" startDate="2022-01-01T00:00:00" endDate="2023-01-01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13.767180902774" createdVersion="8" refreshedVersion="8" minRefreshableVersion="3" recordCount="365" xr:uid="{79E2569C-31D6-4A12-9CB4-9E862EAE125A}">
  <cacheSource type="worksheet">
    <worksheetSource name="staw5"/>
  </cacheSource>
  <cacheFields count="5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4"/>
    </cacheField>
    <cacheField name="Temp" numFmtId="0">
      <sharedItems containsSemiMixedTypes="0" containsString="0" containsNumber="1" minValue="-6.6" maxValue="29.9"/>
    </cacheField>
    <cacheField name="Opady" numFmtId="0">
      <sharedItems containsSemiMixedTypes="0" containsString="0" containsNumber="1" containsInteger="1" minValue="0" maxValue="43"/>
    </cacheField>
    <cacheField name="Dni (Data)" numFmtId="0" databaseField="0">
      <fieldGroup base="0">
        <rangePr groupBy="days" startDate="2022-01-01T00:00:00" endDate="2023-01-01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  <n v="5"/>
  </r>
  <r>
    <x v="1"/>
    <x v="1"/>
    <n v="1"/>
  </r>
  <r>
    <x v="2"/>
    <x v="2"/>
    <n v="2"/>
  </r>
  <r>
    <x v="3"/>
    <x v="3"/>
    <n v="1"/>
  </r>
  <r>
    <x v="4"/>
    <x v="4"/>
    <n v="5"/>
  </r>
  <r>
    <x v="5"/>
    <x v="5"/>
    <n v="0"/>
  </r>
  <r>
    <x v="6"/>
    <x v="6"/>
    <n v="0"/>
  </r>
  <r>
    <x v="7"/>
    <x v="7"/>
    <n v="0"/>
  </r>
  <r>
    <x v="8"/>
    <x v="8"/>
    <n v="0"/>
  </r>
  <r>
    <x v="9"/>
    <x v="9"/>
    <n v="0"/>
  </r>
  <r>
    <x v="10"/>
    <x v="10"/>
    <n v="0"/>
  </r>
  <r>
    <x v="11"/>
    <x v="11"/>
    <n v="0"/>
  </r>
  <r>
    <x v="12"/>
    <x v="12"/>
    <n v="0"/>
  </r>
  <r>
    <x v="13"/>
    <x v="13"/>
    <n v="0"/>
  </r>
  <r>
    <x v="14"/>
    <x v="14"/>
    <n v="0"/>
  </r>
  <r>
    <x v="15"/>
    <x v="15"/>
    <n v="0"/>
  </r>
  <r>
    <x v="16"/>
    <x v="16"/>
    <n v="1"/>
  </r>
  <r>
    <x v="17"/>
    <x v="17"/>
    <n v="0"/>
  </r>
  <r>
    <x v="18"/>
    <x v="18"/>
    <n v="0"/>
  </r>
  <r>
    <x v="19"/>
    <x v="19"/>
    <n v="1"/>
  </r>
  <r>
    <x v="20"/>
    <x v="20"/>
    <n v="0"/>
  </r>
  <r>
    <x v="21"/>
    <x v="21"/>
    <n v="0"/>
  </r>
  <r>
    <x v="22"/>
    <x v="22"/>
    <n v="0"/>
  </r>
  <r>
    <x v="23"/>
    <x v="23"/>
    <n v="0"/>
  </r>
  <r>
    <x v="24"/>
    <x v="24"/>
    <n v="0"/>
  </r>
  <r>
    <x v="25"/>
    <x v="12"/>
    <n v="1"/>
  </r>
  <r>
    <x v="26"/>
    <x v="12"/>
    <n v="2"/>
  </r>
  <r>
    <x v="27"/>
    <x v="25"/>
    <n v="3"/>
  </r>
  <r>
    <x v="28"/>
    <x v="12"/>
    <n v="0"/>
  </r>
  <r>
    <x v="29"/>
    <x v="26"/>
    <n v="6"/>
  </r>
  <r>
    <x v="30"/>
    <x v="5"/>
    <n v="0"/>
  </r>
  <r>
    <x v="31"/>
    <x v="27"/>
    <n v="0"/>
  </r>
  <r>
    <x v="32"/>
    <x v="28"/>
    <n v="8"/>
  </r>
  <r>
    <x v="33"/>
    <x v="29"/>
    <n v="1"/>
  </r>
  <r>
    <x v="34"/>
    <x v="30"/>
    <n v="1"/>
  </r>
  <r>
    <x v="35"/>
    <x v="31"/>
    <n v="0"/>
  </r>
  <r>
    <x v="36"/>
    <x v="32"/>
    <n v="0"/>
  </r>
  <r>
    <x v="37"/>
    <x v="33"/>
    <n v="0"/>
  </r>
  <r>
    <x v="38"/>
    <x v="33"/>
    <n v="1"/>
  </r>
  <r>
    <x v="39"/>
    <x v="34"/>
    <n v="2"/>
  </r>
  <r>
    <x v="40"/>
    <x v="34"/>
    <n v="0"/>
  </r>
  <r>
    <x v="41"/>
    <x v="35"/>
    <n v="0"/>
  </r>
  <r>
    <x v="42"/>
    <x v="36"/>
    <n v="0"/>
  </r>
  <r>
    <x v="43"/>
    <x v="37"/>
    <n v="0"/>
  </r>
  <r>
    <x v="44"/>
    <x v="32"/>
    <n v="0"/>
  </r>
  <r>
    <x v="45"/>
    <x v="38"/>
    <n v="0"/>
  </r>
  <r>
    <x v="46"/>
    <x v="39"/>
    <n v="0"/>
  </r>
  <r>
    <x v="47"/>
    <x v="40"/>
    <n v="9"/>
  </r>
  <r>
    <x v="48"/>
    <x v="41"/>
    <n v="0"/>
  </r>
  <r>
    <x v="49"/>
    <x v="42"/>
    <n v="0"/>
  </r>
  <r>
    <x v="50"/>
    <x v="43"/>
    <n v="0"/>
  </r>
  <r>
    <x v="51"/>
    <x v="44"/>
    <n v="1"/>
  </r>
  <r>
    <x v="52"/>
    <x v="45"/>
    <n v="0"/>
  </r>
  <r>
    <x v="53"/>
    <x v="45"/>
    <n v="0"/>
  </r>
  <r>
    <x v="54"/>
    <x v="43"/>
    <n v="0"/>
  </r>
  <r>
    <x v="55"/>
    <x v="46"/>
    <n v="0"/>
  </r>
  <r>
    <x v="56"/>
    <x v="47"/>
    <n v="0"/>
  </r>
  <r>
    <x v="57"/>
    <x v="14"/>
    <n v="0"/>
  </r>
  <r>
    <x v="58"/>
    <x v="48"/>
    <n v="0"/>
  </r>
  <r>
    <x v="59"/>
    <x v="6"/>
    <n v="0"/>
  </r>
  <r>
    <x v="60"/>
    <x v="49"/>
    <n v="0"/>
  </r>
  <r>
    <x v="61"/>
    <x v="28"/>
    <n v="0"/>
  </r>
  <r>
    <x v="62"/>
    <x v="50"/>
    <n v="0"/>
  </r>
  <r>
    <x v="63"/>
    <x v="51"/>
    <n v="0"/>
  </r>
  <r>
    <x v="64"/>
    <x v="52"/>
    <n v="0"/>
  </r>
  <r>
    <x v="65"/>
    <x v="52"/>
    <n v="0"/>
  </r>
  <r>
    <x v="66"/>
    <x v="36"/>
    <n v="0"/>
  </r>
  <r>
    <x v="67"/>
    <x v="28"/>
    <n v="2"/>
  </r>
  <r>
    <x v="68"/>
    <x v="53"/>
    <n v="0"/>
  </r>
  <r>
    <x v="69"/>
    <x v="54"/>
    <n v="0"/>
  </r>
  <r>
    <x v="70"/>
    <x v="17"/>
    <n v="0"/>
  </r>
  <r>
    <x v="71"/>
    <x v="13"/>
    <n v="0"/>
  </r>
  <r>
    <x v="72"/>
    <x v="55"/>
    <n v="0"/>
  </r>
  <r>
    <x v="73"/>
    <x v="56"/>
    <n v="0"/>
  </r>
  <r>
    <x v="74"/>
    <x v="57"/>
    <n v="0"/>
  </r>
  <r>
    <x v="75"/>
    <x v="58"/>
    <n v="0"/>
  </r>
  <r>
    <x v="76"/>
    <x v="59"/>
    <n v="0"/>
  </r>
  <r>
    <x v="77"/>
    <x v="30"/>
    <n v="0"/>
  </r>
  <r>
    <x v="78"/>
    <x v="60"/>
    <n v="0"/>
  </r>
  <r>
    <x v="79"/>
    <x v="61"/>
    <n v="0"/>
  </r>
  <r>
    <x v="80"/>
    <x v="57"/>
    <n v="0"/>
  </r>
  <r>
    <x v="81"/>
    <x v="62"/>
    <n v="0"/>
  </r>
  <r>
    <x v="82"/>
    <x v="44"/>
    <n v="0"/>
  </r>
  <r>
    <x v="83"/>
    <x v="63"/>
    <n v="0"/>
  </r>
  <r>
    <x v="84"/>
    <x v="64"/>
    <n v="0"/>
  </r>
  <r>
    <x v="85"/>
    <x v="4"/>
    <n v="0"/>
  </r>
  <r>
    <x v="86"/>
    <x v="65"/>
    <n v="0"/>
  </r>
  <r>
    <x v="87"/>
    <x v="66"/>
    <n v="0"/>
  </r>
  <r>
    <x v="88"/>
    <x v="63"/>
    <n v="3"/>
  </r>
  <r>
    <x v="89"/>
    <x v="46"/>
    <n v="11"/>
  </r>
  <r>
    <x v="90"/>
    <x v="18"/>
    <n v="13"/>
  </r>
  <r>
    <x v="91"/>
    <x v="67"/>
    <n v="0"/>
  </r>
  <r>
    <x v="92"/>
    <x v="24"/>
    <n v="2"/>
  </r>
  <r>
    <x v="93"/>
    <x v="68"/>
    <n v="0"/>
  </r>
  <r>
    <x v="94"/>
    <x v="4"/>
    <n v="1"/>
  </r>
  <r>
    <x v="95"/>
    <x v="69"/>
    <n v="0"/>
  </r>
  <r>
    <x v="96"/>
    <x v="70"/>
    <n v="0"/>
  </r>
  <r>
    <x v="97"/>
    <x v="71"/>
    <n v="4"/>
  </r>
  <r>
    <x v="98"/>
    <x v="35"/>
    <n v="1"/>
  </r>
  <r>
    <x v="99"/>
    <x v="72"/>
    <n v="0"/>
  </r>
  <r>
    <x v="100"/>
    <x v="33"/>
    <n v="0"/>
  </r>
  <r>
    <x v="101"/>
    <x v="34"/>
    <n v="0"/>
  </r>
  <r>
    <x v="102"/>
    <x v="62"/>
    <n v="0"/>
  </r>
  <r>
    <x v="103"/>
    <x v="73"/>
    <n v="0"/>
  </r>
  <r>
    <x v="104"/>
    <x v="71"/>
    <n v="2"/>
  </r>
  <r>
    <x v="105"/>
    <x v="41"/>
    <n v="4"/>
  </r>
  <r>
    <x v="106"/>
    <x v="74"/>
    <n v="0"/>
  </r>
  <r>
    <x v="107"/>
    <x v="75"/>
    <n v="0"/>
  </r>
  <r>
    <x v="108"/>
    <x v="76"/>
    <n v="0"/>
  </r>
  <r>
    <x v="109"/>
    <x v="77"/>
    <n v="0"/>
  </r>
  <r>
    <x v="110"/>
    <x v="78"/>
    <n v="0"/>
  </r>
  <r>
    <x v="111"/>
    <x v="78"/>
    <n v="0"/>
  </r>
  <r>
    <x v="112"/>
    <x v="56"/>
    <n v="0"/>
  </r>
  <r>
    <x v="113"/>
    <x v="79"/>
    <n v="0"/>
  </r>
  <r>
    <x v="114"/>
    <x v="80"/>
    <n v="18"/>
  </r>
  <r>
    <x v="115"/>
    <x v="81"/>
    <n v="0"/>
  </r>
  <r>
    <x v="116"/>
    <x v="0"/>
    <n v="0"/>
  </r>
  <r>
    <x v="117"/>
    <x v="82"/>
    <n v="0"/>
  </r>
  <r>
    <x v="118"/>
    <x v="80"/>
    <n v="0"/>
  </r>
  <r>
    <x v="119"/>
    <x v="46"/>
    <n v="11"/>
  </r>
  <r>
    <x v="120"/>
    <x v="83"/>
    <n v="0"/>
  </r>
  <r>
    <x v="121"/>
    <x v="84"/>
    <n v="0"/>
  </r>
  <r>
    <x v="122"/>
    <x v="85"/>
    <n v="0"/>
  </r>
  <r>
    <x v="123"/>
    <x v="86"/>
    <n v="0"/>
  </r>
  <r>
    <x v="124"/>
    <x v="87"/>
    <n v="0"/>
  </r>
  <r>
    <x v="125"/>
    <x v="88"/>
    <n v="0"/>
  </r>
  <r>
    <x v="126"/>
    <x v="89"/>
    <n v="0"/>
  </r>
  <r>
    <x v="127"/>
    <x v="90"/>
    <n v="0"/>
  </r>
  <r>
    <x v="128"/>
    <x v="91"/>
    <n v="0"/>
  </r>
  <r>
    <x v="129"/>
    <x v="92"/>
    <n v="0"/>
  </r>
  <r>
    <x v="130"/>
    <x v="93"/>
    <n v="0"/>
  </r>
  <r>
    <x v="131"/>
    <x v="94"/>
    <n v="0"/>
  </r>
  <r>
    <x v="132"/>
    <x v="95"/>
    <n v="0"/>
  </r>
  <r>
    <x v="133"/>
    <x v="96"/>
    <n v="0"/>
  </r>
  <r>
    <x v="134"/>
    <x v="97"/>
    <n v="0"/>
  </r>
  <r>
    <x v="135"/>
    <x v="98"/>
    <n v="0"/>
  </r>
  <r>
    <x v="136"/>
    <x v="99"/>
    <n v="0"/>
  </r>
  <r>
    <x v="137"/>
    <x v="100"/>
    <n v="0"/>
  </r>
  <r>
    <x v="138"/>
    <x v="89"/>
    <n v="0"/>
  </r>
  <r>
    <x v="139"/>
    <x v="101"/>
    <n v="0"/>
  </r>
  <r>
    <x v="140"/>
    <x v="102"/>
    <n v="1"/>
  </r>
  <r>
    <x v="141"/>
    <x v="103"/>
    <n v="0"/>
  </r>
  <r>
    <x v="142"/>
    <x v="104"/>
    <n v="0"/>
  </r>
  <r>
    <x v="143"/>
    <x v="87"/>
    <n v="0"/>
  </r>
  <r>
    <x v="144"/>
    <x v="87"/>
    <n v="0"/>
  </r>
  <r>
    <x v="145"/>
    <x v="105"/>
    <n v="0"/>
  </r>
  <r>
    <x v="146"/>
    <x v="89"/>
    <n v="0"/>
  </r>
  <r>
    <x v="147"/>
    <x v="106"/>
    <n v="0"/>
  </r>
  <r>
    <x v="148"/>
    <x v="107"/>
    <n v="0"/>
  </r>
  <r>
    <x v="149"/>
    <x v="108"/>
    <n v="1"/>
  </r>
  <r>
    <x v="150"/>
    <x v="109"/>
    <n v="0"/>
  </r>
  <r>
    <x v="151"/>
    <x v="110"/>
    <n v="0"/>
  </r>
  <r>
    <x v="152"/>
    <x v="111"/>
    <n v="1"/>
  </r>
  <r>
    <x v="153"/>
    <x v="112"/>
    <n v="0"/>
  </r>
  <r>
    <x v="154"/>
    <x v="113"/>
    <n v="0"/>
  </r>
  <r>
    <x v="155"/>
    <x v="114"/>
    <n v="0"/>
  </r>
  <r>
    <x v="156"/>
    <x v="115"/>
    <n v="0"/>
  </r>
  <r>
    <x v="157"/>
    <x v="116"/>
    <n v="0"/>
  </r>
  <r>
    <x v="158"/>
    <x v="117"/>
    <n v="0"/>
  </r>
  <r>
    <x v="159"/>
    <x v="93"/>
    <n v="43"/>
  </r>
  <r>
    <x v="160"/>
    <x v="112"/>
    <n v="0"/>
  </r>
  <r>
    <x v="161"/>
    <x v="118"/>
    <n v="0"/>
  </r>
  <r>
    <x v="162"/>
    <x v="114"/>
    <n v="0"/>
  </r>
  <r>
    <x v="163"/>
    <x v="119"/>
    <n v="7"/>
  </r>
  <r>
    <x v="164"/>
    <x v="85"/>
    <n v="0"/>
  </r>
  <r>
    <x v="165"/>
    <x v="87"/>
    <n v="0"/>
  </r>
  <r>
    <x v="166"/>
    <x v="120"/>
    <n v="15"/>
  </r>
  <r>
    <x v="167"/>
    <x v="121"/>
    <n v="0"/>
  </r>
  <r>
    <x v="168"/>
    <x v="122"/>
    <n v="0"/>
  </r>
  <r>
    <x v="169"/>
    <x v="123"/>
    <n v="0"/>
  </r>
  <r>
    <x v="170"/>
    <x v="124"/>
    <n v="0"/>
  </r>
  <r>
    <x v="171"/>
    <x v="97"/>
    <n v="0"/>
  </r>
  <r>
    <x v="172"/>
    <x v="125"/>
    <n v="0"/>
  </r>
  <r>
    <x v="173"/>
    <x v="126"/>
    <n v="0"/>
  </r>
  <r>
    <x v="174"/>
    <x v="127"/>
    <n v="0"/>
  </r>
  <r>
    <x v="175"/>
    <x v="128"/>
    <n v="0"/>
  </r>
  <r>
    <x v="176"/>
    <x v="129"/>
    <n v="0"/>
  </r>
  <r>
    <x v="177"/>
    <x v="130"/>
    <n v="0"/>
  </r>
  <r>
    <x v="178"/>
    <x v="123"/>
    <n v="1"/>
  </r>
  <r>
    <x v="179"/>
    <x v="131"/>
    <n v="0"/>
  </r>
  <r>
    <x v="180"/>
    <x v="132"/>
    <n v="0"/>
  </r>
  <r>
    <x v="181"/>
    <x v="133"/>
    <n v="0"/>
  </r>
  <r>
    <x v="182"/>
    <x v="134"/>
    <n v="0"/>
  </r>
  <r>
    <x v="183"/>
    <x v="135"/>
    <n v="0"/>
  </r>
  <r>
    <x v="184"/>
    <x v="129"/>
    <n v="0"/>
  </r>
  <r>
    <x v="185"/>
    <x v="102"/>
    <n v="17"/>
  </r>
  <r>
    <x v="186"/>
    <x v="136"/>
    <n v="21"/>
  </r>
  <r>
    <x v="187"/>
    <x v="120"/>
    <n v="0"/>
  </r>
  <r>
    <x v="188"/>
    <x v="95"/>
    <n v="0"/>
  </r>
  <r>
    <x v="189"/>
    <x v="121"/>
    <n v="0"/>
  </r>
  <r>
    <x v="190"/>
    <x v="87"/>
    <n v="4"/>
  </r>
  <r>
    <x v="191"/>
    <x v="137"/>
    <n v="3"/>
  </r>
  <r>
    <x v="192"/>
    <x v="90"/>
    <n v="2"/>
  </r>
  <r>
    <x v="193"/>
    <x v="138"/>
    <n v="0"/>
  </r>
  <r>
    <x v="194"/>
    <x v="139"/>
    <n v="4"/>
  </r>
  <r>
    <x v="195"/>
    <x v="126"/>
    <n v="2"/>
  </r>
  <r>
    <x v="196"/>
    <x v="87"/>
    <n v="0"/>
  </r>
  <r>
    <x v="197"/>
    <x v="140"/>
    <n v="0"/>
  </r>
  <r>
    <x v="198"/>
    <x v="125"/>
    <n v="0"/>
  </r>
  <r>
    <x v="199"/>
    <x v="141"/>
    <n v="0"/>
  </r>
  <r>
    <x v="200"/>
    <x v="123"/>
    <n v="0"/>
  </r>
  <r>
    <x v="201"/>
    <x v="129"/>
    <n v="0"/>
  </r>
  <r>
    <x v="202"/>
    <x v="142"/>
    <n v="0"/>
  </r>
  <r>
    <x v="203"/>
    <x v="143"/>
    <n v="0"/>
  </r>
  <r>
    <x v="204"/>
    <x v="144"/>
    <n v="0"/>
  </r>
  <r>
    <x v="205"/>
    <x v="145"/>
    <n v="0"/>
  </r>
  <r>
    <x v="206"/>
    <x v="146"/>
    <n v="3"/>
  </r>
  <r>
    <x v="207"/>
    <x v="114"/>
    <n v="0"/>
  </r>
  <r>
    <x v="208"/>
    <x v="114"/>
    <n v="7"/>
  </r>
  <r>
    <x v="209"/>
    <x v="147"/>
    <n v="0"/>
  </r>
  <r>
    <x v="210"/>
    <x v="148"/>
    <n v="37"/>
  </r>
  <r>
    <x v="211"/>
    <x v="149"/>
    <n v="0"/>
  </r>
  <r>
    <x v="212"/>
    <x v="134"/>
    <n v="5"/>
  </r>
  <r>
    <x v="213"/>
    <x v="115"/>
    <n v="1"/>
  </r>
  <r>
    <x v="214"/>
    <x v="145"/>
    <n v="0"/>
  </r>
  <r>
    <x v="215"/>
    <x v="150"/>
    <n v="0"/>
  </r>
  <r>
    <x v="216"/>
    <x v="128"/>
    <n v="0"/>
  </r>
  <r>
    <x v="217"/>
    <x v="122"/>
    <n v="0"/>
  </r>
  <r>
    <x v="218"/>
    <x v="151"/>
    <n v="0"/>
  </r>
  <r>
    <x v="219"/>
    <x v="140"/>
    <n v="0"/>
  </r>
  <r>
    <x v="220"/>
    <x v="152"/>
    <n v="0"/>
  </r>
  <r>
    <x v="221"/>
    <x v="117"/>
    <n v="0"/>
  </r>
  <r>
    <x v="222"/>
    <x v="140"/>
    <n v="3"/>
  </r>
  <r>
    <x v="223"/>
    <x v="136"/>
    <n v="0"/>
  </r>
  <r>
    <x v="224"/>
    <x v="102"/>
    <n v="0"/>
  </r>
  <r>
    <x v="225"/>
    <x v="153"/>
    <n v="4"/>
  </r>
  <r>
    <x v="226"/>
    <x v="154"/>
    <n v="0"/>
  </r>
  <r>
    <x v="227"/>
    <x v="94"/>
    <n v="0"/>
  </r>
  <r>
    <x v="228"/>
    <x v="155"/>
    <n v="0"/>
  </r>
  <r>
    <x v="229"/>
    <x v="129"/>
    <n v="0"/>
  </r>
  <r>
    <x v="230"/>
    <x v="156"/>
    <n v="0"/>
  </r>
  <r>
    <x v="231"/>
    <x v="157"/>
    <n v="0"/>
  </r>
  <r>
    <x v="232"/>
    <x v="148"/>
    <n v="4"/>
  </r>
  <r>
    <x v="233"/>
    <x v="122"/>
    <n v="11"/>
  </r>
  <r>
    <x v="234"/>
    <x v="145"/>
    <n v="0"/>
  </r>
  <r>
    <x v="235"/>
    <x v="158"/>
    <n v="4"/>
  </r>
  <r>
    <x v="236"/>
    <x v="139"/>
    <n v="0"/>
  </r>
  <r>
    <x v="237"/>
    <x v="155"/>
    <n v="0"/>
  </r>
  <r>
    <x v="238"/>
    <x v="155"/>
    <n v="0"/>
  </r>
  <r>
    <x v="239"/>
    <x v="116"/>
    <n v="0"/>
  </r>
  <r>
    <x v="240"/>
    <x v="159"/>
    <n v="0"/>
  </r>
  <r>
    <x v="241"/>
    <x v="93"/>
    <n v="0"/>
  </r>
  <r>
    <x v="242"/>
    <x v="96"/>
    <n v="1"/>
  </r>
  <r>
    <x v="243"/>
    <x v="91"/>
    <n v="0"/>
  </r>
  <r>
    <x v="244"/>
    <x v="84"/>
    <n v="0"/>
  </r>
  <r>
    <x v="245"/>
    <x v="70"/>
    <n v="0"/>
  </r>
  <r>
    <x v="246"/>
    <x v="91"/>
    <n v="0"/>
  </r>
  <r>
    <x v="247"/>
    <x v="160"/>
    <n v="0"/>
  </r>
  <r>
    <x v="248"/>
    <x v="99"/>
    <n v="0"/>
  </r>
  <r>
    <x v="249"/>
    <x v="97"/>
    <n v="0"/>
  </r>
  <r>
    <x v="250"/>
    <x v="102"/>
    <n v="0"/>
  </r>
  <r>
    <x v="251"/>
    <x v="118"/>
    <n v="0"/>
  </r>
  <r>
    <x v="252"/>
    <x v="85"/>
    <n v="0"/>
  </r>
  <r>
    <x v="253"/>
    <x v="70"/>
    <n v="0"/>
  </r>
  <r>
    <x v="254"/>
    <x v="161"/>
    <n v="0"/>
  </r>
  <r>
    <x v="255"/>
    <x v="162"/>
    <n v="0"/>
  </r>
  <r>
    <x v="256"/>
    <x v="112"/>
    <n v="0"/>
  </r>
  <r>
    <x v="257"/>
    <x v="149"/>
    <n v="6"/>
  </r>
  <r>
    <x v="258"/>
    <x v="163"/>
    <n v="0"/>
  </r>
  <r>
    <x v="259"/>
    <x v="164"/>
    <n v="0"/>
  </r>
  <r>
    <x v="260"/>
    <x v="65"/>
    <n v="8"/>
  </r>
  <r>
    <x v="261"/>
    <x v="165"/>
    <n v="6"/>
  </r>
  <r>
    <x v="262"/>
    <x v="65"/>
    <n v="6"/>
  </r>
  <r>
    <x v="263"/>
    <x v="65"/>
    <n v="0"/>
  </r>
  <r>
    <x v="264"/>
    <x v="166"/>
    <n v="2"/>
  </r>
  <r>
    <x v="265"/>
    <x v="167"/>
    <n v="0"/>
  </r>
  <r>
    <x v="266"/>
    <x v="168"/>
    <n v="0"/>
  </r>
  <r>
    <x v="267"/>
    <x v="100"/>
    <n v="0"/>
  </r>
  <r>
    <x v="268"/>
    <x v="169"/>
    <n v="3"/>
  </r>
  <r>
    <x v="269"/>
    <x v="161"/>
    <n v="2"/>
  </r>
  <r>
    <x v="270"/>
    <x v="107"/>
    <n v="0"/>
  </r>
  <r>
    <x v="271"/>
    <x v="170"/>
    <n v="6"/>
  </r>
  <r>
    <x v="272"/>
    <x v="171"/>
    <n v="10"/>
  </r>
  <r>
    <x v="273"/>
    <x v="172"/>
    <n v="4"/>
  </r>
  <r>
    <x v="274"/>
    <x v="82"/>
    <n v="8"/>
  </r>
  <r>
    <x v="275"/>
    <x v="168"/>
    <n v="2"/>
  </r>
  <r>
    <x v="276"/>
    <x v="167"/>
    <n v="0"/>
  </r>
  <r>
    <x v="277"/>
    <x v="173"/>
    <n v="0"/>
  </r>
  <r>
    <x v="278"/>
    <x v="86"/>
    <n v="0"/>
  </r>
  <r>
    <x v="279"/>
    <x v="174"/>
    <n v="0"/>
  </r>
  <r>
    <x v="280"/>
    <x v="85"/>
    <n v="0"/>
  </r>
  <r>
    <x v="281"/>
    <x v="175"/>
    <n v="0"/>
  </r>
  <r>
    <x v="282"/>
    <x v="64"/>
    <n v="0"/>
  </r>
  <r>
    <x v="283"/>
    <x v="167"/>
    <n v="0"/>
  </r>
  <r>
    <x v="284"/>
    <x v="176"/>
    <n v="0"/>
  </r>
  <r>
    <x v="285"/>
    <x v="177"/>
    <n v="0"/>
  </r>
  <r>
    <x v="286"/>
    <x v="69"/>
    <n v="0"/>
  </r>
  <r>
    <x v="287"/>
    <x v="88"/>
    <n v="0"/>
  </r>
  <r>
    <x v="288"/>
    <x v="87"/>
    <n v="0"/>
  </r>
  <r>
    <x v="289"/>
    <x v="149"/>
    <n v="0"/>
  </r>
  <r>
    <x v="290"/>
    <x v="178"/>
    <n v="0"/>
  </r>
  <r>
    <x v="291"/>
    <x v="69"/>
    <n v="2"/>
  </r>
  <r>
    <x v="292"/>
    <x v="55"/>
    <n v="0"/>
  </r>
  <r>
    <x v="293"/>
    <x v="176"/>
    <n v="0"/>
  </r>
  <r>
    <x v="294"/>
    <x v="66"/>
    <n v="0"/>
  </r>
  <r>
    <x v="295"/>
    <x v="108"/>
    <n v="0"/>
  </r>
  <r>
    <x v="296"/>
    <x v="163"/>
    <n v="0"/>
  </r>
  <r>
    <x v="297"/>
    <x v="70"/>
    <n v="12"/>
  </r>
  <r>
    <x v="298"/>
    <x v="179"/>
    <n v="0"/>
  </r>
  <r>
    <x v="299"/>
    <x v="169"/>
    <n v="0"/>
  </r>
  <r>
    <x v="300"/>
    <x v="104"/>
    <n v="0"/>
  </r>
  <r>
    <x v="301"/>
    <x v="70"/>
    <n v="0"/>
  </r>
  <r>
    <x v="302"/>
    <x v="180"/>
    <n v="0"/>
  </r>
  <r>
    <x v="303"/>
    <x v="181"/>
    <n v="0"/>
  </r>
  <r>
    <x v="304"/>
    <x v="66"/>
    <n v="0"/>
  </r>
  <r>
    <x v="305"/>
    <x v="182"/>
    <n v="0"/>
  </r>
  <r>
    <x v="306"/>
    <x v="170"/>
    <n v="0"/>
  </r>
  <r>
    <x v="307"/>
    <x v="100"/>
    <n v="0"/>
  </r>
  <r>
    <x v="308"/>
    <x v="0"/>
    <n v="9"/>
  </r>
  <r>
    <x v="309"/>
    <x v="56"/>
    <n v="0"/>
  </r>
  <r>
    <x v="310"/>
    <x v="165"/>
    <n v="0"/>
  </r>
  <r>
    <x v="311"/>
    <x v="165"/>
    <n v="0"/>
  </r>
  <r>
    <x v="312"/>
    <x v="183"/>
    <n v="0"/>
  </r>
  <r>
    <x v="313"/>
    <x v="78"/>
    <n v="0"/>
  </r>
  <r>
    <x v="314"/>
    <x v="0"/>
    <n v="0"/>
  </r>
  <r>
    <x v="315"/>
    <x v="184"/>
    <n v="0"/>
  </r>
  <r>
    <x v="316"/>
    <x v="39"/>
    <n v="0"/>
  </r>
  <r>
    <x v="317"/>
    <x v="185"/>
    <n v="0"/>
  </r>
  <r>
    <x v="318"/>
    <x v="176"/>
    <n v="0"/>
  </r>
  <r>
    <x v="319"/>
    <x v="186"/>
    <n v="7"/>
  </r>
  <r>
    <x v="320"/>
    <x v="14"/>
    <n v="3"/>
  </r>
  <r>
    <x v="321"/>
    <x v="187"/>
    <n v="0"/>
  </r>
  <r>
    <x v="322"/>
    <x v="188"/>
    <n v="0"/>
  </r>
  <r>
    <x v="323"/>
    <x v="189"/>
    <n v="0"/>
  </r>
  <r>
    <x v="324"/>
    <x v="27"/>
    <n v="1"/>
  </r>
  <r>
    <x v="325"/>
    <x v="68"/>
    <n v="0"/>
  </r>
  <r>
    <x v="326"/>
    <x v="67"/>
    <n v="0"/>
  </r>
  <r>
    <x v="327"/>
    <x v="190"/>
    <n v="1"/>
  </r>
  <r>
    <x v="328"/>
    <x v="36"/>
    <n v="0"/>
  </r>
  <r>
    <x v="329"/>
    <x v="32"/>
    <n v="0"/>
  </r>
  <r>
    <x v="330"/>
    <x v="37"/>
    <n v="0"/>
  </r>
  <r>
    <x v="331"/>
    <x v="30"/>
    <n v="0"/>
  </r>
  <r>
    <x v="332"/>
    <x v="24"/>
    <n v="0"/>
  </r>
  <r>
    <x v="333"/>
    <x v="191"/>
    <n v="0"/>
  </r>
  <r>
    <x v="334"/>
    <x v="192"/>
    <n v="0"/>
  </r>
  <r>
    <x v="335"/>
    <x v="187"/>
    <n v="0"/>
  </r>
  <r>
    <x v="336"/>
    <x v="29"/>
    <n v="0"/>
  </r>
  <r>
    <x v="337"/>
    <x v="30"/>
    <n v="0"/>
  </r>
  <r>
    <x v="338"/>
    <x v="32"/>
    <n v="0"/>
  </r>
  <r>
    <x v="339"/>
    <x v="68"/>
    <n v="7"/>
  </r>
  <r>
    <x v="340"/>
    <x v="193"/>
    <n v="1"/>
  </r>
  <r>
    <x v="341"/>
    <x v="37"/>
    <n v="0"/>
  </r>
  <r>
    <x v="342"/>
    <x v="25"/>
    <n v="14"/>
  </r>
  <r>
    <x v="343"/>
    <x v="50"/>
    <n v="0"/>
  </r>
  <r>
    <x v="344"/>
    <x v="194"/>
    <n v="0"/>
  </r>
  <r>
    <x v="345"/>
    <x v="54"/>
    <n v="0"/>
  </r>
  <r>
    <x v="346"/>
    <x v="22"/>
    <n v="0"/>
  </r>
  <r>
    <x v="347"/>
    <x v="195"/>
    <n v="0"/>
  </r>
  <r>
    <x v="348"/>
    <x v="53"/>
    <n v="0"/>
  </r>
  <r>
    <x v="349"/>
    <x v="196"/>
    <n v="0"/>
  </r>
  <r>
    <x v="350"/>
    <x v="197"/>
    <n v="0"/>
  </r>
  <r>
    <x v="351"/>
    <x v="198"/>
    <n v="0"/>
  </r>
  <r>
    <x v="352"/>
    <x v="199"/>
    <n v="0"/>
  </r>
  <r>
    <x v="353"/>
    <x v="30"/>
    <n v="5"/>
  </r>
  <r>
    <x v="354"/>
    <x v="47"/>
    <n v="8"/>
  </r>
  <r>
    <x v="355"/>
    <x v="58"/>
    <n v="0"/>
  </r>
  <r>
    <x v="356"/>
    <x v="200"/>
    <n v="0"/>
  </r>
  <r>
    <x v="357"/>
    <x v="35"/>
    <n v="8"/>
  </r>
  <r>
    <x v="358"/>
    <x v="74"/>
    <n v="0"/>
  </r>
  <r>
    <x v="359"/>
    <x v="201"/>
    <n v="0"/>
  </r>
  <r>
    <x v="360"/>
    <x v="186"/>
    <n v="0"/>
  </r>
  <r>
    <x v="361"/>
    <x v="60"/>
    <n v="0"/>
  </r>
  <r>
    <x v="362"/>
    <x v="77"/>
    <n v="0"/>
  </r>
  <r>
    <x v="363"/>
    <x v="202"/>
    <n v="0"/>
  </r>
  <r>
    <x v="364"/>
    <x v="16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9.8000000000000007"/>
    <n v="5"/>
  </r>
  <r>
    <x v="1"/>
    <n v="8.1"/>
    <n v="1"/>
  </r>
  <r>
    <x v="2"/>
    <n v="9"/>
    <n v="2"/>
  </r>
  <r>
    <x v="3"/>
    <n v="7.3"/>
    <n v="1"/>
  </r>
  <r>
    <x v="4"/>
    <n v="5.7"/>
    <n v="5"/>
  </r>
  <r>
    <x v="5"/>
    <n v="1.7"/>
    <n v="0"/>
  </r>
  <r>
    <x v="6"/>
    <n v="-1.4"/>
    <n v="0"/>
  </r>
  <r>
    <x v="7"/>
    <n v="-1.5"/>
    <n v="0"/>
  </r>
  <r>
    <x v="8"/>
    <n v="-1.2"/>
    <n v="0"/>
  </r>
  <r>
    <x v="9"/>
    <n v="-3.8"/>
    <n v="0"/>
  </r>
  <r>
    <x v="10"/>
    <n v="-2.7"/>
    <n v="0"/>
  </r>
  <r>
    <x v="11"/>
    <n v="-3.9"/>
    <n v="0"/>
  </r>
  <r>
    <x v="12"/>
    <n v="1.6"/>
    <n v="0"/>
  </r>
  <r>
    <x v="13"/>
    <n v="3.1"/>
    <n v="0"/>
  </r>
  <r>
    <x v="14"/>
    <n v="1.2"/>
    <n v="0"/>
  </r>
  <r>
    <x v="15"/>
    <n v="-0.8"/>
    <n v="0"/>
  </r>
  <r>
    <x v="16"/>
    <n v="1.8"/>
    <n v="1"/>
  </r>
  <r>
    <x v="17"/>
    <n v="-0.2"/>
    <n v="0"/>
  </r>
  <r>
    <x v="18"/>
    <n v="1"/>
    <n v="0"/>
  </r>
  <r>
    <x v="19"/>
    <n v="0.5"/>
    <n v="1"/>
  </r>
  <r>
    <x v="20"/>
    <n v="-2.4"/>
    <n v="0"/>
  </r>
  <r>
    <x v="21"/>
    <n v="-2.5"/>
    <n v="0"/>
  </r>
  <r>
    <x v="22"/>
    <n v="-3.1"/>
    <n v="0"/>
  </r>
  <r>
    <x v="23"/>
    <n v="-6.6"/>
    <n v="0"/>
  </r>
  <r>
    <x v="24"/>
    <n v="0.2"/>
    <n v="0"/>
  </r>
  <r>
    <x v="25"/>
    <n v="1.6"/>
    <n v="1"/>
  </r>
  <r>
    <x v="26"/>
    <n v="1.6"/>
    <n v="2"/>
  </r>
  <r>
    <x v="27"/>
    <n v="2.2000000000000002"/>
    <n v="3"/>
  </r>
  <r>
    <x v="28"/>
    <n v="1.6"/>
    <n v="0"/>
  </r>
  <r>
    <x v="29"/>
    <n v="4"/>
    <n v="6"/>
  </r>
  <r>
    <x v="30"/>
    <n v="1.7"/>
    <n v="0"/>
  </r>
  <r>
    <x v="31"/>
    <n v="0.8"/>
    <n v="0"/>
  </r>
  <r>
    <x v="32"/>
    <n v="2"/>
    <n v="8"/>
  </r>
  <r>
    <x v="33"/>
    <n v="0.4"/>
    <n v="1"/>
  </r>
  <r>
    <x v="34"/>
    <n v="2.1"/>
    <n v="1"/>
  </r>
  <r>
    <x v="35"/>
    <n v="3.4"/>
    <n v="0"/>
  </r>
  <r>
    <x v="36"/>
    <n v="4.5"/>
    <n v="0"/>
  </r>
  <r>
    <x v="37"/>
    <n v="3.6"/>
    <n v="0"/>
  </r>
  <r>
    <x v="38"/>
    <n v="3.6"/>
    <n v="1"/>
  </r>
  <r>
    <x v="39"/>
    <n v="6.8"/>
    <n v="2"/>
  </r>
  <r>
    <x v="40"/>
    <n v="6.8"/>
    <n v="0"/>
  </r>
  <r>
    <x v="41"/>
    <n v="5.8"/>
    <n v="0"/>
  </r>
  <r>
    <x v="42"/>
    <n v="1.3"/>
    <n v="0"/>
  </r>
  <r>
    <x v="43"/>
    <n v="2.2999999999999998"/>
    <n v="0"/>
  </r>
  <r>
    <x v="44"/>
    <n v="4.5"/>
    <n v="0"/>
  </r>
  <r>
    <x v="45"/>
    <n v="5.6"/>
    <n v="0"/>
  </r>
  <r>
    <x v="46"/>
    <n v="6.4"/>
    <n v="0"/>
  </r>
  <r>
    <x v="47"/>
    <n v="7.4"/>
    <n v="9"/>
  </r>
  <r>
    <x v="48"/>
    <n v="6.9"/>
    <n v="0"/>
  </r>
  <r>
    <x v="49"/>
    <n v="8.8000000000000007"/>
    <n v="0"/>
  </r>
  <r>
    <x v="50"/>
    <n v="5.2"/>
    <n v="0"/>
  </r>
  <r>
    <x v="51"/>
    <n v="7.2"/>
    <n v="1"/>
  </r>
  <r>
    <x v="52"/>
    <n v="4.5999999999999996"/>
    <n v="0"/>
  </r>
  <r>
    <x v="53"/>
    <n v="4.5999999999999996"/>
    <n v="0"/>
  </r>
  <r>
    <x v="54"/>
    <n v="5.2"/>
    <n v="0"/>
  </r>
  <r>
    <x v="55"/>
    <n v="3.9"/>
    <n v="0"/>
  </r>
  <r>
    <x v="56"/>
    <n v="1.9"/>
    <n v="0"/>
  </r>
  <r>
    <x v="57"/>
    <n v="1.2"/>
    <n v="0"/>
  </r>
  <r>
    <x v="58"/>
    <n v="-0.9"/>
    <n v="0"/>
  </r>
  <r>
    <x v="59"/>
    <n v="-1.4"/>
    <n v="0"/>
  </r>
  <r>
    <x v="60"/>
    <n v="0.3"/>
    <n v="0"/>
  </r>
  <r>
    <x v="61"/>
    <n v="2"/>
    <n v="0"/>
  </r>
  <r>
    <x v="62"/>
    <n v="0.6"/>
    <n v="0"/>
  </r>
  <r>
    <x v="63"/>
    <n v="0.7"/>
    <n v="0"/>
  </r>
  <r>
    <x v="64"/>
    <n v="0"/>
    <n v="0"/>
  </r>
  <r>
    <x v="65"/>
    <n v="0"/>
    <n v="0"/>
  </r>
  <r>
    <x v="66"/>
    <n v="1.3"/>
    <n v="0"/>
  </r>
  <r>
    <x v="67"/>
    <n v="2"/>
    <n v="2"/>
  </r>
  <r>
    <x v="68"/>
    <n v="-1.6"/>
    <n v="0"/>
  </r>
  <r>
    <x v="69"/>
    <n v="-2.6"/>
    <n v="0"/>
  </r>
  <r>
    <x v="70"/>
    <n v="-0.2"/>
    <n v="0"/>
  </r>
  <r>
    <x v="71"/>
    <n v="3.1"/>
    <n v="0"/>
  </r>
  <r>
    <x v="72"/>
    <n v="5.5"/>
    <n v="0"/>
  </r>
  <r>
    <x v="73"/>
    <n v="8.6"/>
    <n v="0"/>
  </r>
  <r>
    <x v="74"/>
    <n v="7.8"/>
    <n v="0"/>
  </r>
  <r>
    <x v="75"/>
    <n v="3.7"/>
    <n v="0"/>
  </r>
  <r>
    <x v="76"/>
    <n v="3"/>
    <n v="0"/>
  </r>
  <r>
    <x v="77"/>
    <n v="2.1"/>
    <n v="0"/>
  </r>
  <r>
    <x v="78"/>
    <n v="3.2"/>
    <n v="0"/>
  </r>
  <r>
    <x v="79"/>
    <n v="4.9000000000000004"/>
    <n v="0"/>
  </r>
  <r>
    <x v="80"/>
    <n v="7.8"/>
    <n v="0"/>
  </r>
  <r>
    <x v="81"/>
    <n v="9.1999999999999993"/>
    <n v="0"/>
  </r>
  <r>
    <x v="82"/>
    <n v="7.2"/>
    <n v="0"/>
  </r>
  <r>
    <x v="83"/>
    <n v="8.5"/>
    <n v="0"/>
  </r>
  <r>
    <x v="84"/>
    <n v="10.199999999999999"/>
    <n v="0"/>
  </r>
  <r>
    <x v="85"/>
    <n v="5.7"/>
    <n v="0"/>
  </r>
  <r>
    <x v="86"/>
    <n v="10.3"/>
    <n v="0"/>
  </r>
  <r>
    <x v="87"/>
    <n v="11.4"/>
    <n v="0"/>
  </r>
  <r>
    <x v="88"/>
    <n v="8.5"/>
    <n v="3"/>
  </r>
  <r>
    <x v="89"/>
    <n v="3.9"/>
    <n v="11"/>
  </r>
  <r>
    <x v="90"/>
    <n v="1"/>
    <n v="13"/>
  </r>
  <r>
    <x v="91"/>
    <n v="-0.1"/>
    <n v="0"/>
  </r>
  <r>
    <x v="92"/>
    <n v="0.2"/>
    <n v="2"/>
  </r>
  <r>
    <x v="93"/>
    <n v="2.8"/>
    <n v="0"/>
  </r>
  <r>
    <x v="94"/>
    <n v="5.7"/>
    <n v="1"/>
  </r>
  <r>
    <x v="95"/>
    <n v="11.6"/>
    <n v="0"/>
  </r>
  <r>
    <x v="96"/>
    <n v="14.3"/>
    <n v="0"/>
  </r>
  <r>
    <x v="97"/>
    <n v="11.3"/>
    <n v="4"/>
  </r>
  <r>
    <x v="98"/>
    <n v="5.8"/>
    <n v="1"/>
  </r>
  <r>
    <x v="99"/>
    <n v="4.3"/>
    <n v="0"/>
  </r>
  <r>
    <x v="100"/>
    <n v="3.6"/>
    <n v="0"/>
  </r>
  <r>
    <x v="101"/>
    <n v="6.8"/>
    <n v="0"/>
  </r>
  <r>
    <x v="102"/>
    <n v="9.1999999999999993"/>
    <n v="0"/>
  </r>
  <r>
    <x v="103"/>
    <n v="13.9"/>
    <n v="0"/>
  </r>
  <r>
    <x v="104"/>
    <n v="11.3"/>
    <n v="2"/>
  </r>
  <r>
    <x v="105"/>
    <n v="6.9"/>
    <n v="4"/>
  </r>
  <r>
    <x v="106"/>
    <n v="6.2"/>
    <n v="0"/>
  </r>
  <r>
    <x v="107"/>
    <n v="5.4"/>
    <n v="0"/>
  </r>
  <r>
    <x v="108"/>
    <n v="5.3"/>
    <n v="0"/>
  </r>
  <r>
    <x v="109"/>
    <n v="4.7"/>
    <n v="0"/>
  </r>
  <r>
    <x v="110"/>
    <n v="7.7"/>
    <n v="0"/>
  </r>
  <r>
    <x v="111"/>
    <n v="7.7"/>
    <n v="0"/>
  </r>
  <r>
    <x v="112"/>
    <n v="8.6"/>
    <n v="0"/>
  </r>
  <r>
    <x v="113"/>
    <n v="9.4"/>
    <n v="0"/>
  </r>
  <r>
    <x v="114"/>
    <n v="11.1"/>
    <n v="18"/>
  </r>
  <r>
    <x v="115"/>
    <n v="9.5"/>
    <n v="0"/>
  </r>
  <r>
    <x v="116"/>
    <n v="9.8000000000000007"/>
    <n v="0"/>
  </r>
  <r>
    <x v="117"/>
    <n v="12.1"/>
    <n v="0"/>
  </r>
  <r>
    <x v="118"/>
    <n v="11.1"/>
    <n v="0"/>
  </r>
  <r>
    <x v="119"/>
    <n v="3.9"/>
    <n v="11"/>
  </r>
  <r>
    <x v="120"/>
    <n v="12.8"/>
    <n v="0"/>
  </r>
  <r>
    <x v="121"/>
    <n v="14.4"/>
    <n v="0"/>
  </r>
  <r>
    <x v="122"/>
    <n v="15.3"/>
    <n v="0"/>
  </r>
  <r>
    <x v="123"/>
    <n v="15.4"/>
    <n v="0"/>
  </r>
  <r>
    <x v="124"/>
    <n v="16.100000000000001"/>
    <n v="0"/>
  </r>
  <r>
    <x v="125"/>
    <n v="14.9"/>
    <n v="0"/>
  </r>
  <r>
    <x v="126"/>
    <n v="16"/>
    <n v="0"/>
  </r>
  <r>
    <x v="127"/>
    <n v="16.3"/>
    <n v="0"/>
  </r>
  <r>
    <x v="128"/>
    <n v="15.5"/>
    <n v="0"/>
  </r>
  <r>
    <x v="129"/>
    <n v="15"/>
    <n v="0"/>
  </r>
  <r>
    <x v="130"/>
    <n v="18.600000000000001"/>
    <n v="0"/>
  </r>
  <r>
    <x v="131"/>
    <n v="22.2"/>
    <n v="0"/>
  </r>
  <r>
    <x v="132"/>
    <n v="17.399999999999999"/>
    <n v="0"/>
  </r>
  <r>
    <x v="133"/>
    <n v="16.2"/>
    <n v="0"/>
  </r>
  <r>
    <x v="134"/>
    <n v="16.399999999999999"/>
    <n v="0"/>
  </r>
  <r>
    <x v="135"/>
    <n v="15.9"/>
    <n v="0"/>
  </r>
  <r>
    <x v="136"/>
    <n v="15.8"/>
    <n v="0"/>
  </r>
  <r>
    <x v="137"/>
    <n v="12.4"/>
    <n v="0"/>
  </r>
  <r>
    <x v="138"/>
    <n v="16"/>
    <n v="0"/>
  </r>
  <r>
    <x v="139"/>
    <n v="20.3"/>
    <n v="0"/>
  </r>
  <r>
    <x v="140"/>
    <n v="19.8"/>
    <n v="1"/>
  </r>
  <r>
    <x v="141"/>
    <n v="14.1"/>
    <n v="0"/>
  </r>
  <r>
    <x v="142"/>
    <n v="13.1"/>
    <n v="0"/>
  </r>
  <r>
    <x v="143"/>
    <n v="16.100000000000001"/>
    <n v="0"/>
  </r>
  <r>
    <x v="144"/>
    <n v="16.100000000000001"/>
    <n v="0"/>
  </r>
  <r>
    <x v="145"/>
    <n v="16.7"/>
    <n v="0"/>
  </r>
  <r>
    <x v="146"/>
    <n v="16"/>
    <n v="0"/>
  </r>
  <r>
    <x v="147"/>
    <n v="12.3"/>
    <n v="0"/>
  </r>
  <r>
    <x v="148"/>
    <n v="13.3"/>
    <n v="0"/>
  </r>
  <r>
    <x v="149"/>
    <n v="14.2"/>
    <n v="1"/>
  </r>
  <r>
    <x v="150"/>
    <n v="17.2"/>
    <n v="0"/>
  </r>
  <r>
    <x v="151"/>
    <n v="19"/>
    <n v="0"/>
  </r>
  <r>
    <x v="152"/>
    <n v="16.899999999999999"/>
    <n v="1"/>
  </r>
  <r>
    <x v="153"/>
    <n v="18.399999999999999"/>
    <n v="0"/>
  </r>
  <r>
    <x v="154"/>
    <n v="17.5"/>
    <n v="0"/>
  </r>
  <r>
    <x v="155"/>
    <n v="19.899999999999999"/>
    <n v="0"/>
  </r>
  <r>
    <x v="156"/>
    <n v="21"/>
    <n v="0"/>
  </r>
  <r>
    <x v="157"/>
    <n v="22.7"/>
    <n v="0"/>
  </r>
  <r>
    <x v="158"/>
    <n v="19.2"/>
    <n v="0"/>
  </r>
  <r>
    <x v="159"/>
    <n v="18.600000000000001"/>
    <n v="43"/>
  </r>
  <r>
    <x v="160"/>
    <n v="18.399999999999999"/>
    <n v="0"/>
  </r>
  <r>
    <x v="161"/>
    <n v="19.399999999999999"/>
    <n v="0"/>
  </r>
  <r>
    <x v="162"/>
    <n v="19.899999999999999"/>
    <n v="0"/>
  </r>
  <r>
    <x v="163"/>
    <n v="18.100000000000001"/>
    <n v="7"/>
  </r>
  <r>
    <x v="164"/>
    <n v="15.3"/>
    <n v="0"/>
  </r>
  <r>
    <x v="165"/>
    <n v="16.100000000000001"/>
    <n v="0"/>
  </r>
  <r>
    <x v="166"/>
    <n v="18.2"/>
    <n v="15"/>
  </r>
  <r>
    <x v="167"/>
    <n v="17.899999999999999"/>
    <n v="0"/>
  </r>
  <r>
    <x v="168"/>
    <n v="20.100000000000001"/>
    <n v="0"/>
  </r>
  <r>
    <x v="169"/>
    <n v="24.6"/>
    <n v="0"/>
  </r>
  <r>
    <x v="170"/>
    <n v="24.7"/>
    <n v="0"/>
  </r>
  <r>
    <x v="171"/>
    <n v="16.399999999999999"/>
    <n v="0"/>
  </r>
  <r>
    <x v="172"/>
    <n v="18.7"/>
    <n v="0"/>
  </r>
  <r>
    <x v="173"/>
    <n v="19.100000000000001"/>
    <n v="0"/>
  </r>
  <r>
    <x v="174"/>
    <n v="21.4"/>
    <n v="0"/>
  </r>
  <r>
    <x v="175"/>
    <n v="24.4"/>
    <n v="0"/>
  </r>
  <r>
    <x v="176"/>
    <n v="24.1"/>
    <n v="0"/>
  </r>
  <r>
    <x v="177"/>
    <n v="26.1"/>
    <n v="0"/>
  </r>
  <r>
    <x v="178"/>
    <n v="24.6"/>
    <n v="1"/>
  </r>
  <r>
    <x v="179"/>
    <n v="24.9"/>
    <n v="0"/>
  </r>
  <r>
    <x v="180"/>
    <n v="29"/>
    <n v="0"/>
  </r>
  <r>
    <x v="181"/>
    <n v="29.9"/>
    <n v="0"/>
  </r>
  <r>
    <x v="182"/>
    <n v="19.7"/>
    <n v="0"/>
  </r>
  <r>
    <x v="183"/>
    <n v="21.6"/>
    <n v="0"/>
  </r>
  <r>
    <x v="184"/>
    <n v="24.1"/>
    <n v="0"/>
  </r>
  <r>
    <x v="185"/>
    <n v="19.8"/>
    <n v="17"/>
  </r>
  <r>
    <x v="186"/>
    <n v="17.600000000000001"/>
    <n v="21"/>
  </r>
  <r>
    <x v="187"/>
    <n v="18.2"/>
    <n v="0"/>
  </r>
  <r>
    <x v="188"/>
    <n v="17.399999999999999"/>
    <n v="0"/>
  </r>
  <r>
    <x v="189"/>
    <n v="17.899999999999999"/>
    <n v="0"/>
  </r>
  <r>
    <x v="190"/>
    <n v="16.100000000000001"/>
    <n v="4"/>
  </r>
  <r>
    <x v="191"/>
    <n v="14"/>
    <n v="3"/>
  </r>
  <r>
    <x v="192"/>
    <n v="16.3"/>
    <n v="2"/>
  </r>
  <r>
    <x v="193"/>
    <n v="21.7"/>
    <n v="0"/>
  </r>
  <r>
    <x v="194"/>
    <n v="23.2"/>
    <n v="4"/>
  </r>
  <r>
    <x v="195"/>
    <n v="19.100000000000001"/>
    <n v="2"/>
  </r>
  <r>
    <x v="196"/>
    <n v="16.100000000000001"/>
    <n v="0"/>
  </r>
  <r>
    <x v="197"/>
    <n v="17.100000000000001"/>
    <n v="0"/>
  </r>
  <r>
    <x v="198"/>
    <n v="18.7"/>
    <n v="0"/>
  </r>
  <r>
    <x v="199"/>
    <n v="22.1"/>
    <n v="0"/>
  </r>
  <r>
    <x v="200"/>
    <n v="24.6"/>
    <n v="0"/>
  </r>
  <r>
    <x v="201"/>
    <n v="24.1"/>
    <n v="0"/>
  </r>
  <r>
    <x v="202"/>
    <n v="25.6"/>
    <n v="0"/>
  </r>
  <r>
    <x v="203"/>
    <n v="25"/>
    <n v="0"/>
  </r>
  <r>
    <x v="204"/>
    <n v="21.8"/>
    <n v="0"/>
  </r>
  <r>
    <x v="205"/>
    <n v="21.9"/>
    <n v="0"/>
  </r>
  <r>
    <x v="206"/>
    <n v="20.399999999999999"/>
    <n v="3"/>
  </r>
  <r>
    <x v="207"/>
    <n v="19.899999999999999"/>
    <n v="0"/>
  </r>
  <r>
    <x v="208"/>
    <n v="19.899999999999999"/>
    <n v="7"/>
  </r>
  <r>
    <x v="209"/>
    <n v="21.1"/>
    <n v="0"/>
  </r>
  <r>
    <x v="210"/>
    <n v="20.7"/>
    <n v="37"/>
  </r>
  <r>
    <x v="211"/>
    <n v="16.600000000000001"/>
    <n v="0"/>
  </r>
  <r>
    <x v="212"/>
    <n v="19.7"/>
    <n v="5"/>
  </r>
  <r>
    <x v="213"/>
    <n v="21"/>
    <n v="1"/>
  </r>
  <r>
    <x v="214"/>
    <n v="21.9"/>
    <n v="0"/>
  </r>
  <r>
    <x v="215"/>
    <n v="22.6"/>
    <n v="0"/>
  </r>
  <r>
    <x v="216"/>
    <n v="24.4"/>
    <n v="0"/>
  </r>
  <r>
    <x v="217"/>
    <n v="20.100000000000001"/>
    <n v="0"/>
  </r>
  <r>
    <x v="218"/>
    <n v="18.5"/>
    <n v="0"/>
  </r>
  <r>
    <x v="219"/>
    <n v="17.100000000000001"/>
    <n v="0"/>
  </r>
  <r>
    <x v="220"/>
    <n v="19.600000000000001"/>
    <n v="0"/>
  </r>
  <r>
    <x v="221"/>
    <n v="19.2"/>
    <n v="0"/>
  </r>
  <r>
    <x v="222"/>
    <n v="17.100000000000001"/>
    <n v="3"/>
  </r>
  <r>
    <x v="223"/>
    <n v="17.600000000000001"/>
    <n v="0"/>
  </r>
  <r>
    <x v="224"/>
    <n v="19.8"/>
    <n v="0"/>
  </r>
  <r>
    <x v="225"/>
    <n v="22"/>
    <n v="4"/>
  </r>
  <r>
    <x v="226"/>
    <n v="23"/>
    <n v="0"/>
  </r>
  <r>
    <x v="227"/>
    <n v="22.2"/>
    <n v="0"/>
  </r>
  <r>
    <x v="228"/>
    <n v="22.9"/>
    <n v="0"/>
  </r>
  <r>
    <x v="229"/>
    <n v="24.1"/>
    <n v="0"/>
  </r>
  <r>
    <x v="230"/>
    <n v="26.8"/>
    <n v="0"/>
  </r>
  <r>
    <x v="231"/>
    <n v="24.5"/>
    <n v="0"/>
  </r>
  <r>
    <x v="232"/>
    <n v="20.7"/>
    <n v="4"/>
  </r>
  <r>
    <x v="233"/>
    <n v="20.100000000000001"/>
    <n v="11"/>
  </r>
  <r>
    <x v="234"/>
    <n v="21.9"/>
    <n v="0"/>
  </r>
  <r>
    <x v="235"/>
    <n v="21.2"/>
    <n v="4"/>
  </r>
  <r>
    <x v="236"/>
    <n v="23.2"/>
    <n v="0"/>
  </r>
  <r>
    <x v="237"/>
    <n v="22.9"/>
    <n v="0"/>
  </r>
  <r>
    <x v="238"/>
    <n v="22.9"/>
    <n v="0"/>
  </r>
  <r>
    <x v="239"/>
    <n v="22.7"/>
    <n v="0"/>
  </r>
  <r>
    <x v="240"/>
    <n v="20.6"/>
    <n v="0"/>
  </r>
  <r>
    <x v="241"/>
    <n v="18.600000000000001"/>
    <n v="0"/>
  </r>
  <r>
    <x v="242"/>
    <n v="16.2"/>
    <n v="1"/>
  </r>
  <r>
    <x v="243"/>
    <n v="15.5"/>
    <n v="0"/>
  </r>
  <r>
    <x v="244"/>
    <n v="14.4"/>
    <n v="0"/>
  </r>
  <r>
    <x v="245"/>
    <n v="14.3"/>
    <n v="0"/>
  </r>
  <r>
    <x v="246"/>
    <n v="15.5"/>
    <n v="0"/>
  </r>
  <r>
    <x v="247"/>
    <n v="16.5"/>
    <n v="0"/>
  </r>
  <r>
    <x v="248"/>
    <n v="15.8"/>
    <n v="0"/>
  </r>
  <r>
    <x v="249"/>
    <n v="16.399999999999999"/>
    <n v="0"/>
  </r>
  <r>
    <x v="250"/>
    <n v="19.8"/>
    <n v="0"/>
  </r>
  <r>
    <x v="251"/>
    <n v="19.399999999999999"/>
    <n v="0"/>
  </r>
  <r>
    <x v="252"/>
    <n v="15.3"/>
    <n v="0"/>
  </r>
  <r>
    <x v="253"/>
    <n v="14.3"/>
    <n v="0"/>
  </r>
  <r>
    <x v="254"/>
    <n v="12.2"/>
    <n v="0"/>
  </r>
  <r>
    <x v="255"/>
    <n v="14.7"/>
    <n v="0"/>
  </r>
  <r>
    <x v="256"/>
    <n v="18.399999999999999"/>
    <n v="0"/>
  </r>
  <r>
    <x v="257"/>
    <n v="16.600000000000001"/>
    <n v="6"/>
  </r>
  <r>
    <x v="258"/>
    <n v="14.5"/>
    <n v="0"/>
  </r>
  <r>
    <x v="259"/>
    <n v="12.6"/>
    <n v="0"/>
  </r>
  <r>
    <x v="260"/>
    <n v="10.3"/>
    <n v="8"/>
  </r>
  <r>
    <x v="261"/>
    <n v="9.3000000000000007"/>
    <n v="6"/>
  </r>
  <r>
    <x v="262"/>
    <n v="10.3"/>
    <n v="6"/>
  </r>
  <r>
    <x v="263"/>
    <n v="10.3"/>
    <n v="0"/>
  </r>
  <r>
    <x v="264"/>
    <n v="10.1"/>
    <n v="2"/>
  </r>
  <r>
    <x v="265"/>
    <n v="10.5"/>
    <n v="0"/>
  </r>
  <r>
    <x v="266"/>
    <n v="10.4"/>
    <n v="0"/>
  </r>
  <r>
    <x v="267"/>
    <n v="12.4"/>
    <n v="0"/>
  </r>
  <r>
    <x v="268"/>
    <n v="12"/>
    <n v="3"/>
  </r>
  <r>
    <x v="269"/>
    <n v="12.2"/>
    <n v="2"/>
  </r>
  <r>
    <x v="270"/>
    <n v="13.3"/>
    <n v="0"/>
  </r>
  <r>
    <x v="271"/>
    <n v="11"/>
    <n v="6"/>
  </r>
  <r>
    <x v="272"/>
    <n v="11.8"/>
    <n v="10"/>
  </r>
  <r>
    <x v="273"/>
    <n v="13"/>
    <n v="4"/>
  </r>
  <r>
    <x v="274"/>
    <n v="12.1"/>
    <n v="8"/>
  </r>
  <r>
    <x v="275"/>
    <n v="10.4"/>
    <n v="2"/>
  </r>
  <r>
    <x v="276"/>
    <n v="10.5"/>
    <n v="0"/>
  </r>
  <r>
    <x v="277"/>
    <n v="11.5"/>
    <n v="0"/>
  </r>
  <r>
    <x v="278"/>
    <n v="15.4"/>
    <n v="0"/>
  </r>
  <r>
    <x v="279"/>
    <n v="15.1"/>
    <n v="0"/>
  </r>
  <r>
    <x v="280"/>
    <n v="15.3"/>
    <n v="0"/>
  </r>
  <r>
    <x v="281"/>
    <n v="11.9"/>
    <n v="0"/>
  </r>
  <r>
    <x v="282"/>
    <n v="10.199999999999999"/>
    <n v="0"/>
  </r>
  <r>
    <x v="283"/>
    <n v="10.5"/>
    <n v="0"/>
  </r>
  <r>
    <x v="284"/>
    <n v="7.5"/>
    <n v="0"/>
  </r>
  <r>
    <x v="285"/>
    <n v="8.1999999999999993"/>
    <n v="0"/>
  </r>
  <r>
    <x v="286"/>
    <n v="11.6"/>
    <n v="0"/>
  </r>
  <r>
    <x v="287"/>
    <n v="14.9"/>
    <n v="0"/>
  </r>
  <r>
    <x v="288"/>
    <n v="16.100000000000001"/>
    <n v="0"/>
  </r>
  <r>
    <x v="289"/>
    <n v="16.600000000000001"/>
    <n v="0"/>
  </r>
  <r>
    <x v="290"/>
    <n v="16.8"/>
    <n v="0"/>
  </r>
  <r>
    <x v="291"/>
    <n v="11.6"/>
    <n v="2"/>
  </r>
  <r>
    <x v="292"/>
    <n v="5.5"/>
    <n v="0"/>
  </r>
  <r>
    <x v="293"/>
    <n v="7.5"/>
    <n v="0"/>
  </r>
  <r>
    <x v="294"/>
    <n v="11.4"/>
    <n v="0"/>
  </r>
  <r>
    <x v="295"/>
    <n v="14.2"/>
    <n v="0"/>
  </r>
  <r>
    <x v="296"/>
    <n v="14.5"/>
    <n v="0"/>
  </r>
  <r>
    <x v="297"/>
    <n v="14.3"/>
    <n v="12"/>
  </r>
  <r>
    <x v="298"/>
    <n v="13.6"/>
    <n v="0"/>
  </r>
  <r>
    <x v="299"/>
    <n v="12"/>
    <n v="0"/>
  </r>
  <r>
    <x v="300"/>
    <n v="13.1"/>
    <n v="0"/>
  </r>
  <r>
    <x v="301"/>
    <n v="14.3"/>
    <n v="0"/>
  </r>
  <r>
    <x v="302"/>
    <n v="13.8"/>
    <n v="0"/>
  </r>
  <r>
    <x v="303"/>
    <n v="13.4"/>
    <n v="0"/>
  </r>
  <r>
    <x v="304"/>
    <n v="11.4"/>
    <n v="0"/>
  </r>
  <r>
    <x v="305"/>
    <n v="13.2"/>
    <n v="0"/>
  </r>
  <r>
    <x v="306"/>
    <n v="11"/>
    <n v="0"/>
  </r>
  <r>
    <x v="307"/>
    <n v="12.4"/>
    <n v="0"/>
  </r>
  <r>
    <x v="308"/>
    <n v="9.8000000000000007"/>
    <n v="9"/>
  </r>
  <r>
    <x v="309"/>
    <n v="8.6"/>
    <n v="0"/>
  </r>
  <r>
    <x v="310"/>
    <n v="9.3000000000000007"/>
    <n v="0"/>
  </r>
  <r>
    <x v="311"/>
    <n v="9.3000000000000007"/>
    <n v="0"/>
  </r>
  <r>
    <x v="312"/>
    <n v="10"/>
    <n v="0"/>
  </r>
  <r>
    <x v="313"/>
    <n v="7.7"/>
    <n v="0"/>
  </r>
  <r>
    <x v="314"/>
    <n v="9.8000000000000007"/>
    <n v="0"/>
  </r>
  <r>
    <x v="315"/>
    <n v="9.1"/>
    <n v="0"/>
  </r>
  <r>
    <x v="316"/>
    <n v="6.4"/>
    <n v="0"/>
  </r>
  <r>
    <x v="317"/>
    <n v="6"/>
    <n v="0"/>
  </r>
  <r>
    <x v="318"/>
    <n v="7.5"/>
    <n v="0"/>
  </r>
  <r>
    <x v="319"/>
    <n v="5.9"/>
    <n v="7"/>
  </r>
  <r>
    <x v="320"/>
    <n v="1.2"/>
    <n v="3"/>
  </r>
  <r>
    <x v="321"/>
    <n v="-1"/>
    <n v="0"/>
  </r>
  <r>
    <x v="322"/>
    <n v="-2.2999999999999998"/>
    <n v="0"/>
  </r>
  <r>
    <x v="323"/>
    <n v="-2.8"/>
    <n v="0"/>
  </r>
  <r>
    <x v="324"/>
    <n v="0.8"/>
    <n v="1"/>
  </r>
  <r>
    <x v="325"/>
    <n v="2.8"/>
    <n v="0"/>
  </r>
  <r>
    <x v="326"/>
    <n v="-0.1"/>
    <n v="0"/>
  </r>
  <r>
    <x v="327"/>
    <n v="0.1"/>
    <n v="1"/>
  </r>
  <r>
    <x v="328"/>
    <n v="1.3"/>
    <n v="0"/>
  </r>
  <r>
    <x v="329"/>
    <n v="4.5"/>
    <n v="0"/>
  </r>
  <r>
    <x v="330"/>
    <n v="2.2999999999999998"/>
    <n v="0"/>
  </r>
  <r>
    <x v="331"/>
    <n v="2.1"/>
    <n v="0"/>
  </r>
  <r>
    <x v="332"/>
    <n v="0.2"/>
    <n v="0"/>
  </r>
  <r>
    <x v="333"/>
    <n v="-0.5"/>
    <n v="0"/>
  </r>
  <r>
    <x v="334"/>
    <n v="0.9"/>
    <n v="0"/>
  </r>
  <r>
    <x v="335"/>
    <n v="-1"/>
    <n v="0"/>
  </r>
  <r>
    <x v="336"/>
    <n v="0.4"/>
    <n v="0"/>
  </r>
  <r>
    <x v="337"/>
    <n v="2.1"/>
    <n v="0"/>
  </r>
  <r>
    <x v="338"/>
    <n v="4.5"/>
    <n v="0"/>
  </r>
  <r>
    <x v="339"/>
    <n v="2.8"/>
    <n v="7"/>
  </r>
  <r>
    <x v="340"/>
    <n v="2.5"/>
    <n v="1"/>
  </r>
  <r>
    <x v="341"/>
    <n v="2.2999999999999998"/>
    <n v="0"/>
  </r>
  <r>
    <x v="342"/>
    <n v="2.2000000000000002"/>
    <n v="14"/>
  </r>
  <r>
    <x v="343"/>
    <n v="0.6"/>
    <n v="0"/>
  </r>
  <r>
    <x v="344"/>
    <n v="-1.9"/>
    <n v="0"/>
  </r>
  <r>
    <x v="345"/>
    <n v="-2.6"/>
    <n v="0"/>
  </r>
  <r>
    <x v="346"/>
    <n v="-3.1"/>
    <n v="0"/>
  </r>
  <r>
    <x v="347"/>
    <n v="-4.5999999999999996"/>
    <n v="0"/>
  </r>
  <r>
    <x v="348"/>
    <n v="-1.6"/>
    <n v="0"/>
  </r>
  <r>
    <x v="349"/>
    <n v="-0.7"/>
    <n v="0"/>
  </r>
  <r>
    <x v="350"/>
    <n v="-3.3"/>
    <n v="0"/>
  </r>
  <r>
    <x v="351"/>
    <n v="-4.9000000000000004"/>
    <n v="0"/>
  </r>
  <r>
    <x v="352"/>
    <n v="-5.6"/>
    <n v="0"/>
  </r>
  <r>
    <x v="353"/>
    <n v="2.1"/>
    <n v="5"/>
  </r>
  <r>
    <x v="354"/>
    <n v="1.9"/>
    <n v="8"/>
  </r>
  <r>
    <x v="355"/>
    <n v="3.7"/>
    <n v="0"/>
  </r>
  <r>
    <x v="356"/>
    <n v="4.4000000000000004"/>
    <n v="0"/>
  </r>
  <r>
    <x v="357"/>
    <n v="5.8"/>
    <n v="8"/>
  </r>
  <r>
    <x v="358"/>
    <n v="6.2"/>
    <n v="0"/>
  </r>
  <r>
    <x v="359"/>
    <n v="8"/>
    <n v="0"/>
  </r>
  <r>
    <x v="360"/>
    <n v="5.9"/>
    <n v="0"/>
  </r>
  <r>
    <x v="361"/>
    <n v="3.2"/>
    <n v="0"/>
  </r>
  <r>
    <x v="362"/>
    <n v="4.7"/>
    <n v="0"/>
  </r>
  <r>
    <x v="363"/>
    <n v="5.0999999999999996"/>
    <n v="0"/>
  </r>
  <r>
    <x v="364"/>
    <n v="9.300000000000000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C5553-0634-4895-BD2D-34E28B505F6C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>
      <items count="204">
        <item x="23"/>
        <item x="199"/>
        <item x="198"/>
        <item x="195"/>
        <item x="11"/>
        <item x="9"/>
        <item x="197"/>
        <item x="22"/>
        <item x="189"/>
        <item x="10"/>
        <item x="54"/>
        <item x="21"/>
        <item x="20"/>
        <item x="188"/>
        <item x="194"/>
        <item x="53"/>
        <item x="7"/>
        <item x="6"/>
        <item x="8"/>
        <item x="187"/>
        <item x="48"/>
        <item x="15"/>
        <item x="196"/>
        <item x="191"/>
        <item x="17"/>
        <item x="67"/>
        <item x="52"/>
        <item x="190"/>
        <item x="24"/>
        <item x="49"/>
        <item x="29"/>
        <item x="19"/>
        <item x="50"/>
        <item x="51"/>
        <item x="27"/>
        <item x="192"/>
        <item x="18"/>
        <item x="14"/>
        <item x="36"/>
        <item x="12"/>
        <item x="5"/>
        <item x="16"/>
        <item x="47"/>
        <item x="28"/>
        <item x="30"/>
        <item x="25"/>
        <item x="37"/>
        <item x="193"/>
        <item x="68"/>
        <item x="59"/>
        <item x="13"/>
        <item x="60"/>
        <item x="31"/>
        <item x="33"/>
        <item x="58"/>
        <item x="46"/>
        <item x="26"/>
        <item x="72"/>
        <item x="200"/>
        <item x="32"/>
        <item x="45"/>
        <item x="77"/>
        <item x="61"/>
        <item x="202"/>
        <item x="43"/>
        <item x="76"/>
        <item x="75"/>
        <item x="55"/>
        <item x="38"/>
        <item x="4"/>
        <item x="35"/>
        <item x="186"/>
        <item x="185"/>
        <item x="74"/>
        <item x="39"/>
        <item x="34"/>
        <item x="41"/>
        <item x="44"/>
        <item x="3"/>
        <item x="40"/>
        <item x="176"/>
        <item x="78"/>
        <item x="57"/>
        <item x="201"/>
        <item x="1"/>
        <item x="177"/>
        <item x="63"/>
        <item x="56"/>
        <item x="42"/>
        <item x="2"/>
        <item x="184"/>
        <item x="62"/>
        <item x="165"/>
        <item x="79"/>
        <item x="81"/>
        <item x="0"/>
        <item x="183"/>
        <item x="166"/>
        <item x="64"/>
        <item x="65"/>
        <item x="168"/>
        <item x="167"/>
        <item x="170"/>
        <item x="80"/>
        <item x="71"/>
        <item x="66"/>
        <item x="173"/>
        <item x="69"/>
        <item x="171"/>
        <item x="175"/>
        <item x="169"/>
        <item x="82"/>
        <item x="161"/>
        <item x="106"/>
        <item x="100"/>
        <item x="164"/>
        <item x="83"/>
        <item x="172"/>
        <item x="104"/>
        <item x="182"/>
        <item x="107"/>
        <item x="181"/>
        <item x="179"/>
        <item x="180"/>
        <item x="73"/>
        <item x="137"/>
        <item x="103"/>
        <item x="108"/>
        <item x="70"/>
        <item x="84"/>
        <item x="163"/>
        <item x="162"/>
        <item x="88"/>
        <item x="92"/>
        <item x="174"/>
        <item x="85"/>
        <item x="86"/>
        <item x="91"/>
        <item x="99"/>
        <item x="98"/>
        <item x="89"/>
        <item x="87"/>
        <item x="96"/>
        <item x="90"/>
        <item x="97"/>
        <item x="160"/>
        <item x="149"/>
        <item x="105"/>
        <item x="178"/>
        <item x="111"/>
        <item x="140"/>
        <item x="109"/>
        <item x="95"/>
        <item x="113"/>
        <item x="136"/>
        <item x="121"/>
        <item x="119"/>
        <item x="120"/>
        <item x="112"/>
        <item x="151"/>
        <item x="93"/>
        <item x="125"/>
        <item x="110"/>
        <item x="126"/>
        <item x="117"/>
        <item x="118"/>
        <item x="152"/>
        <item x="134"/>
        <item x="102"/>
        <item x="114"/>
        <item x="122"/>
        <item x="101"/>
        <item x="146"/>
        <item x="159"/>
        <item x="148"/>
        <item x="115"/>
        <item x="147"/>
        <item x="158"/>
        <item x="127"/>
        <item x="135"/>
        <item x="138"/>
        <item x="144"/>
        <item x="145"/>
        <item x="153"/>
        <item x="141"/>
        <item x="94"/>
        <item x="150"/>
        <item x="116"/>
        <item x="155"/>
        <item x="154"/>
        <item x="139"/>
        <item x="129"/>
        <item x="128"/>
        <item x="157"/>
        <item x="123"/>
        <item x="124"/>
        <item x="131"/>
        <item x="143"/>
        <item x="142"/>
        <item x="130"/>
        <item x="156"/>
        <item x="132"/>
        <item x="13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Średnia z Temp" fld="1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DEC39-2695-46D6-B0AA-817AC07FBECF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381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</pivotFields>
  <rowFields count="2">
    <field x="4"/>
    <field x="3"/>
  </rowFields>
  <rowItems count="37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3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4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7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>
      <x v="8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>
      <x v="9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10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>
      <x v="11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12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t="grand">
      <x/>
    </i>
  </rowItems>
  <colItems count="1">
    <i/>
  </colItems>
  <dataFields count="1">
    <dataField name="Suma z Opady" fld="2" baseField="3" baseItem="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4A64D5-1856-4EDE-AD9C-7244402EE48C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Temp" tableColumnId="2"/>
      <queryTableField id="3" name="Opad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D7463-30D9-4CE1-9F93-35DCEF4EA482}" name="staw" displayName="staw" ref="A1:C366" tableType="queryTable" totalsRowShown="0">
  <autoFilter ref="A1:C366" xr:uid="{505D7463-30D9-4CE1-9F93-35DCEF4EA482}"/>
  <tableColumns count="3">
    <tableColumn id="1" xr3:uid="{61A1065A-1CC4-4E73-BECF-AFE42BE902A4}" uniqueName="1" name="Data" queryTableFieldId="1" dataDxfId="4"/>
    <tableColumn id="2" xr3:uid="{23B9D3A6-FCA2-4506-90ED-F2D78F90EEB3}" uniqueName="2" name="Temp" queryTableFieldId="2" dataDxfId="3"/>
    <tableColumn id="3" xr3:uid="{51A04038-38DF-44EF-972A-582C7B3805B4}" uniqueName="3" name="Opad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7A65-691C-4ECF-839B-7F2A80692086}">
  <dimension ref="A1:C366"/>
  <sheetViews>
    <sheetView topLeftCell="A344" zoomScale="220" zoomScaleNormal="220" workbookViewId="0">
      <selection sqref="A1:C366"/>
    </sheetView>
  </sheetViews>
  <sheetFormatPr defaultRowHeight="15" x14ac:dyDescent="0.25"/>
  <cols>
    <col min="1" max="1" width="15.7109375" customWidth="1"/>
    <col min="2" max="2" width="8.28515625" bestFit="1" customWidth="1"/>
    <col min="3" max="3" width="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44562</v>
      </c>
      <c r="B2" s="2">
        <v>9.8000000000000007</v>
      </c>
      <c r="C2">
        <v>5</v>
      </c>
    </row>
    <row r="3" spans="1:3" x14ac:dyDescent="0.25">
      <c r="A3" s="1">
        <v>44563</v>
      </c>
      <c r="B3" s="2">
        <v>8.1</v>
      </c>
      <c r="C3">
        <v>1</v>
      </c>
    </row>
    <row r="4" spans="1:3" x14ac:dyDescent="0.25">
      <c r="A4" s="1">
        <v>44564</v>
      </c>
      <c r="B4" s="2">
        <v>9</v>
      </c>
      <c r="C4">
        <v>2</v>
      </c>
    </row>
    <row r="5" spans="1:3" x14ac:dyDescent="0.25">
      <c r="A5" s="1">
        <v>44565</v>
      </c>
      <c r="B5" s="2">
        <v>7.3</v>
      </c>
      <c r="C5">
        <v>1</v>
      </c>
    </row>
    <row r="6" spans="1:3" x14ac:dyDescent="0.25">
      <c r="A6" s="1">
        <v>44566</v>
      </c>
      <c r="B6" s="2">
        <v>5.7</v>
      </c>
      <c r="C6">
        <v>5</v>
      </c>
    </row>
    <row r="7" spans="1:3" x14ac:dyDescent="0.25">
      <c r="A7" s="1">
        <v>44567</v>
      </c>
      <c r="B7" s="2">
        <v>1.7</v>
      </c>
      <c r="C7">
        <v>0</v>
      </c>
    </row>
    <row r="8" spans="1:3" x14ac:dyDescent="0.25">
      <c r="A8" s="1">
        <v>44568</v>
      </c>
      <c r="B8" s="2">
        <v>-1.4</v>
      </c>
      <c r="C8">
        <v>0</v>
      </c>
    </row>
    <row r="9" spans="1:3" x14ac:dyDescent="0.25">
      <c r="A9" s="1">
        <v>44569</v>
      </c>
      <c r="B9" s="2">
        <v>-1.5</v>
      </c>
      <c r="C9">
        <v>0</v>
      </c>
    </row>
    <row r="10" spans="1:3" x14ac:dyDescent="0.25">
      <c r="A10" s="1">
        <v>44570</v>
      </c>
      <c r="B10" s="2">
        <v>-1.2</v>
      </c>
      <c r="C10">
        <v>0</v>
      </c>
    </row>
    <row r="11" spans="1:3" x14ac:dyDescent="0.25">
      <c r="A11" s="1">
        <v>44571</v>
      </c>
      <c r="B11" s="2">
        <v>-3.8</v>
      </c>
      <c r="C11">
        <v>0</v>
      </c>
    </row>
    <row r="12" spans="1:3" x14ac:dyDescent="0.25">
      <c r="A12" s="1">
        <v>44572</v>
      </c>
      <c r="B12" s="2">
        <v>-2.7</v>
      </c>
      <c r="C12">
        <v>0</v>
      </c>
    </row>
    <row r="13" spans="1:3" x14ac:dyDescent="0.25">
      <c r="A13" s="1">
        <v>44573</v>
      </c>
      <c r="B13" s="2">
        <v>-3.9</v>
      </c>
      <c r="C13">
        <v>0</v>
      </c>
    </row>
    <row r="14" spans="1:3" x14ac:dyDescent="0.25">
      <c r="A14" s="1">
        <v>44574</v>
      </c>
      <c r="B14" s="2">
        <v>1.6</v>
      </c>
      <c r="C14">
        <v>0</v>
      </c>
    </row>
    <row r="15" spans="1:3" x14ac:dyDescent="0.25">
      <c r="A15" s="1">
        <v>44575</v>
      </c>
      <c r="B15" s="2">
        <v>3.1</v>
      </c>
      <c r="C15">
        <v>0</v>
      </c>
    </row>
    <row r="16" spans="1:3" x14ac:dyDescent="0.25">
      <c r="A16" s="1">
        <v>44576</v>
      </c>
      <c r="B16" s="2">
        <v>1.2</v>
      </c>
      <c r="C16">
        <v>0</v>
      </c>
    </row>
    <row r="17" spans="1:3" x14ac:dyDescent="0.25">
      <c r="A17" s="1">
        <v>44577</v>
      </c>
      <c r="B17" s="2">
        <v>-0.8</v>
      </c>
      <c r="C17">
        <v>0</v>
      </c>
    </row>
    <row r="18" spans="1:3" x14ac:dyDescent="0.25">
      <c r="A18" s="1">
        <v>44578</v>
      </c>
      <c r="B18" s="2">
        <v>1.8</v>
      </c>
      <c r="C18">
        <v>1</v>
      </c>
    </row>
    <row r="19" spans="1:3" x14ac:dyDescent="0.25">
      <c r="A19" s="1">
        <v>44579</v>
      </c>
      <c r="B19" s="2">
        <v>-0.2</v>
      </c>
      <c r="C19">
        <v>0</v>
      </c>
    </row>
    <row r="20" spans="1:3" x14ac:dyDescent="0.25">
      <c r="A20" s="1">
        <v>44580</v>
      </c>
      <c r="B20" s="2">
        <v>1</v>
      </c>
      <c r="C20">
        <v>0</v>
      </c>
    </row>
    <row r="21" spans="1:3" x14ac:dyDescent="0.25">
      <c r="A21" s="1">
        <v>44581</v>
      </c>
      <c r="B21" s="2">
        <v>0.5</v>
      </c>
      <c r="C21">
        <v>1</v>
      </c>
    </row>
    <row r="22" spans="1:3" x14ac:dyDescent="0.25">
      <c r="A22" s="1">
        <v>44582</v>
      </c>
      <c r="B22" s="2">
        <v>-2.4</v>
      </c>
      <c r="C22">
        <v>0</v>
      </c>
    </row>
    <row r="23" spans="1:3" x14ac:dyDescent="0.25">
      <c r="A23" s="1">
        <v>44583</v>
      </c>
      <c r="B23" s="2">
        <v>-2.5</v>
      </c>
      <c r="C23">
        <v>0</v>
      </c>
    </row>
    <row r="24" spans="1:3" x14ac:dyDescent="0.25">
      <c r="A24" s="1">
        <v>44584</v>
      </c>
      <c r="B24" s="2">
        <v>-3.1</v>
      </c>
      <c r="C24">
        <v>0</v>
      </c>
    </row>
    <row r="25" spans="1:3" x14ac:dyDescent="0.25">
      <c r="A25" s="1">
        <v>44585</v>
      </c>
      <c r="B25" s="2">
        <v>-6.6</v>
      </c>
      <c r="C25">
        <v>0</v>
      </c>
    </row>
    <row r="26" spans="1:3" x14ac:dyDescent="0.25">
      <c r="A26" s="1">
        <v>44586</v>
      </c>
      <c r="B26" s="2">
        <v>0.2</v>
      </c>
      <c r="C26">
        <v>0</v>
      </c>
    </row>
    <row r="27" spans="1:3" x14ac:dyDescent="0.25">
      <c r="A27" s="1">
        <v>44587</v>
      </c>
      <c r="B27" s="2">
        <v>1.6</v>
      </c>
      <c r="C27">
        <v>1</v>
      </c>
    </row>
    <row r="28" spans="1:3" x14ac:dyDescent="0.25">
      <c r="A28" s="1">
        <v>44588</v>
      </c>
      <c r="B28" s="2">
        <v>1.6</v>
      </c>
      <c r="C28">
        <v>2</v>
      </c>
    </row>
    <row r="29" spans="1:3" x14ac:dyDescent="0.25">
      <c r="A29" s="1">
        <v>44589</v>
      </c>
      <c r="B29" s="2">
        <v>2.2000000000000002</v>
      </c>
      <c r="C29">
        <v>3</v>
      </c>
    </row>
    <row r="30" spans="1:3" x14ac:dyDescent="0.25">
      <c r="A30" s="1">
        <v>44590</v>
      </c>
      <c r="B30" s="2">
        <v>1.6</v>
      </c>
      <c r="C30">
        <v>0</v>
      </c>
    </row>
    <row r="31" spans="1:3" x14ac:dyDescent="0.25">
      <c r="A31" s="1">
        <v>44591</v>
      </c>
      <c r="B31" s="2">
        <v>4</v>
      </c>
      <c r="C31">
        <v>6</v>
      </c>
    </row>
    <row r="32" spans="1:3" x14ac:dyDescent="0.25">
      <c r="A32" s="1">
        <v>44592</v>
      </c>
      <c r="B32" s="2">
        <v>1.7</v>
      </c>
      <c r="C32">
        <v>0</v>
      </c>
    </row>
    <row r="33" spans="1:3" x14ac:dyDescent="0.25">
      <c r="A33" s="1">
        <v>44593</v>
      </c>
      <c r="B33" s="2">
        <v>0.8</v>
      </c>
      <c r="C33">
        <v>0</v>
      </c>
    </row>
    <row r="34" spans="1:3" x14ac:dyDescent="0.25">
      <c r="A34" s="1">
        <v>44594</v>
      </c>
      <c r="B34" s="2">
        <v>2</v>
      </c>
      <c r="C34">
        <v>8</v>
      </c>
    </row>
    <row r="35" spans="1:3" x14ac:dyDescent="0.25">
      <c r="A35" s="1">
        <v>44595</v>
      </c>
      <c r="B35" s="2">
        <v>0.4</v>
      </c>
      <c r="C35">
        <v>1</v>
      </c>
    </row>
    <row r="36" spans="1:3" x14ac:dyDescent="0.25">
      <c r="A36" s="1">
        <v>44596</v>
      </c>
      <c r="B36" s="2">
        <v>2.1</v>
      </c>
      <c r="C36">
        <v>1</v>
      </c>
    </row>
    <row r="37" spans="1:3" x14ac:dyDescent="0.25">
      <c r="A37" s="1">
        <v>44597</v>
      </c>
      <c r="B37" s="2">
        <v>3.4</v>
      </c>
      <c r="C37">
        <v>0</v>
      </c>
    </row>
    <row r="38" spans="1:3" x14ac:dyDescent="0.25">
      <c r="A38" s="1">
        <v>44598</v>
      </c>
      <c r="B38" s="2">
        <v>4.5</v>
      </c>
      <c r="C38">
        <v>0</v>
      </c>
    </row>
    <row r="39" spans="1:3" x14ac:dyDescent="0.25">
      <c r="A39" s="1">
        <v>44599</v>
      </c>
      <c r="B39" s="2">
        <v>3.6</v>
      </c>
      <c r="C39">
        <v>0</v>
      </c>
    </row>
    <row r="40" spans="1:3" x14ac:dyDescent="0.25">
      <c r="A40" s="1">
        <v>44600</v>
      </c>
      <c r="B40" s="2">
        <v>3.6</v>
      </c>
      <c r="C40">
        <v>1</v>
      </c>
    </row>
    <row r="41" spans="1:3" x14ac:dyDescent="0.25">
      <c r="A41" s="1">
        <v>44601</v>
      </c>
      <c r="B41" s="2">
        <v>6.8</v>
      </c>
      <c r="C41">
        <v>2</v>
      </c>
    </row>
    <row r="42" spans="1:3" x14ac:dyDescent="0.25">
      <c r="A42" s="1">
        <v>44602</v>
      </c>
      <c r="B42" s="2">
        <v>6.8</v>
      </c>
      <c r="C42">
        <v>0</v>
      </c>
    </row>
    <row r="43" spans="1:3" x14ac:dyDescent="0.25">
      <c r="A43" s="1">
        <v>44603</v>
      </c>
      <c r="B43" s="2">
        <v>5.8</v>
      </c>
      <c r="C43">
        <v>0</v>
      </c>
    </row>
    <row r="44" spans="1:3" x14ac:dyDescent="0.25">
      <c r="A44" s="1">
        <v>44604</v>
      </c>
      <c r="B44" s="2">
        <v>1.3</v>
      </c>
      <c r="C44">
        <v>0</v>
      </c>
    </row>
    <row r="45" spans="1:3" x14ac:dyDescent="0.25">
      <c r="A45" s="1">
        <v>44605</v>
      </c>
      <c r="B45" s="2">
        <v>2.2999999999999998</v>
      </c>
      <c r="C45">
        <v>0</v>
      </c>
    </row>
    <row r="46" spans="1:3" x14ac:dyDescent="0.25">
      <c r="A46" s="1">
        <v>44606</v>
      </c>
      <c r="B46" s="2">
        <v>4.5</v>
      </c>
      <c r="C46">
        <v>0</v>
      </c>
    </row>
    <row r="47" spans="1:3" x14ac:dyDescent="0.25">
      <c r="A47" s="1">
        <v>44607</v>
      </c>
      <c r="B47" s="2">
        <v>5.6</v>
      </c>
      <c r="C47">
        <v>0</v>
      </c>
    </row>
    <row r="48" spans="1:3" x14ac:dyDescent="0.25">
      <c r="A48" s="1">
        <v>44608</v>
      </c>
      <c r="B48" s="2">
        <v>6.4</v>
      </c>
      <c r="C48">
        <v>0</v>
      </c>
    </row>
    <row r="49" spans="1:3" x14ac:dyDescent="0.25">
      <c r="A49" s="1">
        <v>44609</v>
      </c>
      <c r="B49" s="2">
        <v>7.4</v>
      </c>
      <c r="C49">
        <v>9</v>
      </c>
    </row>
    <row r="50" spans="1:3" x14ac:dyDescent="0.25">
      <c r="A50" s="1">
        <v>44610</v>
      </c>
      <c r="B50" s="2">
        <v>6.9</v>
      </c>
      <c r="C50">
        <v>0</v>
      </c>
    </row>
    <row r="51" spans="1:3" x14ac:dyDescent="0.25">
      <c r="A51" s="1">
        <v>44611</v>
      </c>
      <c r="B51" s="2">
        <v>8.8000000000000007</v>
      </c>
      <c r="C51">
        <v>0</v>
      </c>
    </row>
    <row r="52" spans="1:3" x14ac:dyDescent="0.25">
      <c r="A52" s="1">
        <v>44612</v>
      </c>
      <c r="B52" s="2">
        <v>5.2</v>
      </c>
      <c r="C52">
        <v>0</v>
      </c>
    </row>
    <row r="53" spans="1:3" x14ac:dyDescent="0.25">
      <c r="A53" s="1">
        <v>44613</v>
      </c>
      <c r="B53" s="2">
        <v>7.2</v>
      </c>
      <c r="C53">
        <v>1</v>
      </c>
    </row>
    <row r="54" spans="1:3" x14ac:dyDescent="0.25">
      <c r="A54" s="1">
        <v>44614</v>
      </c>
      <c r="B54" s="2">
        <v>4.5999999999999996</v>
      </c>
      <c r="C54">
        <v>0</v>
      </c>
    </row>
    <row r="55" spans="1:3" x14ac:dyDescent="0.25">
      <c r="A55" s="1">
        <v>44615</v>
      </c>
      <c r="B55" s="2">
        <v>4.5999999999999996</v>
      </c>
      <c r="C55">
        <v>0</v>
      </c>
    </row>
    <row r="56" spans="1:3" x14ac:dyDescent="0.25">
      <c r="A56" s="1">
        <v>44616</v>
      </c>
      <c r="B56" s="2">
        <v>5.2</v>
      </c>
      <c r="C56">
        <v>0</v>
      </c>
    </row>
    <row r="57" spans="1:3" x14ac:dyDescent="0.25">
      <c r="A57" s="1">
        <v>44617</v>
      </c>
      <c r="B57" s="2">
        <v>3.9</v>
      </c>
      <c r="C57">
        <v>0</v>
      </c>
    </row>
    <row r="58" spans="1:3" x14ac:dyDescent="0.25">
      <c r="A58" s="1">
        <v>44618</v>
      </c>
      <c r="B58" s="2">
        <v>1.9</v>
      </c>
      <c r="C58">
        <v>0</v>
      </c>
    </row>
    <row r="59" spans="1:3" x14ac:dyDescent="0.25">
      <c r="A59" s="1">
        <v>44619</v>
      </c>
      <c r="B59" s="2">
        <v>1.2</v>
      </c>
      <c r="C59">
        <v>0</v>
      </c>
    </row>
    <row r="60" spans="1:3" x14ac:dyDescent="0.25">
      <c r="A60" s="1">
        <v>44620</v>
      </c>
      <c r="B60" s="2">
        <v>-0.9</v>
      </c>
      <c r="C60">
        <v>0</v>
      </c>
    </row>
    <row r="61" spans="1:3" x14ac:dyDescent="0.25">
      <c r="A61" s="1">
        <v>44621</v>
      </c>
      <c r="B61" s="2">
        <v>-1.4</v>
      </c>
      <c r="C61">
        <v>0</v>
      </c>
    </row>
    <row r="62" spans="1:3" x14ac:dyDescent="0.25">
      <c r="A62" s="1">
        <v>44622</v>
      </c>
      <c r="B62" s="2">
        <v>0.3</v>
      </c>
      <c r="C62">
        <v>0</v>
      </c>
    </row>
    <row r="63" spans="1:3" x14ac:dyDescent="0.25">
      <c r="A63" s="1">
        <v>44623</v>
      </c>
      <c r="B63" s="2">
        <v>2</v>
      </c>
      <c r="C63">
        <v>0</v>
      </c>
    </row>
    <row r="64" spans="1:3" x14ac:dyDescent="0.25">
      <c r="A64" s="1">
        <v>44624</v>
      </c>
      <c r="B64" s="2">
        <v>0.6</v>
      </c>
      <c r="C64">
        <v>0</v>
      </c>
    </row>
    <row r="65" spans="1:3" x14ac:dyDescent="0.25">
      <c r="A65" s="1">
        <v>44625</v>
      </c>
      <c r="B65" s="2">
        <v>0.7</v>
      </c>
      <c r="C65">
        <v>0</v>
      </c>
    </row>
    <row r="66" spans="1:3" x14ac:dyDescent="0.25">
      <c r="A66" s="1">
        <v>44626</v>
      </c>
      <c r="B66" s="2">
        <v>0</v>
      </c>
      <c r="C66">
        <v>0</v>
      </c>
    </row>
    <row r="67" spans="1:3" x14ac:dyDescent="0.25">
      <c r="A67" s="1">
        <v>44627</v>
      </c>
      <c r="B67" s="2">
        <v>0</v>
      </c>
      <c r="C67">
        <v>0</v>
      </c>
    </row>
    <row r="68" spans="1:3" x14ac:dyDescent="0.25">
      <c r="A68" s="1">
        <v>44628</v>
      </c>
      <c r="B68" s="2">
        <v>1.3</v>
      </c>
      <c r="C68">
        <v>0</v>
      </c>
    </row>
    <row r="69" spans="1:3" x14ac:dyDescent="0.25">
      <c r="A69" s="1">
        <v>44629</v>
      </c>
      <c r="B69" s="2">
        <v>2</v>
      </c>
      <c r="C69">
        <v>2</v>
      </c>
    </row>
    <row r="70" spans="1:3" x14ac:dyDescent="0.25">
      <c r="A70" s="1">
        <v>44630</v>
      </c>
      <c r="B70" s="2">
        <v>-1.6</v>
      </c>
      <c r="C70">
        <v>0</v>
      </c>
    </row>
    <row r="71" spans="1:3" x14ac:dyDescent="0.25">
      <c r="A71" s="1">
        <v>44631</v>
      </c>
      <c r="B71" s="2">
        <v>-2.6</v>
      </c>
      <c r="C71">
        <v>0</v>
      </c>
    </row>
    <row r="72" spans="1:3" x14ac:dyDescent="0.25">
      <c r="A72" s="1">
        <v>44632</v>
      </c>
      <c r="B72" s="2">
        <v>-0.2</v>
      </c>
      <c r="C72">
        <v>0</v>
      </c>
    </row>
    <row r="73" spans="1:3" x14ac:dyDescent="0.25">
      <c r="A73" s="1">
        <v>44633</v>
      </c>
      <c r="B73" s="2">
        <v>3.1</v>
      </c>
      <c r="C73">
        <v>0</v>
      </c>
    </row>
    <row r="74" spans="1:3" x14ac:dyDescent="0.25">
      <c r="A74" s="1">
        <v>44634</v>
      </c>
      <c r="B74" s="2">
        <v>5.5</v>
      </c>
      <c r="C74">
        <v>0</v>
      </c>
    </row>
    <row r="75" spans="1:3" x14ac:dyDescent="0.25">
      <c r="A75" s="1">
        <v>44635</v>
      </c>
      <c r="B75" s="2">
        <v>8.6</v>
      </c>
      <c r="C75">
        <v>0</v>
      </c>
    </row>
    <row r="76" spans="1:3" x14ac:dyDescent="0.25">
      <c r="A76" s="1">
        <v>44636</v>
      </c>
      <c r="B76" s="2">
        <v>7.8</v>
      </c>
      <c r="C76">
        <v>0</v>
      </c>
    </row>
    <row r="77" spans="1:3" x14ac:dyDescent="0.25">
      <c r="A77" s="1">
        <v>44637</v>
      </c>
      <c r="B77" s="2">
        <v>3.7</v>
      </c>
      <c r="C77">
        <v>0</v>
      </c>
    </row>
    <row r="78" spans="1:3" x14ac:dyDescent="0.25">
      <c r="A78" s="1">
        <v>44638</v>
      </c>
      <c r="B78" s="2">
        <v>3</v>
      </c>
      <c r="C78">
        <v>0</v>
      </c>
    </row>
    <row r="79" spans="1:3" x14ac:dyDescent="0.25">
      <c r="A79" s="1">
        <v>44639</v>
      </c>
      <c r="B79" s="2">
        <v>2.1</v>
      </c>
      <c r="C79">
        <v>0</v>
      </c>
    </row>
    <row r="80" spans="1:3" x14ac:dyDescent="0.25">
      <c r="A80" s="1">
        <v>44640</v>
      </c>
      <c r="B80" s="2">
        <v>3.2</v>
      </c>
      <c r="C80">
        <v>0</v>
      </c>
    </row>
    <row r="81" spans="1:3" x14ac:dyDescent="0.25">
      <c r="A81" s="1">
        <v>44641</v>
      </c>
      <c r="B81" s="2">
        <v>4.9000000000000004</v>
      </c>
      <c r="C81">
        <v>0</v>
      </c>
    </row>
    <row r="82" spans="1:3" x14ac:dyDescent="0.25">
      <c r="A82" s="1">
        <v>44642</v>
      </c>
      <c r="B82" s="2">
        <v>7.8</v>
      </c>
      <c r="C82">
        <v>0</v>
      </c>
    </row>
    <row r="83" spans="1:3" x14ac:dyDescent="0.25">
      <c r="A83" s="1">
        <v>44643</v>
      </c>
      <c r="B83" s="2">
        <v>9.1999999999999993</v>
      </c>
      <c r="C83">
        <v>0</v>
      </c>
    </row>
    <row r="84" spans="1:3" x14ac:dyDescent="0.25">
      <c r="A84" s="1">
        <v>44644</v>
      </c>
      <c r="B84" s="2">
        <v>7.2</v>
      </c>
      <c r="C84">
        <v>0</v>
      </c>
    </row>
    <row r="85" spans="1:3" x14ac:dyDescent="0.25">
      <c r="A85" s="1">
        <v>44645</v>
      </c>
      <c r="B85" s="2">
        <v>8.5</v>
      </c>
      <c r="C85">
        <v>0</v>
      </c>
    </row>
    <row r="86" spans="1:3" x14ac:dyDescent="0.25">
      <c r="A86" s="1">
        <v>44646</v>
      </c>
      <c r="B86" s="2">
        <v>10.199999999999999</v>
      </c>
      <c r="C86">
        <v>0</v>
      </c>
    </row>
    <row r="87" spans="1:3" x14ac:dyDescent="0.25">
      <c r="A87" s="1">
        <v>44647</v>
      </c>
      <c r="B87" s="2">
        <v>5.7</v>
      </c>
      <c r="C87">
        <v>0</v>
      </c>
    </row>
    <row r="88" spans="1:3" x14ac:dyDescent="0.25">
      <c r="A88" s="1">
        <v>44648</v>
      </c>
      <c r="B88" s="2">
        <v>10.3</v>
      </c>
      <c r="C88">
        <v>0</v>
      </c>
    </row>
    <row r="89" spans="1:3" x14ac:dyDescent="0.25">
      <c r="A89" s="1">
        <v>44649</v>
      </c>
      <c r="B89" s="2">
        <v>11.4</v>
      </c>
      <c r="C89">
        <v>0</v>
      </c>
    </row>
    <row r="90" spans="1:3" x14ac:dyDescent="0.25">
      <c r="A90" s="1">
        <v>44650</v>
      </c>
      <c r="B90" s="2">
        <v>8.5</v>
      </c>
      <c r="C90">
        <v>3</v>
      </c>
    </row>
    <row r="91" spans="1:3" x14ac:dyDescent="0.25">
      <c r="A91" s="1">
        <v>44651</v>
      </c>
      <c r="B91" s="2">
        <v>3.9</v>
      </c>
      <c r="C91">
        <v>11</v>
      </c>
    </row>
    <row r="92" spans="1:3" x14ac:dyDescent="0.25">
      <c r="A92" s="1">
        <v>44652</v>
      </c>
      <c r="B92" s="2">
        <v>1</v>
      </c>
      <c r="C92">
        <v>13</v>
      </c>
    </row>
    <row r="93" spans="1:3" x14ac:dyDescent="0.25">
      <c r="A93" s="1">
        <v>44653</v>
      </c>
      <c r="B93" s="2">
        <v>-0.1</v>
      </c>
      <c r="C93">
        <v>0</v>
      </c>
    </row>
    <row r="94" spans="1:3" x14ac:dyDescent="0.25">
      <c r="A94" s="1">
        <v>44654</v>
      </c>
      <c r="B94" s="2">
        <v>0.2</v>
      </c>
      <c r="C94">
        <v>2</v>
      </c>
    </row>
    <row r="95" spans="1:3" x14ac:dyDescent="0.25">
      <c r="A95" s="1">
        <v>44655</v>
      </c>
      <c r="B95" s="2">
        <v>2.8</v>
      </c>
      <c r="C95">
        <v>0</v>
      </c>
    </row>
    <row r="96" spans="1:3" x14ac:dyDescent="0.25">
      <c r="A96" s="1">
        <v>44656</v>
      </c>
      <c r="B96" s="2">
        <v>5.7</v>
      </c>
      <c r="C96">
        <v>1</v>
      </c>
    </row>
    <row r="97" spans="1:3" x14ac:dyDescent="0.25">
      <c r="A97" s="1">
        <v>44657</v>
      </c>
      <c r="B97" s="2">
        <v>11.6</v>
      </c>
      <c r="C97">
        <v>0</v>
      </c>
    </row>
    <row r="98" spans="1:3" x14ac:dyDescent="0.25">
      <c r="A98" s="1">
        <v>44658</v>
      </c>
      <c r="B98" s="2">
        <v>14.3</v>
      </c>
      <c r="C98">
        <v>0</v>
      </c>
    </row>
    <row r="99" spans="1:3" x14ac:dyDescent="0.25">
      <c r="A99" s="1">
        <v>44659</v>
      </c>
      <c r="B99" s="2">
        <v>11.3</v>
      </c>
      <c r="C99">
        <v>4</v>
      </c>
    </row>
    <row r="100" spans="1:3" x14ac:dyDescent="0.25">
      <c r="A100" s="1">
        <v>44660</v>
      </c>
      <c r="B100" s="2">
        <v>5.8</v>
      </c>
      <c r="C100">
        <v>1</v>
      </c>
    </row>
    <row r="101" spans="1:3" x14ac:dyDescent="0.25">
      <c r="A101" s="1">
        <v>44661</v>
      </c>
      <c r="B101" s="2">
        <v>4.3</v>
      </c>
      <c r="C101">
        <v>0</v>
      </c>
    </row>
    <row r="102" spans="1:3" x14ac:dyDescent="0.25">
      <c r="A102" s="1">
        <v>44662</v>
      </c>
      <c r="B102" s="2">
        <v>3.6</v>
      </c>
      <c r="C102">
        <v>0</v>
      </c>
    </row>
    <row r="103" spans="1:3" x14ac:dyDescent="0.25">
      <c r="A103" s="1">
        <v>44663</v>
      </c>
      <c r="B103" s="2">
        <v>6.8</v>
      </c>
      <c r="C103">
        <v>0</v>
      </c>
    </row>
    <row r="104" spans="1:3" x14ac:dyDescent="0.25">
      <c r="A104" s="1">
        <v>44664</v>
      </c>
      <c r="B104" s="2">
        <v>9.1999999999999993</v>
      </c>
      <c r="C104">
        <v>0</v>
      </c>
    </row>
    <row r="105" spans="1:3" x14ac:dyDescent="0.25">
      <c r="A105" s="1">
        <v>44665</v>
      </c>
      <c r="B105" s="2">
        <v>13.9</v>
      </c>
      <c r="C105">
        <v>0</v>
      </c>
    </row>
    <row r="106" spans="1:3" x14ac:dyDescent="0.25">
      <c r="A106" s="1">
        <v>44666</v>
      </c>
      <c r="B106" s="2">
        <v>11.3</v>
      </c>
      <c r="C106">
        <v>2</v>
      </c>
    </row>
    <row r="107" spans="1:3" x14ac:dyDescent="0.25">
      <c r="A107" s="1">
        <v>44667</v>
      </c>
      <c r="B107" s="2">
        <v>6.9</v>
      </c>
      <c r="C107">
        <v>4</v>
      </c>
    </row>
    <row r="108" spans="1:3" x14ac:dyDescent="0.25">
      <c r="A108" s="1">
        <v>44668</v>
      </c>
      <c r="B108" s="2">
        <v>6.2</v>
      </c>
      <c r="C108">
        <v>0</v>
      </c>
    </row>
    <row r="109" spans="1:3" x14ac:dyDescent="0.25">
      <c r="A109" s="1">
        <v>44669</v>
      </c>
      <c r="B109" s="2">
        <v>5.4</v>
      </c>
      <c r="C109">
        <v>0</v>
      </c>
    </row>
    <row r="110" spans="1:3" x14ac:dyDescent="0.25">
      <c r="A110" s="1">
        <v>44670</v>
      </c>
      <c r="B110" s="2">
        <v>5.3</v>
      </c>
      <c r="C110">
        <v>0</v>
      </c>
    </row>
    <row r="111" spans="1:3" x14ac:dyDescent="0.25">
      <c r="A111" s="1">
        <v>44671</v>
      </c>
      <c r="B111" s="2">
        <v>4.7</v>
      </c>
      <c r="C111">
        <v>0</v>
      </c>
    </row>
    <row r="112" spans="1:3" x14ac:dyDescent="0.25">
      <c r="A112" s="1">
        <v>44672</v>
      </c>
      <c r="B112" s="2">
        <v>7.7</v>
      </c>
      <c r="C112">
        <v>0</v>
      </c>
    </row>
    <row r="113" spans="1:3" x14ac:dyDescent="0.25">
      <c r="A113" s="1">
        <v>44673</v>
      </c>
      <c r="B113" s="2">
        <v>7.7</v>
      </c>
      <c r="C113">
        <v>0</v>
      </c>
    </row>
    <row r="114" spans="1:3" x14ac:dyDescent="0.25">
      <c r="A114" s="1">
        <v>44674</v>
      </c>
      <c r="B114" s="2">
        <v>8.6</v>
      </c>
      <c r="C114">
        <v>0</v>
      </c>
    </row>
    <row r="115" spans="1:3" x14ac:dyDescent="0.25">
      <c r="A115" s="1">
        <v>44675</v>
      </c>
      <c r="B115" s="2">
        <v>9.4</v>
      </c>
      <c r="C115">
        <v>0</v>
      </c>
    </row>
    <row r="116" spans="1:3" x14ac:dyDescent="0.25">
      <c r="A116" s="1">
        <v>44676</v>
      </c>
      <c r="B116" s="2">
        <v>11.1</v>
      </c>
      <c r="C116">
        <v>18</v>
      </c>
    </row>
    <row r="117" spans="1:3" x14ac:dyDescent="0.25">
      <c r="A117" s="1">
        <v>44677</v>
      </c>
      <c r="B117" s="2">
        <v>9.5</v>
      </c>
      <c r="C117">
        <v>0</v>
      </c>
    </row>
    <row r="118" spans="1:3" x14ac:dyDescent="0.25">
      <c r="A118" s="1">
        <v>44678</v>
      </c>
      <c r="B118" s="2">
        <v>9.8000000000000007</v>
      </c>
      <c r="C118">
        <v>0</v>
      </c>
    </row>
    <row r="119" spans="1:3" x14ac:dyDescent="0.25">
      <c r="A119" s="1">
        <v>44679</v>
      </c>
      <c r="B119" s="2">
        <v>12.1</v>
      </c>
      <c r="C119">
        <v>0</v>
      </c>
    </row>
    <row r="120" spans="1:3" x14ac:dyDescent="0.25">
      <c r="A120" s="1">
        <v>44680</v>
      </c>
      <c r="B120" s="2">
        <v>11.1</v>
      </c>
      <c r="C120">
        <v>0</v>
      </c>
    </row>
    <row r="121" spans="1:3" x14ac:dyDescent="0.25">
      <c r="A121" s="1">
        <v>44681</v>
      </c>
      <c r="B121" s="2">
        <v>3.9</v>
      </c>
      <c r="C121">
        <v>11</v>
      </c>
    </row>
    <row r="122" spans="1:3" x14ac:dyDescent="0.25">
      <c r="A122" s="1">
        <v>44682</v>
      </c>
      <c r="B122" s="2">
        <v>12.8</v>
      </c>
      <c r="C122">
        <v>0</v>
      </c>
    </row>
    <row r="123" spans="1:3" x14ac:dyDescent="0.25">
      <c r="A123" s="1">
        <v>44683</v>
      </c>
      <c r="B123" s="2">
        <v>14.4</v>
      </c>
      <c r="C123">
        <v>0</v>
      </c>
    </row>
    <row r="124" spans="1:3" x14ac:dyDescent="0.25">
      <c r="A124" s="1">
        <v>44684</v>
      </c>
      <c r="B124" s="2">
        <v>15.3</v>
      </c>
      <c r="C124">
        <v>0</v>
      </c>
    </row>
    <row r="125" spans="1:3" x14ac:dyDescent="0.25">
      <c r="A125" s="1">
        <v>44685</v>
      </c>
      <c r="B125" s="2">
        <v>15.4</v>
      </c>
      <c r="C125">
        <v>0</v>
      </c>
    </row>
    <row r="126" spans="1:3" x14ac:dyDescent="0.25">
      <c r="A126" s="1">
        <v>44686</v>
      </c>
      <c r="B126" s="2">
        <v>16.100000000000001</v>
      </c>
      <c r="C126">
        <v>0</v>
      </c>
    </row>
    <row r="127" spans="1:3" x14ac:dyDescent="0.25">
      <c r="A127" s="1">
        <v>44687</v>
      </c>
      <c r="B127" s="2">
        <v>14.9</v>
      </c>
      <c r="C127">
        <v>0</v>
      </c>
    </row>
    <row r="128" spans="1:3" x14ac:dyDescent="0.25">
      <c r="A128" s="1">
        <v>44688</v>
      </c>
      <c r="B128" s="2">
        <v>16</v>
      </c>
      <c r="C128">
        <v>0</v>
      </c>
    </row>
    <row r="129" spans="1:3" x14ac:dyDescent="0.25">
      <c r="A129" s="1">
        <v>44689</v>
      </c>
      <c r="B129" s="2">
        <v>16.3</v>
      </c>
      <c r="C129">
        <v>0</v>
      </c>
    </row>
    <row r="130" spans="1:3" x14ac:dyDescent="0.25">
      <c r="A130" s="1">
        <v>44690</v>
      </c>
      <c r="B130" s="2">
        <v>15.5</v>
      </c>
      <c r="C130">
        <v>0</v>
      </c>
    </row>
    <row r="131" spans="1:3" x14ac:dyDescent="0.25">
      <c r="A131" s="1">
        <v>44691</v>
      </c>
      <c r="B131" s="2">
        <v>15</v>
      </c>
      <c r="C131">
        <v>0</v>
      </c>
    </row>
    <row r="132" spans="1:3" x14ac:dyDescent="0.25">
      <c r="A132" s="1">
        <v>44692</v>
      </c>
      <c r="B132" s="2">
        <v>18.600000000000001</v>
      </c>
      <c r="C132">
        <v>0</v>
      </c>
    </row>
    <row r="133" spans="1:3" x14ac:dyDescent="0.25">
      <c r="A133" s="1">
        <v>44693</v>
      </c>
      <c r="B133" s="2">
        <v>22.2</v>
      </c>
      <c r="C133">
        <v>0</v>
      </c>
    </row>
    <row r="134" spans="1:3" x14ac:dyDescent="0.25">
      <c r="A134" s="1">
        <v>44694</v>
      </c>
      <c r="B134" s="2">
        <v>17.399999999999999</v>
      </c>
      <c r="C134">
        <v>0</v>
      </c>
    </row>
    <row r="135" spans="1:3" x14ac:dyDescent="0.25">
      <c r="A135" s="1">
        <v>44695</v>
      </c>
      <c r="B135" s="2">
        <v>16.2</v>
      </c>
      <c r="C135">
        <v>0</v>
      </c>
    </row>
    <row r="136" spans="1:3" x14ac:dyDescent="0.25">
      <c r="A136" s="1">
        <v>44696</v>
      </c>
      <c r="B136" s="2">
        <v>16.399999999999999</v>
      </c>
      <c r="C136">
        <v>0</v>
      </c>
    </row>
    <row r="137" spans="1:3" x14ac:dyDescent="0.25">
      <c r="A137" s="1">
        <v>44697</v>
      </c>
      <c r="B137" s="2">
        <v>15.9</v>
      </c>
      <c r="C137">
        <v>0</v>
      </c>
    </row>
    <row r="138" spans="1:3" x14ac:dyDescent="0.25">
      <c r="A138" s="1">
        <v>44698</v>
      </c>
      <c r="B138" s="2">
        <v>15.8</v>
      </c>
      <c r="C138">
        <v>0</v>
      </c>
    </row>
    <row r="139" spans="1:3" x14ac:dyDescent="0.25">
      <c r="A139" s="1">
        <v>44699</v>
      </c>
      <c r="B139" s="2">
        <v>12.4</v>
      </c>
      <c r="C139">
        <v>0</v>
      </c>
    </row>
    <row r="140" spans="1:3" x14ac:dyDescent="0.25">
      <c r="A140" s="1">
        <v>44700</v>
      </c>
      <c r="B140" s="2">
        <v>16</v>
      </c>
      <c r="C140">
        <v>0</v>
      </c>
    </row>
    <row r="141" spans="1:3" x14ac:dyDescent="0.25">
      <c r="A141" s="1">
        <v>44701</v>
      </c>
      <c r="B141" s="2">
        <v>20.3</v>
      </c>
      <c r="C141">
        <v>0</v>
      </c>
    </row>
    <row r="142" spans="1:3" x14ac:dyDescent="0.25">
      <c r="A142" s="1">
        <v>44702</v>
      </c>
      <c r="B142" s="2">
        <v>19.8</v>
      </c>
      <c r="C142">
        <v>1</v>
      </c>
    </row>
    <row r="143" spans="1:3" x14ac:dyDescent="0.25">
      <c r="A143" s="1">
        <v>44703</v>
      </c>
      <c r="B143" s="2">
        <v>14.1</v>
      </c>
      <c r="C143">
        <v>0</v>
      </c>
    </row>
    <row r="144" spans="1:3" x14ac:dyDescent="0.25">
      <c r="A144" s="1">
        <v>44704</v>
      </c>
      <c r="B144" s="2">
        <v>13.1</v>
      </c>
      <c r="C144">
        <v>0</v>
      </c>
    </row>
    <row r="145" spans="1:3" x14ac:dyDescent="0.25">
      <c r="A145" s="1">
        <v>44705</v>
      </c>
      <c r="B145" s="2">
        <v>16.100000000000001</v>
      </c>
      <c r="C145">
        <v>0</v>
      </c>
    </row>
    <row r="146" spans="1:3" x14ac:dyDescent="0.25">
      <c r="A146" s="1">
        <v>44706</v>
      </c>
      <c r="B146" s="2">
        <v>16.100000000000001</v>
      </c>
      <c r="C146">
        <v>0</v>
      </c>
    </row>
    <row r="147" spans="1:3" x14ac:dyDescent="0.25">
      <c r="A147" s="1">
        <v>44707</v>
      </c>
      <c r="B147" s="2">
        <v>16.7</v>
      </c>
      <c r="C147">
        <v>0</v>
      </c>
    </row>
    <row r="148" spans="1:3" x14ac:dyDescent="0.25">
      <c r="A148" s="1">
        <v>44708</v>
      </c>
      <c r="B148" s="2">
        <v>16</v>
      </c>
      <c r="C148">
        <v>0</v>
      </c>
    </row>
    <row r="149" spans="1:3" x14ac:dyDescent="0.25">
      <c r="A149" s="1">
        <v>44709</v>
      </c>
      <c r="B149" s="2">
        <v>12.3</v>
      </c>
      <c r="C149">
        <v>0</v>
      </c>
    </row>
    <row r="150" spans="1:3" x14ac:dyDescent="0.25">
      <c r="A150" s="1">
        <v>44710</v>
      </c>
      <c r="B150" s="2">
        <v>13.3</v>
      </c>
      <c r="C150">
        <v>0</v>
      </c>
    </row>
    <row r="151" spans="1:3" x14ac:dyDescent="0.25">
      <c r="A151" s="1">
        <v>44711</v>
      </c>
      <c r="B151" s="2">
        <v>14.2</v>
      </c>
      <c r="C151">
        <v>1</v>
      </c>
    </row>
    <row r="152" spans="1:3" x14ac:dyDescent="0.25">
      <c r="A152" s="1">
        <v>44712</v>
      </c>
      <c r="B152" s="2">
        <v>17.2</v>
      </c>
      <c r="C152">
        <v>0</v>
      </c>
    </row>
    <row r="153" spans="1:3" x14ac:dyDescent="0.25">
      <c r="A153" s="1">
        <v>44713</v>
      </c>
      <c r="B153" s="2">
        <v>19</v>
      </c>
      <c r="C153">
        <v>0</v>
      </c>
    </row>
    <row r="154" spans="1:3" x14ac:dyDescent="0.25">
      <c r="A154" s="1">
        <v>44714</v>
      </c>
      <c r="B154" s="2">
        <v>16.899999999999999</v>
      </c>
      <c r="C154">
        <v>1</v>
      </c>
    </row>
    <row r="155" spans="1:3" x14ac:dyDescent="0.25">
      <c r="A155" s="1">
        <v>44715</v>
      </c>
      <c r="B155" s="2">
        <v>18.399999999999999</v>
      </c>
      <c r="C155">
        <v>0</v>
      </c>
    </row>
    <row r="156" spans="1:3" x14ac:dyDescent="0.25">
      <c r="A156" s="1">
        <v>44716</v>
      </c>
      <c r="B156" s="2">
        <v>17.5</v>
      </c>
      <c r="C156">
        <v>0</v>
      </c>
    </row>
    <row r="157" spans="1:3" x14ac:dyDescent="0.25">
      <c r="A157" s="1">
        <v>44717</v>
      </c>
      <c r="B157" s="2">
        <v>19.899999999999999</v>
      </c>
      <c r="C157">
        <v>0</v>
      </c>
    </row>
    <row r="158" spans="1:3" x14ac:dyDescent="0.25">
      <c r="A158" s="1">
        <v>44718</v>
      </c>
      <c r="B158" s="2">
        <v>21</v>
      </c>
      <c r="C158">
        <v>0</v>
      </c>
    </row>
    <row r="159" spans="1:3" x14ac:dyDescent="0.25">
      <c r="A159" s="1">
        <v>44719</v>
      </c>
      <c r="B159" s="2">
        <v>22.7</v>
      </c>
      <c r="C159">
        <v>0</v>
      </c>
    </row>
    <row r="160" spans="1:3" x14ac:dyDescent="0.25">
      <c r="A160" s="1">
        <v>44720</v>
      </c>
      <c r="B160" s="2">
        <v>19.2</v>
      </c>
      <c r="C160">
        <v>0</v>
      </c>
    </row>
    <row r="161" spans="1:3" x14ac:dyDescent="0.25">
      <c r="A161" s="1">
        <v>44721</v>
      </c>
      <c r="B161" s="2">
        <v>18.600000000000001</v>
      </c>
      <c r="C161">
        <v>43</v>
      </c>
    </row>
    <row r="162" spans="1:3" x14ac:dyDescent="0.25">
      <c r="A162" s="1">
        <v>44722</v>
      </c>
      <c r="B162" s="2">
        <v>18.399999999999999</v>
      </c>
      <c r="C162">
        <v>0</v>
      </c>
    </row>
    <row r="163" spans="1:3" x14ac:dyDescent="0.25">
      <c r="A163" s="1">
        <v>44723</v>
      </c>
      <c r="B163" s="2">
        <v>19.399999999999999</v>
      </c>
      <c r="C163">
        <v>0</v>
      </c>
    </row>
    <row r="164" spans="1:3" x14ac:dyDescent="0.25">
      <c r="A164" s="1">
        <v>44724</v>
      </c>
      <c r="B164" s="2">
        <v>19.899999999999999</v>
      </c>
      <c r="C164">
        <v>0</v>
      </c>
    </row>
    <row r="165" spans="1:3" x14ac:dyDescent="0.25">
      <c r="A165" s="1">
        <v>44725</v>
      </c>
      <c r="B165" s="2">
        <v>18.100000000000001</v>
      </c>
      <c r="C165">
        <v>7</v>
      </c>
    </row>
    <row r="166" spans="1:3" x14ac:dyDescent="0.25">
      <c r="A166" s="1">
        <v>44726</v>
      </c>
      <c r="B166" s="2">
        <v>15.3</v>
      </c>
      <c r="C166">
        <v>0</v>
      </c>
    </row>
    <row r="167" spans="1:3" x14ac:dyDescent="0.25">
      <c r="A167" s="1">
        <v>44727</v>
      </c>
      <c r="B167" s="2">
        <v>16.100000000000001</v>
      </c>
      <c r="C167">
        <v>0</v>
      </c>
    </row>
    <row r="168" spans="1:3" x14ac:dyDescent="0.25">
      <c r="A168" s="1">
        <v>44728</v>
      </c>
      <c r="B168" s="2">
        <v>18.2</v>
      </c>
      <c r="C168">
        <v>15</v>
      </c>
    </row>
    <row r="169" spans="1:3" x14ac:dyDescent="0.25">
      <c r="A169" s="1">
        <v>44729</v>
      </c>
      <c r="B169" s="2">
        <v>17.899999999999999</v>
      </c>
      <c r="C169">
        <v>0</v>
      </c>
    </row>
    <row r="170" spans="1:3" x14ac:dyDescent="0.25">
      <c r="A170" s="1">
        <v>44730</v>
      </c>
      <c r="B170" s="2">
        <v>20.100000000000001</v>
      </c>
      <c r="C170">
        <v>0</v>
      </c>
    </row>
    <row r="171" spans="1:3" x14ac:dyDescent="0.25">
      <c r="A171" s="1">
        <v>44731</v>
      </c>
      <c r="B171" s="2">
        <v>24.6</v>
      </c>
      <c r="C171">
        <v>0</v>
      </c>
    </row>
    <row r="172" spans="1:3" x14ac:dyDescent="0.25">
      <c r="A172" s="1">
        <v>44732</v>
      </c>
      <c r="B172" s="2">
        <v>24.7</v>
      </c>
      <c r="C172">
        <v>0</v>
      </c>
    </row>
    <row r="173" spans="1:3" x14ac:dyDescent="0.25">
      <c r="A173" s="1">
        <v>44733</v>
      </c>
      <c r="B173" s="2">
        <v>16.399999999999999</v>
      </c>
      <c r="C173">
        <v>0</v>
      </c>
    </row>
    <row r="174" spans="1:3" x14ac:dyDescent="0.25">
      <c r="A174" s="1">
        <v>44734</v>
      </c>
      <c r="B174" s="2">
        <v>18.7</v>
      </c>
      <c r="C174">
        <v>0</v>
      </c>
    </row>
    <row r="175" spans="1:3" x14ac:dyDescent="0.25">
      <c r="A175" s="1">
        <v>44735</v>
      </c>
      <c r="B175" s="2">
        <v>19.100000000000001</v>
      </c>
      <c r="C175">
        <v>0</v>
      </c>
    </row>
    <row r="176" spans="1:3" x14ac:dyDescent="0.25">
      <c r="A176" s="1">
        <v>44736</v>
      </c>
      <c r="B176" s="2">
        <v>21.4</v>
      </c>
      <c r="C176">
        <v>0</v>
      </c>
    </row>
    <row r="177" spans="1:3" x14ac:dyDescent="0.25">
      <c r="A177" s="1">
        <v>44737</v>
      </c>
      <c r="B177" s="2">
        <v>24.4</v>
      </c>
      <c r="C177">
        <v>0</v>
      </c>
    </row>
    <row r="178" spans="1:3" x14ac:dyDescent="0.25">
      <c r="A178" s="1">
        <v>44738</v>
      </c>
      <c r="B178" s="2">
        <v>24.1</v>
      </c>
      <c r="C178">
        <v>0</v>
      </c>
    </row>
    <row r="179" spans="1:3" x14ac:dyDescent="0.25">
      <c r="A179" s="1">
        <v>44739</v>
      </c>
      <c r="B179" s="2">
        <v>26.1</v>
      </c>
      <c r="C179">
        <v>0</v>
      </c>
    </row>
    <row r="180" spans="1:3" x14ac:dyDescent="0.25">
      <c r="A180" s="1">
        <v>44740</v>
      </c>
      <c r="B180" s="2">
        <v>24.6</v>
      </c>
      <c r="C180">
        <v>1</v>
      </c>
    </row>
    <row r="181" spans="1:3" x14ac:dyDescent="0.25">
      <c r="A181" s="1">
        <v>44741</v>
      </c>
      <c r="B181" s="2">
        <v>24.9</v>
      </c>
      <c r="C181">
        <v>0</v>
      </c>
    </row>
    <row r="182" spans="1:3" x14ac:dyDescent="0.25">
      <c r="A182" s="1">
        <v>44742</v>
      </c>
      <c r="B182" s="2">
        <v>29</v>
      </c>
      <c r="C182">
        <v>0</v>
      </c>
    </row>
    <row r="183" spans="1:3" x14ac:dyDescent="0.25">
      <c r="A183" s="1">
        <v>44743</v>
      </c>
      <c r="B183" s="2">
        <v>29.9</v>
      </c>
      <c r="C183">
        <v>0</v>
      </c>
    </row>
    <row r="184" spans="1:3" x14ac:dyDescent="0.25">
      <c r="A184" s="1">
        <v>44744</v>
      </c>
      <c r="B184" s="2">
        <v>19.7</v>
      </c>
      <c r="C184">
        <v>0</v>
      </c>
    </row>
    <row r="185" spans="1:3" x14ac:dyDescent="0.25">
      <c r="A185" s="1">
        <v>44745</v>
      </c>
      <c r="B185" s="2">
        <v>21.6</v>
      </c>
      <c r="C185">
        <v>0</v>
      </c>
    </row>
    <row r="186" spans="1:3" x14ac:dyDescent="0.25">
      <c r="A186" s="1">
        <v>44746</v>
      </c>
      <c r="B186" s="2">
        <v>24.1</v>
      </c>
      <c r="C186">
        <v>0</v>
      </c>
    </row>
    <row r="187" spans="1:3" x14ac:dyDescent="0.25">
      <c r="A187" s="1">
        <v>44747</v>
      </c>
      <c r="B187" s="2">
        <v>19.8</v>
      </c>
      <c r="C187">
        <v>17</v>
      </c>
    </row>
    <row r="188" spans="1:3" x14ac:dyDescent="0.25">
      <c r="A188" s="1">
        <v>44748</v>
      </c>
      <c r="B188" s="2">
        <v>17.600000000000001</v>
      </c>
      <c r="C188">
        <v>21</v>
      </c>
    </row>
    <row r="189" spans="1:3" x14ac:dyDescent="0.25">
      <c r="A189" s="1">
        <v>44749</v>
      </c>
      <c r="B189" s="2">
        <v>18.2</v>
      </c>
      <c r="C189">
        <v>0</v>
      </c>
    </row>
    <row r="190" spans="1:3" x14ac:dyDescent="0.25">
      <c r="A190" s="1">
        <v>44750</v>
      </c>
      <c r="B190" s="2">
        <v>17.399999999999999</v>
      </c>
      <c r="C190">
        <v>0</v>
      </c>
    </row>
    <row r="191" spans="1:3" x14ac:dyDescent="0.25">
      <c r="A191" s="1">
        <v>44751</v>
      </c>
      <c r="B191" s="2">
        <v>17.899999999999999</v>
      </c>
      <c r="C191">
        <v>0</v>
      </c>
    </row>
    <row r="192" spans="1:3" x14ac:dyDescent="0.25">
      <c r="A192" s="1">
        <v>44752</v>
      </c>
      <c r="B192" s="2">
        <v>16.100000000000001</v>
      </c>
      <c r="C192">
        <v>4</v>
      </c>
    </row>
    <row r="193" spans="1:3" x14ac:dyDescent="0.25">
      <c r="A193" s="1">
        <v>44753</v>
      </c>
      <c r="B193" s="2">
        <v>14</v>
      </c>
      <c r="C193">
        <v>3</v>
      </c>
    </row>
    <row r="194" spans="1:3" x14ac:dyDescent="0.25">
      <c r="A194" s="1">
        <v>44754</v>
      </c>
      <c r="B194" s="2">
        <v>16.3</v>
      </c>
      <c r="C194">
        <v>2</v>
      </c>
    </row>
    <row r="195" spans="1:3" x14ac:dyDescent="0.25">
      <c r="A195" s="1">
        <v>44755</v>
      </c>
      <c r="B195" s="2">
        <v>21.7</v>
      </c>
      <c r="C195">
        <v>0</v>
      </c>
    </row>
    <row r="196" spans="1:3" x14ac:dyDescent="0.25">
      <c r="A196" s="1">
        <v>44756</v>
      </c>
      <c r="B196" s="2">
        <v>23.2</v>
      </c>
      <c r="C196">
        <v>4</v>
      </c>
    </row>
    <row r="197" spans="1:3" x14ac:dyDescent="0.25">
      <c r="A197" s="1">
        <v>44757</v>
      </c>
      <c r="B197" s="2">
        <v>19.100000000000001</v>
      </c>
      <c r="C197">
        <v>2</v>
      </c>
    </row>
    <row r="198" spans="1:3" x14ac:dyDescent="0.25">
      <c r="A198" s="1">
        <v>44758</v>
      </c>
      <c r="B198" s="2">
        <v>16.100000000000001</v>
      </c>
      <c r="C198">
        <v>0</v>
      </c>
    </row>
    <row r="199" spans="1:3" x14ac:dyDescent="0.25">
      <c r="A199" s="1">
        <v>44759</v>
      </c>
      <c r="B199" s="2">
        <v>17.100000000000001</v>
      </c>
      <c r="C199">
        <v>0</v>
      </c>
    </row>
    <row r="200" spans="1:3" x14ac:dyDescent="0.25">
      <c r="A200" s="1">
        <v>44760</v>
      </c>
      <c r="B200" s="2">
        <v>18.7</v>
      </c>
      <c r="C200">
        <v>0</v>
      </c>
    </row>
    <row r="201" spans="1:3" x14ac:dyDescent="0.25">
      <c r="A201" s="1">
        <v>44761</v>
      </c>
      <c r="B201" s="2">
        <v>22.1</v>
      </c>
      <c r="C201">
        <v>0</v>
      </c>
    </row>
    <row r="202" spans="1:3" x14ac:dyDescent="0.25">
      <c r="A202" s="1">
        <v>44762</v>
      </c>
      <c r="B202" s="2">
        <v>24.6</v>
      </c>
      <c r="C202">
        <v>0</v>
      </c>
    </row>
    <row r="203" spans="1:3" x14ac:dyDescent="0.25">
      <c r="A203" s="1">
        <v>44763</v>
      </c>
      <c r="B203" s="2">
        <v>24.1</v>
      </c>
      <c r="C203">
        <v>0</v>
      </c>
    </row>
    <row r="204" spans="1:3" x14ac:dyDescent="0.25">
      <c r="A204" s="1">
        <v>44764</v>
      </c>
      <c r="B204" s="2">
        <v>25.6</v>
      </c>
      <c r="C204">
        <v>0</v>
      </c>
    </row>
    <row r="205" spans="1:3" x14ac:dyDescent="0.25">
      <c r="A205" s="1">
        <v>44765</v>
      </c>
      <c r="B205" s="2">
        <v>25</v>
      </c>
      <c r="C205">
        <v>0</v>
      </c>
    </row>
    <row r="206" spans="1:3" x14ac:dyDescent="0.25">
      <c r="A206" s="1">
        <v>44766</v>
      </c>
      <c r="B206" s="2">
        <v>21.8</v>
      </c>
      <c r="C206">
        <v>0</v>
      </c>
    </row>
    <row r="207" spans="1:3" x14ac:dyDescent="0.25">
      <c r="A207" s="1">
        <v>44767</v>
      </c>
      <c r="B207" s="2">
        <v>21.9</v>
      </c>
      <c r="C207">
        <v>0</v>
      </c>
    </row>
    <row r="208" spans="1:3" x14ac:dyDescent="0.25">
      <c r="A208" s="1">
        <v>44768</v>
      </c>
      <c r="B208" s="2">
        <v>20.399999999999999</v>
      </c>
      <c r="C208">
        <v>3</v>
      </c>
    </row>
    <row r="209" spans="1:3" x14ac:dyDescent="0.25">
      <c r="A209" s="1">
        <v>44769</v>
      </c>
      <c r="B209" s="2">
        <v>19.899999999999999</v>
      </c>
      <c r="C209">
        <v>0</v>
      </c>
    </row>
    <row r="210" spans="1:3" x14ac:dyDescent="0.25">
      <c r="A210" s="1">
        <v>44770</v>
      </c>
      <c r="B210" s="2">
        <v>19.899999999999999</v>
      </c>
      <c r="C210">
        <v>7</v>
      </c>
    </row>
    <row r="211" spans="1:3" x14ac:dyDescent="0.25">
      <c r="A211" s="1">
        <v>44771</v>
      </c>
      <c r="B211" s="2">
        <v>21.1</v>
      </c>
      <c r="C211">
        <v>0</v>
      </c>
    </row>
    <row r="212" spans="1:3" x14ac:dyDescent="0.25">
      <c r="A212" s="1">
        <v>44772</v>
      </c>
      <c r="B212" s="2">
        <v>20.7</v>
      </c>
      <c r="C212">
        <v>37</v>
      </c>
    </row>
    <row r="213" spans="1:3" x14ac:dyDescent="0.25">
      <c r="A213" s="1">
        <v>44773</v>
      </c>
      <c r="B213" s="2">
        <v>16.600000000000001</v>
      </c>
      <c r="C213">
        <v>0</v>
      </c>
    </row>
    <row r="214" spans="1:3" x14ac:dyDescent="0.25">
      <c r="A214" s="1">
        <v>44774</v>
      </c>
      <c r="B214" s="2">
        <v>19.7</v>
      </c>
      <c r="C214">
        <v>5</v>
      </c>
    </row>
    <row r="215" spans="1:3" x14ac:dyDescent="0.25">
      <c r="A215" s="1">
        <v>44775</v>
      </c>
      <c r="B215" s="2">
        <v>21</v>
      </c>
      <c r="C215">
        <v>1</v>
      </c>
    </row>
    <row r="216" spans="1:3" x14ac:dyDescent="0.25">
      <c r="A216" s="1">
        <v>44776</v>
      </c>
      <c r="B216" s="2">
        <v>21.9</v>
      </c>
      <c r="C216">
        <v>0</v>
      </c>
    </row>
    <row r="217" spans="1:3" x14ac:dyDescent="0.25">
      <c r="A217" s="1">
        <v>44777</v>
      </c>
      <c r="B217" s="2">
        <v>22.6</v>
      </c>
      <c r="C217">
        <v>0</v>
      </c>
    </row>
    <row r="218" spans="1:3" x14ac:dyDescent="0.25">
      <c r="A218" s="1">
        <v>44778</v>
      </c>
      <c r="B218" s="2">
        <v>24.4</v>
      </c>
      <c r="C218">
        <v>0</v>
      </c>
    </row>
    <row r="219" spans="1:3" x14ac:dyDescent="0.25">
      <c r="A219" s="1">
        <v>44779</v>
      </c>
      <c r="B219" s="2">
        <v>20.100000000000001</v>
      </c>
      <c r="C219">
        <v>0</v>
      </c>
    </row>
    <row r="220" spans="1:3" x14ac:dyDescent="0.25">
      <c r="A220" s="1">
        <v>44780</v>
      </c>
      <c r="B220" s="2">
        <v>18.5</v>
      </c>
      <c r="C220">
        <v>0</v>
      </c>
    </row>
    <row r="221" spans="1:3" x14ac:dyDescent="0.25">
      <c r="A221" s="1">
        <v>44781</v>
      </c>
      <c r="B221" s="2">
        <v>17.100000000000001</v>
      </c>
      <c r="C221">
        <v>0</v>
      </c>
    </row>
    <row r="222" spans="1:3" x14ac:dyDescent="0.25">
      <c r="A222" s="1">
        <v>44782</v>
      </c>
      <c r="B222" s="2">
        <v>19.600000000000001</v>
      </c>
      <c r="C222">
        <v>0</v>
      </c>
    </row>
    <row r="223" spans="1:3" x14ac:dyDescent="0.25">
      <c r="A223" s="1">
        <v>44783</v>
      </c>
      <c r="B223" s="2">
        <v>19.2</v>
      </c>
      <c r="C223">
        <v>0</v>
      </c>
    </row>
    <row r="224" spans="1:3" x14ac:dyDescent="0.25">
      <c r="A224" s="1">
        <v>44784</v>
      </c>
      <c r="B224" s="2">
        <v>17.100000000000001</v>
      </c>
      <c r="C224">
        <v>3</v>
      </c>
    </row>
    <row r="225" spans="1:3" x14ac:dyDescent="0.25">
      <c r="A225" s="1">
        <v>44785</v>
      </c>
      <c r="B225" s="2">
        <v>17.600000000000001</v>
      </c>
      <c r="C225">
        <v>0</v>
      </c>
    </row>
    <row r="226" spans="1:3" x14ac:dyDescent="0.25">
      <c r="A226" s="1">
        <v>44786</v>
      </c>
      <c r="B226" s="2">
        <v>19.8</v>
      </c>
      <c r="C226">
        <v>0</v>
      </c>
    </row>
    <row r="227" spans="1:3" x14ac:dyDescent="0.25">
      <c r="A227" s="1">
        <v>44787</v>
      </c>
      <c r="B227" s="2">
        <v>22</v>
      </c>
      <c r="C227">
        <v>4</v>
      </c>
    </row>
    <row r="228" spans="1:3" x14ac:dyDescent="0.25">
      <c r="A228" s="1">
        <v>44788</v>
      </c>
      <c r="B228" s="2">
        <v>23</v>
      </c>
      <c r="C228">
        <v>0</v>
      </c>
    </row>
    <row r="229" spans="1:3" x14ac:dyDescent="0.25">
      <c r="A229" s="1">
        <v>44789</v>
      </c>
      <c r="B229" s="2">
        <v>22.2</v>
      </c>
      <c r="C229">
        <v>0</v>
      </c>
    </row>
    <row r="230" spans="1:3" x14ac:dyDescent="0.25">
      <c r="A230" s="1">
        <v>44790</v>
      </c>
      <c r="B230" s="2">
        <v>22.9</v>
      </c>
      <c r="C230">
        <v>0</v>
      </c>
    </row>
    <row r="231" spans="1:3" x14ac:dyDescent="0.25">
      <c r="A231" s="1">
        <v>44791</v>
      </c>
      <c r="B231" s="2">
        <v>24.1</v>
      </c>
      <c r="C231">
        <v>0</v>
      </c>
    </row>
    <row r="232" spans="1:3" x14ac:dyDescent="0.25">
      <c r="A232" s="1">
        <v>44792</v>
      </c>
      <c r="B232" s="2">
        <v>26.8</v>
      </c>
      <c r="C232">
        <v>0</v>
      </c>
    </row>
    <row r="233" spans="1:3" x14ac:dyDescent="0.25">
      <c r="A233" s="1">
        <v>44793</v>
      </c>
      <c r="B233" s="2">
        <v>24.5</v>
      </c>
      <c r="C233">
        <v>0</v>
      </c>
    </row>
    <row r="234" spans="1:3" x14ac:dyDescent="0.25">
      <c r="A234" s="1">
        <v>44794</v>
      </c>
      <c r="B234" s="2">
        <v>20.7</v>
      </c>
      <c r="C234">
        <v>4</v>
      </c>
    </row>
    <row r="235" spans="1:3" x14ac:dyDescent="0.25">
      <c r="A235" s="1">
        <v>44795</v>
      </c>
      <c r="B235" s="2">
        <v>20.100000000000001</v>
      </c>
      <c r="C235">
        <v>11</v>
      </c>
    </row>
    <row r="236" spans="1:3" x14ac:dyDescent="0.25">
      <c r="A236" s="1">
        <v>44796</v>
      </c>
      <c r="B236" s="2">
        <v>21.9</v>
      </c>
      <c r="C236">
        <v>0</v>
      </c>
    </row>
    <row r="237" spans="1:3" x14ac:dyDescent="0.25">
      <c r="A237" s="1">
        <v>44797</v>
      </c>
      <c r="B237" s="2">
        <v>21.2</v>
      </c>
      <c r="C237">
        <v>4</v>
      </c>
    </row>
    <row r="238" spans="1:3" x14ac:dyDescent="0.25">
      <c r="A238" s="1">
        <v>44798</v>
      </c>
      <c r="B238" s="2">
        <v>23.2</v>
      </c>
      <c r="C238">
        <v>0</v>
      </c>
    </row>
    <row r="239" spans="1:3" x14ac:dyDescent="0.25">
      <c r="A239" s="1">
        <v>44799</v>
      </c>
      <c r="B239" s="2">
        <v>22.9</v>
      </c>
      <c r="C239">
        <v>0</v>
      </c>
    </row>
    <row r="240" spans="1:3" x14ac:dyDescent="0.25">
      <c r="A240" s="1">
        <v>44800</v>
      </c>
      <c r="B240" s="2">
        <v>22.9</v>
      </c>
      <c r="C240">
        <v>0</v>
      </c>
    </row>
    <row r="241" spans="1:3" x14ac:dyDescent="0.25">
      <c r="A241" s="1">
        <v>44801</v>
      </c>
      <c r="B241" s="2">
        <v>22.7</v>
      </c>
      <c r="C241">
        <v>0</v>
      </c>
    </row>
    <row r="242" spans="1:3" x14ac:dyDescent="0.25">
      <c r="A242" s="1">
        <v>44802</v>
      </c>
      <c r="B242" s="2">
        <v>20.6</v>
      </c>
      <c r="C242">
        <v>0</v>
      </c>
    </row>
    <row r="243" spans="1:3" x14ac:dyDescent="0.25">
      <c r="A243" s="1">
        <v>44803</v>
      </c>
      <c r="B243" s="2">
        <v>18.600000000000001</v>
      </c>
      <c r="C243">
        <v>0</v>
      </c>
    </row>
    <row r="244" spans="1:3" x14ac:dyDescent="0.25">
      <c r="A244" s="1">
        <v>44804</v>
      </c>
      <c r="B244" s="2">
        <v>16.2</v>
      </c>
      <c r="C244">
        <v>1</v>
      </c>
    </row>
    <row r="245" spans="1:3" x14ac:dyDescent="0.25">
      <c r="A245" s="1">
        <v>44805</v>
      </c>
      <c r="B245" s="2">
        <v>15.5</v>
      </c>
      <c r="C245">
        <v>0</v>
      </c>
    </row>
    <row r="246" spans="1:3" x14ac:dyDescent="0.25">
      <c r="A246" s="1">
        <v>44806</v>
      </c>
      <c r="B246" s="2">
        <v>14.4</v>
      </c>
      <c r="C246">
        <v>0</v>
      </c>
    </row>
    <row r="247" spans="1:3" x14ac:dyDescent="0.25">
      <c r="A247" s="1">
        <v>44807</v>
      </c>
      <c r="B247" s="2">
        <v>14.3</v>
      </c>
      <c r="C247">
        <v>0</v>
      </c>
    </row>
    <row r="248" spans="1:3" x14ac:dyDescent="0.25">
      <c r="A248" s="1">
        <v>44808</v>
      </c>
      <c r="B248" s="2">
        <v>15.5</v>
      </c>
      <c r="C248">
        <v>0</v>
      </c>
    </row>
    <row r="249" spans="1:3" x14ac:dyDescent="0.25">
      <c r="A249" s="1">
        <v>44809</v>
      </c>
      <c r="B249" s="2">
        <v>16.5</v>
      </c>
      <c r="C249">
        <v>0</v>
      </c>
    </row>
    <row r="250" spans="1:3" x14ac:dyDescent="0.25">
      <c r="A250" s="1">
        <v>44810</v>
      </c>
      <c r="B250" s="2">
        <v>15.8</v>
      </c>
      <c r="C250">
        <v>0</v>
      </c>
    </row>
    <row r="251" spans="1:3" x14ac:dyDescent="0.25">
      <c r="A251" s="1">
        <v>44811</v>
      </c>
      <c r="B251" s="2">
        <v>16.399999999999999</v>
      </c>
      <c r="C251">
        <v>0</v>
      </c>
    </row>
    <row r="252" spans="1:3" x14ac:dyDescent="0.25">
      <c r="A252" s="1">
        <v>44812</v>
      </c>
      <c r="B252" s="2">
        <v>19.8</v>
      </c>
      <c r="C252">
        <v>0</v>
      </c>
    </row>
    <row r="253" spans="1:3" x14ac:dyDescent="0.25">
      <c r="A253" s="1">
        <v>44813</v>
      </c>
      <c r="B253" s="2">
        <v>19.399999999999999</v>
      </c>
      <c r="C253">
        <v>0</v>
      </c>
    </row>
    <row r="254" spans="1:3" x14ac:dyDescent="0.25">
      <c r="A254" s="1">
        <v>44814</v>
      </c>
      <c r="B254" s="2">
        <v>15.3</v>
      </c>
      <c r="C254">
        <v>0</v>
      </c>
    </row>
    <row r="255" spans="1:3" x14ac:dyDescent="0.25">
      <c r="A255" s="1">
        <v>44815</v>
      </c>
      <c r="B255" s="2">
        <v>14.3</v>
      </c>
      <c r="C255">
        <v>0</v>
      </c>
    </row>
    <row r="256" spans="1:3" x14ac:dyDescent="0.25">
      <c r="A256" s="1">
        <v>44816</v>
      </c>
      <c r="B256" s="2">
        <v>12.2</v>
      </c>
      <c r="C256">
        <v>0</v>
      </c>
    </row>
    <row r="257" spans="1:3" x14ac:dyDescent="0.25">
      <c r="A257" s="1">
        <v>44817</v>
      </c>
      <c r="B257" s="2">
        <v>14.7</v>
      </c>
      <c r="C257">
        <v>0</v>
      </c>
    </row>
    <row r="258" spans="1:3" x14ac:dyDescent="0.25">
      <c r="A258" s="1">
        <v>44818</v>
      </c>
      <c r="B258" s="2">
        <v>18.399999999999999</v>
      </c>
      <c r="C258">
        <v>0</v>
      </c>
    </row>
    <row r="259" spans="1:3" x14ac:dyDescent="0.25">
      <c r="A259" s="1">
        <v>44819</v>
      </c>
      <c r="B259" s="2">
        <v>16.600000000000001</v>
      </c>
      <c r="C259">
        <v>6</v>
      </c>
    </row>
    <row r="260" spans="1:3" x14ac:dyDescent="0.25">
      <c r="A260" s="1">
        <v>44820</v>
      </c>
      <c r="B260" s="2">
        <v>14.5</v>
      </c>
      <c r="C260">
        <v>0</v>
      </c>
    </row>
    <row r="261" spans="1:3" x14ac:dyDescent="0.25">
      <c r="A261" s="1">
        <v>44821</v>
      </c>
      <c r="B261" s="2">
        <v>12.6</v>
      </c>
      <c r="C261">
        <v>0</v>
      </c>
    </row>
    <row r="262" spans="1:3" x14ac:dyDescent="0.25">
      <c r="A262" s="1">
        <v>44822</v>
      </c>
      <c r="B262" s="2">
        <v>10.3</v>
      </c>
      <c r="C262">
        <v>8</v>
      </c>
    </row>
    <row r="263" spans="1:3" x14ac:dyDescent="0.25">
      <c r="A263" s="1">
        <v>44823</v>
      </c>
      <c r="B263" s="2">
        <v>9.3000000000000007</v>
      </c>
      <c r="C263">
        <v>6</v>
      </c>
    </row>
    <row r="264" spans="1:3" x14ac:dyDescent="0.25">
      <c r="A264" s="1">
        <v>44824</v>
      </c>
      <c r="B264" s="2">
        <v>10.3</v>
      </c>
      <c r="C264">
        <v>6</v>
      </c>
    </row>
    <row r="265" spans="1:3" x14ac:dyDescent="0.25">
      <c r="A265" s="1">
        <v>44825</v>
      </c>
      <c r="B265" s="2">
        <v>10.3</v>
      </c>
      <c r="C265">
        <v>0</v>
      </c>
    </row>
    <row r="266" spans="1:3" x14ac:dyDescent="0.25">
      <c r="A266" s="1">
        <v>44826</v>
      </c>
      <c r="B266" s="2">
        <v>10.1</v>
      </c>
      <c r="C266">
        <v>2</v>
      </c>
    </row>
    <row r="267" spans="1:3" x14ac:dyDescent="0.25">
      <c r="A267" s="1">
        <v>44827</v>
      </c>
      <c r="B267" s="2">
        <v>10.5</v>
      </c>
      <c r="C267">
        <v>0</v>
      </c>
    </row>
    <row r="268" spans="1:3" x14ac:dyDescent="0.25">
      <c r="A268" s="1">
        <v>44828</v>
      </c>
      <c r="B268" s="2">
        <v>10.4</v>
      </c>
      <c r="C268">
        <v>0</v>
      </c>
    </row>
    <row r="269" spans="1:3" x14ac:dyDescent="0.25">
      <c r="A269" s="1">
        <v>44829</v>
      </c>
      <c r="B269" s="2">
        <v>12.4</v>
      </c>
      <c r="C269">
        <v>0</v>
      </c>
    </row>
    <row r="270" spans="1:3" x14ac:dyDescent="0.25">
      <c r="A270" s="1">
        <v>44830</v>
      </c>
      <c r="B270" s="2">
        <v>12</v>
      </c>
      <c r="C270">
        <v>3</v>
      </c>
    </row>
    <row r="271" spans="1:3" x14ac:dyDescent="0.25">
      <c r="A271" s="1">
        <v>44831</v>
      </c>
      <c r="B271" s="2">
        <v>12.2</v>
      </c>
      <c r="C271">
        <v>2</v>
      </c>
    </row>
    <row r="272" spans="1:3" x14ac:dyDescent="0.25">
      <c r="A272" s="1">
        <v>44832</v>
      </c>
      <c r="B272" s="2">
        <v>13.3</v>
      </c>
      <c r="C272">
        <v>0</v>
      </c>
    </row>
    <row r="273" spans="1:3" x14ac:dyDescent="0.25">
      <c r="A273" s="1">
        <v>44833</v>
      </c>
      <c r="B273" s="2">
        <v>11</v>
      </c>
      <c r="C273">
        <v>6</v>
      </c>
    </row>
    <row r="274" spans="1:3" x14ac:dyDescent="0.25">
      <c r="A274" s="1">
        <v>44834</v>
      </c>
      <c r="B274" s="2">
        <v>11.8</v>
      </c>
      <c r="C274">
        <v>10</v>
      </c>
    </row>
    <row r="275" spans="1:3" x14ac:dyDescent="0.25">
      <c r="A275" s="1">
        <v>44835</v>
      </c>
      <c r="B275" s="2">
        <v>13</v>
      </c>
      <c r="C275">
        <v>4</v>
      </c>
    </row>
    <row r="276" spans="1:3" x14ac:dyDescent="0.25">
      <c r="A276" s="1">
        <v>44836</v>
      </c>
      <c r="B276" s="2">
        <v>12.1</v>
      </c>
      <c r="C276">
        <v>8</v>
      </c>
    </row>
    <row r="277" spans="1:3" x14ac:dyDescent="0.25">
      <c r="A277" s="1">
        <v>44837</v>
      </c>
      <c r="B277" s="2">
        <v>10.4</v>
      </c>
      <c r="C277">
        <v>2</v>
      </c>
    </row>
    <row r="278" spans="1:3" x14ac:dyDescent="0.25">
      <c r="A278" s="1">
        <v>44838</v>
      </c>
      <c r="B278" s="2">
        <v>10.5</v>
      </c>
      <c r="C278">
        <v>0</v>
      </c>
    </row>
    <row r="279" spans="1:3" x14ac:dyDescent="0.25">
      <c r="A279" s="1">
        <v>44839</v>
      </c>
      <c r="B279" s="2">
        <v>11.5</v>
      </c>
      <c r="C279">
        <v>0</v>
      </c>
    </row>
    <row r="280" spans="1:3" x14ac:dyDescent="0.25">
      <c r="A280" s="1">
        <v>44840</v>
      </c>
      <c r="B280" s="2">
        <v>15.4</v>
      </c>
      <c r="C280">
        <v>0</v>
      </c>
    </row>
    <row r="281" spans="1:3" x14ac:dyDescent="0.25">
      <c r="A281" s="1">
        <v>44841</v>
      </c>
      <c r="B281" s="2">
        <v>15.1</v>
      </c>
      <c r="C281">
        <v>0</v>
      </c>
    </row>
    <row r="282" spans="1:3" x14ac:dyDescent="0.25">
      <c r="A282" s="1">
        <v>44842</v>
      </c>
      <c r="B282" s="2">
        <v>15.3</v>
      </c>
      <c r="C282">
        <v>0</v>
      </c>
    </row>
    <row r="283" spans="1:3" x14ac:dyDescent="0.25">
      <c r="A283" s="1">
        <v>44843</v>
      </c>
      <c r="B283" s="2">
        <v>11.9</v>
      </c>
      <c r="C283">
        <v>0</v>
      </c>
    </row>
    <row r="284" spans="1:3" x14ac:dyDescent="0.25">
      <c r="A284" s="1">
        <v>44844</v>
      </c>
      <c r="B284" s="2">
        <v>10.199999999999999</v>
      </c>
      <c r="C284">
        <v>0</v>
      </c>
    </row>
    <row r="285" spans="1:3" x14ac:dyDescent="0.25">
      <c r="A285" s="1">
        <v>44845</v>
      </c>
      <c r="B285" s="2">
        <v>10.5</v>
      </c>
      <c r="C285">
        <v>0</v>
      </c>
    </row>
    <row r="286" spans="1:3" x14ac:dyDescent="0.25">
      <c r="A286" s="1">
        <v>44846</v>
      </c>
      <c r="B286" s="2">
        <v>7.5</v>
      </c>
      <c r="C286">
        <v>0</v>
      </c>
    </row>
    <row r="287" spans="1:3" x14ac:dyDescent="0.25">
      <c r="A287" s="1">
        <v>44847</v>
      </c>
      <c r="B287" s="2">
        <v>8.1999999999999993</v>
      </c>
      <c r="C287">
        <v>0</v>
      </c>
    </row>
    <row r="288" spans="1:3" x14ac:dyDescent="0.25">
      <c r="A288" s="1">
        <v>44848</v>
      </c>
      <c r="B288" s="2">
        <v>11.6</v>
      </c>
      <c r="C288">
        <v>0</v>
      </c>
    </row>
    <row r="289" spans="1:3" x14ac:dyDescent="0.25">
      <c r="A289" s="1">
        <v>44849</v>
      </c>
      <c r="B289" s="2">
        <v>14.9</v>
      </c>
      <c r="C289">
        <v>0</v>
      </c>
    </row>
    <row r="290" spans="1:3" x14ac:dyDescent="0.25">
      <c r="A290" s="1">
        <v>44850</v>
      </c>
      <c r="B290" s="2">
        <v>16.100000000000001</v>
      </c>
      <c r="C290">
        <v>0</v>
      </c>
    </row>
    <row r="291" spans="1:3" x14ac:dyDescent="0.25">
      <c r="A291" s="1">
        <v>44851</v>
      </c>
      <c r="B291" s="2">
        <v>16.600000000000001</v>
      </c>
      <c r="C291">
        <v>0</v>
      </c>
    </row>
    <row r="292" spans="1:3" x14ac:dyDescent="0.25">
      <c r="A292" s="1">
        <v>44852</v>
      </c>
      <c r="B292" s="2">
        <v>16.8</v>
      </c>
      <c r="C292">
        <v>0</v>
      </c>
    </row>
    <row r="293" spans="1:3" x14ac:dyDescent="0.25">
      <c r="A293" s="1">
        <v>44853</v>
      </c>
      <c r="B293" s="2">
        <v>11.6</v>
      </c>
      <c r="C293">
        <v>2</v>
      </c>
    </row>
    <row r="294" spans="1:3" x14ac:dyDescent="0.25">
      <c r="A294" s="1">
        <v>44854</v>
      </c>
      <c r="B294" s="2">
        <v>5.5</v>
      </c>
      <c r="C294">
        <v>0</v>
      </c>
    </row>
    <row r="295" spans="1:3" x14ac:dyDescent="0.25">
      <c r="A295" s="1">
        <v>44855</v>
      </c>
      <c r="B295" s="2">
        <v>7.5</v>
      </c>
      <c r="C295">
        <v>0</v>
      </c>
    </row>
    <row r="296" spans="1:3" x14ac:dyDescent="0.25">
      <c r="A296" s="1">
        <v>44856</v>
      </c>
      <c r="B296" s="2">
        <v>11.4</v>
      </c>
      <c r="C296">
        <v>0</v>
      </c>
    </row>
    <row r="297" spans="1:3" x14ac:dyDescent="0.25">
      <c r="A297" s="1">
        <v>44857</v>
      </c>
      <c r="B297" s="2">
        <v>14.2</v>
      </c>
      <c r="C297">
        <v>0</v>
      </c>
    </row>
    <row r="298" spans="1:3" x14ac:dyDescent="0.25">
      <c r="A298" s="1">
        <v>44858</v>
      </c>
      <c r="B298" s="2">
        <v>14.5</v>
      </c>
      <c r="C298">
        <v>0</v>
      </c>
    </row>
    <row r="299" spans="1:3" x14ac:dyDescent="0.25">
      <c r="A299" s="1">
        <v>44859</v>
      </c>
      <c r="B299" s="2">
        <v>14.3</v>
      </c>
      <c r="C299">
        <v>12</v>
      </c>
    </row>
    <row r="300" spans="1:3" x14ac:dyDescent="0.25">
      <c r="A300" s="1">
        <v>44860</v>
      </c>
      <c r="B300" s="2">
        <v>13.6</v>
      </c>
      <c r="C300">
        <v>0</v>
      </c>
    </row>
    <row r="301" spans="1:3" x14ac:dyDescent="0.25">
      <c r="A301" s="1">
        <v>44861</v>
      </c>
      <c r="B301" s="2">
        <v>12</v>
      </c>
      <c r="C301">
        <v>0</v>
      </c>
    </row>
    <row r="302" spans="1:3" x14ac:dyDescent="0.25">
      <c r="A302" s="1">
        <v>44862</v>
      </c>
      <c r="B302" s="2">
        <v>13.1</v>
      </c>
      <c r="C302">
        <v>0</v>
      </c>
    </row>
    <row r="303" spans="1:3" x14ac:dyDescent="0.25">
      <c r="A303" s="1">
        <v>44863</v>
      </c>
      <c r="B303" s="2">
        <v>14.3</v>
      </c>
      <c r="C303">
        <v>0</v>
      </c>
    </row>
    <row r="304" spans="1:3" x14ac:dyDescent="0.25">
      <c r="A304" s="1">
        <v>44864</v>
      </c>
      <c r="B304" s="2">
        <v>13.8</v>
      </c>
      <c r="C304">
        <v>0</v>
      </c>
    </row>
    <row r="305" spans="1:3" x14ac:dyDescent="0.25">
      <c r="A305" s="1">
        <v>44865</v>
      </c>
      <c r="B305" s="2">
        <v>13.4</v>
      </c>
      <c r="C305">
        <v>0</v>
      </c>
    </row>
    <row r="306" spans="1:3" x14ac:dyDescent="0.25">
      <c r="A306" s="1">
        <v>44866</v>
      </c>
      <c r="B306" s="2">
        <v>11.4</v>
      </c>
      <c r="C306">
        <v>0</v>
      </c>
    </row>
    <row r="307" spans="1:3" x14ac:dyDescent="0.25">
      <c r="A307" s="1">
        <v>44867</v>
      </c>
      <c r="B307" s="2">
        <v>13.2</v>
      </c>
      <c r="C307">
        <v>0</v>
      </c>
    </row>
    <row r="308" spans="1:3" x14ac:dyDescent="0.25">
      <c r="A308" s="1">
        <v>44868</v>
      </c>
      <c r="B308" s="2">
        <v>11</v>
      </c>
      <c r="C308">
        <v>0</v>
      </c>
    </row>
    <row r="309" spans="1:3" x14ac:dyDescent="0.25">
      <c r="A309" s="1">
        <v>44869</v>
      </c>
      <c r="B309" s="2">
        <v>12.4</v>
      </c>
      <c r="C309">
        <v>0</v>
      </c>
    </row>
    <row r="310" spans="1:3" x14ac:dyDescent="0.25">
      <c r="A310" s="1">
        <v>44870</v>
      </c>
      <c r="B310" s="2">
        <v>9.8000000000000007</v>
      </c>
      <c r="C310">
        <v>9</v>
      </c>
    </row>
    <row r="311" spans="1:3" x14ac:dyDescent="0.25">
      <c r="A311" s="1">
        <v>44871</v>
      </c>
      <c r="B311" s="2">
        <v>8.6</v>
      </c>
      <c r="C311">
        <v>0</v>
      </c>
    </row>
    <row r="312" spans="1:3" x14ac:dyDescent="0.25">
      <c r="A312" s="1">
        <v>44872</v>
      </c>
      <c r="B312" s="2">
        <v>9.3000000000000007</v>
      </c>
      <c r="C312">
        <v>0</v>
      </c>
    </row>
    <row r="313" spans="1:3" x14ac:dyDescent="0.25">
      <c r="A313" s="1">
        <v>44873</v>
      </c>
      <c r="B313" s="2">
        <v>9.3000000000000007</v>
      </c>
      <c r="C313">
        <v>0</v>
      </c>
    </row>
    <row r="314" spans="1:3" x14ac:dyDescent="0.25">
      <c r="A314" s="1">
        <v>44874</v>
      </c>
      <c r="B314" s="2">
        <v>10</v>
      </c>
      <c r="C314">
        <v>0</v>
      </c>
    </row>
    <row r="315" spans="1:3" x14ac:dyDescent="0.25">
      <c r="A315" s="1">
        <v>44875</v>
      </c>
      <c r="B315" s="2">
        <v>7.7</v>
      </c>
      <c r="C315">
        <v>0</v>
      </c>
    </row>
    <row r="316" spans="1:3" x14ac:dyDescent="0.25">
      <c r="A316" s="1">
        <v>44876</v>
      </c>
      <c r="B316" s="2">
        <v>9.8000000000000007</v>
      </c>
      <c r="C316">
        <v>0</v>
      </c>
    </row>
    <row r="317" spans="1:3" x14ac:dyDescent="0.25">
      <c r="A317" s="1">
        <v>44877</v>
      </c>
      <c r="B317" s="2">
        <v>9.1</v>
      </c>
      <c r="C317">
        <v>0</v>
      </c>
    </row>
    <row r="318" spans="1:3" x14ac:dyDescent="0.25">
      <c r="A318" s="1">
        <v>44878</v>
      </c>
      <c r="B318" s="2">
        <v>6.4</v>
      </c>
      <c r="C318">
        <v>0</v>
      </c>
    </row>
    <row r="319" spans="1:3" x14ac:dyDescent="0.25">
      <c r="A319" s="1">
        <v>44879</v>
      </c>
      <c r="B319" s="2">
        <v>6</v>
      </c>
      <c r="C319">
        <v>0</v>
      </c>
    </row>
    <row r="320" spans="1:3" x14ac:dyDescent="0.25">
      <c r="A320" s="1">
        <v>44880</v>
      </c>
      <c r="B320" s="2">
        <v>7.5</v>
      </c>
      <c r="C320">
        <v>0</v>
      </c>
    </row>
    <row r="321" spans="1:3" x14ac:dyDescent="0.25">
      <c r="A321" s="1">
        <v>44881</v>
      </c>
      <c r="B321" s="2">
        <v>5.9</v>
      </c>
      <c r="C321">
        <v>7</v>
      </c>
    </row>
    <row r="322" spans="1:3" x14ac:dyDescent="0.25">
      <c r="A322" s="1">
        <v>44882</v>
      </c>
      <c r="B322" s="2">
        <v>1.2</v>
      </c>
      <c r="C322">
        <v>3</v>
      </c>
    </row>
    <row r="323" spans="1:3" x14ac:dyDescent="0.25">
      <c r="A323" s="1">
        <v>44883</v>
      </c>
      <c r="B323" s="2">
        <v>-1</v>
      </c>
      <c r="C323">
        <v>0</v>
      </c>
    </row>
    <row r="324" spans="1:3" x14ac:dyDescent="0.25">
      <c r="A324" s="1">
        <v>44884</v>
      </c>
      <c r="B324" s="2">
        <v>-2.2999999999999998</v>
      </c>
      <c r="C324">
        <v>0</v>
      </c>
    </row>
    <row r="325" spans="1:3" x14ac:dyDescent="0.25">
      <c r="A325" s="1">
        <v>44885</v>
      </c>
      <c r="B325" s="2">
        <v>-2.8</v>
      </c>
      <c r="C325">
        <v>0</v>
      </c>
    </row>
    <row r="326" spans="1:3" x14ac:dyDescent="0.25">
      <c r="A326" s="1">
        <v>44886</v>
      </c>
      <c r="B326" s="2">
        <v>0.8</v>
      </c>
      <c r="C326">
        <v>1</v>
      </c>
    </row>
    <row r="327" spans="1:3" x14ac:dyDescent="0.25">
      <c r="A327" s="1">
        <v>44887</v>
      </c>
      <c r="B327" s="2">
        <v>2.8</v>
      </c>
      <c r="C327">
        <v>0</v>
      </c>
    </row>
    <row r="328" spans="1:3" x14ac:dyDescent="0.25">
      <c r="A328" s="1">
        <v>44888</v>
      </c>
      <c r="B328" s="2">
        <v>-0.1</v>
      </c>
      <c r="C328">
        <v>0</v>
      </c>
    </row>
    <row r="329" spans="1:3" x14ac:dyDescent="0.25">
      <c r="A329" s="1">
        <v>44889</v>
      </c>
      <c r="B329" s="2">
        <v>0.1</v>
      </c>
      <c r="C329">
        <v>1</v>
      </c>
    </row>
    <row r="330" spans="1:3" x14ac:dyDescent="0.25">
      <c r="A330" s="1">
        <v>44890</v>
      </c>
      <c r="B330" s="2">
        <v>1.3</v>
      </c>
      <c r="C330">
        <v>0</v>
      </c>
    </row>
    <row r="331" spans="1:3" x14ac:dyDescent="0.25">
      <c r="A331" s="1">
        <v>44891</v>
      </c>
      <c r="B331" s="2">
        <v>4.5</v>
      </c>
      <c r="C331">
        <v>0</v>
      </c>
    </row>
    <row r="332" spans="1:3" x14ac:dyDescent="0.25">
      <c r="A332" s="1">
        <v>44892</v>
      </c>
      <c r="B332" s="2">
        <v>2.2999999999999998</v>
      </c>
      <c r="C332">
        <v>0</v>
      </c>
    </row>
    <row r="333" spans="1:3" x14ac:dyDescent="0.25">
      <c r="A333" s="1">
        <v>44893</v>
      </c>
      <c r="B333" s="2">
        <v>2.1</v>
      </c>
      <c r="C333">
        <v>0</v>
      </c>
    </row>
    <row r="334" spans="1:3" x14ac:dyDescent="0.25">
      <c r="A334" s="1">
        <v>44894</v>
      </c>
      <c r="B334" s="2">
        <v>0.2</v>
      </c>
      <c r="C334">
        <v>0</v>
      </c>
    </row>
    <row r="335" spans="1:3" x14ac:dyDescent="0.25">
      <c r="A335" s="1">
        <v>44895</v>
      </c>
      <c r="B335" s="2">
        <v>-0.5</v>
      </c>
      <c r="C335">
        <v>0</v>
      </c>
    </row>
    <row r="336" spans="1:3" x14ac:dyDescent="0.25">
      <c r="A336" s="1">
        <v>44896</v>
      </c>
      <c r="B336" s="2">
        <v>0.9</v>
      </c>
      <c r="C336">
        <v>0</v>
      </c>
    </row>
    <row r="337" spans="1:3" x14ac:dyDescent="0.25">
      <c r="A337" s="1">
        <v>44897</v>
      </c>
      <c r="B337" s="2">
        <v>-1</v>
      </c>
      <c r="C337">
        <v>0</v>
      </c>
    </row>
    <row r="338" spans="1:3" x14ac:dyDescent="0.25">
      <c r="A338" s="1">
        <v>44898</v>
      </c>
      <c r="B338" s="2">
        <v>0.4</v>
      </c>
      <c r="C338">
        <v>0</v>
      </c>
    </row>
    <row r="339" spans="1:3" x14ac:dyDescent="0.25">
      <c r="A339" s="1">
        <v>44899</v>
      </c>
      <c r="B339" s="2">
        <v>2.1</v>
      </c>
      <c r="C339">
        <v>0</v>
      </c>
    </row>
    <row r="340" spans="1:3" x14ac:dyDescent="0.25">
      <c r="A340" s="1">
        <v>44900</v>
      </c>
      <c r="B340" s="2">
        <v>4.5</v>
      </c>
      <c r="C340">
        <v>0</v>
      </c>
    </row>
    <row r="341" spans="1:3" x14ac:dyDescent="0.25">
      <c r="A341" s="1">
        <v>44901</v>
      </c>
      <c r="B341" s="2">
        <v>2.8</v>
      </c>
      <c r="C341">
        <v>7</v>
      </c>
    </row>
    <row r="342" spans="1:3" x14ac:dyDescent="0.25">
      <c r="A342" s="1">
        <v>44902</v>
      </c>
      <c r="B342" s="2">
        <v>2.5</v>
      </c>
      <c r="C342">
        <v>1</v>
      </c>
    </row>
    <row r="343" spans="1:3" x14ac:dyDescent="0.25">
      <c r="A343" s="1">
        <v>44903</v>
      </c>
      <c r="B343" s="2">
        <v>2.2999999999999998</v>
      </c>
      <c r="C343">
        <v>0</v>
      </c>
    </row>
    <row r="344" spans="1:3" x14ac:dyDescent="0.25">
      <c r="A344" s="1">
        <v>44904</v>
      </c>
      <c r="B344" s="2">
        <v>2.2000000000000002</v>
      </c>
      <c r="C344">
        <v>14</v>
      </c>
    </row>
    <row r="345" spans="1:3" x14ac:dyDescent="0.25">
      <c r="A345" s="1">
        <v>44905</v>
      </c>
      <c r="B345" s="2">
        <v>0.6</v>
      </c>
      <c r="C345">
        <v>0</v>
      </c>
    </row>
    <row r="346" spans="1:3" x14ac:dyDescent="0.25">
      <c r="A346" s="1">
        <v>44906</v>
      </c>
      <c r="B346" s="2">
        <v>-1.9</v>
      </c>
      <c r="C346">
        <v>0</v>
      </c>
    </row>
    <row r="347" spans="1:3" x14ac:dyDescent="0.25">
      <c r="A347" s="1">
        <v>44907</v>
      </c>
      <c r="B347" s="2">
        <v>-2.6</v>
      </c>
      <c r="C347">
        <v>0</v>
      </c>
    </row>
    <row r="348" spans="1:3" x14ac:dyDescent="0.25">
      <c r="A348" s="1">
        <v>44908</v>
      </c>
      <c r="B348" s="2">
        <v>-3.1</v>
      </c>
      <c r="C348">
        <v>0</v>
      </c>
    </row>
    <row r="349" spans="1:3" x14ac:dyDescent="0.25">
      <c r="A349" s="1">
        <v>44909</v>
      </c>
      <c r="B349" s="2">
        <v>-4.5999999999999996</v>
      </c>
      <c r="C349">
        <v>0</v>
      </c>
    </row>
    <row r="350" spans="1:3" x14ac:dyDescent="0.25">
      <c r="A350" s="1">
        <v>44910</v>
      </c>
      <c r="B350" s="2">
        <v>-1.6</v>
      </c>
      <c r="C350">
        <v>0</v>
      </c>
    </row>
    <row r="351" spans="1:3" x14ac:dyDescent="0.25">
      <c r="A351" s="1">
        <v>44911</v>
      </c>
      <c r="B351" s="2">
        <v>-0.7</v>
      </c>
      <c r="C351">
        <v>0</v>
      </c>
    </row>
    <row r="352" spans="1:3" x14ac:dyDescent="0.25">
      <c r="A352" s="1">
        <v>44912</v>
      </c>
      <c r="B352" s="2">
        <v>-3.3</v>
      </c>
      <c r="C352">
        <v>0</v>
      </c>
    </row>
    <row r="353" spans="1:3" x14ac:dyDescent="0.25">
      <c r="A353" s="1">
        <v>44913</v>
      </c>
      <c r="B353" s="2">
        <v>-4.9000000000000004</v>
      </c>
      <c r="C353">
        <v>0</v>
      </c>
    </row>
    <row r="354" spans="1:3" x14ac:dyDescent="0.25">
      <c r="A354" s="1">
        <v>44914</v>
      </c>
      <c r="B354" s="2">
        <v>-5.6</v>
      </c>
      <c r="C354">
        <v>0</v>
      </c>
    </row>
    <row r="355" spans="1:3" x14ac:dyDescent="0.25">
      <c r="A355" s="1">
        <v>44915</v>
      </c>
      <c r="B355" s="2">
        <v>2.1</v>
      </c>
      <c r="C355">
        <v>5</v>
      </c>
    </row>
    <row r="356" spans="1:3" x14ac:dyDescent="0.25">
      <c r="A356" s="1">
        <v>44916</v>
      </c>
      <c r="B356" s="2">
        <v>1.9</v>
      </c>
      <c r="C356">
        <v>8</v>
      </c>
    </row>
    <row r="357" spans="1:3" x14ac:dyDescent="0.25">
      <c r="A357" s="1">
        <v>44917</v>
      </c>
      <c r="B357" s="2">
        <v>3.7</v>
      </c>
      <c r="C357">
        <v>0</v>
      </c>
    </row>
    <row r="358" spans="1:3" x14ac:dyDescent="0.25">
      <c r="A358" s="1">
        <v>44918</v>
      </c>
      <c r="B358" s="2">
        <v>4.4000000000000004</v>
      </c>
      <c r="C358">
        <v>0</v>
      </c>
    </row>
    <row r="359" spans="1:3" x14ac:dyDescent="0.25">
      <c r="A359" s="1">
        <v>44919</v>
      </c>
      <c r="B359" s="2">
        <v>5.8</v>
      </c>
      <c r="C359">
        <v>8</v>
      </c>
    </row>
    <row r="360" spans="1:3" x14ac:dyDescent="0.25">
      <c r="A360" s="1">
        <v>44920</v>
      </c>
      <c r="B360" s="2">
        <v>6.2</v>
      </c>
      <c r="C360">
        <v>0</v>
      </c>
    </row>
    <row r="361" spans="1:3" x14ac:dyDescent="0.25">
      <c r="A361" s="1">
        <v>44921</v>
      </c>
      <c r="B361" s="2">
        <v>8</v>
      </c>
      <c r="C361">
        <v>0</v>
      </c>
    </row>
    <row r="362" spans="1:3" x14ac:dyDescent="0.25">
      <c r="A362" s="1">
        <v>44922</v>
      </c>
      <c r="B362" s="2">
        <v>5.9</v>
      </c>
      <c r="C362">
        <v>0</v>
      </c>
    </row>
    <row r="363" spans="1:3" x14ac:dyDescent="0.25">
      <c r="A363" s="1">
        <v>44923</v>
      </c>
      <c r="B363" s="2">
        <v>3.2</v>
      </c>
      <c r="C363">
        <v>0</v>
      </c>
    </row>
    <row r="364" spans="1:3" x14ac:dyDescent="0.25">
      <c r="A364" s="1">
        <v>44924</v>
      </c>
      <c r="B364" s="2">
        <v>4.7</v>
      </c>
      <c r="C364">
        <v>0</v>
      </c>
    </row>
    <row r="365" spans="1:3" x14ac:dyDescent="0.25">
      <c r="A365" s="1">
        <v>44925</v>
      </c>
      <c r="B365" s="2">
        <v>5.0999999999999996</v>
      </c>
      <c r="C365">
        <v>0</v>
      </c>
    </row>
    <row r="366" spans="1:3" x14ac:dyDescent="0.25">
      <c r="A366" s="1">
        <v>44926</v>
      </c>
      <c r="B366" s="2">
        <v>9.3000000000000007</v>
      </c>
      <c r="C36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E157-CD9D-487A-9151-FFB9FD1CB0F6}">
  <dimension ref="A3:B16"/>
  <sheetViews>
    <sheetView workbookViewId="0">
      <selection activeCell="D48" sqref="D48"/>
    </sheetView>
  </sheetViews>
  <sheetFormatPr defaultRowHeight="15" x14ac:dyDescent="0.25"/>
  <cols>
    <col min="1" max="1" width="17.85546875" bestFit="1" customWidth="1"/>
    <col min="2" max="2" width="14.7109375" bestFit="1" customWidth="1"/>
  </cols>
  <sheetData>
    <row r="3" spans="1:2" x14ac:dyDescent="0.25">
      <c r="A3" s="3" t="s">
        <v>3</v>
      </c>
      <c r="B3" t="s">
        <v>17</v>
      </c>
    </row>
    <row r="4" spans="1:2" x14ac:dyDescent="0.25">
      <c r="A4" s="4" t="s">
        <v>5</v>
      </c>
      <c r="B4" s="2">
        <v>1.0838709677419358</v>
      </c>
    </row>
    <row r="5" spans="1:2" x14ac:dyDescent="0.25">
      <c r="A5" s="4" t="s">
        <v>6</v>
      </c>
      <c r="B5" s="2">
        <v>4.1392857142857142</v>
      </c>
    </row>
    <row r="6" spans="1:2" x14ac:dyDescent="0.25">
      <c r="A6" s="4" t="s">
        <v>7</v>
      </c>
      <c r="B6" s="2">
        <v>4.0548387096774201</v>
      </c>
    </row>
    <row r="7" spans="1:2" x14ac:dyDescent="0.25">
      <c r="A7" s="4" t="s">
        <v>8</v>
      </c>
      <c r="B7" s="2">
        <v>7.37</v>
      </c>
    </row>
    <row r="8" spans="1:2" x14ac:dyDescent="0.25">
      <c r="A8" s="4" t="s">
        <v>9</v>
      </c>
      <c r="B8" s="2">
        <v>15.86451612903226</v>
      </c>
    </row>
    <row r="9" spans="1:2" x14ac:dyDescent="0.25">
      <c r="A9" s="4" t="s">
        <v>10</v>
      </c>
      <c r="B9" s="2">
        <v>20.486666666666665</v>
      </c>
    </row>
    <row r="10" spans="1:2" x14ac:dyDescent="0.25">
      <c r="A10" s="4" t="s">
        <v>11</v>
      </c>
      <c r="B10" s="2">
        <v>20.393548387096779</v>
      </c>
    </row>
    <row r="11" spans="1:2" x14ac:dyDescent="0.25">
      <c r="A11" s="4" t="s">
        <v>12</v>
      </c>
      <c r="B11" s="2">
        <v>21.13225806451613</v>
      </c>
    </row>
    <row r="12" spans="1:2" x14ac:dyDescent="0.25">
      <c r="A12" s="4" t="s">
        <v>13</v>
      </c>
      <c r="B12" s="2">
        <v>13.670000000000003</v>
      </c>
    </row>
    <row r="13" spans="1:2" x14ac:dyDescent="0.25">
      <c r="A13" s="4" t="s">
        <v>14</v>
      </c>
      <c r="B13" s="2">
        <v>12.477419354838711</v>
      </c>
    </row>
    <row r="14" spans="1:2" x14ac:dyDescent="0.25">
      <c r="A14" s="4" t="s">
        <v>15</v>
      </c>
      <c r="B14" s="2">
        <v>5.2</v>
      </c>
    </row>
    <row r="15" spans="1:2" x14ac:dyDescent="0.25">
      <c r="A15" s="4" t="s">
        <v>16</v>
      </c>
      <c r="B15" s="2">
        <v>1.5903225806451613</v>
      </c>
    </row>
    <row r="16" spans="1:2" x14ac:dyDescent="0.25">
      <c r="A16" s="4" t="s">
        <v>4</v>
      </c>
      <c r="B16" s="2">
        <v>10.663561643835619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6DDB-1C4B-4081-B8C1-EB5117D4365A}">
  <dimension ref="B7:C19"/>
  <sheetViews>
    <sheetView zoomScale="175" zoomScaleNormal="175" workbookViewId="0">
      <selection activeCell="B7" sqref="B7:C19"/>
    </sheetView>
  </sheetViews>
  <sheetFormatPr defaultRowHeight="15" x14ac:dyDescent="0.25"/>
  <cols>
    <col min="2" max="2" width="15.5703125" bestFit="1" customWidth="1"/>
    <col min="3" max="3" width="14.7109375" bestFit="1" customWidth="1"/>
    <col min="4" max="4" width="9.42578125" bestFit="1" customWidth="1"/>
  </cols>
  <sheetData>
    <row r="7" spans="2:3" x14ac:dyDescent="0.25">
      <c r="B7" s="5" t="s">
        <v>18</v>
      </c>
      <c r="C7" s="5" t="s">
        <v>17</v>
      </c>
    </row>
    <row r="8" spans="2:3" x14ac:dyDescent="0.25">
      <c r="B8" s="6" t="s">
        <v>5</v>
      </c>
      <c r="C8" s="7">
        <v>1.1000000000000001</v>
      </c>
    </row>
    <row r="9" spans="2:3" x14ac:dyDescent="0.25">
      <c r="B9" s="6" t="s">
        <v>6</v>
      </c>
      <c r="C9" s="7">
        <v>4.0999999999999996</v>
      </c>
    </row>
    <row r="10" spans="2:3" x14ac:dyDescent="0.25">
      <c r="B10" s="6" t="s">
        <v>7</v>
      </c>
      <c r="C10" s="7">
        <v>4.0999999999999996</v>
      </c>
    </row>
    <row r="11" spans="2:3" x14ac:dyDescent="0.25">
      <c r="B11" s="6" t="s">
        <v>8</v>
      </c>
      <c r="C11" s="7">
        <v>7.4</v>
      </c>
    </row>
    <row r="12" spans="2:3" x14ac:dyDescent="0.25">
      <c r="B12" s="6" t="s">
        <v>9</v>
      </c>
      <c r="C12" s="7">
        <v>15.9</v>
      </c>
    </row>
    <row r="13" spans="2:3" x14ac:dyDescent="0.25">
      <c r="B13" s="6" t="s">
        <v>10</v>
      </c>
      <c r="C13" s="7">
        <v>20.5</v>
      </c>
    </row>
    <row r="14" spans="2:3" x14ac:dyDescent="0.25">
      <c r="B14" s="6" t="s">
        <v>11</v>
      </c>
      <c r="C14" s="7">
        <v>20.399999999999999</v>
      </c>
    </row>
    <row r="15" spans="2:3" x14ac:dyDescent="0.25">
      <c r="B15" s="6" t="s">
        <v>12</v>
      </c>
      <c r="C15" s="7">
        <v>21.1</v>
      </c>
    </row>
    <row r="16" spans="2:3" x14ac:dyDescent="0.25">
      <c r="B16" s="6" t="s">
        <v>13</v>
      </c>
      <c r="C16" s="7">
        <v>13.7</v>
      </c>
    </row>
    <row r="17" spans="2:3" x14ac:dyDescent="0.25">
      <c r="B17" s="6" t="s">
        <v>14</v>
      </c>
      <c r="C17" s="7">
        <v>12.5</v>
      </c>
    </row>
    <row r="18" spans="2:3" x14ac:dyDescent="0.25">
      <c r="B18" s="6" t="s">
        <v>15</v>
      </c>
      <c r="C18" s="7">
        <v>5.2</v>
      </c>
    </row>
    <row r="19" spans="2:3" x14ac:dyDescent="0.25">
      <c r="B19" s="6" t="s">
        <v>16</v>
      </c>
      <c r="C19" s="7">
        <v>1.6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F79A-0F9D-4926-87C8-A925186D2226}">
  <dimension ref="A3:L381"/>
  <sheetViews>
    <sheetView zoomScale="130" zoomScaleNormal="130" workbookViewId="0">
      <selection activeCell="K22" sqref="K22"/>
    </sheetView>
  </sheetViews>
  <sheetFormatPr defaultRowHeight="15" x14ac:dyDescent="0.25"/>
  <cols>
    <col min="1" max="1" width="17.85546875" bestFit="1" customWidth="1"/>
    <col min="2" max="2" width="13.5703125" bestFit="1" customWidth="1"/>
    <col min="8" max="8" width="11.140625" bestFit="1" customWidth="1"/>
    <col min="9" max="9" width="14.85546875" bestFit="1" customWidth="1"/>
    <col min="11" max="11" width="11.140625" bestFit="1" customWidth="1"/>
    <col min="12" max="12" width="14.85546875" bestFit="1" customWidth="1"/>
  </cols>
  <sheetData>
    <row r="3" spans="1:9" x14ac:dyDescent="0.25">
      <c r="A3" s="3" t="s">
        <v>3</v>
      </c>
      <c r="B3" t="s">
        <v>19</v>
      </c>
      <c r="C3" s="9" t="s">
        <v>385</v>
      </c>
    </row>
    <row r="4" spans="1:9" x14ac:dyDescent="0.25">
      <c r="A4" s="4" t="s">
        <v>5</v>
      </c>
      <c r="B4" s="2">
        <v>28</v>
      </c>
    </row>
    <row r="5" spans="1:9" x14ac:dyDescent="0.25">
      <c r="A5" s="8" t="s">
        <v>20</v>
      </c>
      <c r="B5" s="2">
        <v>5</v>
      </c>
      <c r="C5">
        <v>0</v>
      </c>
    </row>
    <row r="6" spans="1:9" x14ac:dyDescent="0.25">
      <c r="A6" s="8" t="s">
        <v>21</v>
      </c>
      <c r="B6" s="2">
        <v>1</v>
      </c>
      <c r="C6">
        <f>IF(B6=0,C5+1,0)</f>
        <v>0</v>
      </c>
      <c r="H6" s="10" t="s">
        <v>18</v>
      </c>
      <c r="I6" s="10" t="s">
        <v>398</v>
      </c>
    </row>
    <row r="7" spans="1:9" x14ac:dyDescent="0.25">
      <c r="A7" s="8" t="s">
        <v>22</v>
      </c>
      <c r="B7" s="2">
        <v>2</v>
      </c>
      <c r="C7">
        <f t="shared" ref="C7:C37" si="0">IF(B7=0,C6+1,0)</f>
        <v>0</v>
      </c>
      <c r="H7" s="7" t="s">
        <v>386</v>
      </c>
      <c r="I7" s="7">
        <v>11</v>
      </c>
    </row>
    <row r="8" spans="1:9" x14ac:dyDescent="0.25">
      <c r="A8" s="8" t="s">
        <v>23</v>
      </c>
      <c r="B8" s="2">
        <v>1</v>
      </c>
      <c r="C8">
        <f t="shared" si="0"/>
        <v>0</v>
      </c>
      <c r="H8" s="7" t="s">
        <v>387</v>
      </c>
      <c r="I8" s="7">
        <v>7</v>
      </c>
    </row>
    <row r="9" spans="1:9" x14ac:dyDescent="0.25">
      <c r="A9" s="8" t="s">
        <v>24</v>
      </c>
      <c r="B9" s="2">
        <v>5</v>
      </c>
      <c r="C9">
        <f t="shared" si="0"/>
        <v>0</v>
      </c>
      <c r="H9" s="7" t="s">
        <v>388</v>
      </c>
      <c r="I9" s="7">
        <v>20</v>
      </c>
    </row>
    <row r="10" spans="1:9" x14ac:dyDescent="0.25">
      <c r="A10" s="8" t="s">
        <v>25</v>
      </c>
      <c r="B10" s="2">
        <v>0</v>
      </c>
      <c r="C10">
        <f t="shared" si="0"/>
        <v>1</v>
      </c>
      <c r="H10" s="7" t="s">
        <v>389</v>
      </c>
      <c r="I10" s="7">
        <v>8</v>
      </c>
    </row>
    <row r="11" spans="1:9" x14ac:dyDescent="0.25">
      <c r="A11" s="8" t="s">
        <v>26</v>
      </c>
      <c r="B11" s="2">
        <v>0</v>
      </c>
      <c r="C11">
        <f t="shared" si="0"/>
        <v>2</v>
      </c>
      <c r="H11" s="7" t="s">
        <v>390</v>
      </c>
      <c r="I11" s="7">
        <v>20</v>
      </c>
    </row>
    <row r="12" spans="1:9" x14ac:dyDescent="0.25">
      <c r="A12" s="8" t="s">
        <v>27</v>
      </c>
      <c r="B12" s="2">
        <v>0</v>
      </c>
      <c r="C12">
        <f t="shared" si="0"/>
        <v>3</v>
      </c>
      <c r="H12" s="7" t="s">
        <v>391</v>
      </c>
      <c r="I12" s="7">
        <v>11</v>
      </c>
    </row>
    <row r="13" spans="1:9" x14ac:dyDescent="0.25">
      <c r="A13" s="8" t="s">
        <v>28</v>
      </c>
      <c r="B13" s="2">
        <v>0</v>
      </c>
      <c r="C13">
        <f t="shared" si="0"/>
        <v>4</v>
      </c>
      <c r="H13" s="7" t="s">
        <v>392</v>
      </c>
      <c r="I13" s="7">
        <v>10</v>
      </c>
    </row>
    <row r="14" spans="1:9" x14ac:dyDescent="0.25">
      <c r="A14" s="8" t="s">
        <v>29</v>
      </c>
      <c r="B14" s="2">
        <v>0</v>
      </c>
      <c r="C14">
        <f t="shared" si="0"/>
        <v>5</v>
      </c>
      <c r="H14" s="7" t="s">
        <v>394</v>
      </c>
      <c r="I14" s="7">
        <v>8</v>
      </c>
    </row>
    <row r="15" spans="1:9" x14ac:dyDescent="0.25">
      <c r="A15" s="8" t="s">
        <v>30</v>
      </c>
      <c r="B15" s="2">
        <v>0</v>
      </c>
      <c r="C15">
        <f t="shared" si="0"/>
        <v>6</v>
      </c>
      <c r="H15" s="7" t="s">
        <v>393</v>
      </c>
      <c r="I15" s="7">
        <v>14</v>
      </c>
    </row>
    <row r="16" spans="1:9" x14ac:dyDescent="0.25">
      <c r="A16" s="8" t="s">
        <v>31</v>
      </c>
      <c r="B16" s="2">
        <v>0</v>
      </c>
      <c r="C16">
        <f t="shared" si="0"/>
        <v>7</v>
      </c>
      <c r="H16" s="7" t="s">
        <v>395</v>
      </c>
      <c r="I16" s="7">
        <v>15</v>
      </c>
    </row>
    <row r="17" spans="1:9" x14ac:dyDescent="0.25">
      <c r="A17" s="8" t="s">
        <v>32</v>
      </c>
      <c r="B17" s="2">
        <v>0</v>
      </c>
      <c r="C17">
        <f t="shared" si="0"/>
        <v>8</v>
      </c>
      <c r="H17" s="7" t="s">
        <v>396</v>
      </c>
      <c r="I17" s="7">
        <v>10</v>
      </c>
    </row>
    <row r="18" spans="1:9" x14ac:dyDescent="0.25">
      <c r="A18" s="8" t="s">
        <v>33</v>
      </c>
      <c r="B18" s="2">
        <v>0</v>
      </c>
      <c r="C18">
        <f t="shared" si="0"/>
        <v>9</v>
      </c>
      <c r="H18" s="7" t="s">
        <v>397</v>
      </c>
      <c r="I18" s="7">
        <v>10</v>
      </c>
    </row>
    <row r="19" spans="1:9" x14ac:dyDescent="0.25">
      <c r="A19" s="8" t="s">
        <v>34</v>
      </c>
      <c r="B19" s="2">
        <v>0</v>
      </c>
      <c r="C19">
        <f t="shared" si="0"/>
        <v>10</v>
      </c>
    </row>
    <row r="20" spans="1:9" x14ac:dyDescent="0.25">
      <c r="A20" s="8" t="s">
        <v>35</v>
      </c>
      <c r="B20" s="2">
        <v>0</v>
      </c>
      <c r="C20">
        <f t="shared" si="0"/>
        <v>11</v>
      </c>
    </row>
    <row r="21" spans="1:9" x14ac:dyDescent="0.25">
      <c r="A21" s="8" t="s">
        <v>36</v>
      </c>
      <c r="B21" s="2">
        <v>1</v>
      </c>
      <c r="C21">
        <f t="shared" si="0"/>
        <v>0</v>
      </c>
    </row>
    <row r="22" spans="1:9" x14ac:dyDescent="0.25">
      <c r="A22" s="8" t="s">
        <v>37</v>
      </c>
      <c r="B22" s="2">
        <v>0</v>
      </c>
      <c r="C22">
        <f t="shared" si="0"/>
        <v>1</v>
      </c>
    </row>
    <row r="23" spans="1:9" x14ac:dyDescent="0.25">
      <c r="A23" s="8" t="s">
        <v>38</v>
      </c>
      <c r="B23" s="2">
        <v>0</v>
      </c>
      <c r="C23">
        <f t="shared" si="0"/>
        <v>2</v>
      </c>
    </row>
    <row r="24" spans="1:9" x14ac:dyDescent="0.25">
      <c r="A24" s="8" t="s">
        <v>39</v>
      </c>
      <c r="B24" s="2">
        <v>1</v>
      </c>
      <c r="C24">
        <f t="shared" si="0"/>
        <v>0</v>
      </c>
    </row>
    <row r="25" spans="1:9" x14ac:dyDescent="0.25">
      <c r="A25" s="8" t="s">
        <v>40</v>
      </c>
      <c r="B25" s="2">
        <v>0</v>
      </c>
      <c r="C25">
        <f t="shared" si="0"/>
        <v>1</v>
      </c>
    </row>
    <row r="26" spans="1:9" x14ac:dyDescent="0.25">
      <c r="A26" s="8" t="s">
        <v>41</v>
      </c>
      <c r="B26" s="2">
        <v>0</v>
      </c>
      <c r="C26">
        <f t="shared" si="0"/>
        <v>2</v>
      </c>
    </row>
    <row r="27" spans="1:9" x14ac:dyDescent="0.25">
      <c r="A27" s="8" t="s">
        <v>42</v>
      </c>
      <c r="B27" s="2">
        <v>0</v>
      </c>
      <c r="C27">
        <f t="shared" si="0"/>
        <v>3</v>
      </c>
    </row>
    <row r="28" spans="1:9" x14ac:dyDescent="0.25">
      <c r="A28" s="8" t="s">
        <v>43</v>
      </c>
      <c r="B28" s="2">
        <v>0</v>
      </c>
      <c r="C28">
        <f t="shared" si="0"/>
        <v>4</v>
      </c>
    </row>
    <row r="29" spans="1:9" x14ac:dyDescent="0.25">
      <c r="A29" s="8" t="s">
        <v>44</v>
      </c>
      <c r="B29" s="2">
        <v>0</v>
      </c>
      <c r="C29">
        <f t="shared" si="0"/>
        <v>5</v>
      </c>
    </row>
    <row r="30" spans="1:9" x14ac:dyDescent="0.25">
      <c r="A30" s="8" t="s">
        <v>45</v>
      </c>
      <c r="B30" s="2">
        <v>1</v>
      </c>
      <c r="C30">
        <f t="shared" si="0"/>
        <v>0</v>
      </c>
    </row>
    <row r="31" spans="1:9" x14ac:dyDescent="0.25">
      <c r="A31" s="8" t="s">
        <v>46</v>
      </c>
      <c r="B31" s="2">
        <v>2</v>
      </c>
      <c r="C31">
        <f t="shared" si="0"/>
        <v>0</v>
      </c>
    </row>
    <row r="32" spans="1:9" x14ac:dyDescent="0.25">
      <c r="A32" s="8" t="s">
        <v>47</v>
      </c>
      <c r="B32" s="2">
        <v>3</v>
      </c>
      <c r="C32">
        <f t="shared" si="0"/>
        <v>0</v>
      </c>
    </row>
    <row r="33" spans="1:3" x14ac:dyDescent="0.25">
      <c r="A33" s="8" t="s">
        <v>48</v>
      </c>
      <c r="B33" s="2">
        <v>0</v>
      </c>
      <c r="C33">
        <f t="shared" si="0"/>
        <v>1</v>
      </c>
    </row>
    <row r="34" spans="1:3" x14ac:dyDescent="0.25">
      <c r="A34" s="8" t="s">
        <v>49</v>
      </c>
      <c r="B34" s="2">
        <v>6</v>
      </c>
      <c r="C34">
        <f t="shared" si="0"/>
        <v>0</v>
      </c>
    </row>
    <row r="35" spans="1:3" x14ac:dyDescent="0.25">
      <c r="A35" s="8" t="s">
        <v>50</v>
      </c>
      <c r="B35" s="2">
        <v>0</v>
      </c>
      <c r="C35">
        <f t="shared" si="0"/>
        <v>1</v>
      </c>
    </row>
    <row r="36" spans="1:3" x14ac:dyDescent="0.25">
      <c r="A36" s="4" t="s">
        <v>6</v>
      </c>
      <c r="B36" s="2">
        <v>23</v>
      </c>
      <c r="C36">
        <f t="shared" si="0"/>
        <v>0</v>
      </c>
    </row>
    <row r="37" spans="1:3" x14ac:dyDescent="0.25">
      <c r="A37" s="8" t="s">
        <v>51</v>
      </c>
      <c r="B37" s="2">
        <v>0</v>
      </c>
      <c r="C37">
        <f t="shared" si="0"/>
        <v>1</v>
      </c>
    </row>
    <row r="38" spans="1:3" x14ac:dyDescent="0.25">
      <c r="A38" s="8" t="s">
        <v>52</v>
      </c>
      <c r="B38" s="2">
        <v>8</v>
      </c>
      <c r="C38">
        <f t="shared" ref="C37:C65" si="1">IF(B38=0,C37+1,0)</f>
        <v>0</v>
      </c>
    </row>
    <row r="39" spans="1:3" x14ac:dyDescent="0.25">
      <c r="A39" s="8" t="s">
        <v>53</v>
      </c>
      <c r="B39" s="2">
        <v>1</v>
      </c>
      <c r="C39">
        <f t="shared" si="1"/>
        <v>0</v>
      </c>
    </row>
    <row r="40" spans="1:3" x14ac:dyDescent="0.25">
      <c r="A40" s="8" t="s">
        <v>54</v>
      </c>
      <c r="B40" s="2">
        <v>1</v>
      </c>
      <c r="C40">
        <f t="shared" si="1"/>
        <v>0</v>
      </c>
    </row>
    <row r="41" spans="1:3" x14ac:dyDescent="0.25">
      <c r="A41" s="8" t="s">
        <v>55</v>
      </c>
      <c r="B41" s="2">
        <v>0</v>
      </c>
      <c r="C41">
        <f t="shared" si="1"/>
        <v>1</v>
      </c>
    </row>
    <row r="42" spans="1:3" x14ac:dyDescent="0.25">
      <c r="A42" s="8" t="s">
        <v>56</v>
      </c>
      <c r="B42" s="2">
        <v>0</v>
      </c>
      <c r="C42">
        <f t="shared" si="1"/>
        <v>2</v>
      </c>
    </row>
    <row r="43" spans="1:3" x14ac:dyDescent="0.25">
      <c r="A43" s="8" t="s">
        <v>57</v>
      </c>
      <c r="B43" s="2">
        <v>0</v>
      </c>
      <c r="C43">
        <f t="shared" si="1"/>
        <v>3</v>
      </c>
    </row>
    <row r="44" spans="1:3" x14ac:dyDescent="0.25">
      <c r="A44" s="8" t="s">
        <v>58</v>
      </c>
      <c r="B44" s="2">
        <v>1</v>
      </c>
      <c r="C44">
        <f t="shared" si="1"/>
        <v>0</v>
      </c>
    </row>
    <row r="45" spans="1:3" x14ac:dyDescent="0.25">
      <c r="A45" s="8" t="s">
        <v>59</v>
      </c>
      <c r="B45" s="2">
        <v>2</v>
      </c>
      <c r="C45">
        <f t="shared" si="1"/>
        <v>0</v>
      </c>
    </row>
    <row r="46" spans="1:3" x14ac:dyDescent="0.25">
      <c r="A46" s="8" t="s">
        <v>60</v>
      </c>
      <c r="B46" s="2">
        <v>0</v>
      </c>
      <c r="C46">
        <f t="shared" si="1"/>
        <v>1</v>
      </c>
    </row>
    <row r="47" spans="1:3" x14ac:dyDescent="0.25">
      <c r="A47" s="8" t="s">
        <v>61</v>
      </c>
      <c r="B47" s="2">
        <v>0</v>
      </c>
      <c r="C47">
        <f t="shared" si="1"/>
        <v>2</v>
      </c>
    </row>
    <row r="48" spans="1:3" x14ac:dyDescent="0.25">
      <c r="A48" s="8" t="s">
        <v>62</v>
      </c>
      <c r="B48" s="2">
        <v>0</v>
      </c>
      <c r="C48">
        <f t="shared" si="1"/>
        <v>3</v>
      </c>
    </row>
    <row r="49" spans="1:3" x14ac:dyDescent="0.25">
      <c r="A49" s="8" t="s">
        <v>63</v>
      </c>
      <c r="B49" s="2">
        <v>0</v>
      </c>
      <c r="C49">
        <f t="shared" si="1"/>
        <v>4</v>
      </c>
    </row>
    <row r="50" spans="1:3" x14ac:dyDescent="0.25">
      <c r="A50" s="8" t="s">
        <v>64</v>
      </c>
      <c r="B50" s="2">
        <v>0</v>
      </c>
      <c r="C50">
        <f t="shared" si="1"/>
        <v>5</v>
      </c>
    </row>
    <row r="51" spans="1:3" x14ac:dyDescent="0.25">
      <c r="A51" s="8" t="s">
        <v>65</v>
      </c>
      <c r="B51" s="2">
        <v>0</v>
      </c>
      <c r="C51">
        <f t="shared" si="1"/>
        <v>6</v>
      </c>
    </row>
    <row r="52" spans="1:3" x14ac:dyDescent="0.25">
      <c r="A52" s="8" t="s">
        <v>66</v>
      </c>
      <c r="B52" s="2">
        <v>0</v>
      </c>
      <c r="C52">
        <f t="shared" si="1"/>
        <v>7</v>
      </c>
    </row>
    <row r="53" spans="1:3" x14ac:dyDescent="0.25">
      <c r="A53" s="8" t="s">
        <v>67</v>
      </c>
      <c r="B53" s="2">
        <v>9</v>
      </c>
      <c r="C53">
        <f t="shared" si="1"/>
        <v>0</v>
      </c>
    </row>
    <row r="54" spans="1:3" x14ac:dyDescent="0.25">
      <c r="A54" s="8" t="s">
        <v>68</v>
      </c>
      <c r="B54" s="2">
        <v>0</v>
      </c>
      <c r="C54">
        <f t="shared" si="1"/>
        <v>1</v>
      </c>
    </row>
    <row r="55" spans="1:3" x14ac:dyDescent="0.25">
      <c r="A55" s="8" t="s">
        <v>69</v>
      </c>
      <c r="B55" s="2">
        <v>0</v>
      </c>
      <c r="C55">
        <f t="shared" si="1"/>
        <v>2</v>
      </c>
    </row>
    <row r="56" spans="1:3" x14ac:dyDescent="0.25">
      <c r="A56" s="8" t="s">
        <v>70</v>
      </c>
      <c r="B56" s="2">
        <v>0</v>
      </c>
      <c r="C56">
        <f t="shared" si="1"/>
        <v>3</v>
      </c>
    </row>
    <row r="57" spans="1:3" x14ac:dyDescent="0.25">
      <c r="A57" s="8" t="s">
        <v>71</v>
      </c>
      <c r="B57" s="2">
        <v>1</v>
      </c>
      <c r="C57">
        <f t="shared" si="1"/>
        <v>0</v>
      </c>
    </row>
    <row r="58" spans="1:3" x14ac:dyDescent="0.25">
      <c r="A58" s="8" t="s">
        <v>72</v>
      </c>
      <c r="B58" s="2">
        <v>0</v>
      </c>
      <c r="C58">
        <f t="shared" si="1"/>
        <v>1</v>
      </c>
    </row>
    <row r="59" spans="1:3" x14ac:dyDescent="0.25">
      <c r="A59" s="8" t="s">
        <v>73</v>
      </c>
      <c r="B59" s="2">
        <v>0</v>
      </c>
      <c r="C59">
        <f t="shared" si="1"/>
        <v>2</v>
      </c>
    </row>
    <row r="60" spans="1:3" x14ac:dyDescent="0.25">
      <c r="A60" s="8" t="s">
        <v>74</v>
      </c>
      <c r="B60" s="2">
        <v>0</v>
      </c>
      <c r="C60">
        <f t="shared" si="1"/>
        <v>3</v>
      </c>
    </row>
    <row r="61" spans="1:3" x14ac:dyDescent="0.25">
      <c r="A61" s="8" t="s">
        <v>75</v>
      </c>
      <c r="B61" s="2">
        <v>0</v>
      </c>
      <c r="C61">
        <f t="shared" si="1"/>
        <v>4</v>
      </c>
    </row>
    <row r="62" spans="1:3" x14ac:dyDescent="0.25">
      <c r="A62" s="8" t="s">
        <v>76</v>
      </c>
      <c r="B62" s="2">
        <v>0</v>
      </c>
      <c r="C62">
        <f t="shared" si="1"/>
        <v>5</v>
      </c>
    </row>
    <row r="63" spans="1:3" x14ac:dyDescent="0.25">
      <c r="A63" s="8" t="s">
        <v>77</v>
      </c>
      <c r="B63" s="2">
        <v>0</v>
      </c>
      <c r="C63">
        <f t="shared" si="1"/>
        <v>6</v>
      </c>
    </row>
    <row r="64" spans="1:3" x14ac:dyDescent="0.25">
      <c r="A64" s="8" t="s">
        <v>78</v>
      </c>
      <c r="B64" s="2">
        <v>0</v>
      </c>
      <c r="C64">
        <f t="shared" si="1"/>
        <v>7</v>
      </c>
    </row>
    <row r="65" spans="1:3" x14ac:dyDescent="0.25">
      <c r="A65" s="4" t="s">
        <v>7</v>
      </c>
      <c r="B65" s="2">
        <v>16</v>
      </c>
      <c r="C65">
        <f t="shared" si="1"/>
        <v>0</v>
      </c>
    </row>
    <row r="66" spans="1:3" x14ac:dyDescent="0.25">
      <c r="A66" s="8" t="s">
        <v>79</v>
      </c>
      <c r="B66" s="2">
        <v>0</v>
      </c>
    </row>
    <row r="67" spans="1:3" x14ac:dyDescent="0.25">
      <c r="A67" s="8" t="s">
        <v>80</v>
      </c>
      <c r="B67" s="2">
        <v>0</v>
      </c>
      <c r="C67">
        <f>IF(B67=0,C66+1,0)</f>
        <v>1</v>
      </c>
    </row>
    <row r="68" spans="1:3" x14ac:dyDescent="0.25">
      <c r="A68" s="8" t="s">
        <v>81</v>
      </c>
      <c r="B68" s="2">
        <v>0</v>
      </c>
      <c r="C68">
        <f t="shared" ref="C68:C96" si="2">IF(B68=0,C67+1,0)</f>
        <v>2</v>
      </c>
    </row>
    <row r="69" spans="1:3" x14ac:dyDescent="0.25">
      <c r="A69" s="8" t="s">
        <v>82</v>
      </c>
      <c r="B69" s="2">
        <v>0</v>
      </c>
      <c r="C69">
        <f t="shared" si="2"/>
        <v>3</v>
      </c>
    </row>
    <row r="70" spans="1:3" x14ac:dyDescent="0.25">
      <c r="A70" s="8" t="s">
        <v>83</v>
      </c>
      <c r="B70" s="2">
        <v>0</v>
      </c>
      <c r="C70">
        <f t="shared" si="2"/>
        <v>4</v>
      </c>
    </row>
    <row r="71" spans="1:3" x14ac:dyDescent="0.25">
      <c r="A71" s="8" t="s">
        <v>84</v>
      </c>
      <c r="B71" s="2">
        <v>0</v>
      </c>
      <c r="C71">
        <f t="shared" si="2"/>
        <v>5</v>
      </c>
    </row>
    <row r="72" spans="1:3" x14ac:dyDescent="0.25">
      <c r="A72" s="8" t="s">
        <v>85</v>
      </c>
      <c r="B72" s="2">
        <v>0</v>
      </c>
      <c r="C72">
        <f t="shared" si="2"/>
        <v>6</v>
      </c>
    </row>
    <row r="73" spans="1:3" x14ac:dyDescent="0.25">
      <c r="A73" s="8" t="s">
        <v>86</v>
      </c>
      <c r="B73" s="2">
        <v>0</v>
      </c>
      <c r="C73">
        <f t="shared" si="2"/>
        <v>7</v>
      </c>
    </row>
    <row r="74" spans="1:3" x14ac:dyDescent="0.25">
      <c r="A74" s="8" t="s">
        <v>87</v>
      </c>
      <c r="B74" s="2">
        <v>2</v>
      </c>
      <c r="C74">
        <f t="shared" si="2"/>
        <v>0</v>
      </c>
    </row>
    <row r="75" spans="1:3" x14ac:dyDescent="0.25">
      <c r="A75" s="8" t="s">
        <v>88</v>
      </c>
      <c r="B75" s="2">
        <v>0</v>
      </c>
      <c r="C75">
        <f t="shared" si="2"/>
        <v>1</v>
      </c>
    </row>
    <row r="76" spans="1:3" x14ac:dyDescent="0.25">
      <c r="A76" s="8" t="s">
        <v>89</v>
      </c>
      <c r="B76" s="2">
        <v>0</v>
      </c>
      <c r="C76">
        <f t="shared" si="2"/>
        <v>2</v>
      </c>
    </row>
    <row r="77" spans="1:3" x14ac:dyDescent="0.25">
      <c r="A77" s="8" t="s">
        <v>90</v>
      </c>
      <c r="B77" s="2">
        <v>0</v>
      </c>
      <c r="C77">
        <f t="shared" si="2"/>
        <v>3</v>
      </c>
    </row>
    <row r="78" spans="1:3" x14ac:dyDescent="0.25">
      <c r="A78" s="8" t="s">
        <v>91</v>
      </c>
      <c r="B78" s="2">
        <v>0</v>
      </c>
      <c r="C78">
        <f t="shared" si="2"/>
        <v>4</v>
      </c>
    </row>
    <row r="79" spans="1:3" x14ac:dyDescent="0.25">
      <c r="A79" s="8" t="s">
        <v>92</v>
      </c>
      <c r="B79" s="2">
        <v>0</v>
      </c>
      <c r="C79">
        <f t="shared" si="2"/>
        <v>5</v>
      </c>
    </row>
    <row r="80" spans="1:3" x14ac:dyDescent="0.25">
      <c r="A80" s="8" t="s">
        <v>93</v>
      </c>
      <c r="B80" s="2">
        <v>0</v>
      </c>
      <c r="C80">
        <f t="shared" si="2"/>
        <v>6</v>
      </c>
    </row>
    <row r="81" spans="1:3" x14ac:dyDescent="0.25">
      <c r="A81" s="8" t="s">
        <v>94</v>
      </c>
      <c r="B81" s="2">
        <v>0</v>
      </c>
      <c r="C81">
        <f t="shared" si="2"/>
        <v>7</v>
      </c>
    </row>
    <row r="82" spans="1:3" x14ac:dyDescent="0.25">
      <c r="A82" s="8" t="s">
        <v>95</v>
      </c>
      <c r="B82" s="2">
        <v>0</v>
      </c>
      <c r="C82">
        <f t="shared" si="2"/>
        <v>8</v>
      </c>
    </row>
    <row r="83" spans="1:3" x14ac:dyDescent="0.25">
      <c r="A83" s="8" t="s">
        <v>96</v>
      </c>
      <c r="B83" s="2">
        <v>0</v>
      </c>
      <c r="C83">
        <f t="shared" si="2"/>
        <v>9</v>
      </c>
    </row>
    <row r="84" spans="1:3" x14ac:dyDescent="0.25">
      <c r="A84" s="8" t="s">
        <v>97</v>
      </c>
      <c r="B84" s="2">
        <v>0</v>
      </c>
      <c r="C84">
        <f t="shared" si="2"/>
        <v>10</v>
      </c>
    </row>
    <row r="85" spans="1:3" x14ac:dyDescent="0.25">
      <c r="A85" s="8" t="s">
        <v>98</v>
      </c>
      <c r="B85" s="2">
        <v>0</v>
      </c>
      <c r="C85">
        <f t="shared" si="2"/>
        <v>11</v>
      </c>
    </row>
    <row r="86" spans="1:3" x14ac:dyDescent="0.25">
      <c r="A86" s="8" t="s">
        <v>99</v>
      </c>
      <c r="B86" s="2">
        <v>0</v>
      </c>
      <c r="C86">
        <f t="shared" si="2"/>
        <v>12</v>
      </c>
    </row>
    <row r="87" spans="1:3" x14ac:dyDescent="0.25">
      <c r="A87" s="8" t="s">
        <v>100</v>
      </c>
      <c r="B87" s="2">
        <v>0</v>
      </c>
      <c r="C87">
        <f t="shared" si="2"/>
        <v>13</v>
      </c>
    </row>
    <row r="88" spans="1:3" x14ac:dyDescent="0.25">
      <c r="A88" s="8" t="s">
        <v>101</v>
      </c>
      <c r="B88" s="2">
        <v>0</v>
      </c>
      <c r="C88">
        <f t="shared" si="2"/>
        <v>14</v>
      </c>
    </row>
    <row r="89" spans="1:3" x14ac:dyDescent="0.25">
      <c r="A89" s="8" t="s">
        <v>102</v>
      </c>
      <c r="B89" s="2">
        <v>0</v>
      </c>
      <c r="C89">
        <f t="shared" si="2"/>
        <v>15</v>
      </c>
    </row>
    <row r="90" spans="1:3" x14ac:dyDescent="0.25">
      <c r="A90" s="8" t="s">
        <v>103</v>
      </c>
      <c r="B90" s="2">
        <v>0</v>
      </c>
      <c r="C90">
        <f t="shared" si="2"/>
        <v>16</v>
      </c>
    </row>
    <row r="91" spans="1:3" x14ac:dyDescent="0.25">
      <c r="A91" s="8" t="s">
        <v>104</v>
      </c>
      <c r="B91" s="2">
        <v>0</v>
      </c>
      <c r="C91">
        <f t="shared" si="2"/>
        <v>17</v>
      </c>
    </row>
    <row r="92" spans="1:3" x14ac:dyDescent="0.25">
      <c r="A92" s="8" t="s">
        <v>105</v>
      </c>
      <c r="B92" s="2">
        <v>0</v>
      </c>
      <c r="C92">
        <f t="shared" si="2"/>
        <v>18</v>
      </c>
    </row>
    <row r="93" spans="1:3" x14ac:dyDescent="0.25">
      <c r="A93" s="8" t="s">
        <v>106</v>
      </c>
      <c r="B93" s="2">
        <v>0</v>
      </c>
      <c r="C93">
        <f t="shared" si="2"/>
        <v>19</v>
      </c>
    </row>
    <row r="94" spans="1:3" x14ac:dyDescent="0.25">
      <c r="A94" s="8" t="s">
        <v>107</v>
      </c>
      <c r="B94" s="2">
        <v>0</v>
      </c>
      <c r="C94">
        <f t="shared" si="2"/>
        <v>20</v>
      </c>
    </row>
    <row r="95" spans="1:3" x14ac:dyDescent="0.25">
      <c r="A95" s="8" t="s">
        <v>108</v>
      </c>
      <c r="B95" s="2">
        <v>3</v>
      </c>
      <c r="C95">
        <f t="shared" si="2"/>
        <v>0</v>
      </c>
    </row>
    <row r="96" spans="1:3" x14ac:dyDescent="0.25">
      <c r="A96" s="8" t="s">
        <v>109</v>
      </c>
      <c r="B96" s="2">
        <v>11</v>
      </c>
      <c r="C96">
        <f t="shared" si="2"/>
        <v>0</v>
      </c>
    </row>
    <row r="97" spans="1:3" x14ac:dyDescent="0.25">
      <c r="A97" s="4" t="s">
        <v>8</v>
      </c>
      <c r="B97" s="2">
        <v>56</v>
      </c>
    </row>
    <row r="98" spans="1:3" x14ac:dyDescent="0.25">
      <c r="A98" s="8" t="s">
        <v>110</v>
      </c>
      <c r="B98" s="2">
        <v>13</v>
      </c>
      <c r="C98">
        <v>0</v>
      </c>
    </row>
    <row r="99" spans="1:3" x14ac:dyDescent="0.25">
      <c r="A99" s="8" t="s">
        <v>111</v>
      </c>
      <c r="B99" s="2">
        <v>0</v>
      </c>
      <c r="C99">
        <f>IF(B99=0,C98+1,0)</f>
        <v>1</v>
      </c>
    </row>
    <row r="100" spans="1:3" x14ac:dyDescent="0.25">
      <c r="A100" s="8" t="s">
        <v>112</v>
      </c>
      <c r="B100" s="2">
        <v>2</v>
      </c>
      <c r="C100">
        <f t="shared" ref="C100:C127" si="3">IF(B100=0,C99+1,0)</f>
        <v>0</v>
      </c>
    </row>
    <row r="101" spans="1:3" x14ac:dyDescent="0.25">
      <c r="A101" s="8" t="s">
        <v>113</v>
      </c>
      <c r="B101" s="2">
        <v>0</v>
      </c>
      <c r="C101">
        <f t="shared" si="3"/>
        <v>1</v>
      </c>
    </row>
    <row r="102" spans="1:3" x14ac:dyDescent="0.25">
      <c r="A102" s="8" t="s">
        <v>114</v>
      </c>
      <c r="B102" s="2">
        <v>1</v>
      </c>
      <c r="C102">
        <f t="shared" si="3"/>
        <v>0</v>
      </c>
    </row>
    <row r="103" spans="1:3" x14ac:dyDescent="0.25">
      <c r="A103" s="8" t="s">
        <v>115</v>
      </c>
      <c r="B103" s="2">
        <v>0</v>
      </c>
      <c r="C103">
        <f t="shared" si="3"/>
        <v>1</v>
      </c>
    </row>
    <row r="104" spans="1:3" x14ac:dyDescent="0.25">
      <c r="A104" s="8" t="s">
        <v>116</v>
      </c>
      <c r="B104" s="2">
        <v>0</v>
      </c>
      <c r="C104">
        <f t="shared" si="3"/>
        <v>2</v>
      </c>
    </row>
    <row r="105" spans="1:3" x14ac:dyDescent="0.25">
      <c r="A105" s="8" t="s">
        <v>117</v>
      </c>
      <c r="B105" s="2">
        <v>4</v>
      </c>
      <c r="C105">
        <f t="shared" si="3"/>
        <v>0</v>
      </c>
    </row>
    <row r="106" spans="1:3" x14ac:dyDescent="0.25">
      <c r="A106" s="8" t="s">
        <v>118</v>
      </c>
      <c r="B106" s="2">
        <v>1</v>
      </c>
      <c r="C106">
        <f t="shared" si="3"/>
        <v>0</v>
      </c>
    </row>
    <row r="107" spans="1:3" x14ac:dyDescent="0.25">
      <c r="A107" s="8" t="s">
        <v>119</v>
      </c>
      <c r="B107" s="2">
        <v>0</v>
      </c>
      <c r="C107">
        <f t="shared" si="3"/>
        <v>1</v>
      </c>
    </row>
    <row r="108" spans="1:3" x14ac:dyDescent="0.25">
      <c r="A108" s="8" t="s">
        <v>120</v>
      </c>
      <c r="B108" s="2">
        <v>0</v>
      </c>
      <c r="C108">
        <f t="shared" si="3"/>
        <v>2</v>
      </c>
    </row>
    <row r="109" spans="1:3" x14ac:dyDescent="0.25">
      <c r="A109" s="8" t="s">
        <v>121</v>
      </c>
      <c r="B109" s="2">
        <v>0</v>
      </c>
      <c r="C109">
        <f t="shared" si="3"/>
        <v>3</v>
      </c>
    </row>
    <row r="110" spans="1:3" x14ac:dyDescent="0.25">
      <c r="A110" s="8" t="s">
        <v>122</v>
      </c>
      <c r="B110" s="2">
        <v>0</v>
      </c>
      <c r="C110">
        <f t="shared" si="3"/>
        <v>4</v>
      </c>
    </row>
    <row r="111" spans="1:3" x14ac:dyDescent="0.25">
      <c r="A111" s="8" t="s">
        <v>123</v>
      </c>
      <c r="B111" s="2">
        <v>0</v>
      </c>
      <c r="C111">
        <f t="shared" si="3"/>
        <v>5</v>
      </c>
    </row>
    <row r="112" spans="1:3" x14ac:dyDescent="0.25">
      <c r="A112" s="8" t="s">
        <v>124</v>
      </c>
      <c r="B112" s="2">
        <v>2</v>
      </c>
      <c r="C112">
        <f t="shared" si="3"/>
        <v>0</v>
      </c>
    </row>
    <row r="113" spans="1:3" x14ac:dyDescent="0.25">
      <c r="A113" s="8" t="s">
        <v>125</v>
      </c>
      <c r="B113" s="2">
        <v>4</v>
      </c>
      <c r="C113">
        <f t="shared" si="3"/>
        <v>0</v>
      </c>
    </row>
    <row r="114" spans="1:3" x14ac:dyDescent="0.25">
      <c r="A114" s="8" t="s">
        <v>126</v>
      </c>
      <c r="B114" s="2">
        <v>0</v>
      </c>
      <c r="C114">
        <f t="shared" si="3"/>
        <v>1</v>
      </c>
    </row>
    <row r="115" spans="1:3" x14ac:dyDescent="0.25">
      <c r="A115" s="8" t="s">
        <v>127</v>
      </c>
      <c r="B115" s="2">
        <v>0</v>
      </c>
      <c r="C115">
        <f t="shared" si="3"/>
        <v>2</v>
      </c>
    </row>
    <row r="116" spans="1:3" x14ac:dyDescent="0.25">
      <c r="A116" s="8" t="s">
        <v>128</v>
      </c>
      <c r="B116" s="2">
        <v>0</v>
      </c>
      <c r="C116">
        <f t="shared" si="3"/>
        <v>3</v>
      </c>
    </row>
    <row r="117" spans="1:3" x14ac:dyDescent="0.25">
      <c r="A117" s="8" t="s">
        <v>129</v>
      </c>
      <c r="B117" s="2">
        <v>0</v>
      </c>
      <c r="C117">
        <f t="shared" si="3"/>
        <v>4</v>
      </c>
    </row>
    <row r="118" spans="1:3" x14ac:dyDescent="0.25">
      <c r="A118" s="8" t="s">
        <v>130</v>
      </c>
      <c r="B118" s="2">
        <v>0</v>
      </c>
      <c r="C118">
        <f t="shared" si="3"/>
        <v>5</v>
      </c>
    </row>
    <row r="119" spans="1:3" x14ac:dyDescent="0.25">
      <c r="A119" s="8" t="s">
        <v>131</v>
      </c>
      <c r="B119" s="2">
        <v>0</v>
      </c>
      <c r="C119">
        <f t="shared" si="3"/>
        <v>6</v>
      </c>
    </row>
    <row r="120" spans="1:3" x14ac:dyDescent="0.25">
      <c r="A120" s="8" t="s">
        <v>132</v>
      </c>
      <c r="B120" s="2">
        <v>0</v>
      </c>
      <c r="C120">
        <f t="shared" si="3"/>
        <v>7</v>
      </c>
    </row>
    <row r="121" spans="1:3" x14ac:dyDescent="0.25">
      <c r="A121" s="8" t="s">
        <v>133</v>
      </c>
      <c r="B121" s="2">
        <v>0</v>
      </c>
      <c r="C121">
        <f t="shared" si="3"/>
        <v>8</v>
      </c>
    </row>
    <row r="122" spans="1:3" x14ac:dyDescent="0.25">
      <c r="A122" s="8" t="s">
        <v>134</v>
      </c>
      <c r="B122" s="2">
        <v>18</v>
      </c>
      <c r="C122">
        <f t="shared" si="3"/>
        <v>0</v>
      </c>
    </row>
    <row r="123" spans="1:3" x14ac:dyDescent="0.25">
      <c r="A123" s="8" t="s">
        <v>135</v>
      </c>
      <c r="B123" s="2">
        <v>0</v>
      </c>
      <c r="C123">
        <f t="shared" si="3"/>
        <v>1</v>
      </c>
    </row>
    <row r="124" spans="1:3" x14ac:dyDescent="0.25">
      <c r="A124" s="8" t="s">
        <v>136</v>
      </c>
      <c r="B124" s="2">
        <v>0</v>
      </c>
      <c r="C124">
        <f t="shared" si="3"/>
        <v>2</v>
      </c>
    </row>
    <row r="125" spans="1:3" x14ac:dyDescent="0.25">
      <c r="A125" s="8" t="s">
        <v>137</v>
      </c>
      <c r="B125" s="2">
        <v>0</v>
      </c>
      <c r="C125">
        <f t="shared" si="3"/>
        <v>3</v>
      </c>
    </row>
    <row r="126" spans="1:3" x14ac:dyDescent="0.25">
      <c r="A126" s="8" t="s">
        <v>138</v>
      </c>
      <c r="B126" s="2">
        <v>0</v>
      </c>
      <c r="C126">
        <f t="shared" si="3"/>
        <v>4</v>
      </c>
    </row>
    <row r="127" spans="1:3" x14ac:dyDescent="0.25">
      <c r="A127" s="8" t="s">
        <v>139</v>
      </c>
      <c r="B127" s="2">
        <v>11</v>
      </c>
      <c r="C127">
        <f t="shared" si="3"/>
        <v>0</v>
      </c>
    </row>
    <row r="128" spans="1:3" x14ac:dyDescent="0.25">
      <c r="A128" s="4" t="s">
        <v>9</v>
      </c>
      <c r="B128" s="2">
        <v>2</v>
      </c>
    </row>
    <row r="129" spans="1:3" x14ac:dyDescent="0.25">
      <c r="A129" s="8" t="s">
        <v>140</v>
      </c>
      <c r="B129" s="2">
        <v>0</v>
      </c>
      <c r="C129">
        <v>1</v>
      </c>
    </row>
    <row r="130" spans="1:3" x14ac:dyDescent="0.25">
      <c r="A130" s="8" t="s">
        <v>141</v>
      </c>
      <c r="B130" s="2">
        <v>0</v>
      </c>
      <c r="C130">
        <f>IF(B130=0,C129+1,0)</f>
        <v>2</v>
      </c>
    </row>
    <row r="131" spans="1:3" x14ac:dyDescent="0.25">
      <c r="A131" s="8" t="s">
        <v>142</v>
      </c>
      <c r="B131" s="2">
        <v>0</v>
      </c>
      <c r="C131">
        <f t="shared" ref="C131:C159" si="4">IF(B131=0,C130+1,0)</f>
        <v>3</v>
      </c>
    </row>
    <row r="132" spans="1:3" x14ac:dyDescent="0.25">
      <c r="A132" s="8" t="s">
        <v>143</v>
      </c>
      <c r="B132" s="2">
        <v>0</v>
      </c>
      <c r="C132">
        <f t="shared" si="4"/>
        <v>4</v>
      </c>
    </row>
    <row r="133" spans="1:3" x14ac:dyDescent="0.25">
      <c r="A133" s="8" t="s">
        <v>144</v>
      </c>
      <c r="B133" s="2">
        <v>0</v>
      </c>
      <c r="C133">
        <f t="shared" si="4"/>
        <v>5</v>
      </c>
    </row>
    <row r="134" spans="1:3" x14ac:dyDescent="0.25">
      <c r="A134" s="8" t="s">
        <v>145</v>
      </c>
      <c r="B134" s="2">
        <v>0</v>
      </c>
      <c r="C134">
        <f t="shared" si="4"/>
        <v>6</v>
      </c>
    </row>
    <row r="135" spans="1:3" x14ac:dyDescent="0.25">
      <c r="A135" s="8" t="s">
        <v>146</v>
      </c>
      <c r="B135" s="2">
        <v>0</v>
      </c>
      <c r="C135">
        <f t="shared" si="4"/>
        <v>7</v>
      </c>
    </row>
    <row r="136" spans="1:3" x14ac:dyDescent="0.25">
      <c r="A136" s="8" t="s">
        <v>147</v>
      </c>
      <c r="B136" s="2">
        <v>0</v>
      </c>
      <c r="C136">
        <f t="shared" si="4"/>
        <v>8</v>
      </c>
    </row>
    <row r="137" spans="1:3" x14ac:dyDescent="0.25">
      <c r="A137" s="8" t="s">
        <v>148</v>
      </c>
      <c r="B137" s="2">
        <v>0</v>
      </c>
      <c r="C137">
        <f t="shared" si="4"/>
        <v>9</v>
      </c>
    </row>
    <row r="138" spans="1:3" x14ac:dyDescent="0.25">
      <c r="A138" s="8" t="s">
        <v>149</v>
      </c>
      <c r="B138" s="2">
        <v>0</v>
      </c>
      <c r="C138">
        <f t="shared" si="4"/>
        <v>10</v>
      </c>
    </row>
    <row r="139" spans="1:3" x14ac:dyDescent="0.25">
      <c r="A139" s="8" t="s">
        <v>150</v>
      </c>
      <c r="B139" s="2">
        <v>0</v>
      </c>
      <c r="C139">
        <f t="shared" si="4"/>
        <v>11</v>
      </c>
    </row>
    <row r="140" spans="1:3" x14ac:dyDescent="0.25">
      <c r="A140" s="8" t="s">
        <v>151</v>
      </c>
      <c r="B140" s="2">
        <v>0</v>
      </c>
      <c r="C140">
        <f t="shared" si="4"/>
        <v>12</v>
      </c>
    </row>
    <row r="141" spans="1:3" x14ac:dyDescent="0.25">
      <c r="A141" s="8" t="s">
        <v>152</v>
      </c>
      <c r="B141" s="2">
        <v>0</v>
      </c>
      <c r="C141">
        <f t="shared" si="4"/>
        <v>13</v>
      </c>
    </row>
    <row r="142" spans="1:3" x14ac:dyDescent="0.25">
      <c r="A142" s="8" t="s">
        <v>153</v>
      </c>
      <c r="B142" s="2">
        <v>0</v>
      </c>
      <c r="C142">
        <f t="shared" si="4"/>
        <v>14</v>
      </c>
    </row>
    <row r="143" spans="1:3" x14ac:dyDescent="0.25">
      <c r="A143" s="8" t="s">
        <v>154</v>
      </c>
      <c r="B143" s="2">
        <v>0</v>
      </c>
      <c r="C143">
        <f t="shared" si="4"/>
        <v>15</v>
      </c>
    </row>
    <row r="144" spans="1:3" x14ac:dyDescent="0.25">
      <c r="A144" s="8" t="s">
        <v>155</v>
      </c>
      <c r="B144" s="2">
        <v>0</v>
      </c>
      <c r="C144">
        <f t="shared" si="4"/>
        <v>16</v>
      </c>
    </row>
    <row r="145" spans="1:3" x14ac:dyDescent="0.25">
      <c r="A145" s="8" t="s">
        <v>156</v>
      </c>
      <c r="B145" s="2">
        <v>0</v>
      </c>
      <c r="C145">
        <f t="shared" si="4"/>
        <v>17</v>
      </c>
    </row>
    <row r="146" spans="1:3" x14ac:dyDescent="0.25">
      <c r="A146" s="8" t="s">
        <v>157</v>
      </c>
      <c r="B146" s="2">
        <v>0</v>
      </c>
      <c r="C146">
        <f t="shared" si="4"/>
        <v>18</v>
      </c>
    </row>
    <row r="147" spans="1:3" x14ac:dyDescent="0.25">
      <c r="A147" s="8" t="s">
        <v>158</v>
      </c>
      <c r="B147" s="2">
        <v>0</v>
      </c>
      <c r="C147">
        <f t="shared" si="4"/>
        <v>19</v>
      </c>
    </row>
    <row r="148" spans="1:3" x14ac:dyDescent="0.25">
      <c r="A148" s="8" t="s">
        <v>159</v>
      </c>
      <c r="B148" s="2">
        <v>0</v>
      </c>
      <c r="C148">
        <f t="shared" si="4"/>
        <v>20</v>
      </c>
    </row>
    <row r="149" spans="1:3" x14ac:dyDescent="0.25">
      <c r="A149" s="8" t="s">
        <v>160</v>
      </c>
      <c r="B149" s="2">
        <v>1</v>
      </c>
      <c r="C149">
        <f t="shared" si="4"/>
        <v>0</v>
      </c>
    </row>
    <row r="150" spans="1:3" x14ac:dyDescent="0.25">
      <c r="A150" s="8" t="s">
        <v>161</v>
      </c>
      <c r="B150" s="2">
        <v>0</v>
      </c>
      <c r="C150">
        <f t="shared" si="4"/>
        <v>1</v>
      </c>
    </row>
    <row r="151" spans="1:3" x14ac:dyDescent="0.25">
      <c r="A151" s="8" t="s">
        <v>162</v>
      </c>
      <c r="B151" s="2">
        <v>0</v>
      </c>
      <c r="C151">
        <f t="shared" si="4"/>
        <v>2</v>
      </c>
    </row>
    <row r="152" spans="1:3" x14ac:dyDescent="0.25">
      <c r="A152" s="8" t="s">
        <v>163</v>
      </c>
      <c r="B152" s="2">
        <v>0</v>
      </c>
      <c r="C152">
        <f t="shared" si="4"/>
        <v>3</v>
      </c>
    </row>
    <row r="153" spans="1:3" x14ac:dyDescent="0.25">
      <c r="A153" s="8" t="s">
        <v>164</v>
      </c>
      <c r="B153" s="2">
        <v>0</v>
      </c>
      <c r="C153">
        <f t="shared" si="4"/>
        <v>4</v>
      </c>
    </row>
    <row r="154" spans="1:3" x14ac:dyDescent="0.25">
      <c r="A154" s="8" t="s">
        <v>165</v>
      </c>
      <c r="B154" s="2">
        <v>0</v>
      </c>
      <c r="C154">
        <f t="shared" si="4"/>
        <v>5</v>
      </c>
    </row>
    <row r="155" spans="1:3" x14ac:dyDescent="0.25">
      <c r="A155" s="8" t="s">
        <v>166</v>
      </c>
      <c r="B155" s="2">
        <v>0</v>
      </c>
      <c r="C155">
        <f t="shared" si="4"/>
        <v>6</v>
      </c>
    </row>
    <row r="156" spans="1:3" x14ac:dyDescent="0.25">
      <c r="A156" s="8" t="s">
        <v>167</v>
      </c>
      <c r="B156" s="2">
        <v>0</v>
      </c>
      <c r="C156">
        <f t="shared" si="4"/>
        <v>7</v>
      </c>
    </row>
    <row r="157" spans="1:3" x14ac:dyDescent="0.25">
      <c r="A157" s="8" t="s">
        <v>168</v>
      </c>
      <c r="B157" s="2">
        <v>0</v>
      </c>
      <c r="C157">
        <f t="shared" si="4"/>
        <v>8</v>
      </c>
    </row>
    <row r="158" spans="1:3" x14ac:dyDescent="0.25">
      <c r="A158" s="8" t="s">
        <v>169</v>
      </c>
      <c r="B158" s="2">
        <v>1</v>
      </c>
      <c r="C158">
        <f t="shared" si="4"/>
        <v>0</v>
      </c>
    </row>
    <row r="159" spans="1:3" x14ac:dyDescent="0.25">
      <c r="A159" s="8" t="s">
        <v>170</v>
      </c>
      <c r="B159" s="2">
        <v>0</v>
      </c>
      <c r="C159">
        <f t="shared" si="4"/>
        <v>1</v>
      </c>
    </row>
    <row r="160" spans="1:3" x14ac:dyDescent="0.25">
      <c r="A160" s="4" t="s">
        <v>10</v>
      </c>
      <c r="B160" s="2">
        <v>67</v>
      </c>
    </row>
    <row r="161" spans="1:3" x14ac:dyDescent="0.25">
      <c r="A161" s="8" t="s">
        <v>171</v>
      </c>
      <c r="B161" s="2">
        <v>0</v>
      </c>
      <c r="C161">
        <v>1</v>
      </c>
    </row>
    <row r="162" spans="1:3" x14ac:dyDescent="0.25">
      <c r="A162" s="8" t="s">
        <v>172</v>
      </c>
      <c r="B162" s="2">
        <v>1</v>
      </c>
      <c r="C162">
        <f>IF(B162=0,C161+1,0)</f>
        <v>0</v>
      </c>
    </row>
    <row r="163" spans="1:3" x14ac:dyDescent="0.25">
      <c r="A163" s="8" t="s">
        <v>173</v>
      </c>
      <c r="B163" s="2">
        <v>0</v>
      </c>
      <c r="C163">
        <f t="shared" ref="C163:C191" si="5">IF(B163=0,C162+1,0)</f>
        <v>1</v>
      </c>
    </row>
    <row r="164" spans="1:3" x14ac:dyDescent="0.25">
      <c r="A164" s="8" t="s">
        <v>174</v>
      </c>
      <c r="B164" s="2">
        <v>0</v>
      </c>
      <c r="C164">
        <f t="shared" si="5"/>
        <v>2</v>
      </c>
    </row>
    <row r="165" spans="1:3" x14ac:dyDescent="0.25">
      <c r="A165" s="8" t="s">
        <v>175</v>
      </c>
      <c r="B165" s="2">
        <v>0</v>
      </c>
      <c r="C165">
        <f t="shared" si="5"/>
        <v>3</v>
      </c>
    </row>
    <row r="166" spans="1:3" x14ac:dyDescent="0.25">
      <c r="A166" s="8" t="s">
        <v>176</v>
      </c>
      <c r="B166" s="2">
        <v>0</v>
      </c>
      <c r="C166">
        <f t="shared" si="5"/>
        <v>4</v>
      </c>
    </row>
    <row r="167" spans="1:3" x14ac:dyDescent="0.25">
      <c r="A167" s="8" t="s">
        <v>177</v>
      </c>
      <c r="B167" s="2">
        <v>0</v>
      </c>
      <c r="C167">
        <f t="shared" si="5"/>
        <v>5</v>
      </c>
    </row>
    <row r="168" spans="1:3" x14ac:dyDescent="0.25">
      <c r="A168" s="8" t="s">
        <v>178</v>
      </c>
      <c r="B168" s="2">
        <v>0</v>
      </c>
      <c r="C168">
        <f t="shared" si="5"/>
        <v>6</v>
      </c>
    </row>
    <row r="169" spans="1:3" x14ac:dyDescent="0.25">
      <c r="A169" s="8" t="s">
        <v>179</v>
      </c>
      <c r="B169" s="2">
        <v>43</v>
      </c>
      <c r="C169">
        <f t="shared" si="5"/>
        <v>0</v>
      </c>
    </row>
    <row r="170" spans="1:3" x14ac:dyDescent="0.25">
      <c r="A170" s="8" t="s">
        <v>180</v>
      </c>
      <c r="B170" s="2">
        <v>0</v>
      </c>
      <c r="C170">
        <f t="shared" si="5"/>
        <v>1</v>
      </c>
    </row>
    <row r="171" spans="1:3" x14ac:dyDescent="0.25">
      <c r="A171" s="8" t="s">
        <v>181</v>
      </c>
      <c r="B171" s="2">
        <v>0</v>
      </c>
      <c r="C171">
        <f t="shared" si="5"/>
        <v>2</v>
      </c>
    </row>
    <row r="172" spans="1:3" x14ac:dyDescent="0.25">
      <c r="A172" s="8" t="s">
        <v>182</v>
      </c>
      <c r="B172" s="2">
        <v>0</v>
      </c>
      <c r="C172">
        <f t="shared" si="5"/>
        <v>3</v>
      </c>
    </row>
    <row r="173" spans="1:3" x14ac:dyDescent="0.25">
      <c r="A173" s="8" t="s">
        <v>183</v>
      </c>
      <c r="B173" s="2">
        <v>7</v>
      </c>
      <c r="C173">
        <f t="shared" si="5"/>
        <v>0</v>
      </c>
    </row>
    <row r="174" spans="1:3" x14ac:dyDescent="0.25">
      <c r="A174" s="8" t="s">
        <v>184</v>
      </c>
      <c r="B174" s="2">
        <v>0</v>
      </c>
      <c r="C174">
        <f t="shared" si="5"/>
        <v>1</v>
      </c>
    </row>
    <row r="175" spans="1:3" x14ac:dyDescent="0.25">
      <c r="A175" s="8" t="s">
        <v>185</v>
      </c>
      <c r="B175" s="2">
        <v>0</v>
      </c>
      <c r="C175">
        <f t="shared" si="5"/>
        <v>2</v>
      </c>
    </row>
    <row r="176" spans="1:3" x14ac:dyDescent="0.25">
      <c r="A176" s="8" t="s">
        <v>186</v>
      </c>
      <c r="B176" s="2">
        <v>15</v>
      </c>
      <c r="C176">
        <f t="shared" si="5"/>
        <v>0</v>
      </c>
    </row>
    <row r="177" spans="1:3" x14ac:dyDescent="0.25">
      <c r="A177" s="8" t="s">
        <v>187</v>
      </c>
      <c r="B177" s="2">
        <v>0</v>
      </c>
      <c r="C177">
        <f t="shared" si="5"/>
        <v>1</v>
      </c>
    </row>
    <row r="178" spans="1:3" x14ac:dyDescent="0.25">
      <c r="A178" s="8" t="s">
        <v>188</v>
      </c>
      <c r="B178" s="2">
        <v>0</v>
      </c>
      <c r="C178">
        <f t="shared" si="5"/>
        <v>2</v>
      </c>
    </row>
    <row r="179" spans="1:3" x14ac:dyDescent="0.25">
      <c r="A179" s="8" t="s">
        <v>189</v>
      </c>
      <c r="B179" s="2">
        <v>0</v>
      </c>
      <c r="C179">
        <f t="shared" si="5"/>
        <v>3</v>
      </c>
    </row>
    <row r="180" spans="1:3" x14ac:dyDescent="0.25">
      <c r="A180" s="8" t="s">
        <v>190</v>
      </c>
      <c r="B180" s="2">
        <v>0</v>
      </c>
      <c r="C180">
        <f t="shared" si="5"/>
        <v>4</v>
      </c>
    </row>
    <row r="181" spans="1:3" x14ac:dyDescent="0.25">
      <c r="A181" s="8" t="s">
        <v>191</v>
      </c>
      <c r="B181" s="2">
        <v>0</v>
      </c>
      <c r="C181">
        <f t="shared" si="5"/>
        <v>5</v>
      </c>
    </row>
    <row r="182" spans="1:3" x14ac:dyDescent="0.25">
      <c r="A182" s="8" t="s">
        <v>192</v>
      </c>
      <c r="B182" s="2">
        <v>0</v>
      </c>
      <c r="C182">
        <f t="shared" si="5"/>
        <v>6</v>
      </c>
    </row>
    <row r="183" spans="1:3" x14ac:dyDescent="0.25">
      <c r="A183" s="8" t="s">
        <v>193</v>
      </c>
      <c r="B183" s="2">
        <v>0</v>
      </c>
      <c r="C183">
        <f t="shared" si="5"/>
        <v>7</v>
      </c>
    </row>
    <row r="184" spans="1:3" x14ac:dyDescent="0.25">
      <c r="A184" s="8" t="s">
        <v>194</v>
      </c>
      <c r="B184" s="2">
        <v>0</v>
      </c>
      <c r="C184">
        <f t="shared" si="5"/>
        <v>8</v>
      </c>
    </row>
    <row r="185" spans="1:3" x14ac:dyDescent="0.25">
      <c r="A185" s="8" t="s">
        <v>195</v>
      </c>
      <c r="B185" s="2">
        <v>0</v>
      </c>
      <c r="C185">
        <f t="shared" si="5"/>
        <v>9</v>
      </c>
    </row>
    <row r="186" spans="1:3" x14ac:dyDescent="0.25">
      <c r="A186" s="8" t="s">
        <v>196</v>
      </c>
      <c r="B186" s="2">
        <v>0</v>
      </c>
      <c r="C186">
        <f t="shared" si="5"/>
        <v>10</v>
      </c>
    </row>
    <row r="187" spans="1:3" x14ac:dyDescent="0.25">
      <c r="A187" s="8" t="s">
        <v>197</v>
      </c>
      <c r="B187" s="2">
        <v>0</v>
      </c>
      <c r="C187">
        <f t="shared" si="5"/>
        <v>11</v>
      </c>
    </row>
    <row r="188" spans="1:3" x14ac:dyDescent="0.25">
      <c r="A188" s="8" t="s">
        <v>198</v>
      </c>
      <c r="B188" s="2">
        <v>1</v>
      </c>
      <c r="C188">
        <f t="shared" si="5"/>
        <v>0</v>
      </c>
    </row>
    <row r="189" spans="1:3" x14ac:dyDescent="0.25">
      <c r="A189" s="8" t="s">
        <v>199</v>
      </c>
      <c r="B189" s="2">
        <v>0</v>
      </c>
      <c r="C189">
        <f t="shared" si="5"/>
        <v>1</v>
      </c>
    </row>
    <row r="190" spans="1:3" x14ac:dyDescent="0.25">
      <c r="A190" s="8" t="s">
        <v>200</v>
      </c>
      <c r="B190" s="2">
        <v>0</v>
      </c>
      <c r="C190">
        <f t="shared" si="5"/>
        <v>2</v>
      </c>
    </row>
    <row r="191" spans="1:3" x14ac:dyDescent="0.25">
      <c r="A191" s="4" t="s">
        <v>11</v>
      </c>
      <c r="B191" s="2">
        <v>100</v>
      </c>
    </row>
    <row r="192" spans="1:3" x14ac:dyDescent="0.25">
      <c r="A192" s="8" t="s">
        <v>201</v>
      </c>
      <c r="B192" s="2">
        <v>0</v>
      </c>
      <c r="C192">
        <v>1</v>
      </c>
    </row>
    <row r="193" spans="1:3" x14ac:dyDescent="0.25">
      <c r="A193" s="8" t="s">
        <v>202</v>
      </c>
      <c r="B193" s="2">
        <v>0</v>
      </c>
      <c r="C193">
        <f>IF(B193=0,C192+1,0)</f>
        <v>2</v>
      </c>
    </row>
    <row r="194" spans="1:3" x14ac:dyDescent="0.25">
      <c r="A194" s="8" t="s">
        <v>203</v>
      </c>
      <c r="B194" s="2">
        <v>0</v>
      </c>
      <c r="C194">
        <f t="shared" ref="C194:C222" si="6">IF(B194=0,C193+1,0)</f>
        <v>3</v>
      </c>
    </row>
    <row r="195" spans="1:3" x14ac:dyDescent="0.25">
      <c r="A195" s="8" t="s">
        <v>204</v>
      </c>
      <c r="B195" s="2">
        <v>0</v>
      </c>
      <c r="C195">
        <f t="shared" si="6"/>
        <v>4</v>
      </c>
    </row>
    <row r="196" spans="1:3" x14ac:dyDescent="0.25">
      <c r="A196" s="8" t="s">
        <v>205</v>
      </c>
      <c r="B196" s="2">
        <v>17</v>
      </c>
      <c r="C196">
        <f t="shared" si="6"/>
        <v>0</v>
      </c>
    </row>
    <row r="197" spans="1:3" x14ac:dyDescent="0.25">
      <c r="A197" s="8" t="s">
        <v>206</v>
      </c>
      <c r="B197" s="2">
        <v>21</v>
      </c>
      <c r="C197">
        <f t="shared" si="6"/>
        <v>0</v>
      </c>
    </row>
    <row r="198" spans="1:3" x14ac:dyDescent="0.25">
      <c r="A198" s="8" t="s">
        <v>207</v>
      </c>
      <c r="B198" s="2">
        <v>0</v>
      </c>
      <c r="C198">
        <f t="shared" si="6"/>
        <v>1</v>
      </c>
    </row>
    <row r="199" spans="1:3" x14ac:dyDescent="0.25">
      <c r="A199" s="8" t="s">
        <v>208</v>
      </c>
      <c r="B199" s="2">
        <v>0</v>
      </c>
      <c r="C199">
        <f t="shared" si="6"/>
        <v>2</v>
      </c>
    </row>
    <row r="200" spans="1:3" x14ac:dyDescent="0.25">
      <c r="A200" s="8" t="s">
        <v>209</v>
      </c>
      <c r="B200" s="2">
        <v>0</v>
      </c>
      <c r="C200">
        <f t="shared" si="6"/>
        <v>3</v>
      </c>
    </row>
    <row r="201" spans="1:3" x14ac:dyDescent="0.25">
      <c r="A201" s="8" t="s">
        <v>210</v>
      </c>
      <c r="B201" s="2">
        <v>4</v>
      </c>
      <c r="C201">
        <f t="shared" si="6"/>
        <v>0</v>
      </c>
    </row>
    <row r="202" spans="1:3" x14ac:dyDescent="0.25">
      <c r="A202" s="8" t="s">
        <v>211</v>
      </c>
      <c r="B202" s="2">
        <v>3</v>
      </c>
      <c r="C202">
        <f t="shared" si="6"/>
        <v>0</v>
      </c>
    </row>
    <row r="203" spans="1:3" x14ac:dyDescent="0.25">
      <c r="A203" s="8" t="s">
        <v>212</v>
      </c>
      <c r="B203" s="2">
        <v>2</v>
      </c>
      <c r="C203">
        <f t="shared" si="6"/>
        <v>0</v>
      </c>
    </row>
    <row r="204" spans="1:3" x14ac:dyDescent="0.25">
      <c r="A204" s="8" t="s">
        <v>213</v>
      </c>
      <c r="B204" s="2">
        <v>0</v>
      </c>
      <c r="C204">
        <f t="shared" si="6"/>
        <v>1</v>
      </c>
    </row>
    <row r="205" spans="1:3" x14ac:dyDescent="0.25">
      <c r="A205" s="8" t="s">
        <v>214</v>
      </c>
      <c r="B205" s="2">
        <v>4</v>
      </c>
      <c r="C205">
        <f t="shared" si="6"/>
        <v>0</v>
      </c>
    </row>
    <row r="206" spans="1:3" x14ac:dyDescent="0.25">
      <c r="A206" s="8" t="s">
        <v>215</v>
      </c>
      <c r="B206" s="2">
        <v>2</v>
      </c>
      <c r="C206">
        <f t="shared" si="6"/>
        <v>0</v>
      </c>
    </row>
    <row r="207" spans="1:3" x14ac:dyDescent="0.25">
      <c r="A207" s="8" t="s">
        <v>216</v>
      </c>
      <c r="B207" s="2">
        <v>0</v>
      </c>
      <c r="C207">
        <f t="shared" si="6"/>
        <v>1</v>
      </c>
    </row>
    <row r="208" spans="1:3" x14ac:dyDescent="0.25">
      <c r="A208" s="8" t="s">
        <v>217</v>
      </c>
      <c r="B208" s="2">
        <v>0</v>
      </c>
      <c r="C208">
        <f t="shared" si="6"/>
        <v>2</v>
      </c>
    </row>
    <row r="209" spans="1:3" x14ac:dyDescent="0.25">
      <c r="A209" s="8" t="s">
        <v>218</v>
      </c>
      <c r="B209" s="2">
        <v>0</v>
      </c>
      <c r="C209">
        <f t="shared" si="6"/>
        <v>3</v>
      </c>
    </row>
    <row r="210" spans="1:3" x14ac:dyDescent="0.25">
      <c r="A210" s="8" t="s">
        <v>219</v>
      </c>
      <c r="B210" s="2">
        <v>0</v>
      </c>
      <c r="C210">
        <f t="shared" si="6"/>
        <v>4</v>
      </c>
    </row>
    <row r="211" spans="1:3" x14ac:dyDescent="0.25">
      <c r="A211" s="8" t="s">
        <v>220</v>
      </c>
      <c r="B211" s="2">
        <v>0</v>
      </c>
      <c r="C211">
        <f t="shared" si="6"/>
        <v>5</v>
      </c>
    </row>
    <row r="212" spans="1:3" x14ac:dyDescent="0.25">
      <c r="A212" s="8" t="s">
        <v>221</v>
      </c>
      <c r="B212" s="2">
        <v>0</v>
      </c>
      <c r="C212">
        <f t="shared" si="6"/>
        <v>6</v>
      </c>
    </row>
    <row r="213" spans="1:3" x14ac:dyDescent="0.25">
      <c r="A213" s="8" t="s">
        <v>222</v>
      </c>
      <c r="B213" s="2">
        <v>0</v>
      </c>
      <c r="C213">
        <f t="shared" si="6"/>
        <v>7</v>
      </c>
    </row>
    <row r="214" spans="1:3" x14ac:dyDescent="0.25">
      <c r="A214" s="8" t="s">
        <v>223</v>
      </c>
      <c r="B214" s="2">
        <v>0</v>
      </c>
      <c r="C214">
        <f t="shared" si="6"/>
        <v>8</v>
      </c>
    </row>
    <row r="215" spans="1:3" x14ac:dyDescent="0.25">
      <c r="A215" s="8" t="s">
        <v>224</v>
      </c>
      <c r="B215" s="2">
        <v>0</v>
      </c>
      <c r="C215">
        <f t="shared" si="6"/>
        <v>9</v>
      </c>
    </row>
    <row r="216" spans="1:3" x14ac:dyDescent="0.25">
      <c r="A216" s="8" t="s">
        <v>225</v>
      </c>
      <c r="B216" s="2">
        <v>0</v>
      </c>
      <c r="C216">
        <f t="shared" si="6"/>
        <v>10</v>
      </c>
    </row>
    <row r="217" spans="1:3" x14ac:dyDescent="0.25">
      <c r="A217" s="8" t="s">
        <v>226</v>
      </c>
      <c r="B217" s="2">
        <v>3</v>
      </c>
      <c r="C217">
        <f t="shared" si="6"/>
        <v>0</v>
      </c>
    </row>
    <row r="218" spans="1:3" x14ac:dyDescent="0.25">
      <c r="A218" s="8" t="s">
        <v>227</v>
      </c>
      <c r="B218" s="2">
        <v>0</v>
      </c>
      <c r="C218">
        <f t="shared" si="6"/>
        <v>1</v>
      </c>
    </row>
    <row r="219" spans="1:3" x14ac:dyDescent="0.25">
      <c r="A219" s="8" t="s">
        <v>228</v>
      </c>
      <c r="B219" s="2">
        <v>7</v>
      </c>
      <c r="C219">
        <f t="shared" si="6"/>
        <v>0</v>
      </c>
    </row>
    <row r="220" spans="1:3" x14ac:dyDescent="0.25">
      <c r="A220" s="8" t="s">
        <v>229</v>
      </c>
      <c r="B220" s="2">
        <v>0</v>
      </c>
      <c r="C220">
        <f t="shared" si="6"/>
        <v>1</v>
      </c>
    </row>
    <row r="221" spans="1:3" x14ac:dyDescent="0.25">
      <c r="A221" s="8" t="s">
        <v>230</v>
      </c>
      <c r="B221" s="2">
        <v>37</v>
      </c>
      <c r="C221">
        <f t="shared" si="6"/>
        <v>0</v>
      </c>
    </row>
    <row r="222" spans="1:3" x14ac:dyDescent="0.25">
      <c r="A222" s="8" t="s">
        <v>231</v>
      </c>
      <c r="B222" s="2">
        <v>0</v>
      </c>
      <c r="C222">
        <f t="shared" si="6"/>
        <v>1</v>
      </c>
    </row>
    <row r="223" spans="1:3" x14ac:dyDescent="0.25">
      <c r="A223" s="4" t="s">
        <v>12</v>
      </c>
      <c r="B223" s="2">
        <v>33</v>
      </c>
    </row>
    <row r="224" spans="1:3" x14ac:dyDescent="0.25">
      <c r="A224" s="8" t="s">
        <v>232</v>
      </c>
      <c r="B224" s="2">
        <v>5</v>
      </c>
      <c r="C224">
        <v>0</v>
      </c>
    </row>
    <row r="225" spans="1:3" x14ac:dyDescent="0.25">
      <c r="A225" s="8" t="s">
        <v>233</v>
      </c>
      <c r="B225" s="2">
        <v>1</v>
      </c>
      <c r="C225">
        <f>IF(B225=0,C224+1,0)</f>
        <v>0</v>
      </c>
    </row>
    <row r="226" spans="1:3" x14ac:dyDescent="0.25">
      <c r="A226" s="8" t="s">
        <v>234</v>
      </c>
      <c r="B226" s="2">
        <v>0</v>
      </c>
      <c r="C226">
        <f t="shared" ref="C226:C254" si="7">IF(B226=0,C225+1,0)</f>
        <v>1</v>
      </c>
    </row>
    <row r="227" spans="1:3" x14ac:dyDescent="0.25">
      <c r="A227" s="8" t="s">
        <v>235</v>
      </c>
      <c r="B227" s="2">
        <v>0</v>
      </c>
      <c r="C227">
        <f t="shared" si="7"/>
        <v>2</v>
      </c>
    </row>
    <row r="228" spans="1:3" x14ac:dyDescent="0.25">
      <c r="A228" s="8" t="s">
        <v>236</v>
      </c>
      <c r="B228" s="2">
        <v>0</v>
      </c>
      <c r="C228">
        <f t="shared" si="7"/>
        <v>3</v>
      </c>
    </row>
    <row r="229" spans="1:3" x14ac:dyDescent="0.25">
      <c r="A229" s="8" t="s">
        <v>237</v>
      </c>
      <c r="B229" s="2">
        <v>0</v>
      </c>
      <c r="C229">
        <f t="shared" si="7"/>
        <v>4</v>
      </c>
    </row>
    <row r="230" spans="1:3" x14ac:dyDescent="0.25">
      <c r="A230" s="8" t="s">
        <v>238</v>
      </c>
      <c r="B230" s="2">
        <v>0</v>
      </c>
      <c r="C230">
        <f t="shared" si="7"/>
        <v>5</v>
      </c>
    </row>
    <row r="231" spans="1:3" x14ac:dyDescent="0.25">
      <c r="A231" s="8" t="s">
        <v>239</v>
      </c>
      <c r="B231" s="2">
        <v>0</v>
      </c>
      <c r="C231">
        <f t="shared" si="7"/>
        <v>6</v>
      </c>
    </row>
    <row r="232" spans="1:3" x14ac:dyDescent="0.25">
      <c r="A232" s="8" t="s">
        <v>240</v>
      </c>
      <c r="B232" s="2">
        <v>0</v>
      </c>
      <c r="C232">
        <f t="shared" si="7"/>
        <v>7</v>
      </c>
    </row>
    <row r="233" spans="1:3" x14ac:dyDescent="0.25">
      <c r="A233" s="8" t="s">
        <v>241</v>
      </c>
      <c r="B233" s="2">
        <v>0</v>
      </c>
      <c r="C233">
        <f t="shared" si="7"/>
        <v>8</v>
      </c>
    </row>
    <row r="234" spans="1:3" x14ac:dyDescent="0.25">
      <c r="A234" s="8" t="s">
        <v>242</v>
      </c>
      <c r="B234" s="2">
        <v>3</v>
      </c>
      <c r="C234">
        <f t="shared" si="7"/>
        <v>0</v>
      </c>
    </row>
    <row r="235" spans="1:3" x14ac:dyDescent="0.25">
      <c r="A235" s="8" t="s">
        <v>243</v>
      </c>
      <c r="B235" s="2">
        <v>0</v>
      </c>
      <c r="C235">
        <f t="shared" si="7"/>
        <v>1</v>
      </c>
    </row>
    <row r="236" spans="1:3" x14ac:dyDescent="0.25">
      <c r="A236" s="8" t="s">
        <v>244</v>
      </c>
      <c r="B236" s="2">
        <v>0</v>
      </c>
      <c r="C236">
        <f t="shared" si="7"/>
        <v>2</v>
      </c>
    </row>
    <row r="237" spans="1:3" x14ac:dyDescent="0.25">
      <c r="A237" s="8" t="s">
        <v>245</v>
      </c>
      <c r="B237" s="2">
        <v>4</v>
      </c>
      <c r="C237">
        <f t="shared" si="7"/>
        <v>0</v>
      </c>
    </row>
    <row r="238" spans="1:3" x14ac:dyDescent="0.25">
      <c r="A238" s="8" t="s">
        <v>246</v>
      </c>
      <c r="B238" s="2">
        <v>0</v>
      </c>
      <c r="C238">
        <f t="shared" si="7"/>
        <v>1</v>
      </c>
    </row>
    <row r="239" spans="1:3" x14ac:dyDescent="0.25">
      <c r="A239" s="8" t="s">
        <v>247</v>
      </c>
      <c r="B239" s="2">
        <v>0</v>
      </c>
      <c r="C239">
        <f t="shared" si="7"/>
        <v>2</v>
      </c>
    </row>
    <row r="240" spans="1:3" x14ac:dyDescent="0.25">
      <c r="A240" s="8" t="s">
        <v>248</v>
      </c>
      <c r="B240" s="2">
        <v>0</v>
      </c>
      <c r="C240">
        <f t="shared" si="7"/>
        <v>3</v>
      </c>
    </row>
    <row r="241" spans="1:3" x14ac:dyDescent="0.25">
      <c r="A241" s="8" t="s">
        <v>249</v>
      </c>
      <c r="B241" s="2">
        <v>0</v>
      </c>
      <c r="C241">
        <f t="shared" si="7"/>
        <v>4</v>
      </c>
    </row>
    <row r="242" spans="1:3" x14ac:dyDescent="0.25">
      <c r="A242" s="8" t="s">
        <v>250</v>
      </c>
      <c r="B242" s="2">
        <v>0</v>
      </c>
      <c r="C242">
        <f t="shared" si="7"/>
        <v>5</v>
      </c>
    </row>
    <row r="243" spans="1:3" x14ac:dyDescent="0.25">
      <c r="A243" s="8" t="s">
        <v>251</v>
      </c>
      <c r="B243" s="2">
        <v>0</v>
      </c>
      <c r="C243">
        <f t="shared" si="7"/>
        <v>6</v>
      </c>
    </row>
    <row r="244" spans="1:3" x14ac:dyDescent="0.25">
      <c r="A244" s="8" t="s">
        <v>252</v>
      </c>
      <c r="B244" s="2">
        <v>4</v>
      </c>
      <c r="C244">
        <f t="shared" si="7"/>
        <v>0</v>
      </c>
    </row>
    <row r="245" spans="1:3" x14ac:dyDescent="0.25">
      <c r="A245" s="8" t="s">
        <v>253</v>
      </c>
      <c r="B245" s="2">
        <v>11</v>
      </c>
      <c r="C245">
        <f t="shared" si="7"/>
        <v>0</v>
      </c>
    </row>
    <row r="246" spans="1:3" x14ac:dyDescent="0.25">
      <c r="A246" s="8" t="s">
        <v>254</v>
      </c>
      <c r="B246" s="2">
        <v>0</v>
      </c>
      <c r="C246">
        <f t="shared" si="7"/>
        <v>1</v>
      </c>
    </row>
    <row r="247" spans="1:3" x14ac:dyDescent="0.25">
      <c r="A247" s="8" t="s">
        <v>255</v>
      </c>
      <c r="B247" s="2">
        <v>4</v>
      </c>
      <c r="C247">
        <f t="shared" si="7"/>
        <v>0</v>
      </c>
    </row>
    <row r="248" spans="1:3" x14ac:dyDescent="0.25">
      <c r="A248" s="8" t="s">
        <v>256</v>
      </c>
      <c r="B248" s="2">
        <v>0</v>
      </c>
      <c r="C248">
        <f t="shared" si="7"/>
        <v>1</v>
      </c>
    </row>
    <row r="249" spans="1:3" x14ac:dyDescent="0.25">
      <c r="A249" s="8" t="s">
        <v>257</v>
      </c>
      <c r="B249" s="2">
        <v>0</v>
      </c>
      <c r="C249">
        <f t="shared" si="7"/>
        <v>2</v>
      </c>
    </row>
    <row r="250" spans="1:3" x14ac:dyDescent="0.25">
      <c r="A250" s="8" t="s">
        <v>258</v>
      </c>
      <c r="B250" s="2">
        <v>0</v>
      </c>
      <c r="C250">
        <f t="shared" si="7"/>
        <v>3</v>
      </c>
    </row>
    <row r="251" spans="1:3" x14ac:dyDescent="0.25">
      <c r="A251" s="8" t="s">
        <v>259</v>
      </c>
      <c r="B251" s="2">
        <v>0</v>
      </c>
      <c r="C251">
        <f t="shared" si="7"/>
        <v>4</v>
      </c>
    </row>
    <row r="252" spans="1:3" x14ac:dyDescent="0.25">
      <c r="A252" s="8" t="s">
        <v>260</v>
      </c>
      <c r="B252" s="2">
        <v>0</v>
      </c>
      <c r="C252">
        <f t="shared" si="7"/>
        <v>5</v>
      </c>
    </row>
    <row r="253" spans="1:3" x14ac:dyDescent="0.25">
      <c r="A253" s="8" t="s">
        <v>261</v>
      </c>
      <c r="B253" s="2">
        <v>0</v>
      </c>
      <c r="C253">
        <f t="shared" si="7"/>
        <v>6</v>
      </c>
    </row>
    <row r="254" spans="1:3" x14ac:dyDescent="0.25">
      <c r="A254" s="8" t="s">
        <v>262</v>
      </c>
      <c r="B254" s="2">
        <v>1</v>
      </c>
      <c r="C254">
        <f t="shared" si="7"/>
        <v>0</v>
      </c>
    </row>
    <row r="255" spans="1:3" x14ac:dyDescent="0.25">
      <c r="A255" s="4" t="s">
        <v>13</v>
      </c>
      <c r="B255" s="2">
        <v>49</v>
      </c>
    </row>
    <row r="256" spans="1:3" x14ac:dyDescent="0.25">
      <c r="A256" s="8" t="s">
        <v>263</v>
      </c>
      <c r="B256" s="2">
        <v>0</v>
      </c>
      <c r="C256">
        <v>1</v>
      </c>
    </row>
    <row r="257" spans="1:3" x14ac:dyDescent="0.25">
      <c r="A257" s="8" t="s">
        <v>264</v>
      </c>
      <c r="B257" s="2">
        <v>0</v>
      </c>
      <c r="C257">
        <f>IF(B257=0,C256+1,0)</f>
        <v>2</v>
      </c>
    </row>
    <row r="258" spans="1:3" x14ac:dyDescent="0.25">
      <c r="A258" s="8" t="s">
        <v>265</v>
      </c>
      <c r="B258" s="2">
        <v>0</v>
      </c>
      <c r="C258">
        <f t="shared" ref="C258:C285" si="8">IF(B258=0,C257+1,0)</f>
        <v>3</v>
      </c>
    </row>
    <row r="259" spans="1:3" x14ac:dyDescent="0.25">
      <c r="A259" s="8" t="s">
        <v>266</v>
      </c>
      <c r="B259" s="2">
        <v>0</v>
      </c>
      <c r="C259">
        <f t="shared" si="8"/>
        <v>4</v>
      </c>
    </row>
    <row r="260" spans="1:3" x14ac:dyDescent="0.25">
      <c r="A260" s="8" t="s">
        <v>267</v>
      </c>
      <c r="B260" s="2">
        <v>0</v>
      </c>
      <c r="C260">
        <f t="shared" si="8"/>
        <v>5</v>
      </c>
    </row>
    <row r="261" spans="1:3" x14ac:dyDescent="0.25">
      <c r="A261" s="8" t="s">
        <v>268</v>
      </c>
      <c r="B261" s="2">
        <v>0</v>
      </c>
      <c r="C261">
        <f t="shared" si="8"/>
        <v>6</v>
      </c>
    </row>
    <row r="262" spans="1:3" x14ac:dyDescent="0.25">
      <c r="A262" s="8" t="s">
        <v>269</v>
      </c>
      <c r="B262" s="2">
        <v>0</v>
      </c>
      <c r="C262">
        <f t="shared" si="8"/>
        <v>7</v>
      </c>
    </row>
    <row r="263" spans="1:3" x14ac:dyDescent="0.25">
      <c r="A263" s="8" t="s">
        <v>270</v>
      </c>
      <c r="B263" s="2">
        <v>0</v>
      </c>
      <c r="C263">
        <f t="shared" si="8"/>
        <v>8</v>
      </c>
    </row>
    <row r="264" spans="1:3" x14ac:dyDescent="0.25">
      <c r="A264" s="8" t="s">
        <v>271</v>
      </c>
      <c r="B264" s="2">
        <v>0</v>
      </c>
      <c r="C264">
        <f t="shared" si="8"/>
        <v>9</v>
      </c>
    </row>
    <row r="265" spans="1:3" x14ac:dyDescent="0.25">
      <c r="A265" s="8" t="s">
        <v>272</v>
      </c>
      <c r="B265" s="2">
        <v>0</v>
      </c>
      <c r="C265">
        <f t="shared" si="8"/>
        <v>10</v>
      </c>
    </row>
    <row r="266" spans="1:3" x14ac:dyDescent="0.25">
      <c r="A266" s="8" t="s">
        <v>273</v>
      </c>
      <c r="B266" s="2">
        <v>0</v>
      </c>
      <c r="C266">
        <f t="shared" si="8"/>
        <v>11</v>
      </c>
    </row>
    <row r="267" spans="1:3" x14ac:dyDescent="0.25">
      <c r="A267" s="8" t="s">
        <v>274</v>
      </c>
      <c r="B267" s="2">
        <v>0</v>
      </c>
      <c r="C267">
        <f t="shared" si="8"/>
        <v>12</v>
      </c>
    </row>
    <row r="268" spans="1:3" x14ac:dyDescent="0.25">
      <c r="A268" s="8" t="s">
        <v>275</v>
      </c>
      <c r="B268" s="2">
        <v>0</v>
      </c>
      <c r="C268">
        <f t="shared" si="8"/>
        <v>13</v>
      </c>
    </row>
    <row r="269" spans="1:3" x14ac:dyDescent="0.25">
      <c r="A269" s="8" t="s">
        <v>276</v>
      </c>
      <c r="B269" s="2">
        <v>0</v>
      </c>
      <c r="C269">
        <f t="shared" si="8"/>
        <v>14</v>
      </c>
    </row>
    <row r="270" spans="1:3" x14ac:dyDescent="0.25">
      <c r="A270" s="8" t="s">
        <v>277</v>
      </c>
      <c r="B270" s="2">
        <v>6</v>
      </c>
      <c r="C270">
        <f t="shared" si="8"/>
        <v>0</v>
      </c>
    </row>
    <row r="271" spans="1:3" x14ac:dyDescent="0.25">
      <c r="A271" s="8" t="s">
        <v>278</v>
      </c>
      <c r="B271" s="2">
        <v>0</v>
      </c>
      <c r="C271">
        <f t="shared" si="8"/>
        <v>1</v>
      </c>
    </row>
    <row r="272" spans="1:3" x14ac:dyDescent="0.25">
      <c r="A272" s="8" t="s">
        <v>279</v>
      </c>
      <c r="B272" s="2">
        <v>0</v>
      </c>
      <c r="C272">
        <f t="shared" si="8"/>
        <v>2</v>
      </c>
    </row>
    <row r="273" spans="1:3" x14ac:dyDescent="0.25">
      <c r="A273" s="8" t="s">
        <v>280</v>
      </c>
      <c r="B273" s="2">
        <v>8</v>
      </c>
      <c r="C273">
        <f t="shared" si="8"/>
        <v>0</v>
      </c>
    </row>
    <row r="274" spans="1:3" x14ac:dyDescent="0.25">
      <c r="A274" s="8" t="s">
        <v>281</v>
      </c>
      <c r="B274" s="2">
        <v>6</v>
      </c>
      <c r="C274">
        <f t="shared" si="8"/>
        <v>0</v>
      </c>
    </row>
    <row r="275" spans="1:3" x14ac:dyDescent="0.25">
      <c r="A275" s="8" t="s">
        <v>282</v>
      </c>
      <c r="B275" s="2">
        <v>6</v>
      </c>
      <c r="C275">
        <f t="shared" si="8"/>
        <v>0</v>
      </c>
    </row>
    <row r="276" spans="1:3" x14ac:dyDescent="0.25">
      <c r="A276" s="8" t="s">
        <v>283</v>
      </c>
      <c r="B276" s="2">
        <v>0</v>
      </c>
      <c r="C276">
        <f t="shared" si="8"/>
        <v>1</v>
      </c>
    </row>
    <row r="277" spans="1:3" x14ac:dyDescent="0.25">
      <c r="A277" s="8" t="s">
        <v>284</v>
      </c>
      <c r="B277" s="2">
        <v>2</v>
      </c>
      <c r="C277">
        <f t="shared" si="8"/>
        <v>0</v>
      </c>
    </row>
    <row r="278" spans="1:3" x14ac:dyDescent="0.25">
      <c r="A278" s="8" t="s">
        <v>285</v>
      </c>
      <c r="B278" s="2">
        <v>0</v>
      </c>
      <c r="C278">
        <f t="shared" si="8"/>
        <v>1</v>
      </c>
    </row>
    <row r="279" spans="1:3" x14ac:dyDescent="0.25">
      <c r="A279" s="8" t="s">
        <v>286</v>
      </c>
      <c r="B279" s="2">
        <v>0</v>
      </c>
      <c r="C279">
        <f t="shared" si="8"/>
        <v>2</v>
      </c>
    </row>
    <row r="280" spans="1:3" x14ac:dyDescent="0.25">
      <c r="A280" s="8" t="s">
        <v>287</v>
      </c>
      <c r="B280" s="2">
        <v>0</v>
      </c>
      <c r="C280">
        <f t="shared" si="8"/>
        <v>3</v>
      </c>
    </row>
    <row r="281" spans="1:3" x14ac:dyDescent="0.25">
      <c r="A281" s="8" t="s">
        <v>288</v>
      </c>
      <c r="B281" s="2">
        <v>3</v>
      </c>
      <c r="C281">
        <f t="shared" si="8"/>
        <v>0</v>
      </c>
    </row>
    <row r="282" spans="1:3" x14ac:dyDescent="0.25">
      <c r="A282" s="8" t="s">
        <v>289</v>
      </c>
      <c r="B282" s="2">
        <v>2</v>
      </c>
      <c r="C282">
        <f t="shared" si="8"/>
        <v>0</v>
      </c>
    </row>
    <row r="283" spans="1:3" x14ac:dyDescent="0.25">
      <c r="A283" s="8" t="s">
        <v>290</v>
      </c>
      <c r="B283" s="2">
        <v>0</v>
      </c>
      <c r="C283">
        <f t="shared" si="8"/>
        <v>1</v>
      </c>
    </row>
    <row r="284" spans="1:3" x14ac:dyDescent="0.25">
      <c r="A284" s="8" t="s">
        <v>291</v>
      </c>
      <c r="B284" s="2">
        <v>6</v>
      </c>
      <c r="C284">
        <f t="shared" si="8"/>
        <v>0</v>
      </c>
    </row>
    <row r="285" spans="1:3" x14ac:dyDescent="0.25">
      <c r="A285" s="8" t="s">
        <v>292</v>
      </c>
      <c r="B285" s="2">
        <v>10</v>
      </c>
      <c r="C285">
        <f t="shared" si="8"/>
        <v>0</v>
      </c>
    </row>
    <row r="286" spans="1:3" x14ac:dyDescent="0.25">
      <c r="A286" s="4" t="s">
        <v>14</v>
      </c>
      <c r="B286" s="2">
        <v>28</v>
      </c>
    </row>
    <row r="287" spans="1:3" x14ac:dyDescent="0.25">
      <c r="A287" s="8" t="s">
        <v>293</v>
      </c>
      <c r="B287" s="2">
        <v>4</v>
      </c>
      <c r="C287">
        <v>0</v>
      </c>
    </row>
    <row r="288" spans="1:3" x14ac:dyDescent="0.25">
      <c r="A288" s="8" t="s">
        <v>294</v>
      </c>
      <c r="B288" s="2">
        <v>8</v>
      </c>
      <c r="C288">
        <f>IF(B288=0,C287+1,0)</f>
        <v>0</v>
      </c>
    </row>
    <row r="289" spans="1:3" x14ac:dyDescent="0.25">
      <c r="A289" s="8" t="s">
        <v>295</v>
      </c>
      <c r="B289" s="2">
        <v>2</v>
      </c>
      <c r="C289">
        <f t="shared" ref="C289:C318" si="9">IF(B289=0,C288+1,0)</f>
        <v>0</v>
      </c>
    </row>
    <row r="290" spans="1:3" x14ac:dyDescent="0.25">
      <c r="A290" s="8" t="s">
        <v>296</v>
      </c>
      <c r="B290" s="2">
        <v>0</v>
      </c>
      <c r="C290">
        <f t="shared" si="9"/>
        <v>1</v>
      </c>
    </row>
    <row r="291" spans="1:3" x14ac:dyDescent="0.25">
      <c r="A291" s="8" t="s">
        <v>297</v>
      </c>
      <c r="B291" s="2">
        <v>0</v>
      </c>
      <c r="C291">
        <f t="shared" si="9"/>
        <v>2</v>
      </c>
    </row>
    <row r="292" spans="1:3" x14ac:dyDescent="0.25">
      <c r="A292" s="8" t="s">
        <v>298</v>
      </c>
      <c r="B292" s="2">
        <v>0</v>
      </c>
      <c r="C292">
        <f t="shared" si="9"/>
        <v>3</v>
      </c>
    </row>
    <row r="293" spans="1:3" x14ac:dyDescent="0.25">
      <c r="A293" s="8" t="s">
        <v>299</v>
      </c>
      <c r="B293" s="2">
        <v>0</v>
      </c>
      <c r="C293">
        <f t="shared" si="9"/>
        <v>4</v>
      </c>
    </row>
    <row r="294" spans="1:3" x14ac:dyDescent="0.25">
      <c r="A294" s="8" t="s">
        <v>300</v>
      </c>
      <c r="B294" s="2">
        <v>0</v>
      </c>
      <c r="C294">
        <f t="shared" si="9"/>
        <v>5</v>
      </c>
    </row>
    <row r="295" spans="1:3" x14ac:dyDescent="0.25">
      <c r="A295" s="8" t="s">
        <v>301</v>
      </c>
      <c r="B295" s="2">
        <v>0</v>
      </c>
      <c r="C295">
        <f t="shared" si="9"/>
        <v>6</v>
      </c>
    </row>
    <row r="296" spans="1:3" x14ac:dyDescent="0.25">
      <c r="A296" s="8" t="s">
        <v>302</v>
      </c>
      <c r="B296" s="2">
        <v>0</v>
      </c>
      <c r="C296">
        <f t="shared" si="9"/>
        <v>7</v>
      </c>
    </row>
    <row r="297" spans="1:3" x14ac:dyDescent="0.25">
      <c r="A297" s="8" t="s">
        <v>303</v>
      </c>
      <c r="B297" s="2">
        <v>0</v>
      </c>
      <c r="C297">
        <f t="shared" si="9"/>
        <v>8</v>
      </c>
    </row>
    <row r="298" spans="1:3" x14ac:dyDescent="0.25">
      <c r="A298" s="8" t="s">
        <v>304</v>
      </c>
      <c r="B298" s="2">
        <v>0</v>
      </c>
      <c r="C298">
        <f t="shared" si="9"/>
        <v>9</v>
      </c>
    </row>
    <row r="299" spans="1:3" x14ac:dyDescent="0.25">
      <c r="A299" s="8" t="s">
        <v>305</v>
      </c>
      <c r="B299" s="2">
        <v>0</v>
      </c>
      <c r="C299">
        <f t="shared" si="9"/>
        <v>10</v>
      </c>
    </row>
    <row r="300" spans="1:3" x14ac:dyDescent="0.25">
      <c r="A300" s="8" t="s">
        <v>306</v>
      </c>
      <c r="B300" s="2">
        <v>0</v>
      </c>
      <c r="C300">
        <f t="shared" si="9"/>
        <v>11</v>
      </c>
    </row>
    <row r="301" spans="1:3" x14ac:dyDescent="0.25">
      <c r="A301" s="8" t="s">
        <v>307</v>
      </c>
      <c r="B301" s="2">
        <v>0</v>
      </c>
      <c r="C301">
        <f t="shared" si="9"/>
        <v>12</v>
      </c>
    </row>
    <row r="302" spans="1:3" x14ac:dyDescent="0.25">
      <c r="A302" s="8" t="s">
        <v>308</v>
      </c>
      <c r="B302" s="2">
        <v>0</v>
      </c>
      <c r="C302">
        <f t="shared" si="9"/>
        <v>13</v>
      </c>
    </row>
    <row r="303" spans="1:3" x14ac:dyDescent="0.25">
      <c r="A303" s="8" t="s">
        <v>309</v>
      </c>
      <c r="B303" s="2">
        <v>0</v>
      </c>
      <c r="C303">
        <f t="shared" si="9"/>
        <v>14</v>
      </c>
    </row>
    <row r="304" spans="1:3" x14ac:dyDescent="0.25">
      <c r="A304" s="8" t="s">
        <v>310</v>
      </c>
      <c r="B304" s="2">
        <v>0</v>
      </c>
      <c r="C304">
        <f t="shared" si="9"/>
        <v>15</v>
      </c>
    </row>
    <row r="305" spans="1:3" x14ac:dyDescent="0.25">
      <c r="A305" s="8" t="s">
        <v>311</v>
      </c>
      <c r="B305" s="2">
        <v>2</v>
      </c>
      <c r="C305">
        <f t="shared" si="9"/>
        <v>0</v>
      </c>
    </row>
    <row r="306" spans="1:3" x14ac:dyDescent="0.25">
      <c r="A306" s="8" t="s">
        <v>312</v>
      </c>
      <c r="B306" s="2">
        <v>0</v>
      </c>
      <c r="C306">
        <f t="shared" si="9"/>
        <v>1</v>
      </c>
    </row>
    <row r="307" spans="1:3" x14ac:dyDescent="0.25">
      <c r="A307" s="8" t="s">
        <v>313</v>
      </c>
      <c r="B307" s="2">
        <v>0</v>
      </c>
      <c r="C307">
        <f t="shared" si="9"/>
        <v>2</v>
      </c>
    </row>
    <row r="308" spans="1:3" x14ac:dyDescent="0.25">
      <c r="A308" s="8" t="s">
        <v>314</v>
      </c>
      <c r="B308" s="2">
        <v>0</v>
      </c>
      <c r="C308">
        <f t="shared" si="9"/>
        <v>3</v>
      </c>
    </row>
    <row r="309" spans="1:3" x14ac:dyDescent="0.25">
      <c r="A309" s="8" t="s">
        <v>315</v>
      </c>
      <c r="B309" s="2">
        <v>0</v>
      </c>
      <c r="C309">
        <f t="shared" si="9"/>
        <v>4</v>
      </c>
    </row>
    <row r="310" spans="1:3" x14ac:dyDescent="0.25">
      <c r="A310" s="8" t="s">
        <v>316</v>
      </c>
      <c r="B310" s="2">
        <v>0</v>
      </c>
      <c r="C310">
        <f t="shared" si="9"/>
        <v>5</v>
      </c>
    </row>
    <row r="311" spans="1:3" x14ac:dyDescent="0.25">
      <c r="A311" s="8" t="s">
        <v>317</v>
      </c>
      <c r="B311" s="2">
        <v>12</v>
      </c>
      <c r="C311">
        <f t="shared" si="9"/>
        <v>0</v>
      </c>
    </row>
    <row r="312" spans="1:3" x14ac:dyDescent="0.25">
      <c r="A312" s="8" t="s">
        <v>318</v>
      </c>
      <c r="B312" s="2">
        <v>0</v>
      </c>
      <c r="C312">
        <f t="shared" si="9"/>
        <v>1</v>
      </c>
    </row>
    <row r="313" spans="1:3" x14ac:dyDescent="0.25">
      <c r="A313" s="8" t="s">
        <v>319</v>
      </c>
      <c r="B313" s="2">
        <v>0</v>
      </c>
      <c r="C313">
        <f t="shared" si="9"/>
        <v>2</v>
      </c>
    </row>
    <row r="314" spans="1:3" x14ac:dyDescent="0.25">
      <c r="A314" s="8" t="s">
        <v>320</v>
      </c>
      <c r="B314" s="2">
        <v>0</v>
      </c>
      <c r="C314">
        <f t="shared" si="9"/>
        <v>3</v>
      </c>
    </row>
    <row r="315" spans="1:3" x14ac:dyDescent="0.25">
      <c r="A315" s="8" t="s">
        <v>321</v>
      </c>
      <c r="B315" s="2">
        <v>0</v>
      </c>
      <c r="C315">
        <f t="shared" si="9"/>
        <v>4</v>
      </c>
    </row>
    <row r="316" spans="1:3" x14ac:dyDescent="0.25">
      <c r="A316" s="8" t="s">
        <v>322</v>
      </c>
      <c r="B316" s="2">
        <v>0</v>
      </c>
      <c r="C316">
        <f t="shared" si="9"/>
        <v>5</v>
      </c>
    </row>
    <row r="317" spans="1:3" x14ac:dyDescent="0.25">
      <c r="A317" s="8" t="s">
        <v>323</v>
      </c>
      <c r="B317" s="2">
        <v>0</v>
      </c>
      <c r="C317">
        <f t="shared" si="9"/>
        <v>6</v>
      </c>
    </row>
    <row r="318" spans="1:3" x14ac:dyDescent="0.25">
      <c r="A318" s="4" t="s">
        <v>15</v>
      </c>
      <c r="B318" s="2">
        <v>21</v>
      </c>
    </row>
    <row r="319" spans="1:3" x14ac:dyDescent="0.25">
      <c r="A319" s="8" t="s">
        <v>324</v>
      </c>
      <c r="B319" s="2">
        <v>0</v>
      </c>
      <c r="C319">
        <v>1</v>
      </c>
    </row>
    <row r="320" spans="1:3" x14ac:dyDescent="0.25">
      <c r="A320" s="8" t="s">
        <v>325</v>
      </c>
      <c r="B320" s="2">
        <v>0</v>
      </c>
      <c r="C320">
        <f>IF(B320=0,C319+1,0)</f>
        <v>2</v>
      </c>
    </row>
    <row r="321" spans="1:3" x14ac:dyDescent="0.25">
      <c r="A321" s="8" t="s">
        <v>326</v>
      </c>
      <c r="B321" s="2">
        <v>0</v>
      </c>
      <c r="C321">
        <f t="shared" ref="C321:C349" si="10">IF(B321=0,C320+1,0)</f>
        <v>3</v>
      </c>
    </row>
    <row r="322" spans="1:3" x14ac:dyDescent="0.25">
      <c r="A322" s="8" t="s">
        <v>327</v>
      </c>
      <c r="B322" s="2">
        <v>0</v>
      </c>
      <c r="C322">
        <f t="shared" si="10"/>
        <v>4</v>
      </c>
    </row>
    <row r="323" spans="1:3" x14ac:dyDescent="0.25">
      <c r="A323" s="8" t="s">
        <v>328</v>
      </c>
      <c r="B323" s="2">
        <v>9</v>
      </c>
      <c r="C323">
        <f t="shared" si="10"/>
        <v>0</v>
      </c>
    </row>
    <row r="324" spans="1:3" x14ac:dyDescent="0.25">
      <c r="A324" s="8" t="s">
        <v>329</v>
      </c>
      <c r="B324" s="2">
        <v>0</v>
      </c>
      <c r="C324">
        <f t="shared" si="10"/>
        <v>1</v>
      </c>
    </row>
    <row r="325" spans="1:3" x14ac:dyDescent="0.25">
      <c r="A325" s="8" t="s">
        <v>330</v>
      </c>
      <c r="B325" s="2">
        <v>0</v>
      </c>
      <c r="C325">
        <f t="shared" si="10"/>
        <v>2</v>
      </c>
    </row>
    <row r="326" spans="1:3" x14ac:dyDescent="0.25">
      <c r="A326" s="8" t="s">
        <v>331</v>
      </c>
      <c r="B326" s="2">
        <v>0</v>
      </c>
      <c r="C326">
        <f t="shared" si="10"/>
        <v>3</v>
      </c>
    </row>
    <row r="327" spans="1:3" x14ac:dyDescent="0.25">
      <c r="A327" s="8" t="s">
        <v>332</v>
      </c>
      <c r="B327" s="2">
        <v>0</v>
      </c>
      <c r="C327">
        <f t="shared" si="10"/>
        <v>4</v>
      </c>
    </row>
    <row r="328" spans="1:3" x14ac:dyDescent="0.25">
      <c r="A328" s="8" t="s">
        <v>333</v>
      </c>
      <c r="B328" s="2">
        <v>0</v>
      </c>
      <c r="C328">
        <f t="shared" si="10"/>
        <v>5</v>
      </c>
    </row>
    <row r="329" spans="1:3" x14ac:dyDescent="0.25">
      <c r="A329" s="8" t="s">
        <v>334</v>
      </c>
      <c r="B329" s="2">
        <v>0</v>
      </c>
      <c r="C329">
        <f t="shared" si="10"/>
        <v>6</v>
      </c>
    </row>
    <row r="330" spans="1:3" x14ac:dyDescent="0.25">
      <c r="A330" s="8" t="s">
        <v>335</v>
      </c>
      <c r="B330" s="2">
        <v>0</v>
      </c>
      <c r="C330">
        <f t="shared" si="10"/>
        <v>7</v>
      </c>
    </row>
    <row r="331" spans="1:3" x14ac:dyDescent="0.25">
      <c r="A331" s="8" t="s">
        <v>336</v>
      </c>
      <c r="B331" s="2">
        <v>0</v>
      </c>
      <c r="C331">
        <f t="shared" si="10"/>
        <v>8</v>
      </c>
    </row>
    <row r="332" spans="1:3" x14ac:dyDescent="0.25">
      <c r="A332" s="8" t="s">
        <v>337</v>
      </c>
      <c r="B332" s="2">
        <v>0</v>
      </c>
      <c r="C332">
        <f t="shared" si="10"/>
        <v>9</v>
      </c>
    </row>
    <row r="333" spans="1:3" x14ac:dyDescent="0.25">
      <c r="A333" s="8" t="s">
        <v>338</v>
      </c>
      <c r="B333" s="2">
        <v>0</v>
      </c>
      <c r="C333">
        <f t="shared" si="10"/>
        <v>10</v>
      </c>
    </row>
    <row r="334" spans="1:3" x14ac:dyDescent="0.25">
      <c r="A334" s="8" t="s">
        <v>339</v>
      </c>
      <c r="B334" s="2">
        <v>7</v>
      </c>
      <c r="C334">
        <f t="shared" si="10"/>
        <v>0</v>
      </c>
    </row>
    <row r="335" spans="1:3" x14ac:dyDescent="0.25">
      <c r="A335" s="8" t="s">
        <v>340</v>
      </c>
      <c r="B335" s="2">
        <v>3</v>
      </c>
      <c r="C335">
        <f t="shared" si="10"/>
        <v>0</v>
      </c>
    </row>
    <row r="336" spans="1:3" x14ac:dyDescent="0.25">
      <c r="A336" s="8" t="s">
        <v>341</v>
      </c>
      <c r="B336" s="2">
        <v>0</v>
      </c>
      <c r="C336">
        <f t="shared" si="10"/>
        <v>1</v>
      </c>
    </row>
    <row r="337" spans="1:12" x14ac:dyDescent="0.25">
      <c r="A337" s="8" t="s">
        <v>342</v>
      </c>
      <c r="B337" s="2">
        <v>0</v>
      </c>
      <c r="C337">
        <f t="shared" si="10"/>
        <v>2</v>
      </c>
    </row>
    <row r="338" spans="1:12" x14ac:dyDescent="0.25">
      <c r="A338" s="8" t="s">
        <v>343</v>
      </c>
      <c r="B338" s="2">
        <v>0</v>
      </c>
      <c r="C338">
        <f t="shared" si="10"/>
        <v>3</v>
      </c>
    </row>
    <row r="339" spans="1:12" x14ac:dyDescent="0.25">
      <c r="A339" s="8" t="s">
        <v>344</v>
      </c>
      <c r="B339" s="2">
        <v>1</v>
      </c>
      <c r="C339">
        <f t="shared" si="10"/>
        <v>0</v>
      </c>
    </row>
    <row r="340" spans="1:12" x14ac:dyDescent="0.25">
      <c r="A340" s="8" t="s">
        <v>345</v>
      </c>
      <c r="B340" s="2">
        <v>0</v>
      </c>
      <c r="C340">
        <f t="shared" si="10"/>
        <v>1</v>
      </c>
    </row>
    <row r="341" spans="1:12" x14ac:dyDescent="0.25">
      <c r="A341" s="8" t="s">
        <v>346</v>
      </c>
      <c r="B341" s="2">
        <v>0</v>
      </c>
      <c r="C341">
        <f t="shared" si="10"/>
        <v>2</v>
      </c>
    </row>
    <row r="342" spans="1:12" x14ac:dyDescent="0.25">
      <c r="A342" s="8" t="s">
        <v>347</v>
      </c>
      <c r="B342" s="2">
        <v>1</v>
      </c>
      <c r="C342">
        <f t="shared" si="10"/>
        <v>0</v>
      </c>
    </row>
    <row r="343" spans="1:12" x14ac:dyDescent="0.25">
      <c r="A343" s="8" t="s">
        <v>348</v>
      </c>
      <c r="B343" s="2">
        <v>0</v>
      </c>
      <c r="C343">
        <f t="shared" si="10"/>
        <v>1</v>
      </c>
    </row>
    <row r="344" spans="1:12" x14ac:dyDescent="0.25">
      <c r="A344" s="8" t="s">
        <v>349</v>
      </c>
      <c r="B344" s="2">
        <v>0</v>
      </c>
      <c r="C344">
        <f t="shared" si="10"/>
        <v>2</v>
      </c>
    </row>
    <row r="345" spans="1:12" x14ac:dyDescent="0.25">
      <c r="A345" s="8" t="s">
        <v>350</v>
      </c>
      <c r="B345" s="2">
        <v>0</v>
      </c>
      <c r="C345">
        <f t="shared" si="10"/>
        <v>3</v>
      </c>
    </row>
    <row r="346" spans="1:12" x14ac:dyDescent="0.25">
      <c r="A346" s="8" t="s">
        <v>351</v>
      </c>
      <c r="B346" s="2">
        <v>0</v>
      </c>
      <c r="C346">
        <f t="shared" si="10"/>
        <v>4</v>
      </c>
    </row>
    <row r="347" spans="1:12" x14ac:dyDescent="0.25">
      <c r="A347" s="8" t="s">
        <v>352</v>
      </c>
      <c r="B347" s="2">
        <v>0</v>
      </c>
      <c r="C347">
        <f t="shared" si="10"/>
        <v>5</v>
      </c>
      <c r="K347" s="10" t="s">
        <v>18</v>
      </c>
      <c r="L347" s="10" t="s">
        <v>398</v>
      </c>
    </row>
    <row r="348" spans="1:12" x14ac:dyDescent="0.25">
      <c r="A348" s="8" t="s">
        <v>353</v>
      </c>
      <c r="B348" s="2">
        <v>0</v>
      </c>
      <c r="C348">
        <f t="shared" si="10"/>
        <v>6</v>
      </c>
      <c r="K348" s="7" t="s">
        <v>386</v>
      </c>
      <c r="L348" s="7"/>
    </row>
    <row r="349" spans="1:12" x14ac:dyDescent="0.25">
      <c r="A349" s="4" t="s">
        <v>16</v>
      </c>
      <c r="B349" s="2">
        <v>43</v>
      </c>
      <c r="K349" s="7" t="s">
        <v>387</v>
      </c>
      <c r="L349" s="7"/>
    </row>
    <row r="350" spans="1:12" x14ac:dyDescent="0.25">
      <c r="A350" s="8" t="s">
        <v>354</v>
      </c>
      <c r="B350" s="2">
        <v>0</v>
      </c>
      <c r="C350">
        <v>1</v>
      </c>
      <c r="K350" s="7" t="s">
        <v>388</v>
      </c>
      <c r="L350" s="7"/>
    </row>
    <row r="351" spans="1:12" x14ac:dyDescent="0.25">
      <c r="A351" s="8" t="s">
        <v>355</v>
      </c>
      <c r="B351" s="2">
        <v>0</v>
      </c>
      <c r="C351">
        <f>IF(B351=0,C350+1,0)</f>
        <v>2</v>
      </c>
      <c r="K351" s="7" t="s">
        <v>389</v>
      </c>
      <c r="L351" s="7"/>
    </row>
    <row r="352" spans="1:12" x14ac:dyDescent="0.25">
      <c r="A352" s="8" t="s">
        <v>356</v>
      </c>
      <c r="B352" s="2">
        <v>0</v>
      </c>
      <c r="C352">
        <f t="shared" ref="C352:C381" si="11">IF(B352=0,C351+1,0)</f>
        <v>3</v>
      </c>
      <c r="K352" s="7" t="s">
        <v>390</v>
      </c>
      <c r="L352" s="7"/>
    </row>
    <row r="353" spans="1:12" x14ac:dyDescent="0.25">
      <c r="A353" s="8" t="s">
        <v>357</v>
      </c>
      <c r="B353" s="2">
        <v>0</v>
      </c>
      <c r="C353">
        <f t="shared" si="11"/>
        <v>4</v>
      </c>
      <c r="K353" s="7" t="s">
        <v>391</v>
      </c>
      <c r="L353" s="7"/>
    </row>
    <row r="354" spans="1:12" x14ac:dyDescent="0.25">
      <c r="A354" s="8" t="s">
        <v>358</v>
      </c>
      <c r="B354" s="2">
        <v>0</v>
      </c>
      <c r="C354">
        <f t="shared" si="11"/>
        <v>5</v>
      </c>
      <c r="K354" s="7" t="s">
        <v>392</v>
      </c>
      <c r="L354" s="7"/>
    </row>
    <row r="355" spans="1:12" x14ac:dyDescent="0.25">
      <c r="A355" s="8" t="s">
        <v>359</v>
      </c>
      <c r="B355" s="2">
        <v>7</v>
      </c>
      <c r="C355">
        <f t="shared" si="11"/>
        <v>0</v>
      </c>
      <c r="K355" s="7" t="s">
        <v>394</v>
      </c>
      <c r="L355" s="7"/>
    </row>
    <row r="356" spans="1:12" x14ac:dyDescent="0.25">
      <c r="A356" s="8" t="s">
        <v>360</v>
      </c>
      <c r="B356" s="2">
        <v>1</v>
      </c>
      <c r="C356">
        <f t="shared" si="11"/>
        <v>0</v>
      </c>
      <c r="K356" s="7" t="s">
        <v>393</v>
      </c>
      <c r="L356" s="7"/>
    </row>
    <row r="357" spans="1:12" x14ac:dyDescent="0.25">
      <c r="A357" s="8" t="s">
        <v>361</v>
      </c>
      <c r="B357" s="2">
        <v>0</v>
      </c>
      <c r="C357">
        <f t="shared" si="11"/>
        <v>1</v>
      </c>
      <c r="K357" s="7" t="s">
        <v>395</v>
      </c>
      <c r="L357" s="7"/>
    </row>
    <row r="358" spans="1:12" x14ac:dyDescent="0.25">
      <c r="A358" s="8" t="s">
        <v>362</v>
      </c>
      <c r="B358" s="2">
        <v>14</v>
      </c>
      <c r="C358">
        <f t="shared" si="11"/>
        <v>0</v>
      </c>
      <c r="K358" s="7" t="s">
        <v>396</v>
      </c>
      <c r="L358" s="7"/>
    </row>
    <row r="359" spans="1:12" x14ac:dyDescent="0.25">
      <c r="A359" s="8" t="s">
        <v>363</v>
      </c>
      <c r="B359" s="2">
        <v>0</v>
      </c>
      <c r="C359">
        <f t="shared" si="11"/>
        <v>1</v>
      </c>
      <c r="K359" s="7" t="s">
        <v>397</v>
      </c>
      <c r="L359" s="7"/>
    </row>
    <row r="360" spans="1:12" x14ac:dyDescent="0.25">
      <c r="A360" s="8" t="s">
        <v>364</v>
      </c>
      <c r="B360" s="2">
        <v>0</v>
      </c>
      <c r="C360">
        <f t="shared" si="11"/>
        <v>2</v>
      </c>
    </row>
    <row r="361" spans="1:12" x14ac:dyDescent="0.25">
      <c r="A361" s="8" t="s">
        <v>365</v>
      </c>
      <c r="B361" s="2">
        <v>0</v>
      </c>
      <c r="C361">
        <f t="shared" si="11"/>
        <v>3</v>
      </c>
    </row>
    <row r="362" spans="1:12" x14ac:dyDescent="0.25">
      <c r="A362" s="8" t="s">
        <v>366</v>
      </c>
      <c r="B362" s="2">
        <v>0</v>
      </c>
      <c r="C362">
        <f t="shared" si="11"/>
        <v>4</v>
      </c>
    </row>
    <row r="363" spans="1:12" x14ac:dyDescent="0.25">
      <c r="A363" s="8" t="s">
        <v>367</v>
      </c>
      <c r="B363" s="2">
        <v>0</v>
      </c>
      <c r="C363">
        <f t="shared" si="11"/>
        <v>5</v>
      </c>
    </row>
    <row r="364" spans="1:12" x14ac:dyDescent="0.25">
      <c r="A364" s="8" t="s">
        <v>368</v>
      </c>
      <c r="B364" s="2">
        <v>0</v>
      </c>
      <c r="C364">
        <f t="shared" si="11"/>
        <v>6</v>
      </c>
    </row>
    <row r="365" spans="1:12" x14ac:dyDescent="0.25">
      <c r="A365" s="8" t="s">
        <v>369</v>
      </c>
      <c r="B365" s="2">
        <v>0</v>
      </c>
      <c r="C365">
        <f t="shared" si="11"/>
        <v>7</v>
      </c>
    </row>
    <row r="366" spans="1:12" x14ac:dyDescent="0.25">
      <c r="A366" s="8" t="s">
        <v>370</v>
      </c>
      <c r="B366" s="2">
        <v>0</v>
      </c>
      <c r="C366">
        <f t="shared" si="11"/>
        <v>8</v>
      </c>
    </row>
    <row r="367" spans="1:12" x14ac:dyDescent="0.25">
      <c r="A367" s="8" t="s">
        <v>371</v>
      </c>
      <c r="B367" s="2">
        <v>0</v>
      </c>
      <c r="C367">
        <f t="shared" si="11"/>
        <v>9</v>
      </c>
    </row>
    <row r="368" spans="1:12" x14ac:dyDescent="0.25">
      <c r="A368" s="8" t="s">
        <v>372</v>
      </c>
      <c r="B368" s="2">
        <v>0</v>
      </c>
      <c r="C368">
        <f t="shared" si="11"/>
        <v>10</v>
      </c>
    </row>
    <row r="369" spans="1:3" x14ac:dyDescent="0.25">
      <c r="A369" s="8" t="s">
        <v>373</v>
      </c>
      <c r="B369" s="2">
        <v>5</v>
      </c>
      <c r="C369">
        <f t="shared" si="11"/>
        <v>0</v>
      </c>
    </row>
    <row r="370" spans="1:3" x14ac:dyDescent="0.25">
      <c r="A370" s="8" t="s">
        <v>374</v>
      </c>
      <c r="B370" s="2">
        <v>8</v>
      </c>
      <c r="C370">
        <f t="shared" si="11"/>
        <v>0</v>
      </c>
    </row>
    <row r="371" spans="1:3" x14ac:dyDescent="0.25">
      <c r="A371" s="8" t="s">
        <v>375</v>
      </c>
      <c r="B371" s="2">
        <v>0</v>
      </c>
      <c r="C371">
        <f t="shared" si="11"/>
        <v>1</v>
      </c>
    </row>
    <row r="372" spans="1:3" x14ac:dyDescent="0.25">
      <c r="A372" s="8" t="s">
        <v>376</v>
      </c>
      <c r="B372" s="2">
        <v>0</v>
      </c>
      <c r="C372">
        <f t="shared" si="11"/>
        <v>2</v>
      </c>
    </row>
    <row r="373" spans="1:3" x14ac:dyDescent="0.25">
      <c r="A373" s="8" t="s">
        <v>377</v>
      </c>
      <c r="B373" s="2">
        <v>8</v>
      </c>
      <c r="C373">
        <f t="shared" si="11"/>
        <v>0</v>
      </c>
    </row>
    <row r="374" spans="1:3" x14ac:dyDescent="0.25">
      <c r="A374" s="8" t="s">
        <v>378</v>
      </c>
      <c r="B374" s="2">
        <v>0</v>
      </c>
      <c r="C374">
        <f t="shared" si="11"/>
        <v>1</v>
      </c>
    </row>
    <row r="375" spans="1:3" x14ac:dyDescent="0.25">
      <c r="A375" s="8" t="s">
        <v>379</v>
      </c>
      <c r="B375" s="2">
        <v>0</v>
      </c>
      <c r="C375">
        <f t="shared" si="11"/>
        <v>2</v>
      </c>
    </row>
    <row r="376" spans="1:3" x14ac:dyDescent="0.25">
      <c r="A376" s="8" t="s">
        <v>380</v>
      </c>
      <c r="B376" s="2">
        <v>0</v>
      </c>
      <c r="C376">
        <f t="shared" si="11"/>
        <v>3</v>
      </c>
    </row>
    <row r="377" spans="1:3" x14ac:dyDescent="0.25">
      <c r="A377" s="8" t="s">
        <v>381</v>
      </c>
      <c r="B377" s="2">
        <v>0</v>
      </c>
      <c r="C377">
        <f t="shared" si="11"/>
        <v>4</v>
      </c>
    </row>
    <row r="378" spans="1:3" x14ac:dyDescent="0.25">
      <c r="A378" s="8" t="s">
        <v>382</v>
      </c>
      <c r="B378" s="2">
        <v>0</v>
      </c>
      <c r="C378">
        <f t="shared" si="11"/>
        <v>5</v>
      </c>
    </row>
    <row r="379" spans="1:3" x14ac:dyDescent="0.25">
      <c r="A379" s="8" t="s">
        <v>383</v>
      </c>
      <c r="B379" s="2">
        <v>0</v>
      </c>
      <c r="C379">
        <f t="shared" si="11"/>
        <v>6</v>
      </c>
    </row>
    <row r="380" spans="1:3" x14ac:dyDescent="0.25">
      <c r="A380" s="8" t="s">
        <v>384</v>
      </c>
      <c r="B380" s="2">
        <v>0</v>
      </c>
      <c r="C380">
        <f t="shared" si="11"/>
        <v>7</v>
      </c>
    </row>
    <row r="381" spans="1:3" x14ac:dyDescent="0.25">
      <c r="A381" s="4" t="s">
        <v>4</v>
      </c>
      <c r="B381" s="2">
        <v>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99BE-F707-4377-92C4-B6F18D4F099D}">
  <dimension ref="A1:F366"/>
  <sheetViews>
    <sheetView zoomScale="190" zoomScaleNormal="190" workbookViewId="0">
      <selection activeCell="G25" sqref="G25"/>
    </sheetView>
  </sheetViews>
  <sheetFormatPr defaultRowHeight="15" x14ac:dyDescent="0.25"/>
  <cols>
    <col min="1" max="1" width="11" customWidth="1"/>
    <col min="2" max="2" width="14" bestFit="1" customWidth="1"/>
    <col min="4" max="4" width="9.5703125" customWidth="1"/>
    <col min="5" max="5" width="14.85546875" bestFit="1" customWidth="1"/>
    <col min="6" max="6" width="12.28515625" style="14" bestFit="1" customWidth="1"/>
  </cols>
  <sheetData>
    <row r="1" spans="1:6" x14ac:dyDescent="0.25">
      <c r="A1" t="s">
        <v>0</v>
      </c>
      <c r="B1" t="s">
        <v>399</v>
      </c>
      <c r="C1" t="s">
        <v>400</v>
      </c>
      <c r="D1" t="s">
        <v>401</v>
      </c>
      <c r="E1" t="s">
        <v>402</v>
      </c>
      <c r="F1" s="14" t="s">
        <v>403</v>
      </c>
    </row>
    <row r="2" spans="1:6" x14ac:dyDescent="0.25">
      <c r="A2" s="1">
        <v>44986</v>
      </c>
      <c r="B2" s="2">
        <f>WEEKDAY(A2,2)</f>
        <v>3</v>
      </c>
      <c r="C2">
        <v>2000</v>
      </c>
      <c r="D2">
        <f>20 + IF(B2=5, 60, 0)</f>
        <v>20</v>
      </c>
      <c r="E2">
        <f>C2-D2</f>
        <v>1980</v>
      </c>
      <c r="F2" s="14">
        <f>C2 / 10000</f>
        <v>0.2</v>
      </c>
    </row>
    <row r="3" spans="1:6" x14ac:dyDescent="0.25">
      <c r="A3" s="1">
        <v>44987</v>
      </c>
      <c r="B3" s="2">
        <f t="shared" ref="B3:B66" si="0">WEEKDAY(A3,2)</f>
        <v>4</v>
      </c>
      <c r="C3">
        <f>E2*1.0175</f>
        <v>2014.65</v>
      </c>
      <c r="D3">
        <f t="shared" ref="D3:D66" si="1">20 + IF(B3=5, 60, 0)</f>
        <v>20</v>
      </c>
      <c r="E3">
        <f t="shared" ref="E3:E66" si="2">C3-D3</f>
        <v>1994.65</v>
      </c>
      <c r="F3" s="14">
        <f t="shared" ref="F3:F66" si="3">C3 / 10000</f>
        <v>0.20146500000000001</v>
      </c>
    </row>
    <row r="4" spans="1:6" x14ac:dyDescent="0.25">
      <c r="A4" s="1">
        <v>44988</v>
      </c>
      <c r="B4" s="2">
        <f t="shared" si="0"/>
        <v>5</v>
      </c>
      <c r="C4">
        <f t="shared" ref="C4:C67" si="4">E3*1.0175</f>
        <v>2029.5563750000003</v>
      </c>
      <c r="D4">
        <f t="shared" si="1"/>
        <v>80</v>
      </c>
      <c r="E4">
        <f t="shared" si="2"/>
        <v>1949.5563750000003</v>
      </c>
      <c r="F4" s="14">
        <f t="shared" si="3"/>
        <v>0.20295563750000004</v>
      </c>
    </row>
    <row r="5" spans="1:6" x14ac:dyDescent="0.25">
      <c r="A5" s="1">
        <v>44989</v>
      </c>
      <c r="B5" s="2">
        <f t="shared" si="0"/>
        <v>6</v>
      </c>
      <c r="C5">
        <f t="shared" si="4"/>
        <v>1983.6736115625006</v>
      </c>
      <c r="D5">
        <f t="shared" si="1"/>
        <v>20</v>
      </c>
      <c r="E5">
        <f t="shared" si="2"/>
        <v>1963.6736115625006</v>
      </c>
      <c r="F5" s="14">
        <f t="shared" si="3"/>
        <v>0.19836736115625006</v>
      </c>
    </row>
    <row r="6" spans="1:6" x14ac:dyDescent="0.25">
      <c r="A6" s="1">
        <v>44990</v>
      </c>
      <c r="B6" s="2">
        <f t="shared" si="0"/>
        <v>7</v>
      </c>
      <c r="C6">
        <f t="shared" si="4"/>
        <v>1998.0378997648445</v>
      </c>
      <c r="D6">
        <f t="shared" si="1"/>
        <v>20</v>
      </c>
      <c r="E6">
        <f t="shared" si="2"/>
        <v>1978.0378997648445</v>
      </c>
      <c r="F6" s="14">
        <f t="shared" si="3"/>
        <v>0.19980378997648446</v>
      </c>
    </row>
    <row r="7" spans="1:6" x14ac:dyDescent="0.25">
      <c r="A7" s="1">
        <v>44991</v>
      </c>
      <c r="B7" s="2">
        <f t="shared" si="0"/>
        <v>1</v>
      </c>
      <c r="C7">
        <f t="shared" si="4"/>
        <v>2012.6535630107294</v>
      </c>
      <c r="D7">
        <f t="shared" si="1"/>
        <v>20</v>
      </c>
      <c r="E7">
        <f t="shared" si="2"/>
        <v>1992.6535630107294</v>
      </c>
      <c r="F7" s="14">
        <f t="shared" si="3"/>
        <v>0.20126535630107295</v>
      </c>
    </row>
    <row r="8" spans="1:6" x14ac:dyDescent="0.25">
      <c r="A8" s="1">
        <v>44992</v>
      </c>
      <c r="B8" s="2">
        <f t="shared" si="0"/>
        <v>2</v>
      </c>
      <c r="C8">
        <f t="shared" si="4"/>
        <v>2027.5250003634173</v>
      </c>
      <c r="D8">
        <f t="shared" si="1"/>
        <v>20</v>
      </c>
      <c r="E8">
        <f t="shared" si="2"/>
        <v>2007.5250003634173</v>
      </c>
      <c r="F8" s="14">
        <f t="shared" si="3"/>
        <v>0.20275250003634174</v>
      </c>
    </row>
    <row r="9" spans="1:6" x14ac:dyDescent="0.25">
      <c r="A9" s="1">
        <v>44993</v>
      </c>
      <c r="B9" s="2">
        <f t="shared" si="0"/>
        <v>3</v>
      </c>
      <c r="C9">
        <f t="shared" si="4"/>
        <v>2042.6566878697772</v>
      </c>
      <c r="D9">
        <f t="shared" si="1"/>
        <v>20</v>
      </c>
      <c r="E9">
        <f t="shared" si="2"/>
        <v>2022.6566878697772</v>
      </c>
      <c r="F9" s="14">
        <f t="shared" si="3"/>
        <v>0.20426566878697772</v>
      </c>
    </row>
    <row r="10" spans="1:6" x14ac:dyDescent="0.25">
      <c r="A10" s="1">
        <v>44994</v>
      </c>
      <c r="B10" s="2">
        <f t="shared" si="0"/>
        <v>4</v>
      </c>
      <c r="C10">
        <f t="shared" si="4"/>
        <v>2058.0531799074984</v>
      </c>
      <c r="D10">
        <f t="shared" si="1"/>
        <v>20</v>
      </c>
      <c r="E10">
        <f t="shared" si="2"/>
        <v>2038.0531799074984</v>
      </c>
      <c r="F10" s="14">
        <f t="shared" si="3"/>
        <v>0.20580531799074983</v>
      </c>
    </row>
    <row r="11" spans="1:6" x14ac:dyDescent="0.25">
      <c r="A11" s="1">
        <v>44995</v>
      </c>
      <c r="B11" s="2">
        <f t="shared" si="0"/>
        <v>5</v>
      </c>
      <c r="C11">
        <f t="shared" si="4"/>
        <v>2073.7191105558795</v>
      </c>
      <c r="D11">
        <f t="shared" si="1"/>
        <v>80</v>
      </c>
      <c r="E11">
        <f t="shared" si="2"/>
        <v>1993.7191105558795</v>
      </c>
      <c r="F11" s="14">
        <f t="shared" si="3"/>
        <v>0.20737191105558794</v>
      </c>
    </row>
    <row r="12" spans="1:6" x14ac:dyDescent="0.25">
      <c r="A12" s="1">
        <v>44996</v>
      </c>
      <c r="B12" s="2">
        <f t="shared" si="0"/>
        <v>6</v>
      </c>
      <c r="C12">
        <f t="shared" si="4"/>
        <v>2028.6091949906076</v>
      </c>
      <c r="D12">
        <f t="shared" si="1"/>
        <v>20</v>
      </c>
      <c r="E12">
        <f t="shared" si="2"/>
        <v>2008.6091949906076</v>
      </c>
      <c r="F12" s="14">
        <f t="shared" si="3"/>
        <v>0.20286091949906077</v>
      </c>
    </row>
    <row r="13" spans="1:6" x14ac:dyDescent="0.25">
      <c r="A13" s="1">
        <v>44997</v>
      </c>
      <c r="B13" s="2">
        <f t="shared" si="0"/>
        <v>7</v>
      </c>
      <c r="C13">
        <f t="shared" si="4"/>
        <v>2043.7598559029434</v>
      </c>
      <c r="D13">
        <f t="shared" si="1"/>
        <v>20</v>
      </c>
      <c r="E13">
        <f t="shared" si="2"/>
        <v>2023.7598559029434</v>
      </c>
      <c r="F13" s="14">
        <f t="shared" si="3"/>
        <v>0.20437598559029435</v>
      </c>
    </row>
    <row r="14" spans="1:6" x14ac:dyDescent="0.25">
      <c r="A14" s="1">
        <v>44998</v>
      </c>
      <c r="B14" s="2">
        <f t="shared" si="0"/>
        <v>1</v>
      </c>
      <c r="C14">
        <f t="shared" si="4"/>
        <v>2059.175653381245</v>
      </c>
      <c r="D14">
        <f t="shared" si="1"/>
        <v>20</v>
      </c>
      <c r="E14">
        <f t="shared" si="2"/>
        <v>2039.175653381245</v>
      </c>
      <c r="F14" s="14">
        <f t="shared" si="3"/>
        <v>0.2059175653381245</v>
      </c>
    </row>
    <row r="15" spans="1:6" x14ac:dyDescent="0.25">
      <c r="A15" s="1">
        <v>44999</v>
      </c>
      <c r="B15" s="2">
        <f t="shared" si="0"/>
        <v>2</v>
      </c>
      <c r="C15">
        <f t="shared" si="4"/>
        <v>2074.8612273154167</v>
      </c>
      <c r="D15">
        <f t="shared" si="1"/>
        <v>20</v>
      </c>
      <c r="E15">
        <f t="shared" si="2"/>
        <v>2054.8612273154167</v>
      </c>
      <c r="F15" s="14">
        <f t="shared" si="3"/>
        <v>0.20748612273154168</v>
      </c>
    </row>
    <row r="16" spans="1:6" x14ac:dyDescent="0.25">
      <c r="A16" s="1">
        <v>45000</v>
      </c>
      <c r="B16" s="2">
        <f t="shared" si="0"/>
        <v>3</v>
      </c>
      <c r="C16">
        <f t="shared" si="4"/>
        <v>2090.8212987934367</v>
      </c>
      <c r="D16">
        <f t="shared" si="1"/>
        <v>20</v>
      </c>
      <c r="E16">
        <f t="shared" si="2"/>
        <v>2070.8212987934367</v>
      </c>
      <c r="F16" s="14">
        <f t="shared" si="3"/>
        <v>0.20908212987934366</v>
      </c>
    </row>
    <row r="17" spans="1:6" x14ac:dyDescent="0.25">
      <c r="A17" s="1">
        <v>45001</v>
      </c>
      <c r="B17" s="2">
        <f t="shared" si="0"/>
        <v>4</v>
      </c>
      <c r="C17">
        <f t="shared" si="4"/>
        <v>2107.0606715223221</v>
      </c>
      <c r="D17">
        <f t="shared" si="1"/>
        <v>20</v>
      </c>
      <c r="E17">
        <f t="shared" si="2"/>
        <v>2087.0606715223221</v>
      </c>
      <c r="F17" s="14">
        <f t="shared" si="3"/>
        <v>0.2107060671522322</v>
      </c>
    </row>
    <row r="18" spans="1:6" x14ac:dyDescent="0.25">
      <c r="A18" s="1">
        <v>45002</v>
      </c>
      <c r="B18" s="2">
        <f t="shared" si="0"/>
        <v>5</v>
      </c>
      <c r="C18">
        <f t="shared" si="4"/>
        <v>2123.584233273963</v>
      </c>
      <c r="D18">
        <f t="shared" si="1"/>
        <v>80</v>
      </c>
      <c r="E18">
        <f t="shared" si="2"/>
        <v>2043.584233273963</v>
      </c>
      <c r="F18" s="14">
        <f t="shared" si="3"/>
        <v>0.2123584233273963</v>
      </c>
    </row>
    <row r="19" spans="1:6" x14ac:dyDescent="0.25">
      <c r="A19" s="1">
        <v>45003</v>
      </c>
      <c r="B19" s="2">
        <f t="shared" si="0"/>
        <v>6</v>
      </c>
      <c r="C19">
        <f t="shared" si="4"/>
        <v>2079.3469573562575</v>
      </c>
      <c r="D19">
        <f t="shared" si="1"/>
        <v>20</v>
      </c>
      <c r="E19">
        <f t="shared" si="2"/>
        <v>2059.3469573562575</v>
      </c>
      <c r="F19" s="14">
        <f t="shared" si="3"/>
        <v>0.20793469573562576</v>
      </c>
    </row>
    <row r="20" spans="1:6" x14ac:dyDescent="0.25">
      <c r="A20" s="1">
        <v>45004</v>
      </c>
      <c r="B20" s="2">
        <f t="shared" si="0"/>
        <v>7</v>
      </c>
      <c r="C20">
        <f t="shared" si="4"/>
        <v>2095.3855291099921</v>
      </c>
      <c r="D20">
        <f t="shared" si="1"/>
        <v>20</v>
      </c>
      <c r="E20">
        <f t="shared" si="2"/>
        <v>2075.3855291099921</v>
      </c>
      <c r="F20" s="14">
        <f t="shared" si="3"/>
        <v>0.20953855291099921</v>
      </c>
    </row>
    <row r="21" spans="1:6" x14ac:dyDescent="0.25">
      <c r="A21" s="1">
        <v>45005</v>
      </c>
      <c r="B21" s="2">
        <f t="shared" si="0"/>
        <v>1</v>
      </c>
      <c r="C21">
        <f t="shared" si="4"/>
        <v>2111.7047758694171</v>
      </c>
      <c r="D21">
        <f t="shared" si="1"/>
        <v>20</v>
      </c>
      <c r="E21">
        <f t="shared" si="2"/>
        <v>2091.7047758694171</v>
      </c>
      <c r="F21" s="14">
        <f t="shared" si="3"/>
        <v>0.21117047758694171</v>
      </c>
    </row>
    <row r="22" spans="1:6" x14ac:dyDescent="0.25">
      <c r="A22" s="1">
        <v>45006</v>
      </c>
      <c r="B22" s="2">
        <f t="shared" si="0"/>
        <v>2</v>
      </c>
      <c r="C22">
        <f t="shared" si="4"/>
        <v>2128.3096094471321</v>
      </c>
      <c r="D22">
        <f t="shared" si="1"/>
        <v>20</v>
      </c>
      <c r="E22">
        <f t="shared" si="2"/>
        <v>2108.3096094471321</v>
      </c>
      <c r="F22" s="14">
        <f t="shared" si="3"/>
        <v>0.21283096094471321</v>
      </c>
    </row>
    <row r="23" spans="1:6" x14ac:dyDescent="0.25">
      <c r="A23" s="1">
        <v>45007</v>
      </c>
      <c r="B23" s="2">
        <f t="shared" si="0"/>
        <v>3</v>
      </c>
      <c r="C23">
        <f t="shared" si="4"/>
        <v>2145.2050276124569</v>
      </c>
      <c r="D23">
        <f t="shared" si="1"/>
        <v>20</v>
      </c>
      <c r="E23">
        <f t="shared" si="2"/>
        <v>2125.2050276124569</v>
      </c>
      <c r="F23" s="14">
        <f t="shared" si="3"/>
        <v>0.21452050276124568</v>
      </c>
    </row>
    <row r="24" spans="1:6" x14ac:dyDescent="0.25">
      <c r="A24" s="1">
        <v>45008</v>
      </c>
      <c r="B24" s="2">
        <f t="shared" si="0"/>
        <v>4</v>
      </c>
      <c r="C24">
        <f t="shared" si="4"/>
        <v>2162.3961155956749</v>
      </c>
      <c r="D24">
        <f t="shared" si="1"/>
        <v>20</v>
      </c>
      <c r="E24">
        <f t="shared" si="2"/>
        <v>2142.3961155956749</v>
      </c>
      <c r="F24" s="14">
        <f t="shared" si="3"/>
        <v>0.2162396115595675</v>
      </c>
    </row>
    <row r="25" spans="1:6" x14ac:dyDescent="0.25">
      <c r="A25" s="1">
        <v>45009</v>
      </c>
      <c r="B25" s="2">
        <f t="shared" si="0"/>
        <v>5</v>
      </c>
      <c r="C25">
        <f t="shared" si="4"/>
        <v>2179.8880476185996</v>
      </c>
      <c r="D25">
        <f t="shared" si="1"/>
        <v>80</v>
      </c>
      <c r="E25">
        <f t="shared" si="2"/>
        <v>2099.8880476185996</v>
      </c>
      <c r="F25" s="14">
        <f t="shared" si="3"/>
        <v>0.21798880476185994</v>
      </c>
    </row>
    <row r="26" spans="1:6" x14ac:dyDescent="0.25">
      <c r="A26" s="1">
        <v>45010</v>
      </c>
      <c r="B26" s="2">
        <f t="shared" si="0"/>
        <v>6</v>
      </c>
      <c r="C26">
        <f t="shared" si="4"/>
        <v>2136.6360884519254</v>
      </c>
      <c r="D26">
        <f t="shared" si="1"/>
        <v>20</v>
      </c>
      <c r="E26">
        <f t="shared" si="2"/>
        <v>2116.6360884519254</v>
      </c>
      <c r="F26" s="14">
        <f t="shared" si="3"/>
        <v>0.21366360884519253</v>
      </c>
    </row>
    <row r="27" spans="1:6" x14ac:dyDescent="0.25">
      <c r="A27" s="1">
        <v>45011</v>
      </c>
      <c r="B27" s="2">
        <f t="shared" si="0"/>
        <v>7</v>
      </c>
      <c r="C27">
        <f t="shared" si="4"/>
        <v>2153.6772199998341</v>
      </c>
      <c r="D27">
        <f t="shared" si="1"/>
        <v>20</v>
      </c>
      <c r="E27">
        <f t="shared" si="2"/>
        <v>2133.6772199998341</v>
      </c>
      <c r="F27" s="14">
        <f t="shared" si="3"/>
        <v>0.21536772199998341</v>
      </c>
    </row>
    <row r="28" spans="1:6" x14ac:dyDescent="0.25">
      <c r="A28" s="1">
        <v>45012</v>
      </c>
      <c r="B28" s="2">
        <f t="shared" si="0"/>
        <v>1</v>
      </c>
      <c r="C28">
        <f t="shared" si="4"/>
        <v>2171.0165713498313</v>
      </c>
      <c r="D28">
        <f t="shared" si="1"/>
        <v>20</v>
      </c>
      <c r="E28">
        <f t="shared" si="2"/>
        <v>2151.0165713498313</v>
      </c>
      <c r="F28" s="14">
        <f t="shared" si="3"/>
        <v>0.21710165713498314</v>
      </c>
    </row>
    <row r="29" spans="1:6" x14ac:dyDescent="0.25">
      <c r="A29" s="1">
        <v>45013</v>
      </c>
      <c r="B29" s="2">
        <f t="shared" si="0"/>
        <v>2</v>
      </c>
      <c r="C29">
        <f t="shared" si="4"/>
        <v>2188.6593613484533</v>
      </c>
      <c r="D29">
        <f t="shared" si="1"/>
        <v>20</v>
      </c>
      <c r="E29">
        <f t="shared" si="2"/>
        <v>2168.6593613484533</v>
      </c>
      <c r="F29" s="14">
        <f t="shared" si="3"/>
        <v>0.21886593613484534</v>
      </c>
    </row>
    <row r="30" spans="1:6" x14ac:dyDescent="0.25">
      <c r="A30" s="1">
        <v>45014</v>
      </c>
      <c r="B30" s="2">
        <f t="shared" si="0"/>
        <v>3</v>
      </c>
      <c r="C30">
        <f t="shared" si="4"/>
        <v>2206.6109001720515</v>
      </c>
      <c r="D30">
        <f t="shared" si="1"/>
        <v>20</v>
      </c>
      <c r="E30">
        <f t="shared" si="2"/>
        <v>2186.6109001720515</v>
      </c>
      <c r="F30" s="14">
        <f t="shared" si="3"/>
        <v>0.22066109001720516</v>
      </c>
    </row>
    <row r="31" spans="1:6" x14ac:dyDescent="0.25">
      <c r="A31" s="1">
        <v>45015</v>
      </c>
      <c r="B31" s="2">
        <f t="shared" si="0"/>
        <v>4</v>
      </c>
      <c r="C31">
        <f t="shared" si="4"/>
        <v>2224.8765909250624</v>
      </c>
      <c r="D31">
        <f t="shared" si="1"/>
        <v>20</v>
      </c>
      <c r="E31">
        <f t="shared" si="2"/>
        <v>2204.8765909250624</v>
      </c>
      <c r="F31" s="14">
        <f t="shared" si="3"/>
        <v>0.22248765909250623</v>
      </c>
    </row>
    <row r="32" spans="1:6" x14ac:dyDescent="0.25">
      <c r="A32" s="1">
        <v>45016</v>
      </c>
      <c r="B32" s="2">
        <f t="shared" si="0"/>
        <v>5</v>
      </c>
      <c r="C32">
        <f t="shared" si="4"/>
        <v>2243.4619312662512</v>
      </c>
      <c r="D32">
        <f t="shared" si="1"/>
        <v>80</v>
      </c>
      <c r="E32">
        <f t="shared" si="2"/>
        <v>2163.4619312662512</v>
      </c>
      <c r="F32" s="14">
        <f t="shared" si="3"/>
        <v>0.22434619312662513</v>
      </c>
    </row>
    <row r="33" spans="1:6" x14ac:dyDescent="0.25">
      <c r="A33" s="1">
        <v>45017</v>
      </c>
      <c r="B33" s="2">
        <f t="shared" si="0"/>
        <v>6</v>
      </c>
      <c r="C33">
        <f t="shared" si="4"/>
        <v>2201.3225150634107</v>
      </c>
      <c r="D33">
        <f t="shared" si="1"/>
        <v>20</v>
      </c>
      <c r="E33">
        <f t="shared" si="2"/>
        <v>2181.3225150634107</v>
      </c>
      <c r="F33" s="14">
        <f t="shared" si="3"/>
        <v>0.22013225150634108</v>
      </c>
    </row>
    <row r="34" spans="1:6" x14ac:dyDescent="0.25">
      <c r="A34" s="1">
        <v>45018</v>
      </c>
      <c r="B34" s="2">
        <f t="shared" si="0"/>
        <v>7</v>
      </c>
      <c r="C34">
        <f t="shared" si="4"/>
        <v>2219.4956590770207</v>
      </c>
      <c r="D34">
        <f t="shared" si="1"/>
        <v>20</v>
      </c>
      <c r="E34">
        <f t="shared" si="2"/>
        <v>2199.4956590770207</v>
      </c>
      <c r="F34" s="14">
        <f t="shared" si="3"/>
        <v>0.22194956590770207</v>
      </c>
    </row>
    <row r="35" spans="1:6" x14ac:dyDescent="0.25">
      <c r="A35" s="1">
        <v>45019</v>
      </c>
      <c r="B35" s="2">
        <f t="shared" si="0"/>
        <v>1</v>
      </c>
      <c r="C35">
        <f t="shared" si="4"/>
        <v>2237.9868331108687</v>
      </c>
      <c r="D35">
        <f t="shared" si="1"/>
        <v>20</v>
      </c>
      <c r="E35">
        <f t="shared" si="2"/>
        <v>2217.9868331108687</v>
      </c>
      <c r="F35" s="14">
        <f t="shared" si="3"/>
        <v>0.22379868331108688</v>
      </c>
    </row>
    <row r="36" spans="1:6" x14ac:dyDescent="0.25">
      <c r="A36" s="1">
        <v>45020</v>
      </c>
      <c r="B36" s="2">
        <f t="shared" si="0"/>
        <v>2</v>
      </c>
      <c r="C36">
        <f t="shared" si="4"/>
        <v>2256.8016026903092</v>
      </c>
      <c r="D36">
        <f t="shared" si="1"/>
        <v>20</v>
      </c>
      <c r="E36">
        <f t="shared" si="2"/>
        <v>2236.8016026903092</v>
      </c>
      <c r="F36" s="14">
        <f t="shared" si="3"/>
        <v>0.22568016026903093</v>
      </c>
    </row>
    <row r="37" spans="1:6" x14ac:dyDescent="0.25">
      <c r="A37" s="1">
        <v>45021</v>
      </c>
      <c r="B37" s="2">
        <f t="shared" si="0"/>
        <v>3</v>
      </c>
      <c r="C37">
        <f t="shared" si="4"/>
        <v>2275.9456307373898</v>
      </c>
      <c r="D37">
        <f t="shared" si="1"/>
        <v>20</v>
      </c>
      <c r="E37">
        <f t="shared" si="2"/>
        <v>2255.9456307373898</v>
      </c>
      <c r="F37" s="14">
        <f t="shared" si="3"/>
        <v>0.22759456307373899</v>
      </c>
    </row>
    <row r="38" spans="1:6" x14ac:dyDescent="0.25">
      <c r="A38" s="1">
        <v>45022</v>
      </c>
      <c r="B38" s="2">
        <f t="shared" si="0"/>
        <v>4</v>
      </c>
      <c r="C38">
        <f t="shared" si="4"/>
        <v>2295.4246792752942</v>
      </c>
      <c r="D38">
        <f t="shared" si="1"/>
        <v>20</v>
      </c>
      <c r="E38">
        <f t="shared" si="2"/>
        <v>2275.4246792752942</v>
      </c>
      <c r="F38" s="14">
        <f t="shared" si="3"/>
        <v>0.22954246792752941</v>
      </c>
    </row>
    <row r="39" spans="1:6" x14ac:dyDescent="0.25">
      <c r="A39" s="1">
        <v>45023</v>
      </c>
      <c r="B39" s="2">
        <f t="shared" si="0"/>
        <v>5</v>
      </c>
      <c r="C39">
        <f t="shared" si="4"/>
        <v>2315.2446111626123</v>
      </c>
      <c r="D39">
        <f t="shared" si="1"/>
        <v>80</v>
      </c>
      <c r="E39">
        <f t="shared" si="2"/>
        <v>2235.2446111626123</v>
      </c>
      <c r="F39" s="14">
        <f t="shared" si="3"/>
        <v>0.23152446111626124</v>
      </c>
    </row>
    <row r="40" spans="1:6" x14ac:dyDescent="0.25">
      <c r="A40" s="1">
        <v>45024</v>
      </c>
      <c r="B40" s="2">
        <f t="shared" si="0"/>
        <v>6</v>
      </c>
      <c r="C40">
        <f t="shared" si="4"/>
        <v>2274.3613918579581</v>
      </c>
      <c r="D40">
        <f t="shared" si="1"/>
        <v>20</v>
      </c>
      <c r="E40">
        <f t="shared" si="2"/>
        <v>2254.3613918579581</v>
      </c>
      <c r="F40" s="14">
        <f t="shared" si="3"/>
        <v>0.2274361391857958</v>
      </c>
    </row>
    <row r="41" spans="1:6" x14ac:dyDescent="0.25">
      <c r="A41" s="1">
        <v>45025</v>
      </c>
      <c r="B41" s="2">
        <f t="shared" si="0"/>
        <v>7</v>
      </c>
      <c r="C41">
        <f t="shared" si="4"/>
        <v>2293.8127162154724</v>
      </c>
      <c r="D41">
        <f t="shared" si="1"/>
        <v>20</v>
      </c>
      <c r="E41">
        <f t="shared" si="2"/>
        <v>2273.8127162154724</v>
      </c>
      <c r="F41" s="14">
        <f t="shared" si="3"/>
        <v>0.22938127162154723</v>
      </c>
    </row>
    <row r="42" spans="1:6" x14ac:dyDescent="0.25">
      <c r="A42" s="1">
        <v>45026</v>
      </c>
      <c r="B42" s="2">
        <f t="shared" si="0"/>
        <v>1</v>
      </c>
      <c r="C42">
        <f t="shared" si="4"/>
        <v>2313.6044387492434</v>
      </c>
      <c r="D42">
        <f t="shared" si="1"/>
        <v>20</v>
      </c>
      <c r="E42">
        <f t="shared" si="2"/>
        <v>2293.6044387492434</v>
      </c>
      <c r="F42" s="14">
        <f t="shared" si="3"/>
        <v>0.23136044387492433</v>
      </c>
    </row>
    <row r="43" spans="1:6" x14ac:dyDescent="0.25">
      <c r="A43" s="1">
        <v>45027</v>
      </c>
      <c r="B43" s="2">
        <f t="shared" si="0"/>
        <v>2</v>
      </c>
      <c r="C43">
        <f t="shared" si="4"/>
        <v>2333.7425164273554</v>
      </c>
      <c r="D43">
        <f t="shared" si="1"/>
        <v>20</v>
      </c>
      <c r="E43">
        <f t="shared" si="2"/>
        <v>2313.7425164273554</v>
      </c>
      <c r="F43" s="14">
        <f t="shared" si="3"/>
        <v>0.23337425164273554</v>
      </c>
    </row>
    <row r="44" spans="1:6" x14ac:dyDescent="0.25">
      <c r="A44" s="1">
        <v>45028</v>
      </c>
      <c r="B44" s="2">
        <f t="shared" si="0"/>
        <v>3</v>
      </c>
      <c r="C44">
        <f t="shared" si="4"/>
        <v>2354.2330104648345</v>
      </c>
      <c r="D44">
        <f t="shared" si="1"/>
        <v>20</v>
      </c>
      <c r="E44">
        <f t="shared" si="2"/>
        <v>2334.2330104648345</v>
      </c>
      <c r="F44" s="14">
        <f t="shared" si="3"/>
        <v>0.23542330104648346</v>
      </c>
    </row>
    <row r="45" spans="1:6" x14ac:dyDescent="0.25">
      <c r="A45" s="1">
        <v>45029</v>
      </c>
      <c r="B45" s="2">
        <f t="shared" si="0"/>
        <v>4</v>
      </c>
      <c r="C45">
        <f t="shared" si="4"/>
        <v>2375.0820881479694</v>
      </c>
      <c r="D45">
        <f t="shared" si="1"/>
        <v>20</v>
      </c>
      <c r="E45">
        <f t="shared" si="2"/>
        <v>2355.0820881479694</v>
      </c>
      <c r="F45" s="14">
        <f t="shared" si="3"/>
        <v>0.23750820881479695</v>
      </c>
    </row>
    <row r="46" spans="1:6" x14ac:dyDescent="0.25">
      <c r="A46" s="1">
        <v>45030</v>
      </c>
      <c r="B46" s="2">
        <f t="shared" si="0"/>
        <v>5</v>
      </c>
      <c r="C46">
        <f t="shared" si="4"/>
        <v>2396.2960246905591</v>
      </c>
      <c r="D46">
        <f t="shared" si="1"/>
        <v>80</v>
      </c>
      <c r="E46">
        <f t="shared" si="2"/>
        <v>2316.2960246905591</v>
      </c>
      <c r="F46" s="14">
        <f t="shared" si="3"/>
        <v>0.2396296024690559</v>
      </c>
    </row>
    <row r="47" spans="1:6" x14ac:dyDescent="0.25">
      <c r="A47" s="1">
        <v>45031</v>
      </c>
      <c r="B47" s="2">
        <f t="shared" si="0"/>
        <v>6</v>
      </c>
      <c r="C47">
        <f t="shared" si="4"/>
        <v>2356.831205122644</v>
      </c>
      <c r="D47">
        <f t="shared" si="1"/>
        <v>20</v>
      </c>
      <c r="E47">
        <f t="shared" si="2"/>
        <v>2336.831205122644</v>
      </c>
      <c r="F47" s="14">
        <f t="shared" si="3"/>
        <v>0.23568312051226439</v>
      </c>
    </row>
    <row r="48" spans="1:6" x14ac:dyDescent="0.25">
      <c r="A48" s="1">
        <v>45032</v>
      </c>
      <c r="B48" s="2">
        <f t="shared" si="0"/>
        <v>7</v>
      </c>
      <c r="C48">
        <f t="shared" si="4"/>
        <v>2377.7257512122906</v>
      </c>
      <c r="D48">
        <f t="shared" si="1"/>
        <v>20</v>
      </c>
      <c r="E48">
        <f t="shared" si="2"/>
        <v>2357.7257512122906</v>
      </c>
      <c r="F48" s="14">
        <f t="shared" si="3"/>
        <v>0.23777257512122907</v>
      </c>
    </row>
    <row r="49" spans="1:6" x14ac:dyDescent="0.25">
      <c r="A49" s="1">
        <v>45033</v>
      </c>
      <c r="B49" s="2">
        <f t="shared" si="0"/>
        <v>1</v>
      </c>
      <c r="C49">
        <f t="shared" si="4"/>
        <v>2398.9859518585058</v>
      </c>
      <c r="D49">
        <f t="shared" si="1"/>
        <v>20</v>
      </c>
      <c r="E49">
        <f t="shared" si="2"/>
        <v>2378.9859518585058</v>
      </c>
      <c r="F49" s="14">
        <f t="shared" si="3"/>
        <v>0.23989859518585058</v>
      </c>
    </row>
    <row r="50" spans="1:6" x14ac:dyDescent="0.25">
      <c r="A50" s="1">
        <v>45034</v>
      </c>
      <c r="B50" s="2">
        <f t="shared" si="0"/>
        <v>2</v>
      </c>
      <c r="C50">
        <f t="shared" si="4"/>
        <v>2420.6182060160299</v>
      </c>
      <c r="D50">
        <f t="shared" si="1"/>
        <v>20</v>
      </c>
      <c r="E50">
        <f t="shared" si="2"/>
        <v>2400.6182060160299</v>
      </c>
      <c r="F50" s="14">
        <f t="shared" si="3"/>
        <v>0.242061820601603</v>
      </c>
    </row>
    <row r="51" spans="1:6" x14ac:dyDescent="0.25">
      <c r="A51" s="1">
        <v>45035</v>
      </c>
      <c r="B51" s="2">
        <f t="shared" si="0"/>
        <v>3</v>
      </c>
      <c r="C51">
        <f t="shared" si="4"/>
        <v>2442.6290246213107</v>
      </c>
      <c r="D51">
        <f t="shared" si="1"/>
        <v>20</v>
      </c>
      <c r="E51">
        <f t="shared" si="2"/>
        <v>2422.6290246213107</v>
      </c>
      <c r="F51" s="14">
        <f t="shared" si="3"/>
        <v>0.24426290246213106</v>
      </c>
    </row>
    <row r="52" spans="1:6" x14ac:dyDescent="0.25">
      <c r="A52" s="1">
        <v>45036</v>
      </c>
      <c r="B52" s="2">
        <f t="shared" si="0"/>
        <v>4</v>
      </c>
      <c r="C52">
        <f t="shared" si="4"/>
        <v>2465.0250325521838</v>
      </c>
      <c r="D52">
        <f t="shared" si="1"/>
        <v>20</v>
      </c>
      <c r="E52">
        <f t="shared" si="2"/>
        <v>2445.0250325521838</v>
      </c>
      <c r="F52" s="14">
        <f t="shared" si="3"/>
        <v>0.24650250325521839</v>
      </c>
    </row>
    <row r="53" spans="1:6" x14ac:dyDescent="0.25">
      <c r="A53" s="1">
        <v>45037</v>
      </c>
      <c r="B53" s="2">
        <f t="shared" si="0"/>
        <v>5</v>
      </c>
      <c r="C53">
        <f t="shared" si="4"/>
        <v>2487.8129706218474</v>
      </c>
      <c r="D53">
        <f t="shared" si="1"/>
        <v>80</v>
      </c>
      <c r="E53">
        <f t="shared" si="2"/>
        <v>2407.8129706218474</v>
      </c>
      <c r="F53" s="14">
        <f t="shared" si="3"/>
        <v>0.24878129706218474</v>
      </c>
    </row>
    <row r="54" spans="1:6" x14ac:dyDescent="0.25">
      <c r="A54" s="1">
        <v>45038</v>
      </c>
      <c r="B54" s="2">
        <f t="shared" si="0"/>
        <v>6</v>
      </c>
      <c r="C54">
        <f t="shared" si="4"/>
        <v>2449.9496976077298</v>
      </c>
      <c r="D54">
        <f t="shared" si="1"/>
        <v>20</v>
      </c>
      <c r="E54">
        <f t="shared" si="2"/>
        <v>2429.9496976077298</v>
      </c>
      <c r="F54" s="14">
        <f t="shared" si="3"/>
        <v>0.24499496976077298</v>
      </c>
    </row>
    <row r="55" spans="1:6" x14ac:dyDescent="0.25">
      <c r="A55" s="1">
        <v>45039</v>
      </c>
      <c r="B55" s="2">
        <f t="shared" si="0"/>
        <v>7</v>
      </c>
      <c r="C55">
        <f t="shared" si="4"/>
        <v>2472.4738173158653</v>
      </c>
      <c r="D55">
        <f t="shared" si="1"/>
        <v>20</v>
      </c>
      <c r="E55">
        <f t="shared" si="2"/>
        <v>2452.4738173158653</v>
      </c>
      <c r="F55" s="14">
        <f t="shared" si="3"/>
        <v>0.24724738173158653</v>
      </c>
    </row>
    <row r="56" spans="1:6" x14ac:dyDescent="0.25">
      <c r="A56" s="1">
        <v>45040</v>
      </c>
      <c r="B56" s="2">
        <f t="shared" si="0"/>
        <v>1</v>
      </c>
      <c r="C56">
        <f t="shared" si="4"/>
        <v>2495.3921091188931</v>
      </c>
      <c r="D56">
        <f t="shared" si="1"/>
        <v>20</v>
      </c>
      <c r="E56">
        <f t="shared" si="2"/>
        <v>2475.3921091188931</v>
      </c>
      <c r="F56" s="14">
        <f t="shared" si="3"/>
        <v>0.24953921091188933</v>
      </c>
    </row>
    <row r="57" spans="1:6" x14ac:dyDescent="0.25">
      <c r="A57" s="1">
        <v>45041</v>
      </c>
      <c r="B57" s="2">
        <f t="shared" si="0"/>
        <v>2</v>
      </c>
      <c r="C57">
        <f t="shared" si="4"/>
        <v>2518.7114710284741</v>
      </c>
      <c r="D57">
        <f t="shared" si="1"/>
        <v>20</v>
      </c>
      <c r="E57">
        <f t="shared" si="2"/>
        <v>2498.7114710284741</v>
      </c>
      <c r="F57" s="14">
        <f t="shared" si="3"/>
        <v>0.25187114710284741</v>
      </c>
    </row>
    <row r="58" spans="1:6" x14ac:dyDescent="0.25">
      <c r="A58" s="1">
        <v>45042</v>
      </c>
      <c r="B58" s="2">
        <f t="shared" si="0"/>
        <v>3</v>
      </c>
      <c r="C58">
        <f t="shared" si="4"/>
        <v>2542.4389217714725</v>
      </c>
      <c r="D58">
        <f t="shared" si="1"/>
        <v>20</v>
      </c>
      <c r="E58">
        <f t="shared" si="2"/>
        <v>2522.4389217714725</v>
      </c>
      <c r="F58" s="14">
        <f t="shared" si="3"/>
        <v>0.25424389217714727</v>
      </c>
    </row>
    <row r="59" spans="1:6" x14ac:dyDescent="0.25">
      <c r="A59" s="1">
        <v>45043</v>
      </c>
      <c r="B59" s="2">
        <f t="shared" si="0"/>
        <v>4</v>
      </c>
      <c r="C59">
        <f t="shared" si="4"/>
        <v>2566.5816029024736</v>
      </c>
      <c r="D59">
        <f t="shared" si="1"/>
        <v>20</v>
      </c>
      <c r="E59">
        <f t="shared" si="2"/>
        <v>2546.5816029024736</v>
      </c>
      <c r="F59" s="14">
        <f t="shared" si="3"/>
        <v>0.25665816029024735</v>
      </c>
    </row>
    <row r="60" spans="1:6" x14ac:dyDescent="0.25">
      <c r="A60" s="1">
        <v>45044</v>
      </c>
      <c r="B60" s="2">
        <f t="shared" si="0"/>
        <v>5</v>
      </c>
      <c r="C60">
        <f t="shared" si="4"/>
        <v>2591.1467809532669</v>
      </c>
      <c r="D60">
        <f t="shared" si="1"/>
        <v>80</v>
      </c>
      <c r="E60">
        <f t="shared" si="2"/>
        <v>2511.1467809532669</v>
      </c>
      <c r="F60" s="14">
        <f t="shared" si="3"/>
        <v>0.25911467809532668</v>
      </c>
    </row>
    <row r="61" spans="1:6" x14ac:dyDescent="0.25">
      <c r="A61" s="1">
        <v>45045</v>
      </c>
      <c r="B61" s="2">
        <f t="shared" si="0"/>
        <v>6</v>
      </c>
      <c r="C61">
        <f t="shared" si="4"/>
        <v>2555.0918496199492</v>
      </c>
      <c r="D61">
        <f t="shared" si="1"/>
        <v>20</v>
      </c>
      <c r="E61">
        <f t="shared" si="2"/>
        <v>2535.0918496199492</v>
      </c>
      <c r="F61" s="14">
        <f t="shared" si="3"/>
        <v>0.25550918496199493</v>
      </c>
    </row>
    <row r="62" spans="1:6" x14ac:dyDescent="0.25">
      <c r="A62" s="1">
        <v>45046</v>
      </c>
      <c r="B62" s="2">
        <f t="shared" si="0"/>
        <v>7</v>
      </c>
      <c r="C62">
        <f t="shared" si="4"/>
        <v>2579.4559569882986</v>
      </c>
      <c r="D62">
        <f t="shared" si="1"/>
        <v>20</v>
      </c>
      <c r="E62">
        <f t="shared" si="2"/>
        <v>2559.4559569882986</v>
      </c>
      <c r="F62" s="14">
        <f t="shared" si="3"/>
        <v>0.25794559569882985</v>
      </c>
    </row>
    <row r="63" spans="1:6" x14ac:dyDescent="0.25">
      <c r="A63" s="1">
        <v>45047</v>
      </c>
      <c r="B63" s="2">
        <f t="shared" si="0"/>
        <v>1</v>
      </c>
      <c r="C63">
        <f t="shared" si="4"/>
        <v>2604.246436235594</v>
      </c>
      <c r="D63">
        <f t="shared" si="1"/>
        <v>20</v>
      </c>
      <c r="E63">
        <f t="shared" si="2"/>
        <v>2584.246436235594</v>
      </c>
      <c r="F63" s="14">
        <f t="shared" si="3"/>
        <v>0.26042464362355938</v>
      </c>
    </row>
    <row r="64" spans="1:6" x14ac:dyDescent="0.25">
      <c r="A64" s="1">
        <v>45048</v>
      </c>
      <c r="B64" s="2">
        <f t="shared" si="0"/>
        <v>2</v>
      </c>
      <c r="C64">
        <f t="shared" si="4"/>
        <v>2629.4707488697172</v>
      </c>
      <c r="D64">
        <f t="shared" si="1"/>
        <v>20</v>
      </c>
      <c r="E64">
        <f t="shared" si="2"/>
        <v>2609.4707488697172</v>
      </c>
      <c r="F64" s="14">
        <f t="shared" si="3"/>
        <v>0.26294707488697172</v>
      </c>
    </row>
    <row r="65" spans="1:6" x14ac:dyDescent="0.25">
      <c r="A65" s="1">
        <v>45049</v>
      </c>
      <c r="B65" s="2">
        <f t="shared" si="0"/>
        <v>3</v>
      </c>
      <c r="C65">
        <f t="shared" si="4"/>
        <v>2655.1364869749373</v>
      </c>
      <c r="D65">
        <f t="shared" si="1"/>
        <v>20</v>
      </c>
      <c r="E65">
        <f t="shared" si="2"/>
        <v>2635.1364869749373</v>
      </c>
      <c r="F65" s="14">
        <f t="shared" si="3"/>
        <v>0.26551364869749372</v>
      </c>
    </row>
    <row r="66" spans="1:6" x14ac:dyDescent="0.25">
      <c r="A66" s="1">
        <v>45050</v>
      </c>
      <c r="B66" s="2">
        <f t="shared" si="0"/>
        <v>4</v>
      </c>
      <c r="C66">
        <f t="shared" si="4"/>
        <v>2681.2513754969987</v>
      </c>
      <c r="D66">
        <f t="shared" si="1"/>
        <v>20</v>
      </c>
      <c r="E66">
        <f t="shared" si="2"/>
        <v>2661.2513754969987</v>
      </c>
      <c r="F66" s="14">
        <f t="shared" si="3"/>
        <v>0.26812513754969985</v>
      </c>
    </row>
    <row r="67" spans="1:6" x14ac:dyDescent="0.25">
      <c r="A67" s="1">
        <v>45051</v>
      </c>
      <c r="B67" s="2">
        <f t="shared" ref="B67:B130" si="5">WEEKDAY(A67,2)</f>
        <v>5</v>
      </c>
      <c r="C67">
        <f t="shared" si="4"/>
        <v>2707.8232745681962</v>
      </c>
      <c r="D67">
        <f t="shared" ref="D67:D130" si="6">20 + IF(B67=5, 60, 0)</f>
        <v>80</v>
      </c>
      <c r="E67">
        <f t="shared" ref="E67:E130" si="7">C67-D67</f>
        <v>2627.8232745681962</v>
      </c>
      <c r="F67" s="14">
        <f t="shared" ref="F67:F130" si="8">C67 / 10000</f>
        <v>0.27078232745681963</v>
      </c>
    </row>
    <row r="68" spans="1:6" x14ac:dyDescent="0.25">
      <c r="A68" s="1">
        <v>45052</v>
      </c>
      <c r="B68" s="2">
        <f t="shared" si="5"/>
        <v>6</v>
      </c>
      <c r="C68">
        <f t="shared" ref="C68:C131" si="9">E67*1.0175</f>
        <v>2673.8101818731398</v>
      </c>
      <c r="D68">
        <f t="shared" si="6"/>
        <v>20</v>
      </c>
      <c r="E68">
        <f t="shared" si="7"/>
        <v>2653.8101818731398</v>
      </c>
      <c r="F68" s="14">
        <f t="shared" si="8"/>
        <v>0.26738101818731397</v>
      </c>
    </row>
    <row r="69" spans="1:6" x14ac:dyDescent="0.25">
      <c r="A69" s="1">
        <v>45053</v>
      </c>
      <c r="B69" s="2">
        <f t="shared" si="5"/>
        <v>7</v>
      </c>
      <c r="C69">
        <f t="shared" si="9"/>
        <v>2700.2518600559197</v>
      </c>
      <c r="D69">
        <f t="shared" si="6"/>
        <v>20</v>
      </c>
      <c r="E69">
        <f t="shared" si="7"/>
        <v>2680.2518600559197</v>
      </c>
      <c r="F69" s="14">
        <f t="shared" si="8"/>
        <v>0.27002518600559194</v>
      </c>
    </row>
    <row r="70" spans="1:6" x14ac:dyDescent="0.25">
      <c r="A70" s="1">
        <v>45054</v>
      </c>
      <c r="B70" s="2">
        <f t="shared" si="5"/>
        <v>1</v>
      </c>
      <c r="C70">
        <f t="shared" si="9"/>
        <v>2727.1562676068984</v>
      </c>
      <c r="D70">
        <f t="shared" si="6"/>
        <v>20</v>
      </c>
      <c r="E70">
        <f t="shared" si="7"/>
        <v>2707.1562676068984</v>
      </c>
      <c r="F70" s="14">
        <f t="shared" si="8"/>
        <v>0.27271562676068983</v>
      </c>
    </row>
    <row r="71" spans="1:6" x14ac:dyDescent="0.25">
      <c r="A71" s="1">
        <v>45055</v>
      </c>
      <c r="B71" s="2">
        <f t="shared" si="5"/>
        <v>2</v>
      </c>
      <c r="C71">
        <f t="shared" si="9"/>
        <v>2754.5315022900195</v>
      </c>
      <c r="D71">
        <f t="shared" si="6"/>
        <v>20</v>
      </c>
      <c r="E71">
        <f t="shared" si="7"/>
        <v>2734.5315022900195</v>
      </c>
      <c r="F71" s="14">
        <f t="shared" si="8"/>
        <v>0.27545315022900196</v>
      </c>
    </row>
    <row r="72" spans="1:6" x14ac:dyDescent="0.25">
      <c r="A72" s="1">
        <v>45056</v>
      </c>
      <c r="B72" s="2">
        <f t="shared" si="5"/>
        <v>3</v>
      </c>
      <c r="C72">
        <f t="shared" si="9"/>
        <v>2782.3858035800949</v>
      </c>
      <c r="D72">
        <f t="shared" si="6"/>
        <v>20</v>
      </c>
      <c r="E72">
        <f t="shared" si="7"/>
        <v>2762.3858035800949</v>
      </c>
      <c r="F72" s="14">
        <f t="shared" si="8"/>
        <v>0.27823858035800947</v>
      </c>
    </row>
    <row r="73" spans="1:6" x14ac:dyDescent="0.25">
      <c r="A73" s="1">
        <v>45057</v>
      </c>
      <c r="B73" s="2">
        <f t="shared" si="5"/>
        <v>4</v>
      </c>
      <c r="C73">
        <f t="shared" si="9"/>
        <v>2810.727555142747</v>
      </c>
      <c r="D73">
        <f t="shared" si="6"/>
        <v>20</v>
      </c>
      <c r="E73">
        <f t="shared" si="7"/>
        <v>2790.727555142747</v>
      </c>
      <c r="F73" s="14">
        <f t="shared" si="8"/>
        <v>0.28107275551427469</v>
      </c>
    </row>
    <row r="74" spans="1:6" x14ac:dyDescent="0.25">
      <c r="A74" s="1">
        <v>45058</v>
      </c>
      <c r="B74" s="2">
        <f t="shared" si="5"/>
        <v>5</v>
      </c>
      <c r="C74">
        <f t="shared" si="9"/>
        <v>2839.5652873577451</v>
      </c>
      <c r="D74">
        <f t="shared" si="6"/>
        <v>80</v>
      </c>
      <c r="E74">
        <f t="shared" si="7"/>
        <v>2759.5652873577451</v>
      </c>
      <c r="F74" s="14">
        <f t="shared" si="8"/>
        <v>0.28395652873577448</v>
      </c>
    </row>
    <row r="75" spans="1:6" x14ac:dyDescent="0.25">
      <c r="A75" s="1">
        <v>45059</v>
      </c>
      <c r="B75" s="2">
        <f t="shared" si="5"/>
        <v>6</v>
      </c>
      <c r="C75">
        <f t="shared" si="9"/>
        <v>2807.857679886506</v>
      </c>
      <c r="D75">
        <f t="shared" si="6"/>
        <v>20</v>
      </c>
      <c r="E75">
        <f t="shared" si="7"/>
        <v>2787.857679886506</v>
      </c>
      <c r="F75" s="14">
        <f t="shared" si="8"/>
        <v>0.28078576798865063</v>
      </c>
    </row>
    <row r="76" spans="1:6" x14ac:dyDescent="0.25">
      <c r="A76" s="1">
        <v>45060</v>
      </c>
      <c r="B76" s="2">
        <f t="shared" si="5"/>
        <v>7</v>
      </c>
      <c r="C76">
        <f t="shared" si="9"/>
        <v>2836.6451892845203</v>
      </c>
      <c r="D76">
        <f t="shared" si="6"/>
        <v>20</v>
      </c>
      <c r="E76">
        <f t="shared" si="7"/>
        <v>2816.6451892845203</v>
      </c>
      <c r="F76" s="14">
        <f t="shared" si="8"/>
        <v>0.28366451892845201</v>
      </c>
    </row>
    <row r="77" spans="1:6" x14ac:dyDescent="0.25">
      <c r="A77" s="1">
        <v>45061</v>
      </c>
      <c r="B77" s="2">
        <f t="shared" si="5"/>
        <v>1</v>
      </c>
      <c r="C77">
        <f t="shared" si="9"/>
        <v>2865.9364800969997</v>
      </c>
      <c r="D77">
        <f t="shared" si="6"/>
        <v>20</v>
      </c>
      <c r="E77">
        <f t="shared" si="7"/>
        <v>2845.9364800969997</v>
      </c>
      <c r="F77" s="14">
        <f t="shared" si="8"/>
        <v>0.2865936480097</v>
      </c>
    </row>
    <row r="78" spans="1:6" x14ac:dyDescent="0.25">
      <c r="A78" s="1">
        <v>45062</v>
      </c>
      <c r="B78" s="2">
        <f t="shared" si="5"/>
        <v>2</v>
      </c>
      <c r="C78">
        <f t="shared" si="9"/>
        <v>2895.7403684986975</v>
      </c>
      <c r="D78">
        <f t="shared" si="6"/>
        <v>20</v>
      </c>
      <c r="E78">
        <f t="shared" si="7"/>
        <v>2875.7403684986975</v>
      </c>
      <c r="F78" s="14">
        <f t="shared" si="8"/>
        <v>0.28957403684986976</v>
      </c>
    </row>
    <row r="79" spans="1:6" x14ac:dyDescent="0.25">
      <c r="A79" s="1">
        <v>45063</v>
      </c>
      <c r="B79" s="2">
        <f t="shared" si="5"/>
        <v>3</v>
      </c>
      <c r="C79">
        <f t="shared" si="9"/>
        <v>2926.065824947425</v>
      </c>
      <c r="D79">
        <f t="shared" si="6"/>
        <v>20</v>
      </c>
      <c r="E79">
        <f t="shared" si="7"/>
        <v>2906.065824947425</v>
      </c>
      <c r="F79" s="14">
        <f t="shared" si="8"/>
        <v>0.29260658249474247</v>
      </c>
    </row>
    <row r="80" spans="1:6" x14ac:dyDescent="0.25">
      <c r="A80" s="1">
        <v>45064</v>
      </c>
      <c r="B80" s="2">
        <f t="shared" si="5"/>
        <v>4</v>
      </c>
      <c r="C80">
        <f t="shared" si="9"/>
        <v>2956.9219768840053</v>
      </c>
      <c r="D80">
        <f t="shared" si="6"/>
        <v>20</v>
      </c>
      <c r="E80">
        <f t="shared" si="7"/>
        <v>2936.9219768840053</v>
      </c>
      <c r="F80" s="14">
        <f t="shared" si="8"/>
        <v>0.29569219768840055</v>
      </c>
    </row>
    <row r="81" spans="1:6" x14ac:dyDescent="0.25">
      <c r="A81" s="1">
        <v>45065</v>
      </c>
      <c r="B81" s="2">
        <f t="shared" si="5"/>
        <v>5</v>
      </c>
      <c r="C81">
        <f t="shared" si="9"/>
        <v>2988.3181114794756</v>
      </c>
      <c r="D81">
        <f t="shared" si="6"/>
        <v>80</v>
      </c>
      <c r="E81">
        <f t="shared" si="7"/>
        <v>2908.3181114794756</v>
      </c>
      <c r="F81" s="14">
        <f t="shared" si="8"/>
        <v>0.29883181114794755</v>
      </c>
    </row>
    <row r="82" spans="1:6" x14ac:dyDescent="0.25">
      <c r="A82" s="1">
        <v>45066</v>
      </c>
      <c r="B82" s="2">
        <f t="shared" si="5"/>
        <v>6</v>
      </c>
      <c r="C82">
        <f t="shared" si="9"/>
        <v>2959.2136784303666</v>
      </c>
      <c r="D82">
        <f t="shared" si="6"/>
        <v>20</v>
      </c>
      <c r="E82">
        <f t="shared" si="7"/>
        <v>2939.2136784303666</v>
      </c>
      <c r="F82" s="14">
        <f t="shared" si="8"/>
        <v>0.29592136784303669</v>
      </c>
    </row>
    <row r="83" spans="1:6" x14ac:dyDescent="0.25">
      <c r="A83" s="1">
        <v>45067</v>
      </c>
      <c r="B83" s="2">
        <f t="shared" si="5"/>
        <v>7</v>
      </c>
      <c r="C83">
        <f t="shared" si="9"/>
        <v>2990.649917802898</v>
      </c>
      <c r="D83">
        <f t="shared" si="6"/>
        <v>20</v>
      </c>
      <c r="E83">
        <f t="shared" si="7"/>
        <v>2970.649917802898</v>
      </c>
      <c r="F83" s="14">
        <f t="shared" si="8"/>
        <v>0.29906499178028978</v>
      </c>
    </row>
    <row r="84" spans="1:6" x14ac:dyDescent="0.25">
      <c r="A84" s="1">
        <v>45068</v>
      </c>
      <c r="B84" s="2">
        <f t="shared" si="5"/>
        <v>1</v>
      </c>
      <c r="C84">
        <f t="shared" si="9"/>
        <v>3022.6362913644489</v>
      </c>
      <c r="D84">
        <f t="shared" si="6"/>
        <v>20</v>
      </c>
      <c r="E84">
        <f t="shared" si="7"/>
        <v>3002.6362913644489</v>
      </c>
      <c r="F84" s="14">
        <f t="shared" si="8"/>
        <v>0.30226362913644489</v>
      </c>
    </row>
    <row r="85" spans="1:6" x14ac:dyDescent="0.25">
      <c r="A85" s="1">
        <v>45069</v>
      </c>
      <c r="B85" s="2">
        <f t="shared" si="5"/>
        <v>2</v>
      </c>
      <c r="C85">
        <f t="shared" si="9"/>
        <v>3055.1824264633269</v>
      </c>
      <c r="D85">
        <f t="shared" si="6"/>
        <v>20</v>
      </c>
      <c r="E85">
        <f t="shared" si="7"/>
        <v>3035.1824264633269</v>
      </c>
      <c r="F85" s="14">
        <f t="shared" si="8"/>
        <v>0.30551824264633271</v>
      </c>
    </row>
    <row r="86" spans="1:6" x14ac:dyDescent="0.25">
      <c r="A86" s="1">
        <v>45070</v>
      </c>
      <c r="B86" s="2">
        <f t="shared" si="5"/>
        <v>3</v>
      </c>
      <c r="C86">
        <f t="shared" si="9"/>
        <v>3088.2981189264356</v>
      </c>
      <c r="D86">
        <f t="shared" si="6"/>
        <v>20</v>
      </c>
      <c r="E86">
        <f t="shared" si="7"/>
        <v>3068.2981189264356</v>
      </c>
      <c r="F86" s="14">
        <f t="shared" si="8"/>
        <v>0.30882981189264358</v>
      </c>
    </row>
    <row r="87" spans="1:6" x14ac:dyDescent="0.25">
      <c r="A87" s="1">
        <v>45071</v>
      </c>
      <c r="B87" s="2">
        <f t="shared" si="5"/>
        <v>4</v>
      </c>
      <c r="C87">
        <f t="shared" si="9"/>
        <v>3121.9933360076484</v>
      </c>
      <c r="D87">
        <f t="shared" si="6"/>
        <v>20</v>
      </c>
      <c r="E87">
        <f t="shared" si="7"/>
        <v>3101.9933360076484</v>
      </c>
      <c r="F87" s="14">
        <f t="shared" si="8"/>
        <v>0.31219933360076485</v>
      </c>
    </row>
    <row r="88" spans="1:6" x14ac:dyDescent="0.25">
      <c r="A88" s="1">
        <v>45072</v>
      </c>
      <c r="B88" s="2">
        <f t="shared" si="5"/>
        <v>5</v>
      </c>
      <c r="C88">
        <f t="shared" si="9"/>
        <v>3156.2782193877824</v>
      </c>
      <c r="D88">
        <f t="shared" si="6"/>
        <v>80</v>
      </c>
      <c r="E88">
        <f t="shared" si="7"/>
        <v>3076.2782193877824</v>
      </c>
      <c r="F88" s="14">
        <f t="shared" si="8"/>
        <v>0.31562782193877825</v>
      </c>
    </row>
    <row r="89" spans="1:6" x14ac:dyDescent="0.25">
      <c r="A89" s="1">
        <v>45073</v>
      </c>
      <c r="B89" s="2">
        <f t="shared" si="5"/>
        <v>6</v>
      </c>
      <c r="C89">
        <f t="shared" si="9"/>
        <v>3130.1130882270691</v>
      </c>
      <c r="D89">
        <f t="shared" si="6"/>
        <v>20</v>
      </c>
      <c r="E89">
        <f t="shared" si="7"/>
        <v>3110.1130882270691</v>
      </c>
      <c r="F89" s="14">
        <f t="shared" si="8"/>
        <v>0.31301130882270689</v>
      </c>
    </row>
    <row r="90" spans="1:6" x14ac:dyDescent="0.25">
      <c r="A90" s="1">
        <v>45074</v>
      </c>
      <c r="B90" s="2">
        <f t="shared" si="5"/>
        <v>7</v>
      </c>
      <c r="C90">
        <f t="shared" si="9"/>
        <v>3164.540067271043</v>
      </c>
      <c r="D90">
        <f t="shared" si="6"/>
        <v>20</v>
      </c>
      <c r="E90">
        <f t="shared" si="7"/>
        <v>3144.540067271043</v>
      </c>
      <c r="F90" s="14">
        <f t="shared" si="8"/>
        <v>0.31645400672710428</v>
      </c>
    </row>
    <row r="91" spans="1:6" x14ac:dyDescent="0.25">
      <c r="A91" s="1">
        <v>45075</v>
      </c>
      <c r="B91" s="2">
        <f t="shared" si="5"/>
        <v>1</v>
      </c>
      <c r="C91">
        <f t="shared" si="9"/>
        <v>3199.5695184482865</v>
      </c>
      <c r="D91">
        <f t="shared" si="6"/>
        <v>20</v>
      </c>
      <c r="E91">
        <f t="shared" si="7"/>
        <v>3179.5695184482865</v>
      </c>
      <c r="F91" s="14">
        <f t="shared" si="8"/>
        <v>0.31995695184482864</v>
      </c>
    </row>
    <row r="92" spans="1:6" x14ac:dyDescent="0.25">
      <c r="A92" s="1">
        <v>45076</v>
      </c>
      <c r="B92" s="2">
        <f t="shared" si="5"/>
        <v>2</v>
      </c>
      <c r="C92">
        <f t="shared" si="9"/>
        <v>3235.2119850211316</v>
      </c>
      <c r="D92">
        <f t="shared" si="6"/>
        <v>20</v>
      </c>
      <c r="E92">
        <f t="shared" si="7"/>
        <v>3215.2119850211316</v>
      </c>
      <c r="F92" s="14">
        <f t="shared" si="8"/>
        <v>0.32352119850211314</v>
      </c>
    </row>
    <row r="93" spans="1:6" x14ac:dyDescent="0.25">
      <c r="A93" s="1">
        <v>45077</v>
      </c>
      <c r="B93" s="2">
        <f t="shared" si="5"/>
        <v>3</v>
      </c>
      <c r="C93">
        <f t="shared" si="9"/>
        <v>3271.4781947590018</v>
      </c>
      <c r="D93">
        <f t="shared" si="6"/>
        <v>20</v>
      </c>
      <c r="E93">
        <f t="shared" si="7"/>
        <v>3251.4781947590018</v>
      </c>
      <c r="F93" s="14">
        <f t="shared" si="8"/>
        <v>0.32714781947590016</v>
      </c>
    </row>
    <row r="94" spans="1:6" x14ac:dyDescent="0.25">
      <c r="A94" s="1">
        <v>45078</v>
      </c>
      <c r="B94" s="2">
        <f t="shared" si="5"/>
        <v>4</v>
      </c>
      <c r="C94">
        <f t="shared" si="9"/>
        <v>3308.3790631672846</v>
      </c>
      <c r="D94">
        <f t="shared" si="6"/>
        <v>20</v>
      </c>
      <c r="E94">
        <f t="shared" si="7"/>
        <v>3288.3790631672846</v>
      </c>
      <c r="F94" s="14">
        <f t="shared" si="8"/>
        <v>0.33083790631672844</v>
      </c>
    </row>
    <row r="95" spans="1:6" x14ac:dyDescent="0.25">
      <c r="A95" s="1">
        <v>45079</v>
      </c>
      <c r="B95" s="2">
        <f t="shared" si="5"/>
        <v>5</v>
      </c>
      <c r="C95">
        <f t="shared" si="9"/>
        <v>3345.9256967727124</v>
      </c>
      <c r="D95">
        <f t="shared" si="6"/>
        <v>80</v>
      </c>
      <c r="E95">
        <f t="shared" si="7"/>
        <v>3265.9256967727124</v>
      </c>
      <c r="F95" s="14">
        <f t="shared" si="8"/>
        <v>0.33459256967727125</v>
      </c>
    </row>
    <row r="96" spans="1:6" x14ac:dyDescent="0.25">
      <c r="A96" s="1">
        <v>45080</v>
      </c>
      <c r="B96" s="2">
        <f t="shared" si="5"/>
        <v>6</v>
      </c>
      <c r="C96">
        <f t="shared" si="9"/>
        <v>3323.0793964662353</v>
      </c>
      <c r="D96">
        <f t="shared" si="6"/>
        <v>20</v>
      </c>
      <c r="E96">
        <f t="shared" si="7"/>
        <v>3303.0793964662353</v>
      </c>
      <c r="F96" s="14">
        <f t="shared" si="8"/>
        <v>0.33230793964662353</v>
      </c>
    </row>
    <row r="97" spans="1:6" x14ac:dyDescent="0.25">
      <c r="A97" s="1">
        <v>45081</v>
      </c>
      <c r="B97" s="2">
        <f t="shared" si="5"/>
        <v>7</v>
      </c>
      <c r="C97">
        <f t="shared" si="9"/>
        <v>3360.8832859043946</v>
      </c>
      <c r="D97">
        <f t="shared" si="6"/>
        <v>20</v>
      </c>
      <c r="E97">
        <f t="shared" si="7"/>
        <v>3340.8832859043946</v>
      </c>
      <c r="F97" s="14">
        <f t="shared" si="8"/>
        <v>0.33608832859043947</v>
      </c>
    </row>
    <row r="98" spans="1:6" x14ac:dyDescent="0.25">
      <c r="A98" s="1">
        <v>45082</v>
      </c>
      <c r="B98" s="2">
        <f t="shared" si="5"/>
        <v>1</v>
      </c>
      <c r="C98">
        <f t="shared" si="9"/>
        <v>3399.3487434077219</v>
      </c>
      <c r="D98">
        <f t="shared" si="6"/>
        <v>20</v>
      </c>
      <c r="E98">
        <f t="shared" si="7"/>
        <v>3379.3487434077219</v>
      </c>
      <c r="F98" s="14">
        <f t="shared" si="8"/>
        <v>0.33993487434077219</v>
      </c>
    </row>
    <row r="99" spans="1:6" x14ac:dyDescent="0.25">
      <c r="A99" s="1">
        <v>45083</v>
      </c>
      <c r="B99" s="2">
        <f t="shared" si="5"/>
        <v>2</v>
      </c>
      <c r="C99">
        <f t="shared" si="9"/>
        <v>3438.4873464173575</v>
      </c>
      <c r="D99">
        <f t="shared" si="6"/>
        <v>20</v>
      </c>
      <c r="E99">
        <f t="shared" si="7"/>
        <v>3418.4873464173575</v>
      </c>
      <c r="F99" s="14">
        <f t="shared" si="8"/>
        <v>0.34384873464173576</v>
      </c>
    </row>
    <row r="100" spans="1:6" x14ac:dyDescent="0.25">
      <c r="A100" s="1">
        <v>45084</v>
      </c>
      <c r="B100" s="2">
        <f t="shared" si="5"/>
        <v>3</v>
      </c>
      <c r="C100">
        <f t="shared" si="9"/>
        <v>3478.3108749796615</v>
      </c>
      <c r="D100">
        <f t="shared" si="6"/>
        <v>20</v>
      </c>
      <c r="E100">
        <f t="shared" si="7"/>
        <v>3458.3108749796615</v>
      </c>
      <c r="F100" s="14">
        <f t="shared" si="8"/>
        <v>0.34783108749796615</v>
      </c>
    </row>
    <row r="101" spans="1:6" x14ac:dyDescent="0.25">
      <c r="A101" s="1">
        <v>45085</v>
      </c>
      <c r="B101" s="2">
        <f t="shared" si="5"/>
        <v>4</v>
      </c>
      <c r="C101">
        <f t="shared" si="9"/>
        <v>3518.8313152918058</v>
      </c>
      <c r="D101">
        <f t="shared" si="6"/>
        <v>20</v>
      </c>
      <c r="E101">
        <f t="shared" si="7"/>
        <v>3498.8313152918058</v>
      </c>
      <c r="F101" s="14">
        <f t="shared" si="8"/>
        <v>0.3518831315291806</v>
      </c>
    </row>
    <row r="102" spans="1:6" x14ac:dyDescent="0.25">
      <c r="A102" s="1">
        <v>45086</v>
      </c>
      <c r="B102" s="2">
        <f t="shared" si="5"/>
        <v>5</v>
      </c>
      <c r="C102">
        <f t="shared" si="9"/>
        <v>3560.0608633094125</v>
      </c>
      <c r="D102">
        <f t="shared" si="6"/>
        <v>80</v>
      </c>
      <c r="E102">
        <f t="shared" si="7"/>
        <v>3480.0608633094125</v>
      </c>
      <c r="F102" s="14">
        <f t="shared" si="8"/>
        <v>0.35600608633094127</v>
      </c>
    </row>
    <row r="103" spans="1:6" x14ac:dyDescent="0.25">
      <c r="A103" s="1">
        <v>45087</v>
      </c>
      <c r="B103" s="2">
        <f t="shared" si="5"/>
        <v>6</v>
      </c>
      <c r="C103">
        <f t="shared" si="9"/>
        <v>3540.9619284173273</v>
      </c>
      <c r="D103">
        <f t="shared" si="6"/>
        <v>20</v>
      </c>
      <c r="E103">
        <f t="shared" si="7"/>
        <v>3520.9619284173273</v>
      </c>
      <c r="F103" s="14">
        <f t="shared" si="8"/>
        <v>0.35409619284173272</v>
      </c>
    </row>
    <row r="104" spans="1:6" x14ac:dyDescent="0.25">
      <c r="A104" s="1">
        <v>45088</v>
      </c>
      <c r="B104" s="2">
        <f t="shared" si="5"/>
        <v>7</v>
      </c>
      <c r="C104">
        <f t="shared" si="9"/>
        <v>3582.5787621646309</v>
      </c>
      <c r="D104">
        <f t="shared" si="6"/>
        <v>20</v>
      </c>
      <c r="E104">
        <f t="shared" si="7"/>
        <v>3562.5787621646309</v>
      </c>
      <c r="F104" s="14">
        <f t="shared" si="8"/>
        <v>0.3582578762164631</v>
      </c>
    </row>
    <row r="105" spans="1:6" x14ac:dyDescent="0.25">
      <c r="A105" s="1">
        <v>45089</v>
      </c>
      <c r="B105" s="2">
        <f t="shared" si="5"/>
        <v>1</v>
      </c>
      <c r="C105">
        <f t="shared" si="9"/>
        <v>3624.9238905025122</v>
      </c>
      <c r="D105">
        <f t="shared" si="6"/>
        <v>20</v>
      </c>
      <c r="E105">
        <f t="shared" si="7"/>
        <v>3604.9238905025122</v>
      </c>
      <c r="F105" s="14">
        <f t="shared" si="8"/>
        <v>0.36249238905025122</v>
      </c>
    </row>
    <row r="106" spans="1:6" x14ac:dyDescent="0.25">
      <c r="A106" s="1">
        <v>45090</v>
      </c>
      <c r="B106" s="2">
        <f t="shared" si="5"/>
        <v>2</v>
      </c>
      <c r="C106">
        <f t="shared" si="9"/>
        <v>3668.0100585863065</v>
      </c>
      <c r="D106">
        <f t="shared" si="6"/>
        <v>20</v>
      </c>
      <c r="E106">
        <f t="shared" si="7"/>
        <v>3648.0100585863065</v>
      </c>
      <c r="F106" s="14">
        <f t="shared" si="8"/>
        <v>0.36680100585863062</v>
      </c>
    </row>
    <row r="107" spans="1:6" x14ac:dyDescent="0.25">
      <c r="A107" s="1">
        <v>45091</v>
      </c>
      <c r="B107" s="2">
        <f t="shared" si="5"/>
        <v>3</v>
      </c>
      <c r="C107">
        <f t="shared" si="9"/>
        <v>3711.850234611567</v>
      </c>
      <c r="D107">
        <f t="shared" si="6"/>
        <v>20</v>
      </c>
      <c r="E107">
        <f t="shared" si="7"/>
        <v>3691.850234611567</v>
      </c>
      <c r="F107" s="14">
        <f t="shared" si="8"/>
        <v>0.37118502346115667</v>
      </c>
    </row>
    <row r="108" spans="1:6" x14ac:dyDescent="0.25">
      <c r="A108" s="1">
        <v>45092</v>
      </c>
      <c r="B108" s="2">
        <f t="shared" si="5"/>
        <v>4</v>
      </c>
      <c r="C108">
        <f t="shared" si="9"/>
        <v>3756.4576137172699</v>
      </c>
      <c r="D108">
        <f t="shared" si="6"/>
        <v>20</v>
      </c>
      <c r="E108">
        <f t="shared" si="7"/>
        <v>3736.4576137172699</v>
      </c>
      <c r="F108" s="14">
        <f t="shared" si="8"/>
        <v>0.375645761371727</v>
      </c>
    </row>
    <row r="109" spans="1:6" x14ac:dyDescent="0.25">
      <c r="A109" s="1">
        <v>45093</v>
      </c>
      <c r="B109" s="2">
        <f t="shared" si="5"/>
        <v>5</v>
      </c>
      <c r="C109">
        <f t="shared" si="9"/>
        <v>3801.8456219573222</v>
      </c>
      <c r="D109">
        <f t="shared" si="6"/>
        <v>80</v>
      </c>
      <c r="E109">
        <f t="shared" si="7"/>
        <v>3721.8456219573222</v>
      </c>
      <c r="F109" s="14">
        <f t="shared" si="8"/>
        <v>0.38018456219573221</v>
      </c>
    </row>
    <row r="110" spans="1:6" x14ac:dyDescent="0.25">
      <c r="A110" s="1">
        <v>45094</v>
      </c>
      <c r="B110" s="2">
        <f t="shared" si="5"/>
        <v>6</v>
      </c>
      <c r="C110">
        <f t="shared" si="9"/>
        <v>3786.9779203415756</v>
      </c>
      <c r="D110">
        <f t="shared" si="6"/>
        <v>20</v>
      </c>
      <c r="E110">
        <f t="shared" si="7"/>
        <v>3766.9779203415756</v>
      </c>
      <c r="F110" s="14">
        <f t="shared" si="8"/>
        <v>0.37869779203415754</v>
      </c>
    </row>
    <row r="111" spans="1:6" x14ac:dyDescent="0.25">
      <c r="A111" s="1">
        <v>45095</v>
      </c>
      <c r="B111" s="2">
        <f t="shared" si="5"/>
        <v>7</v>
      </c>
      <c r="C111">
        <f t="shared" si="9"/>
        <v>3832.9000339475533</v>
      </c>
      <c r="D111">
        <f t="shared" si="6"/>
        <v>20</v>
      </c>
      <c r="E111">
        <f t="shared" si="7"/>
        <v>3812.9000339475533</v>
      </c>
      <c r="F111" s="14">
        <f t="shared" si="8"/>
        <v>0.38329000339475533</v>
      </c>
    </row>
    <row r="112" spans="1:6" x14ac:dyDescent="0.25">
      <c r="A112" s="1">
        <v>45096</v>
      </c>
      <c r="B112" s="2">
        <f t="shared" si="5"/>
        <v>1</v>
      </c>
      <c r="C112">
        <f t="shared" si="9"/>
        <v>3879.6257845416358</v>
      </c>
      <c r="D112">
        <f t="shared" si="6"/>
        <v>20</v>
      </c>
      <c r="E112">
        <f t="shared" si="7"/>
        <v>3859.6257845416358</v>
      </c>
      <c r="F112" s="14">
        <f t="shared" si="8"/>
        <v>0.3879625784541636</v>
      </c>
    </row>
    <row r="113" spans="1:6" x14ac:dyDescent="0.25">
      <c r="A113" s="1">
        <v>45097</v>
      </c>
      <c r="B113" s="2">
        <f t="shared" si="5"/>
        <v>2</v>
      </c>
      <c r="C113">
        <f t="shared" si="9"/>
        <v>3927.1692357711145</v>
      </c>
      <c r="D113">
        <f t="shared" si="6"/>
        <v>20</v>
      </c>
      <c r="E113">
        <f t="shared" si="7"/>
        <v>3907.1692357711145</v>
      </c>
      <c r="F113" s="14">
        <f t="shared" si="8"/>
        <v>0.39271692357711147</v>
      </c>
    </row>
    <row r="114" spans="1:6" x14ac:dyDescent="0.25">
      <c r="A114" s="1">
        <v>45098</v>
      </c>
      <c r="B114" s="2">
        <f t="shared" si="5"/>
        <v>3</v>
      </c>
      <c r="C114">
        <f t="shared" si="9"/>
        <v>3975.5446973971093</v>
      </c>
      <c r="D114">
        <f t="shared" si="6"/>
        <v>20</v>
      </c>
      <c r="E114">
        <f t="shared" si="7"/>
        <v>3955.5446973971093</v>
      </c>
      <c r="F114" s="14">
        <f t="shared" si="8"/>
        <v>0.39755446973971093</v>
      </c>
    </row>
    <row r="115" spans="1:6" x14ac:dyDescent="0.25">
      <c r="A115" s="1">
        <v>45099</v>
      </c>
      <c r="B115" s="2">
        <f t="shared" si="5"/>
        <v>4</v>
      </c>
      <c r="C115">
        <f t="shared" si="9"/>
        <v>4024.7667296015588</v>
      </c>
      <c r="D115">
        <f t="shared" si="6"/>
        <v>20</v>
      </c>
      <c r="E115">
        <f t="shared" si="7"/>
        <v>4004.7667296015588</v>
      </c>
      <c r="F115" s="14">
        <f t="shared" si="8"/>
        <v>0.40247667296015588</v>
      </c>
    </row>
    <row r="116" spans="1:6" x14ac:dyDescent="0.25">
      <c r="A116" s="1">
        <v>45100</v>
      </c>
      <c r="B116" s="2">
        <f t="shared" si="5"/>
        <v>5</v>
      </c>
      <c r="C116">
        <f t="shared" si="9"/>
        <v>4074.8501473695865</v>
      </c>
      <c r="D116">
        <f t="shared" si="6"/>
        <v>80</v>
      </c>
      <c r="E116">
        <f t="shared" si="7"/>
        <v>3994.8501473695865</v>
      </c>
      <c r="F116" s="14">
        <f t="shared" si="8"/>
        <v>0.40748501473695864</v>
      </c>
    </row>
    <row r="117" spans="1:6" x14ac:dyDescent="0.25">
      <c r="A117" s="1">
        <v>45101</v>
      </c>
      <c r="B117" s="2">
        <f t="shared" si="5"/>
        <v>6</v>
      </c>
      <c r="C117">
        <f t="shared" si="9"/>
        <v>4064.7600249485545</v>
      </c>
      <c r="D117">
        <f t="shared" si="6"/>
        <v>20</v>
      </c>
      <c r="E117">
        <f t="shared" si="7"/>
        <v>4044.7600249485545</v>
      </c>
      <c r="F117" s="14">
        <f t="shared" si="8"/>
        <v>0.40647600249485544</v>
      </c>
    </row>
    <row r="118" spans="1:6" x14ac:dyDescent="0.25">
      <c r="A118" s="1">
        <v>45102</v>
      </c>
      <c r="B118" s="2">
        <f t="shared" si="5"/>
        <v>7</v>
      </c>
      <c r="C118">
        <f t="shared" si="9"/>
        <v>4115.5433253851543</v>
      </c>
      <c r="D118">
        <f t="shared" si="6"/>
        <v>20</v>
      </c>
      <c r="E118">
        <f t="shared" si="7"/>
        <v>4095.5433253851543</v>
      </c>
      <c r="F118" s="14">
        <f t="shared" si="8"/>
        <v>0.41155433253851542</v>
      </c>
    </row>
    <row r="119" spans="1:6" x14ac:dyDescent="0.25">
      <c r="A119" s="1">
        <v>45103</v>
      </c>
      <c r="B119" s="2">
        <f t="shared" si="5"/>
        <v>1</v>
      </c>
      <c r="C119">
        <f t="shared" si="9"/>
        <v>4167.2153335793946</v>
      </c>
      <c r="D119">
        <f t="shared" si="6"/>
        <v>20</v>
      </c>
      <c r="E119">
        <f t="shared" si="7"/>
        <v>4147.2153335793946</v>
      </c>
      <c r="F119" s="14">
        <f t="shared" si="8"/>
        <v>0.41672153335793949</v>
      </c>
    </row>
    <row r="120" spans="1:6" x14ac:dyDescent="0.25">
      <c r="A120" s="1">
        <v>45104</v>
      </c>
      <c r="B120" s="2">
        <f t="shared" si="5"/>
        <v>2</v>
      </c>
      <c r="C120">
        <f t="shared" si="9"/>
        <v>4219.7916019170343</v>
      </c>
      <c r="D120">
        <f t="shared" si="6"/>
        <v>20</v>
      </c>
      <c r="E120">
        <f t="shared" si="7"/>
        <v>4199.7916019170343</v>
      </c>
      <c r="F120" s="14">
        <f t="shared" si="8"/>
        <v>0.42197916019170345</v>
      </c>
    </row>
    <row r="121" spans="1:6" x14ac:dyDescent="0.25">
      <c r="A121" s="1">
        <v>45105</v>
      </c>
      <c r="B121" s="2">
        <f t="shared" si="5"/>
        <v>3</v>
      </c>
      <c r="C121">
        <f t="shared" si="9"/>
        <v>4273.2879549505824</v>
      </c>
      <c r="D121">
        <f t="shared" si="6"/>
        <v>20</v>
      </c>
      <c r="E121">
        <f t="shared" si="7"/>
        <v>4253.2879549505824</v>
      </c>
      <c r="F121" s="14">
        <f t="shared" si="8"/>
        <v>0.42732879549505826</v>
      </c>
    </row>
    <row r="122" spans="1:6" x14ac:dyDescent="0.25">
      <c r="A122" s="1">
        <v>45106</v>
      </c>
      <c r="B122" s="2">
        <f t="shared" si="5"/>
        <v>4</v>
      </c>
      <c r="C122">
        <f t="shared" si="9"/>
        <v>4327.7204941622176</v>
      </c>
      <c r="D122">
        <f t="shared" si="6"/>
        <v>20</v>
      </c>
      <c r="E122">
        <f t="shared" si="7"/>
        <v>4307.7204941622176</v>
      </c>
      <c r="F122" s="14">
        <f t="shared" si="8"/>
        <v>0.43277204941622177</v>
      </c>
    </row>
    <row r="123" spans="1:6" x14ac:dyDescent="0.25">
      <c r="A123" s="1">
        <v>45107</v>
      </c>
      <c r="B123" s="2">
        <f t="shared" si="5"/>
        <v>5</v>
      </c>
      <c r="C123">
        <f t="shared" si="9"/>
        <v>4383.1056028100566</v>
      </c>
      <c r="D123">
        <f t="shared" si="6"/>
        <v>80</v>
      </c>
      <c r="E123">
        <f t="shared" si="7"/>
        <v>4303.1056028100566</v>
      </c>
      <c r="F123" s="14">
        <f t="shared" si="8"/>
        <v>0.43831056028100568</v>
      </c>
    </row>
    <row r="124" spans="1:6" x14ac:dyDescent="0.25">
      <c r="A124" s="1">
        <v>45108</v>
      </c>
      <c r="B124" s="2">
        <f t="shared" si="5"/>
        <v>6</v>
      </c>
      <c r="C124">
        <f t="shared" si="9"/>
        <v>4378.4099508592326</v>
      </c>
      <c r="D124">
        <f t="shared" si="6"/>
        <v>20</v>
      </c>
      <c r="E124">
        <f t="shared" si="7"/>
        <v>4358.4099508592326</v>
      </c>
      <c r="F124" s="14">
        <f t="shared" si="8"/>
        <v>0.43784099508592328</v>
      </c>
    </row>
    <row r="125" spans="1:6" x14ac:dyDescent="0.25">
      <c r="A125" s="1">
        <v>45109</v>
      </c>
      <c r="B125" s="2">
        <f t="shared" si="5"/>
        <v>7</v>
      </c>
      <c r="C125">
        <f t="shared" si="9"/>
        <v>4434.682124999269</v>
      </c>
      <c r="D125">
        <f t="shared" si="6"/>
        <v>20</v>
      </c>
      <c r="E125">
        <f t="shared" si="7"/>
        <v>4414.682124999269</v>
      </c>
      <c r="F125" s="14">
        <f t="shared" si="8"/>
        <v>0.44346821249992691</v>
      </c>
    </row>
    <row r="126" spans="1:6" x14ac:dyDescent="0.25">
      <c r="A126" s="1">
        <v>45110</v>
      </c>
      <c r="B126" s="2">
        <f t="shared" si="5"/>
        <v>1</v>
      </c>
      <c r="C126">
        <f t="shared" si="9"/>
        <v>4491.9390621867569</v>
      </c>
      <c r="D126">
        <f t="shared" si="6"/>
        <v>20</v>
      </c>
      <c r="E126">
        <f t="shared" si="7"/>
        <v>4471.9390621867569</v>
      </c>
      <c r="F126" s="14">
        <f t="shared" si="8"/>
        <v>0.44919390621867572</v>
      </c>
    </row>
    <row r="127" spans="1:6" x14ac:dyDescent="0.25">
      <c r="A127" s="1">
        <v>45111</v>
      </c>
      <c r="B127" s="2">
        <f t="shared" si="5"/>
        <v>2</v>
      </c>
      <c r="C127">
        <f t="shared" si="9"/>
        <v>4550.1979957750254</v>
      </c>
      <c r="D127">
        <f t="shared" si="6"/>
        <v>20</v>
      </c>
      <c r="E127">
        <f t="shared" si="7"/>
        <v>4530.1979957750254</v>
      </c>
      <c r="F127" s="14">
        <f t="shared" si="8"/>
        <v>0.45501979957750255</v>
      </c>
    </row>
    <row r="128" spans="1:6" x14ac:dyDescent="0.25">
      <c r="A128" s="1">
        <v>45112</v>
      </c>
      <c r="B128" s="2">
        <f t="shared" si="5"/>
        <v>3</v>
      </c>
      <c r="C128">
        <f t="shared" si="9"/>
        <v>4609.4764607010884</v>
      </c>
      <c r="D128">
        <f t="shared" si="6"/>
        <v>20</v>
      </c>
      <c r="E128">
        <f t="shared" si="7"/>
        <v>4589.4764607010884</v>
      </c>
      <c r="F128" s="14">
        <f t="shared" si="8"/>
        <v>0.46094764607010885</v>
      </c>
    </row>
    <row r="129" spans="1:6" x14ac:dyDescent="0.25">
      <c r="A129" s="1">
        <v>45113</v>
      </c>
      <c r="B129" s="2">
        <f t="shared" si="5"/>
        <v>4</v>
      </c>
      <c r="C129">
        <f t="shared" si="9"/>
        <v>4669.7922987633574</v>
      </c>
      <c r="D129">
        <f t="shared" si="6"/>
        <v>20</v>
      </c>
      <c r="E129">
        <f t="shared" si="7"/>
        <v>4649.7922987633574</v>
      </c>
      <c r="F129" s="14">
        <f t="shared" si="8"/>
        <v>0.46697922987633572</v>
      </c>
    </row>
    <row r="130" spans="1:6" x14ac:dyDescent="0.25">
      <c r="A130" s="1">
        <v>45114</v>
      </c>
      <c r="B130" s="2">
        <f t="shared" si="5"/>
        <v>5</v>
      </c>
      <c r="C130">
        <f t="shared" si="9"/>
        <v>4731.1636639917169</v>
      </c>
      <c r="D130">
        <f t="shared" si="6"/>
        <v>80</v>
      </c>
      <c r="E130">
        <f t="shared" si="7"/>
        <v>4651.1636639917169</v>
      </c>
      <c r="F130" s="14">
        <f t="shared" si="8"/>
        <v>0.47311636639917171</v>
      </c>
    </row>
    <row r="131" spans="1:6" x14ac:dyDescent="0.25">
      <c r="A131" s="1">
        <v>45115</v>
      </c>
      <c r="B131" s="2">
        <f t="shared" ref="B131:B185" si="10">WEEKDAY(A131,2)</f>
        <v>6</v>
      </c>
      <c r="C131">
        <f t="shared" si="9"/>
        <v>4732.5590281115719</v>
      </c>
      <c r="D131">
        <f t="shared" ref="D131:D185" si="11">20 + IF(B131=5, 60, 0)</f>
        <v>20</v>
      </c>
      <c r="E131">
        <f t="shared" ref="E131:E185" si="12">C131-D131</f>
        <v>4712.5590281115719</v>
      </c>
      <c r="F131" s="14">
        <f t="shared" ref="F131:F185" si="13">C131 / 10000</f>
        <v>0.4732559028111572</v>
      </c>
    </row>
    <row r="132" spans="1:6" x14ac:dyDescent="0.25">
      <c r="A132" s="1">
        <v>45116</v>
      </c>
      <c r="B132" s="2">
        <f t="shared" si="10"/>
        <v>7</v>
      </c>
      <c r="C132">
        <f t="shared" ref="C132:C185" si="14">E131*1.0175</f>
        <v>4795.0288111035252</v>
      </c>
      <c r="D132">
        <f t="shared" si="11"/>
        <v>20</v>
      </c>
      <c r="E132">
        <f t="shared" si="12"/>
        <v>4775.0288111035252</v>
      </c>
      <c r="F132" s="14">
        <f t="shared" si="13"/>
        <v>0.4795028811103525</v>
      </c>
    </row>
    <row r="133" spans="1:6" x14ac:dyDescent="0.25">
      <c r="A133" s="1">
        <v>45117</v>
      </c>
      <c r="B133" s="2">
        <f t="shared" si="10"/>
        <v>1</v>
      </c>
      <c r="C133">
        <f t="shared" si="14"/>
        <v>4858.5918152978375</v>
      </c>
      <c r="D133">
        <f t="shared" si="11"/>
        <v>20</v>
      </c>
      <c r="E133">
        <f t="shared" si="12"/>
        <v>4838.5918152978375</v>
      </c>
      <c r="F133" s="14">
        <f t="shared" si="13"/>
        <v>0.48585918152978375</v>
      </c>
    </row>
    <row r="134" spans="1:6" x14ac:dyDescent="0.25">
      <c r="A134" s="1">
        <v>45118</v>
      </c>
      <c r="B134" s="2">
        <f t="shared" si="10"/>
        <v>2</v>
      </c>
      <c r="C134">
        <f t="shared" si="14"/>
        <v>4923.2671720655499</v>
      </c>
      <c r="D134">
        <f t="shared" si="11"/>
        <v>20</v>
      </c>
      <c r="E134">
        <f t="shared" si="12"/>
        <v>4903.2671720655499</v>
      </c>
      <c r="F134" s="14">
        <f t="shared" si="13"/>
        <v>0.49232671720655496</v>
      </c>
    </row>
    <row r="135" spans="1:6" x14ac:dyDescent="0.25">
      <c r="A135" s="1">
        <v>45119</v>
      </c>
      <c r="B135" s="2">
        <f t="shared" si="10"/>
        <v>3</v>
      </c>
      <c r="C135">
        <f t="shared" si="14"/>
        <v>4989.0743475766976</v>
      </c>
      <c r="D135">
        <f t="shared" si="11"/>
        <v>20</v>
      </c>
      <c r="E135">
        <f t="shared" si="12"/>
        <v>4969.0743475766976</v>
      </c>
      <c r="F135" s="14">
        <f t="shared" si="13"/>
        <v>0.49890743475766974</v>
      </c>
    </row>
    <row r="136" spans="1:6" x14ac:dyDescent="0.25">
      <c r="A136" s="1">
        <v>45120</v>
      </c>
      <c r="B136" s="2">
        <f t="shared" si="10"/>
        <v>4</v>
      </c>
      <c r="C136">
        <f t="shared" si="14"/>
        <v>5056.0331486592904</v>
      </c>
      <c r="D136">
        <f t="shared" si="11"/>
        <v>20</v>
      </c>
      <c r="E136">
        <f t="shared" si="12"/>
        <v>5036.0331486592904</v>
      </c>
      <c r="F136" s="14">
        <f t="shared" si="13"/>
        <v>0.50560331486592902</v>
      </c>
    </row>
    <row r="137" spans="1:6" x14ac:dyDescent="0.25">
      <c r="A137" s="1">
        <v>45121</v>
      </c>
      <c r="B137" s="2">
        <f t="shared" si="10"/>
        <v>5</v>
      </c>
      <c r="C137">
        <f t="shared" si="14"/>
        <v>5124.1637287608282</v>
      </c>
      <c r="D137">
        <f t="shared" si="11"/>
        <v>80</v>
      </c>
      <c r="E137">
        <f t="shared" si="12"/>
        <v>5044.1637287608282</v>
      </c>
      <c r="F137" s="14">
        <f t="shared" si="13"/>
        <v>0.51241637287608277</v>
      </c>
    </row>
    <row r="138" spans="1:6" x14ac:dyDescent="0.25">
      <c r="A138" s="1">
        <v>45122</v>
      </c>
      <c r="B138" s="2">
        <f t="shared" si="10"/>
        <v>6</v>
      </c>
      <c r="C138">
        <f t="shared" si="14"/>
        <v>5132.4365940141433</v>
      </c>
      <c r="D138">
        <f t="shared" si="11"/>
        <v>20</v>
      </c>
      <c r="E138">
        <f t="shared" si="12"/>
        <v>5112.4365940141433</v>
      </c>
      <c r="F138" s="14">
        <f t="shared" si="13"/>
        <v>0.51324365940141436</v>
      </c>
    </row>
    <row r="139" spans="1:6" x14ac:dyDescent="0.25">
      <c r="A139" s="1">
        <v>45123</v>
      </c>
      <c r="B139" s="2">
        <f t="shared" si="10"/>
        <v>7</v>
      </c>
      <c r="C139">
        <f t="shared" si="14"/>
        <v>5201.9042344093914</v>
      </c>
      <c r="D139">
        <f t="shared" si="11"/>
        <v>20</v>
      </c>
      <c r="E139">
        <f t="shared" si="12"/>
        <v>5181.9042344093914</v>
      </c>
      <c r="F139" s="14">
        <f t="shared" si="13"/>
        <v>0.52019042344093913</v>
      </c>
    </row>
    <row r="140" spans="1:6" x14ac:dyDescent="0.25">
      <c r="A140" s="1">
        <v>45124</v>
      </c>
      <c r="B140" s="2">
        <f t="shared" si="10"/>
        <v>1</v>
      </c>
      <c r="C140">
        <f t="shared" si="14"/>
        <v>5272.5875585115564</v>
      </c>
      <c r="D140">
        <f t="shared" si="11"/>
        <v>20</v>
      </c>
      <c r="E140">
        <f t="shared" si="12"/>
        <v>5252.5875585115564</v>
      </c>
      <c r="F140" s="14">
        <f t="shared" si="13"/>
        <v>0.52725875585115567</v>
      </c>
    </row>
    <row r="141" spans="1:6" x14ac:dyDescent="0.25">
      <c r="A141" s="1">
        <v>45125</v>
      </c>
      <c r="B141" s="2">
        <f t="shared" si="10"/>
        <v>2</v>
      </c>
      <c r="C141">
        <f t="shared" si="14"/>
        <v>5344.507840785509</v>
      </c>
      <c r="D141">
        <f t="shared" si="11"/>
        <v>20</v>
      </c>
      <c r="E141">
        <f t="shared" si="12"/>
        <v>5324.507840785509</v>
      </c>
      <c r="F141" s="14">
        <f t="shared" si="13"/>
        <v>0.53445078407855084</v>
      </c>
    </row>
    <row r="142" spans="1:6" x14ac:dyDescent="0.25">
      <c r="A142" s="1">
        <v>45126</v>
      </c>
      <c r="B142" s="2">
        <f t="shared" si="10"/>
        <v>3</v>
      </c>
      <c r="C142">
        <f t="shared" si="14"/>
        <v>5417.6867279992557</v>
      </c>
      <c r="D142">
        <f t="shared" si="11"/>
        <v>20</v>
      </c>
      <c r="E142">
        <f t="shared" si="12"/>
        <v>5397.6867279992557</v>
      </c>
      <c r="F142" s="14">
        <f t="shared" si="13"/>
        <v>0.54176867279992558</v>
      </c>
    </row>
    <row r="143" spans="1:6" x14ac:dyDescent="0.25">
      <c r="A143" s="1">
        <v>45127</v>
      </c>
      <c r="B143" s="2">
        <f t="shared" si="10"/>
        <v>4</v>
      </c>
      <c r="C143">
        <f t="shared" si="14"/>
        <v>5492.1462457392427</v>
      </c>
      <c r="D143">
        <f t="shared" si="11"/>
        <v>20</v>
      </c>
      <c r="E143">
        <f t="shared" si="12"/>
        <v>5472.1462457392427</v>
      </c>
      <c r="F143" s="14">
        <f t="shared" si="13"/>
        <v>0.54921462457392423</v>
      </c>
    </row>
    <row r="144" spans="1:6" x14ac:dyDescent="0.25">
      <c r="A144" s="1">
        <v>45128</v>
      </c>
      <c r="B144" s="2">
        <f t="shared" si="10"/>
        <v>5</v>
      </c>
      <c r="C144">
        <f t="shared" si="14"/>
        <v>5567.9088050396795</v>
      </c>
      <c r="D144">
        <f t="shared" si="11"/>
        <v>80</v>
      </c>
      <c r="E144">
        <f t="shared" si="12"/>
        <v>5487.9088050396795</v>
      </c>
      <c r="F144" s="14">
        <f t="shared" si="13"/>
        <v>0.55679088050396797</v>
      </c>
    </row>
    <row r="145" spans="1:6" x14ac:dyDescent="0.25">
      <c r="A145" s="1">
        <v>45129</v>
      </c>
      <c r="B145" s="2">
        <f t="shared" si="10"/>
        <v>6</v>
      </c>
      <c r="C145">
        <f t="shared" si="14"/>
        <v>5583.947209127874</v>
      </c>
      <c r="D145">
        <f t="shared" si="11"/>
        <v>20</v>
      </c>
      <c r="E145">
        <f t="shared" si="12"/>
        <v>5563.947209127874</v>
      </c>
      <c r="F145" s="14">
        <f t="shared" si="13"/>
        <v>0.55839472091278741</v>
      </c>
    </row>
    <row r="146" spans="1:6" x14ac:dyDescent="0.25">
      <c r="A146" s="1">
        <v>45130</v>
      </c>
      <c r="B146" s="2">
        <f t="shared" si="10"/>
        <v>7</v>
      </c>
      <c r="C146">
        <f t="shared" si="14"/>
        <v>5661.3162852876121</v>
      </c>
      <c r="D146">
        <f t="shared" si="11"/>
        <v>20</v>
      </c>
      <c r="E146">
        <f t="shared" si="12"/>
        <v>5641.3162852876121</v>
      </c>
      <c r="F146" s="14">
        <f t="shared" si="13"/>
        <v>0.5661316285287612</v>
      </c>
    </row>
    <row r="147" spans="1:6" x14ac:dyDescent="0.25">
      <c r="A147" s="1">
        <v>45131</v>
      </c>
      <c r="B147" s="2">
        <f t="shared" si="10"/>
        <v>1</v>
      </c>
      <c r="C147">
        <f t="shared" si="14"/>
        <v>5740.0393202801461</v>
      </c>
      <c r="D147">
        <f t="shared" si="11"/>
        <v>20</v>
      </c>
      <c r="E147">
        <f t="shared" si="12"/>
        <v>5720.0393202801461</v>
      </c>
      <c r="F147" s="14">
        <f t="shared" si="13"/>
        <v>0.57400393202801459</v>
      </c>
    </row>
    <row r="148" spans="1:6" x14ac:dyDescent="0.25">
      <c r="A148" s="1">
        <v>45132</v>
      </c>
      <c r="B148" s="2">
        <f t="shared" si="10"/>
        <v>2</v>
      </c>
      <c r="C148">
        <f t="shared" si="14"/>
        <v>5820.1400083850494</v>
      </c>
      <c r="D148">
        <f t="shared" si="11"/>
        <v>20</v>
      </c>
      <c r="E148">
        <f t="shared" si="12"/>
        <v>5800.1400083850494</v>
      </c>
      <c r="F148" s="14">
        <f t="shared" si="13"/>
        <v>0.58201400083850496</v>
      </c>
    </row>
    <row r="149" spans="1:6" x14ac:dyDescent="0.25">
      <c r="A149" s="1">
        <v>45133</v>
      </c>
      <c r="B149" s="2">
        <f t="shared" si="10"/>
        <v>3</v>
      </c>
      <c r="C149">
        <f t="shared" si="14"/>
        <v>5901.6424585317882</v>
      </c>
      <c r="D149">
        <f t="shared" si="11"/>
        <v>20</v>
      </c>
      <c r="E149">
        <f t="shared" si="12"/>
        <v>5881.6424585317882</v>
      </c>
      <c r="F149" s="14">
        <f t="shared" si="13"/>
        <v>0.59016424585317884</v>
      </c>
    </row>
    <row r="150" spans="1:6" x14ac:dyDescent="0.25">
      <c r="A150" s="1">
        <v>45134</v>
      </c>
      <c r="B150" s="2">
        <f t="shared" si="10"/>
        <v>4</v>
      </c>
      <c r="C150">
        <f t="shared" si="14"/>
        <v>5984.5712015560948</v>
      </c>
      <c r="D150">
        <f t="shared" si="11"/>
        <v>20</v>
      </c>
      <c r="E150">
        <f t="shared" si="12"/>
        <v>5964.5712015560948</v>
      </c>
      <c r="F150" s="14">
        <f t="shared" si="13"/>
        <v>0.59845712015560948</v>
      </c>
    </row>
    <row r="151" spans="1:6" x14ac:dyDescent="0.25">
      <c r="A151" s="1">
        <v>45135</v>
      </c>
      <c r="B151" s="2">
        <f t="shared" si="10"/>
        <v>5</v>
      </c>
      <c r="C151">
        <f t="shared" si="14"/>
        <v>6068.9511975833266</v>
      </c>
      <c r="D151">
        <f t="shared" si="11"/>
        <v>80</v>
      </c>
      <c r="E151">
        <f t="shared" si="12"/>
        <v>5988.9511975833266</v>
      </c>
      <c r="F151" s="14">
        <f t="shared" si="13"/>
        <v>0.60689511975833266</v>
      </c>
    </row>
    <row r="152" spans="1:6" x14ac:dyDescent="0.25">
      <c r="A152" s="1">
        <v>45136</v>
      </c>
      <c r="B152" s="2">
        <f t="shared" si="10"/>
        <v>6</v>
      </c>
      <c r="C152">
        <f t="shared" si="14"/>
        <v>6093.7578435410351</v>
      </c>
      <c r="D152">
        <f t="shared" si="11"/>
        <v>20</v>
      </c>
      <c r="E152">
        <f t="shared" si="12"/>
        <v>6073.7578435410351</v>
      </c>
      <c r="F152" s="14">
        <f t="shared" si="13"/>
        <v>0.60937578435410356</v>
      </c>
    </row>
    <row r="153" spans="1:6" x14ac:dyDescent="0.25">
      <c r="A153" s="1">
        <v>45137</v>
      </c>
      <c r="B153" s="2">
        <f t="shared" si="10"/>
        <v>7</v>
      </c>
      <c r="C153">
        <f t="shared" si="14"/>
        <v>6180.0486058030037</v>
      </c>
      <c r="D153">
        <f t="shared" si="11"/>
        <v>20</v>
      </c>
      <c r="E153">
        <f t="shared" si="12"/>
        <v>6160.0486058030037</v>
      </c>
      <c r="F153" s="14">
        <f t="shared" si="13"/>
        <v>0.61800486058030035</v>
      </c>
    </row>
    <row r="154" spans="1:6" x14ac:dyDescent="0.25">
      <c r="A154" s="1">
        <v>45138</v>
      </c>
      <c r="B154" s="2">
        <f t="shared" si="10"/>
        <v>1</v>
      </c>
      <c r="C154">
        <f t="shared" si="14"/>
        <v>6267.8494564045568</v>
      </c>
      <c r="D154">
        <f t="shared" si="11"/>
        <v>20</v>
      </c>
      <c r="E154">
        <f t="shared" si="12"/>
        <v>6247.8494564045568</v>
      </c>
      <c r="F154" s="14">
        <f t="shared" si="13"/>
        <v>0.62678494564045573</v>
      </c>
    </row>
    <row r="155" spans="1:6" x14ac:dyDescent="0.25">
      <c r="A155" s="1">
        <v>45139</v>
      </c>
      <c r="B155" s="2">
        <f t="shared" si="10"/>
        <v>2</v>
      </c>
      <c r="C155">
        <f t="shared" si="14"/>
        <v>6357.186821891637</v>
      </c>
      <c r="D155">
        <f t="shared" si="11"/>
        <v>20</v>
      </c>
      <c r="E155">
        <f t="shared" si="12"/>
        <v>6337.186821891637</v>
      </c>
      <c r="F155" s="14">
        <f t="shared" si="13"/>
        <v>0.63571868218916372</v>
      </c>
    </row>
    <row r="156" spans="1:6" x14ac:dyDescent="0.25">
      <c r="A156" s="1">
        <v>45140</v>
      </c>
      <c r="B156" s="2">
        <f t="shared" si="10"/>
        <v>3</v>
      </c>
      <c r="C156">
        <f t="shared" si="14"/>
        <v>6448.0875912747415</v>
      </c>
      <c r="D156">
        <f t="shared" si="11"/>
        <v>20</v>
      </c>
      <c r="E156">
        <f t="shared" si="12"/>
        <v>6428.0875912747415</v>
      </c>
      <c r="F156" s="14">
        <f t="shared" si="13"/>
        <v>0.64480875912747415</v>
      </c>
    </row>
    <row r="157" spans="1:6" x14ac:dyDescent="0.25">
      <c r="A157" s="1">
        <v>45141</v>
      </c>
      <c r="B157" s="2">
        <f t="shared" si="10"/>
        <v>4</v>
      </c>
      <c r="C157">
        <f t="shared" si="14"/>
        <v>6540.5791241220495</v>
      </c>
      <c r="D157">
        <f t="shared" si="11"/>
        <v>20</v>
      </c>
      <c r="E157">
        <f t="shared" si="12"/>
        <v>6520.5791241220495</v>
      </c>
      <c r="F157" s="14">
        <f t="shared" si="13"/>
        <v>0.6540579124122049</v>
      </c>
    </row>
    <row r="158" spans="1:6" x14ac:dyDescent="0.25">
      <c r="A158" s="1">
        <v>45142</v>
      </c>
      <c r="B158" s="2">
        <f t="shared" si="10"/>
        <v>5</v>
      </c>
      <c r="C158">
        <f t="shared" si="14"/>
        <v>6634.6892587941857</v>
      </c>
      <c r="D158">
        <f t="shared" si="11"/>
        <v>80</v>
      </c>
      <c r="E158">
        <f t="shared" si="12"/>
        <v>6554.6892587941857</v>
      </c>
      <c r="F158" s="14">
        <f t="shared" si="13"/>
        <v>0.66346892587941853</v>
      </c>
    </row>
    <row r="159" spans="1:6" x14ac:dyDescent="0.25">
      <c r="A159" s="1">
        <v>45143</v>
      </c>
      <c r="B159" s="2">
        <f t="shared" si="10"/>
        <v>6</v>
      </c>
      <c r="C159">
        <f t="shared" si="14"/>
        <v>6669.3963208230844</v>
      </c>
      <c r="D159">
        <f t="shared" si="11"/>
        <v>20</v>
      </c>
      <c r="E159">
        <f t="shared" si="12"/>
        <v>6649.3963208230844</v>
      </c>
      <c r="F159" s="14">
        <f t="shared" si="13"/>
        <v>0.66693963208230844</v>
      </c>
    </row>
    <row r="160" spans="1:6" x14ac:dyDescent="0.25">
      <c r="A160" s="1">
        <v>45144</v>
      </c>
      <c r="B160" s="2">
        <f t="shared" si="10"/>
        <v>7</v>
      </c>
      <c r="C160">
        <f t="shared" si="14"/>
        <v>6765.7607564374885</v>
      </c>
      <c r="D160">
        <f t="shared" si="11"/>
        <v>20</v>
      </c>
      <c r="E160">
        <f t="shared" si="12"/>
        <v>6745.7607564374885</v>
      </c>
      <c r="F160" s="14">
        <f t="shared" si="13"/>
        <v>0.67657607564374889</v>
      </c>
    </row>
    <row r="161" spans="1:6" x14ac:dyDescent="0.25">
      <c r="A161" s="1">
        <v>45145</v>
      </c>
      <c r="B161" s="2">
        <f t="shared" si="10"/>
        <v>1</v>
      </c>
      <c r="C161">
        <f t="shared" si="14"/>
        <v>6863.8115696751447</v>
      </c>
      <c r="D161">
        <f t="shared" si="11"/>
        <v>20</v>
      </c>
      <c r="E161">
        <f t="shared" si="12"/>
        <v>6843.8115696751447</v>
      </c>
      <c r="F161" s="14">
        <f t="shared" si="13"/>
        <v>0.68638115696751445</v>
      </c>
    </row>
    <row r="162" spans="1:6" x14ac:dyDescent="0.25">
      <c r="A162" s="1">
        <v>45146</v>
      </c>
      <c r="B162" s="2">
        <f t="shared" si="10"/>
        <v>2</v>
      </c>
      <c r="C162">
        <f t="shared" si="14"/>
        <v>6963.5782721444602</v>
      </c>
      <c r="D162">
        <f t="shared" si="11"/>
        <v>20</v>
      </c>
      <c r="E162">
        <f t="shared" si="12"/>
        <v>6943.5782721444602</v>
      </c>
      <c r="F162" s="14">
        <f t="shared" si="13"/>
        <v>0.69635782721444606</v>
      </c>
    </row>
    <row r="163" spans="1:6" x14ac:dyDescent="0.25">
      <c r="A163" s="1">
        <v>45147</v>
      </c>
      <c r="B163" s="2">
        <f t="shared" si="10"/>
        <v>3</v>
      </c>
      <c r="C163">
        <f t="shared" si="14"/>
        <v>7065.0908919069889</v>
      </c>
      <c r="D163">
        <f t="shared" si="11"/>
        <v>20</v>
      </c>
      <c r="E163">
        <f t="shared" si="12"/>
        <v>7045.0908919069889</v>
      </c>
      <c r="F163" s="14">
        <f t="shared" si="13"/>
        <v>0.70650908919069888</v>
      </c>
    </row>
    <row r="164" spans="1:6" x14ac:dyDescent="0.25">
      <c r="A164" s="1">
        <v>45148</v>
      </c>
      <c r="B164" s="2">
        <f t="shared" si="10"/>
        <v>4</v>
      </c>
      <c r="C164">
        <f t="shared" si="14"/>
        <v>7168.3799825153619</v>
      </c>
      <c r="D164">
        <f t="shared" si="11"/>
        <v>20</v>
      </c>
      <c r="E164">
        <f t="shared" si="12"/>
        <v>7148.3799825153619</v>
      </c>
      <c r="F164" s="14">
        <f t="shared" si="13"/>
        <v>0.71683799825153616</v>
      </c>
    </row>
    <row r="165" spans="1:6" x14ac:dyDescent="0.25">
      <c r="A165" s="1">
        <v>45149</v>
      </c>
      <c r="B165" s="2">
        <f t="shared" si="10"/>
        <v>5</v>
      </c>
      <c r="C165">
        <f t="shared" si="14"/>
        <v>7273.476632209381</v>
      </c>
      <c r="D165">
        <f t="shared" si="11"/>
        <v>80</v>
      </c>
      <c r="E165">
        <f t="shared" si="12"/>
        <v>7193.476632209381</v>
      </c>
      <c r="F165" s="14">
        <f t="shared" si="13"/>
        <v>0.72734766322093813</v>
      </c>
    </row>
    <row r="166" spans="1:6" x14ac:dyDescent="0.25">
      <c r="A166" s="1">
        <v>45150</v>
      </c>
      <c r="B166" s="2">
        <f t="shared" si="10"/>
        <v>6</v>
      </c>
      <c r="C166">
        <f t="shared" si="14"/>
        <v>7319.3624732730459</v>
      </c>
      <c r="D166">
        <f t="shared" si="11"/>
        <v>20</v>
      </c>
      <c r="E166">
        <f t="shared" si="12"/>
        <v>7299.3624732730459</v>
      </c>
      <c r="F166" s="14">
        <f t="shared" si="13"/>
        <v>0.73193624732730456</v>
      </c>
    </row>
    <row r="167" spans="1:6" x14ac:dyDescent="0.25">
      <c r="A167" s="1">
        <v>45151</v>
      </c>
      <c r="B167" s="2">
        <f t="shared" si="10"/>
        <v>7</v>
      </c>
      <c r="C167">
        <f t="shared" si="14"/>
        <v>7427.101316555325</v>
      </c>
      <c r="D167">
        <f t="shared" si="11"/>
        <v>20</v>
      </c>
      <c r="E167">
        <f t="shared" si="12"/>
        <v>7407.101316555325</v>
      </c>
      <c r="F167" s="14">
        <f t="shared" si="13"/>
        <v>0.74271013165553246</v>
      </c>
    </row>
    <row r="168" spans="1:6" x14ac:dyDescent="0.25">
      <c r="A168" s="15">
        <v>45152</v>
      </c>
      <c r="B168" s="2">
        <f t="shared" si="10"/>
        <v>1</v>
      </c>
      <c r="C168">
        <f t="shared" si="14"/>
        <v>7536.7255895950439</v>
      </c>
      <c r="D168">
        <f t="shared" si="11"/>
        <v>20</v>
      </c>
      <c r="E168">
        <f t="shared" si="12"/>
        <v>7516.7255895950439</v>
      </c>
      <c r="F168" s="14">
        <f t="shared" si="13"/>
        <v>0.75367255895950436</v>
      </c>
    </row>
    <row r="169" spans="1:6" x14ac:dyDescent="0.25">
      <c r="A169" s="1">
        <v>45153</v>
      </c>
      <c r="B169" s="2">
        <f t="shared" si="10"/>
        <v>2</v>
      </c>
      <c r="C169">
        <f t="shared" si="14"/>
        <v>7648.2682874129578</v>
      </c>
      <c r="D169">
        <f t="shared" si="11"/>
        <v>20</v>
      </c>
      <c r="E169">
        <f t="shared" si="12"/>
        <v>7628.2682874129578</v>
      </c>
      <c r="F169" s="14">
        <f t="shared" si="13"/>
        <v>0.76482682874129582</v>
      </c>
    </row>
    <row r="170" spans="1:6" x14ac:dyDescent="0.25">
      <c r="A170" s="1">
        <v>45154</v>
      </c>
      <c r="B170" s="2">
        <f t="shared" si="10"/>
        <v>3</v>
      </c>
      <c r="C170">
        <f t="shared" si="14"/>
        <v>7761.7629824426849</v>
      </c>
      <c r="D170">
        <f t="shared" si="11"/>
        <v>20</v>
      </c>
      <c r="E170">
        <f t="shared" si="12"/>
        <v>7741.7629824426849</v>
      </c>
      <c r="F170" s="14">
        <f t="shared" si="13"/>
        <v>0.77617629824426848</v>
      </c>
    </row>
    <row r="171" spans="1:6" x14ac:dyDescent="0.25">
      <c r="A171" s="1">
        <v>45155</v>
      </c>
      <c r="B171" s="2">
        <f t="shared" si="10"/>
        <v>4</v>
      </c>
      <c r="C171">
        <f t="shared" si="14"/>
        <v>7877.2438346354329</v>
      </c>
      <c r="D171">
        <f t="shared" si="11"/>
        <v>20</v>
      </c>
      <c r="E171">
        <f t="shared" si="12"/>
        <v>7857.2438346354329</v>
      </c>
      <c r="F171" s="14">
        <f t="shared" si="13"/>
        <v>0.78772438346354334</v>
      </c>
    </row>
    <row r="172" spans="1:6" x14ac:dyDescent="0.25">
      <c r="A172" s="1">
        <v>45156</v>
      </c>
      <c r="B172" s="2">
        <f t="shared" si="10"/>
        <v>5</v>
      </c>
      <c r="C172">
        <f t="shared" si="14"/>
        <v>7994.7456017415534</v>
      </c>
      <c r="D172">
        <f t="shared" si="11"/>
        <v>80</v>
      </c>
      <c r="E172">
        <f t="shared" si="12"/>
        <v>7914.7456017415534</v>
      </c>
      <c r="F172" s="14">
        <f t="shared" si="13"/>
        <v>0.7994745601741553</v>
      </c>
    </row>
    <row r="173" spans="1:6" x14ac:dyDescent="0.25">
      <c r="A173" s="1">
        <v>45157</v>
      </c>
      <c r="B173" s="2">
        <f t="shared" si="10"/>
        <v>6</v>
      </c>
      <c r="C173">
        <f t="shared" si="14"/>
        <v>8053.2536497720312</v>
      </c>
      <c r="D173">
        <f t="shared" si="11"/>
        <v>20</v>
      </c>
      <c r="E173">
        <f t="shared" si="12"/>
        <v>8033.2536497720312</v>
      </c>
      <c r="F173" s="14">
        <f t="shared" si="13"/>
        <v>0.80532536497720308</v>
      </c>
    </row>
    <row r="174" spans="1:6" x14ac:dyDescent="0.25">
      <c r="A174" s="1">
        <v>45158</v>
      </c>
      <c r="B174" s="2">
        <f t="shared" si="10"/>
        <v>7</v>
      </c>
      <c r="C174">
        <f t="shared" si="14"/>
        <v>8173.8355886430427</v>
      </c>
      <c r="D174">
        <f t="shared" si="11"/>
        <v>20</v>
      </c>
      <c r="E174">
        <f t="shared" si="12"/>
        <v>8153.8355886430427</v>
      </c>
      <c r="F174" s="14">
        <f t="shared" si="13"/>
        <v>0.81738355886430425</v>
      </c>
    </row>
    <row r="175" spans="1:6" x14ac:dyDescent="0.25">
      <c r="A175" s="1">
        <v>45159</v>
      </c>
      <c r="B175" s="2">
        <f t="shared" si="10"/>
        <v>1</v>
      </c>
      <c r="C175">
        <f t="shared" si="14"/>
        <v>8296.5277114442961</v>
      </c>
      <c r="D175">
        <f t="shared" si="11"/>
        <v>20</v>
      </c>
      <c r="E175">
        <f t="shared" si="12"/>
        <v>8276.5277114442961</v>
      </c>
      <c r="F175" s="14">
        <f t="shared" si="13"/>
        <v>0.82965277114442959</v>
      </c>
    </row>
    <row r="176" spans="1:6" x14ac:dyDescent="0.25">
      <c r="A176" s="1">
        <v>45160</v>
      </c>
      <c r="B176" s="2">
        <f t="shared" si="10"/>
        <v>2</v>
      </c>
      <c r="C176">
        <f t="shared" si="14"/>
        <v>8421.3669463945716</v>
      </c>
      <c r="D176">
        <f t="shared" si="11"/>
        <v>20</v>
      </c>
      <c r="E176">
        <f t="shared" si="12"/>
        <v>8401.3669463945716</v>
      </c>
      <c r="F176" s="14">
        <f t="shared" si="13"/>
        <v>0.84213669463945717</v>
      </c>
    </row>
    <row r="177" spans="1:6" x14ac:dyDescent="0.25">
      <c r="A177" s="1">
        <v>45161</v>
      </c>
      <c r="B177" s="2">
        <f t="shared" si="10"/>
        <v>3</v>
      </c>
      <c r="C177">
        <f t="shared" si="14"/>
        <v>8548.3908679564775</v>
      </c>
      <c r="D177">
        <f t="shared" si="11"/>
        <v>20</v>
      </c>
      <c r="E177">
        <f t="shared" si="12"/>
        <v>8528.3908679564775</v>
      </c>
      <c r="F177" s="14">
        <f t="shared" si="13"/>
        <v>0.8548390867956478</v>
      </c>
    </row>
    <row r="178" spans="1:6" x14ac:dyDescent="0.25">
      <c r="A178" s="1">
        <v>45162</v>
      </c>
      <c r="B178" s="2">
        <f t="shared" si="10"/>
        <v>4</v>
      </c>
      <c r="C178">
        <f t="shared" si="14"/>
        <v>8677.6377081457158</v>
      </c>
      <c r="D178">
        <f t="shared" si="11"/>
        <v>20</v>
      </c>
      <c r="E178">
        <f t="shared" si="12"/>
        <v>8657.6377081457158</v>
      </c>
      <c r="F178" s="14">
        <f t="shared" si="13"/>
        <v>0.86776377081457157</v>
      </c>
    </row>
    <row r="179" spans="1:6" x14ac:dyDescent="0.25">
      <c r="A179" s="1">
        <v>45163</v>
      </c>
      <c r="B179" s="2">
        <f t="shared" si="10"/>
        <v>5</v>
      </c>
      <c r="C179">
        <f t="shared" si="14"/>
        <v>8809.1463680382658</v>
      </c>
      <c r="D179">
        <f t="shared" si="11"/>
        <v>80</v>
      </c>
      <c r="E179">
        <f t="shared" si="12"/>
        <v>8729.1463680382658</v>
      </c>
      <c r="F179" s="14">
        <f t="shared" si="13"/>
        <v>0.88091463680382653</v>
      </c>
    </row>
    <row r="180" spans="1:6" x14ac:dyDescent="0.25">
      <c r="A180" s="1">
        <v>45164</v>
      </c>
      <c r="B180" s="2">
        <f t="shared" si="10"/>
        <v>6</v>
      </c>
      <c r="C180">
        <f t="shared" si="14"/>
        <v>8881.9064294789368</v>
      </c>
      <c r="D180">
        <f t="shared" si="11"/>
        <v>20</v>
      </c>
      <c r="E180">
        <f t="shared" si="12"/>
        <v>8861.9064294789368</v>
      </c>
      <c r="F180" s="14">
        <f t="shared" si="13"/>
        <v>0.88819064294789374</v>
      </c>
    </row>
    <row r="181" spans="1:6" x14ac:dyDescent="0.25">
      <c r="A181" s="1">
        <v>45165</v>
      </c>
      <c r="B181" s="2">
        <f t="shared" si="10"/>
        <v>7</v>
      </c>
      <c r="C181">
        <f t="shared" si="14"/>
        <v>9016.989791994818</v>
      </c>
      <c r="D181">
        <f t="shared" si="11"/>
        <v>20</v>
      </c>
      <c r="E181">
        <f t="shared" si="12"/>
        <v>8996.989791994818</v>
      </c>
      <c r="F181" s="14">
        <f t="shared" si="13"/>
        <v>0.90169897919948183</v>
      </c>
    </row>
    <row r="182" spans="1:6" x14ac:dyDescent="0.25">
      <c r="A182" s="1">
        <v>45166</v>
      </c>
      <c r="B182" s="2">
        <f t="shared" si="10"/>
        <v>1</v>
      </c>
      <c r="C182">
        <f t="shared" si="14"/>
        <v>9154.4371133547284</v>
      </c>
      <c r="D182">
        <f t="shared" si="11"/>
        <v>20</v>
      </c>
      <c r="E182">
        <f t="shared" si="12"/>
        <v>9134.4371133547284</v>
      </c>
      <c r="F182" s="14">
        <f t="shared" si="13"/>
        <v>0.91544371133547287</v>
      </c>
    </row>
    <row r="183" spans="1:6" x14ac:dyDescent="0.25">
      <c r="A183" s="1">
        <v>45167</v>
      </c>
      <c r="B183" s="2">
        <f t="shared" si="10"/>
        <v>2</v>
      </c>
      <c r="C183">
        <f t="shared" si="14"/>
        <v>9294.2897628384362</v>
      </c>
      <c r="D183">
        <f t="shared" si="11"/>
        <v>20</v>
      </c>
      <c r="E183">
        <f t="shared" si="12"/>
        <v>9274.2897628384362</v>
      </c>
      <c r="F183" s="14">
        <f t="shared" si="13"/>
        <v>0.92942897628384358</v>
      </c>
    </row>
    <row r="184" spans="1:6" x14ac:dyDescent="0.25">
      <c r="A184" s="1">
        <v>45168</v>
      </c>
      <c r="B184" s="2">
        <f t="shared" si="10"/>
        <v>3</v>
      </c>
      <c r="C184">
        <f t="shared" si="14"/>
        <v>9436.5898336881091</v>
      </c>
      <c r="D184">
        <f t="shared" si="11"/>
        <v>20</v>
      </c>
      <c r="E184">
        <f t="shared" si="12"/>
        <v>9416.5898336881091</v>
      </c>
      <c r="F184" s="14">
        <f t="shared" si="13"/>
        <v>0.94365898336881093</v>
      </c>
    </row>
    <row r="185" spans="1:6" x14ac:dyDescent="0.25">
      <c r="A185" s="1">
        <v>45169</v>
      </c>
      <c r="B185" s="2">
        <f t="shared" si="10"/>
        <v>4</v>
      </c>
      <c r="C185">
        <f t="shared" si="14"/>
        <v>9581.3801557776515</v>
      </c>
      <c r="D185">
        <f t="shared" si="11"/>
        <v>20</v>
      </c>
      <c r="E185">
        <f t="shared" si="12"/>
        <v>9561.3801557776515</v>
      </c>
      <c r="F185" s="14">
        <f t="shared" si="13"/>
        <v>0.95813801557776512</v>
      </c>
    </row>
    <row r="186" spans="1:6" x14ac:dyDescent="0.25">
      <c r="A186" s="1"/>
      <c r="B186" s="2"/>
    </row>
    <row r="187" spans="1:6" x14ac:dyDescent="0.25">
      <c r="A187" s="1"/>
      <c r="B187" s="2"/>
    </row>
    <row r="188" spans="1:6" x14ac:dyDescent="0.25">
      <c r="A188" s="1"/>
      <c r="B188" s="2"/>
    </row>
    <row r="189" spans="1:6" x14ac:dyDescent="0.25">
      <c r="A189" s="1"/>
      <c r="B189" s="2"/>
    </row>
    <row r="190" spans="1:6" x14ac:dyDescent="0.25">
      <c r="A190" s="1"/>
      <c r="B190" s="2"/>
    </row>
    <row r="191" spans="1:6" x14ac:dyDescent="0.25">
      <c r="A191" s="1"/>
      <c r="B191" s="2"/>
    </row>
    <row r="192" spans="1:6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</sheetData>
  <conditionalFormatting sqref="C1:C1048576">
    <cfRule type="cellIs" dxfId="2" priority="1" operator="greaterThan">
      <formula>7500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FBC0-7CA7-4F75-80C0-F09805514BD1}">
  <dimension ref="A1:M185"/>
  <sheetViews>
    <sheetView tabSelected="1" zoomScale="160" zoomScaleNormal="160" workbookViewId="0">
      <selection activeCell="M5" sqref="M5"/>
    </sheetView>
  </sheetViews>
  <sheetFormatPr defaultRowHeight="15" x14ac:dyDescent="0.25"/>
  <cols>
    <col min="1" max="1" width="14.140625" style="13" customWidth="1"/>
    <col min="2" max="2" width="14" style="13" bestFit="1" customWidth="1"/>
    <col min="3" max="3" width="13.140625" style="13" bestFit="1" customWidth="1"/>
    <col min="4" max="4" width="6.140625" style="13" bestFit="1" customWidth="1"/>
    <col min="5" max="5" width="14.85546875" style="13" bestFit="1" customWidth="1"/>
    <col min="6" max="6" width="12.28515625" style="13" bestFit="1" customWidth="1"/>
    <col min="7" max="11" width="9.140625" style="13"/>
    <col min="12" max="12" width="21.42578125" style="13" bestFit="1" customWidth="1"/>
    <col min="13" max="16384" width="9.140625" style="13"/>
  </cols>
  <sheetData>
    <row r="1" spans="1:13" x14ac:dyDescent="0.25">
      <c r="A1" s="13" t="s">
        <v>0</v>
      </c>
      <c r="B1" s="13" t="s">
        <v>399</v>
      </c>
      <c r="C1" s="13" t="s">
        <v>400</v>
      </c>
      <c r="D1" s="13" t="s">
        <v>401</v>
      </c>
      <c r="E1" s="13" t="s">
        <v>402</v>
      </c>
      <c r="F1" s="16" t="s">
        <v>403</v>
      </c>
    </row>
    <row r="2" spans="1:13" x14ac:dyDescent="0.25">
      <c r="A2" s="11">
        <v>44986</v>
      </c>
      <c r="B2" s="12">
        <f>WEEKDAY(A2,2)</f>
        <v>3</v>
      </c>
      <c r="C2" s="13">
        <v>2000</v>
      </c>
      <c r="D2" s="13">
        <f>$M$7*0.25 + IF(B2=5,60,0)</f>
        <v>23.5</v>
      </c>
      <c r="E2" s="13">
        <f>C2-D2</f>
        <v>1976.5</v>
      </c>
      <c r="F2" s="16">
        <f>C2 / 10000</f>
        <v>0.2</v>
      </c>
    </row>
    <row r="3" spans="1:13" x14ac:dyDescent="0.25">
      <c r="A3" s="11">
        <v>44987</v>
      </c>
      <c r="B3" s="12">
        <f t="shared" ref="B3:B66" si="0">WEEKDAY(A3,2)</f>
        <v>4</v>
      </c>
      <c r="C3" s="13">
        <f>E2*1.0175</f>
        <v>2011.0887500000001</v>
      </c>
      <c r="D3" s="13">
        <f t="shared" ref="D3:D66" si="1">$M$7*0.25 + IF(B3=5,60,0)</f>
        <v>23.5</v>
      </c>
      <c r="E3" s="13">
        <f t="shared" ref="E3:E66" si="2">C3-D3</f>
        <v>1987.5887500000001</v>
      </c>
      <c r="F3" s="16">
        <f t="shared" ref="F3:F66" si="3">C3 / 10000</f>
        <v>0.20110887500000002</v>
      </c>
    </row>
    <row r="4" spans="1:13" x14ac:dyDescent="0.25">
      <c r="A4" s="11">
        <v>44988</v>
      </c>
      <c r="B4" s="12">
        <f t="shared" si="0"/>
        <v>5</v>
      </c>
      <c r="C4" s="13">
        <f t="shared" ref="C4:C67" si="4">E3*1.0175</f>
        <v>2022.3715531250002</v>
      </c>
      <c r="D4" s="13">
        <f t="shared" si="1"/>
        <v>83.5</v>
      </c>
      <c r="E4" s="13">
        <f t="shared" si="2"/>
        <v>1938.8715531250002</v>
      </c>
      <c r="F4" s="16">
        <f t="shared" si="3"/>
        <v>0.20223715531250003</v>
      </c>
    </row>
    <row r="5" spans="1:13" x14ac:dyDescent="0.25">
      <c r="A5" s="11">
        <v>44989</v>
      </c>
      <c r="B5" s="12">
        <f t="shared" si="0"/>
        <v>6</v>
      </c>
      <c r="C5" s="13">
        <f t="shared" si="4"/>
        <v>1972.8018053046878</v>
      </c>
      <c r="D5" s="13">
        <f t="shared" si="1"/>
        <v>23.5</v>
      </c>
      <c r="E5" s="13">
        <f t="shared" si="2"/>
        <v>1949.3018053046878</v>
      </c>
      <c r="F5" s="16">
        <f t="shared" si="3"/>
        <v>0.19728018053046878</v>
      </c>
    </row>
    <row r="6" spans="1:13" x14ac:dyDescent="0.25">
      <c r="A6" s="11">
        <v>44990</v>
      </c>
      <c r="B6" s="12">
        <f t="shared" si="0"/>
        <v>7</v>
      </c>
      <c r="C6" s="13">
        <f t="shared" si="4"/>
        <v>1983.4145868975199</v>
      </c>
      <c r="D6" s="13">
        <f t="shared" si="1"/>
        <v>23.5</v>
      </c>
      <c r="E6" s="13">
        <f t="shared" si="2"/>
        <v>1959.9145868975199</v>
      </c>
      <c r="F6" s="16">
        <f t="shared" si="3"/>
        <v>0.198341458689752</v>
      </c>
    </row>
    <row r="7" spans="1:13" x14ac:dyDescent="0.25">
      <c r="A7" s="11">
        <v>44991</v>
      </c>
      <c r="B7" s="12">
        <f t="shared" si="0"/>
        <v>1</v>
      </c>
      <c r="C7" s="13">
        <f t="shared" si="4"/>
        <v>1994.2130921682267</v>
      </c>
      <c r="D7" s="13">
        <f t="shared" si="1"/>
        <v>23.5</v>
      </c>
      <c r="E7" s="13">
        <f t="shared" si="2"/>
        <v>1970.7130921682267</v>
      </c>
      <c r="F7" s="16">
        <f t="shared" si="3"/>
        <v>0.19942130921682266</v>
      </c>
      <c r="L7" s="17" t="s">
        <v>404</v>
      </c>
      <c r="M7" s="18">
        <v>94</v>
      </c>
    </row>
    <row r="8" spans="1:13" x14ac:dyDescent="0.25">
      <c r="A8" s="11">
        <v>44992</v>
      </c>
      <c r="B8" s="12">
        <f t="shared" si="0"/>
        <v>2</v>
      </c>
      <c r="C8" s="13">
        <f t="shared" si="4"/>
        <v>2005.2005712811708</v>
      </c>
      <c r="D8" s="13">
        <f t="shared" si="1"/>
        <v>23.5</v>
      </c>
      <c r="E8" s="13">
        <f t="shared" si="2"/>
        <v>1981.7005712811708</v>
      </c>
      <c r="F8" s="16">
        <f t="shared" si="3"/>
        <v>0.20052005712811707</v>
      </c>
      <c r="L8" s="17" t="s">
        <v>405</v>
      </c>
      <c r="M8" s="19">
        <f>F185</f>
        <v>0.49167420680852836</v>
      </c>
    </row>
    <row r="9" spans="1:13" x14ac:dyDescent="0.25">
      <c r="A9" s="11">
        <v>44993</v>
      </c>
      <c r="B9" s="12">
        <f t="shared" si="0"/>
        <v>3</v>
      </c>
      <c r="C9" s="13">
        <f t="shared" si="4"/>
        <v>2016.3803312785915</v>
      </c>
      <c r="D9" s="13">
        <f t="shared" si="1"/>
        <v>23.5</v>
      </c>
      <c r="E9" s="13">
        <f t="shared" si="2"/>
        <v>1992.8803312785915</v>
      </c>
      <c r="F9" s="16">
        <f t="shared" si="3"/>
        <v>0.20163803312785916</v>
      </c>
    </row>
    <row r="10" spans="1:13" x14ac:dyDescent="0.25">
      <c r="A10" s="11">
        <v>44994</v>
      </c>
      <c r="B10" s="12">
        <f t="shared" si="0"/>
        <v>4</v>
      </c>
      <c r="C10" s="13">
        <f t="shared" si="4"/>
        <v>2027.7557370759671</v>
      </c>
      <c r="D10" s="13">
        <f t="shared" si="1"/>
        <v>23.5</v>
      </c>
      <c r="E10" s="13">
        <f t="shared" si="2"/>
        <v>2004.2557370759671</v>
      </c>
      <c r="F10" s="16">
        <f t="shared" si="3"/>
        <v>0.20277557370759672</v>
      </c>
    </row>
    <row r="11" spans="1:13" x14ac:dyDescent="0.25">
      <c r="A11" s="11">
        <v>44995</v>
      </c>
      <c r="B11" s="12">
        <f t="shared" si="0"/>
        <v>5</v>
      </c>
      <c r="C11" s="13">
        <f t="shared" si="4"/>
        <v>2039.3302124747966</v>
      </c>
      <c r="D11" s="13">
        <f t="shared" si="1"/>
        <v>83.5</v>
      </c>
      <c r="E11" s="13">
        <f t="shared" si="2"/>
        <v>1955.8302124747966</v>
      </c>
      <c r="F11" s="16">
        <f t="shared" si="3"/>
        <v>0.20393302124747967</v>
      </c>
    </row>
    <row r="12" spans="1:13" x14ac:dyDescent="0.25">
      <c r="A12" s="11">
        <v>44996</v>
      </c>
      <c r="B12" s="12">
        <f t="shared" si="0"/>
        <v>6</v>
      </c>
      <c r="C12" s="13">
        <f t="shared" si="4"/>
        <v>1990.0572411931057</v>
      </c>
      <c r="D12" s="13">
        <f t="shared" si="1"/>
        <v>23.5</v>
      </c>
      <c r="E12" s="13">
        <f t="shared" si="2"/>
        <v>1966.5572411931057</v>
      </c>
      <c r="F12" s="16">
        <f t="shared" si="3"/>
        <v>0.19900572411931058</v>
      </c>
    </row>
    <row r="13" spans="1:13" x14ac:dyDescent="0.25">
      <c r="A13" s="11">
        <v>44997</v>
      </c>
      <c r="B13" s="12">
        <f t="shared" si="0"/>
        <v>7</v>
      </c>
      <c r="C13" s="13">
        <f t="shared" si="4"/>
        <v>2000.9719929139851</v>
      </c>
      <c r="D13" s="13">
        <f t="shared" si="1"/>
        <v>23.5</v>
      </c>
      <c r="E13" s="13">
        <f t="shared" si="2"/>
        <v>1977.4719929139851</v>
      </c>
      <c r="F13" s="16">
        <f t="shared" si="3"/>
        <v>0.20009719929139852</v>
      </c>
    </row>
    <row r="14" spans="1:13" x14ac:dyDescent="0.25">
      <c r="A14" s="11">
        <v>44998</v>
      </c>
      <c r="B14" s="12">
        <f t="shared" si="0"/>
        <v>1</v>
      </c>
      <c r="C14" s="13">
        <f t="shared" si="4"/>
        <v>2012.07775278998</v>
      </c>
      <c r="D14" s="13">
        <f t="shared" si="1"/>
        <v>23.5</v>
      </c>
      <c r="E14" s="13">
        <f t="shared" si="2"/>
        <v>1988.57775278998</v>
      </c>
      <c r="F14" s="16">
        <f t="shared" si="3"/>
        <v>0.201207775278998</v>
      </c>
    </row>
    <row r="15" spans="1:13" x14ac:dyDescent="0.25">
      <c r="A15" s="11">
        <v>44999</v>
      </c>
      <c r="B15" s="12">
        <f t="shared" si="0"/>
        <v>2</v>
      </c>
      <c r="C15" s="13">
        <f t="shared" si="4"/>
        <v>2023.3778634638047</v>
      </c>
      <c r="D15" s="13">
        <f t="shared" si="1"/>
        <v>23.5</v>
      </c>
      <c r="E15" s="13">
        <f t="shared" si="2"/>
        <v>1999.8778634638047</v>
      </c>
      <c r="F15" s="16">
        <f t="shared" si="3"/>
        <v>0.20233778634638047</v>
      </c>
    </row>
    <row r="16" spans="1:13" x14ac:dyDescent="0.25">
      <c r="A16" s="11">
        <v>45000</v>
      </c>
      <c r="B16" s="12">
        <f t="shared" si="0"/>
        <v>3</v>
      </c>
      <c r="C16" s="13">
        <f t="shared" si="4"/>
        <v>2034.8757260744214</v>
      </c>
      <c r="D16" s="13">
        <f t="shared" si="1"/>
        <v>23.5</v>
      </c>
      <c r="E16" s="13">
        <f t="shared" si="2"/>
        <v>2011.3757260744214</v>
      </c>
      <c r="F16" s="16">
        <f t="shared" si="3"/>
        <v>0.20348757260744213</v>
      </c>
    </row>
    <row r="17" spans="1:6" x14ac:dyDescent="0.25">
      <c r="A17" s="11">
        <v>45001</v>
      </c>
      <c r="B17" s="12">
        <f t="shared" si="0"/>
        <v>4</v>
      </c>
      <c r="C17" s="13">
        <f t="shared" si="4"/>
        <v>2046.5748012807239</v>
      </c>
      <c r="D17" s="13">
        <f t="shared" si="1"/>
        <v>23.5</v>
      </c>
      <c r="E17" s="13">
        <f t="shared" si="2"/>
        <v>2023.0748012807239</v>
      </c>
      <c r="F17" s="16">
        <f t="shared" si="3"/>
        <v>0.20465748012807239</v>
      </c>
    </row>
    <row r="18" spans="1:6" x14ac:dyDescent="0.25">
      <c r="A18" s="11">
        <v>45002</v>
      </c>
      <c r="B18" s="12">
        <f t="shared" si="0"/>
        <v>5</v>
      </c>
      <c r="C18" s="13">
        <f t="shared" si="4"/>
        <v>2058.4786103031365</v>
      </c>
      <c r="D18" s="13">
        <f t="shared" si="1"/>
        <v>83.5</v>
      </c>
      <c r="E18" s="13">
        <f t="shared" si="2"/>
        <v>1974.9786103031365</v>
      </c>
      <c r="F18" s="16">
        <f t="shared" si="3"/>
        <v>0.20584786103031366</v>
      </c>
    </row>
    <row r="19" spans="1:6" x14ac:dyDescent="0.25">
      <c r="A19" s="11">
        <v>45003</v>
      </c>
      <c r="B19" s="12">
        <f t="shared" si="0"/>
        <v>6</v>
      </c>
      <c r="C19" s="13">
        <f t="shared" si="4"/>
        <v>2009.5407359834414</v>
      </c>
      <c r="D19" s="13">
        <f t="shared" si="1"/>
        <v>23.5</v>
      </c>
      <c r="E19" s="13">
        <f t="shared" si="2"/>
        <v>1986.0407359834414</v>
      </c>
      <c r="F19" s="16">
        <f t="shared" si="3"/>
        <v>0.20095407359834414</v>
      </c>
    </row>
    <row r="20" spans="1:6" x14ac:dyDescent="0.25">
      <c r="A20" s="11">
        <v>45004</v>
      </c>
      <c r="B20" s="12">
        <f t="shared" si="0"/>
        <v>7</v>
      </c>
      <c r="C20" s="13">
        <f t="shared" si="4"/>
        <v>2020.7964488631519</v>
      </c>
      <c r="D20" s="13">
        <f t="shared" si="1"/>
        <v>23.5</v>
      </c>
      <c r="E20" s="13">
        <f t="shared" si="2"/>
        <v>1997.2964488631519</v>
      </c>
      <c r="F20" s="16">
        <f t="shared" si="3"/>
        <v>0.20207964488631519</v>
      </c>
    </row>
    <row r="21" spans="1:6" x14ac:dyDescent="0.25">
      <c r="A21" s="11">
        <v>45005</v>
      </c>
      <c r="B21" s="12">
        <f t="shared" si="0"/>
        <v>1</v>
      </c>
      <c r="C21" s="13">
        <f t="shared" si="4"/>
        <v>2032.2491367182572</v>
      </c>
      <c r="D21" s="13">
        <f t="shared" si="1"/>
        <v>23.5</v>
      </c>
      <c r="E21" s="13">
        <f t="shared" si="2"/>
        <v>2008.7491367182572</v>
      </c>
      <c r="F21" s="16">
        <f t="shared" si="3"/>
        <v>0.20322491367182571</v>
      </c>
    </row>
    <row r="22" spans="1:6" x14ac:dyDescent="0.25">
      <c r="A22" s="11">
        <v>45006</v>
      </c>
      <c r="B22" s="12">
        <f t="shared" si="0"/>
        <v>2</v>
      </c>
      <c r="C22" s="13">
        <f t="shared" si="4"/>
        <v>2043.9022466108268</v>
      </c>
      <c r="D22" s="13">
        <f t="shared" si="1"/>
        <v>23.5</v>
      </c>
      <c r="E22" s="13">
        <f t="shared" si="2"/>
        <v>2020.4022466108268</v>
      </c>
      <c r="F22" s="16">
        <f t="shared" si="3"/>
        <v>0.20439022466108267</v>
      </c>
    </row>
    <row r="23" spans="1:6" x14ac:dyDescent="0.25">
      <c r="A23" s="11">
        <v>45007</v>
      </c>
      <c r="B23" s="12">
        <f t="shared" si="0"/>
        <v>3</v>
      </c>
      <c r="C23" s="13">
        <f t="shared" si="4"/>
        <v>2055.7592859265164</v>
      </c>
      <c r="D23" s="13">
        <f t="shared" si="1"/>
        <v>23.5</v>
      </c>
      <c r="E23" s="13">
        <f t="shared" si="2"/>
        <v>2032.2592859265164</v>
      </c>
      <c r="F23" s="16">
        <f t="shared" si="3"/>
        <v>0.20557592859265164</v>
      </c>
    </row>
    <row r="24" spans="1:6" x14ac:dyDescent="0.25">
      <c r="A24" s="11">
        <v>45008</v>
      </c>
      <c r="B24" s="12">
        <f t="shared" si="0"/>
        <v>4</v>
      </c>
      <c r="C24" s="13">
        <f t="shared" si="4"/>
        <v>2067.8238234302307</v>
      </c>
      <c r="D24" s="13">
        <f t="shared" si="1"/>
        <v>23.5</v>
      </c>
      <c r="E24" s="13">
        <f t="shared" si="2"/>
        <v>2044.3238234302307</v>
      </c>
      <c r="F24" s="16">
        <f t="shared" si="3"/>
        <v>0.20678238234302307</v>
      </c>
    </row>
    <row r="25" spans="1:6" x14ac:dyDescent="0.25">
      <c r="A25" s="11">
        <v>45009</v>
      </c>
      <c r="B25" s="12">
        <f t="shared" si="0"/>
        <v>5</v>
      </c>
      <c r="C25" s="13">
        <f t="shared" si="4"/>
        <v>2080.0994903402598</v>
      </c>
      <c r="D25" s="13">
        <f t="shared" si="1"/>
        <v>83.5</v>
      </c>
      <c r="E25" s="13">
        <f t="shared" si="2"/>
        <v>1996.5994903402598</v>
      </c>
      <c r="F25" s="16">
        <f t="shared" si="3"/>
        <v>0.20800994903402598</v>
      </c>
    </row>
    <row r="26" spans="1:6" x14ac:dyDescent="0.25">
      <c r="A26" s="11">
        <v>45010</v>
      </c>
      <c r="B26" s="12">
        <f t="shared" si="0"/>
        <v>6</v>
      </c>
      <c r="C26" s="13">
        <f t="shared" si="4"/>
        <v>2031.5399814212144</v>
      </c>
      <c r="D26" s="13">
        <f t="shared" si="1"/>
        <v>23.5</v>
      </c>
      <c r="E26" s="13">
        <f t="shared" si="2"/>
        <v>2008.0399814212144</v>
      </c>
      <c r="F26" s="16">
        <f t="shared" si="3"/>
        <v>0.20315399814212143</v>
      </c>
    </row>
    <row r="27" spans="1:6" x14ac:dyDescent="0.25">
      <c r="A27" s="11">
        <v>45011</v>
      </c>
      <c r="B27" s="12">
        <f t="shared" si="0"/>
        <v>7</v>
      </c>
      <c r="C27" s="13">
        <f t="shared" si="4"/>
        <v>2043.1806810960859</v>
      </c>
      <c r="D27" s="13">
        <f t="shared" si="1"/>
        <v>23.5</v>
      </c>
      <c r="E27" s="13">
        <f t="shared" si="2"/>
        <v>2019.6806810960859</v>
      </c>
      <c r="F27" s="16">
        <f t="shared" si="3"/>
        <v>0.20431806810960859</v>
      </c>
    </row>
    <row r="28" spans="1:6" x14ac:dyDescent="0.25">
      <c r="A28" s="11">
        <v>45012</v>
      </c>
      <c r="B28" s="12">
        <f t="shared" si="0"/>
        <v>1</v>
      </c>
      <c r="C28" s="13">
        <f t="shared" si="4"/>
        <v>2055.0250930152674</v>
      </c>
      <c r="D28" s="13">
        <f t="shared" si="1"/>
        <v>23.5</v>
      </c>
      <c r="E28" s="13">
        <f t="shared" si="2"/>
        <v>2031.5250930152674</v>
      </c>
      <c r="F28" s="16">
        <f t="shared" si="3"/>
        <v>0.20550250930152675</v>
      </c>
    </row>
    <row r="29" spans="1:6" x14ac:dyDescent="0.25">
      <c r="A29" s="11">
        <v>45013</v>
      </c>
      <c r="B29" s="12">
        <f t="shared" si="0"/>
        <v>2</v>
      </c>
      <c r="C29" s="13">
        <f t="shared" si="4"/>
        <v>2067.076782143035</v>
      </c>
      <c r="D29" s="13">
        <f t="shared" si="1"/>
        <v>23.5</v>
      </c>
      <c r="E29" s="13">
        <f t="shared" si="2"/>
        <v>2043.576782143035</v>
      </c>
      <c r="F29" s="16">
        <f t="shared" si="3"/>
        <v>0.2067076782143035</v>
      </c>
    </row>
    <row r="30" spans="1:6" x14ac:dyDescent="0.25">
      <c r="A30" s="11">
        <v>45014</v>
      </c>
      <c r="B30" s="12">
        <f t="shared" si="0"/>
        <v>3</v>
      </c>
      <c r="C30" s="13">
        <f t="shared" si="4"/>
        <v>2079.3393758305383</v>
      </c>
      <c r="D30" s="13">
        <f t="shared" si="1"/>
        <v>23.5</v>
      </c>
      <c r="E30" s="13">
        <f t="shared" si="2"/>
        <v>2055.8393758305383</v>
      </c>
      <c r="F30" s="16">
        <f t="shared" si="3"/>
        <v>0.20793393758305384</v>
      </c>
    </row>
    <row r="31" spans="1:6" x14ac:dyDescent="0.25">
      <c r="A31" s="11">
        <v>45015</v>
      </c>
      <c r="B31" s="12">
        <f t="shared" si="0"/>
        <v>4</v>
      </c>
      <c r="C31" s="13">
        <f t="shared" si="4"/>
        <v>2091.8165649075727</v>
      </c>
      <c r="D31" s="13">
        <f t="shared" si="1"/>
        <v>23.5</v>
      </c>
      <c r="E31" s="13">
        <f t="shared" si="2"/>
        <v>2068.3165649075727</v>
      </c>
      <c r="F31" s="16">
        <f t="shared" si="3"/>
        <v>0.20918165649075726</v>
      </c>
    </row>
    <row r="32" spans="1:6" x14ac:dyDescent="0.25">
      <c r="A32" s="11">
        <v>45016</v>
      </c>
      <c r="B32" s="12">
        <f t="shared" si="0"/>
        <v>5</v>
      </c>
      <c r="C32" s="13">
        <f t="shared" si="4"/>
        <v>2104.5121047934554</v>
      </c>
      <c r="D32" s="13">
        <f t="shared" si="1"/>
        <v>83.5</v>
      </c>
      <c r="E32" s="13">
        <f t="shared" si="2"/>
        <v>2021.0121047934554</v>
      </c>
      <c r="F32" s="16">
        <f t="shared" si="3"/>
        <v>0.21045121047934554</v>
      </c>
    </row>
    <row r="33" spans="1:6" x14ac:dyDescent="0.25">
      <c r="A33" s="11">
        <v>45017</v>
      </c>
      <c r="B33" s="12">
        <f t="shared" si="0"/>
        <v>6</v>
      </c>
      <c r="C33" s="13">
        <f t="shared" si="4"/>
        <v>2056.3798166273409</v>
      </c>
      <c r="D33" s="13">
        <f t="shared" si="1"/>
        <v>23.5</v>
      </c>
      <c r="E33" s="13">
        <f t="shared" si="2"/>
        <v>2032.8798166273409</v>
      </c>
      <c r="F33" s="16">
        <f t="shared" si="3"/>
        <v>0.20563798166273409</v>
      </c>
    </row>
    <row r="34" spans="1:6" x14ac:dyDescent="0.25">
      <c r="A34" s="11">
        <v>45018</v>
      </c>
      <c r="B34" s="12">
        <f t="shared" si="0"/>
        <v>7</v>
      </c>
      <c r="C34" s="13">
        <f t="shared" si="4"/>
        <v>2068.4552134183195</v>
      </c>
      <c r="D34" s="13">
        <f t="shared" si="1"/>
        <v>23.5</v>
      </c>
      <c r="E34" s="13">
        <f t="shared" si="2"/>
        <v>2044.9552134183195</v>
      </c>
      <c r="F34" s="16">
        <f t="shared" si="3"/>
        <v>0.20684552134183196</v>
      </c>
    </row>
    <row r="35" spans="1:6" x14ac:dyDescent="0.25">
      <c r="A35" s="11">
        <v>45019</v>
      </c>
      <c r="B35" s="12">
        <f t="shared" si="0"/>
        <v>1</v>
      </c>
      <c r="C35" s="13">
        <f t="shared" si="4"/>
        <v>2080.7419296531402</v>
      </c>
      <c r="D35" s="13">
        <f t="shared" si="1"/>
        <v>23.5</v>
      </c>
      <c r="E35" s="13">
        <f t="shared" si="2"/>
        <v>2057.2419296531402</v>
      </c>
      <c r="F35" s="16">
        <f t="shared" si="3"/>
        <v>0.20807419296531401</v>
      </c>
    </row>
    <row r="36" spans="1:6" x14ac:dyDescent="0.25">
      <c r="A36" s="11">
        <v>45020</v>
      </c>
      <c r="B36" s="12">
        <f t="shared" si="0"/>
        <v>2</v>
      </c>
      <c r="C36" s="13">
        <f t="shared" si="4"/>
        <v>2093.2436634220703</v>
      </c>
      <c r="D36" s="13">
        <f t="shared" si="1"/>
        <v>23.5</v>
      </c>
      <c r="E36" s="13">
        <f t="shared" si="2"/>
        <v>2069.7436634220703</v>
      </c>
      <c r="F36" s="16">
        <f t="shared" si="3"/>
        <v>0.20932436634220702</v>
      </c>
    </row>
    <row r="37" spans="1:6" x14ac:dyDescent="0.25">
      <c r="A37" s="11">
        <v>45021</v>
      </c>
      <c r="B37" s="12">
        <f t="shared" si="0"/>
        <v>3</v>
      </c>
      <c r="C37" s="13">
        <f t="shared" si="4"/>
        <v>2105.9641775319565</v>
      </c>
      <c r="D37" s="13">
        <f t="shared" si="1"/>
        <v>23.5</v>
      </c>
      <c r="E37" s="13">
        <f t="shared" si="2"/>
        <v>2082.4641775319565</v>
      </c>
      <c r="F37" s="16">
        <f t="shared" si="3"/>
        <v>0.21059641775319565</v>
      </c>
    </row>
    <row r="38" spans="1:6" x14ac:dyDescent="0.25">
      <c r="A38" s="11">
        <v>45022</v>
      </c>
      <c r="B38" s="12">
        <f t="shared" si="0"/>
        <v>4</v>
      </c>
      <c r="C38" s="13">
        <f t="shared" si="4"/>
        <v>2118.9073006387657</v>
      </c>
      <c r="D38" s="13">
        <f t="shared" si="1"/>
        <v>23.5</v>
      </c>
      <c r="E38" s="13">
        <f t="shared" si="2"/>
        <v>2095.4073006387657</v>
      </c>
      <c r="F38" s="16">
        <f t="shared" si="3"/>
        <v>0.21189073006387657</v>
      </c>
    </row>
    <row r="39" spans="1:6" x14ac:dyDescent="0.25">
      <c r="A39" s="11">
        <v>45023</v>
      </c>
      <c r="B39" s="12">
        <f t="shared" si="0"/>
        <v>5</v>
      </c>
      <c r="C39" s="13">
        <f t="shared" si="4"/>
        <v>2132.0769283999443</v>
      </c>
      <c r="D39" s="13">
        <f t="shared" si="1"/>
        <v>83.5</v>
      </c>
      <c r="E39" s="13">
        <f t="shared" si="2"/>
        <v>2048.5769283999443</v>
      </c>
      <c r="F39" s="16">
        <f t="shared" si="3"/>
        <v>0.21320769283999444</v>
      </c>
    </row>
    <row r="40" spans="1:6" x14ac:dyDescent="0.25">
      <c r="A40" s="11">
        <v>45024</v>
      </c>
      <c r="B40" s="12">
        <f t="shared" si="0"/>
        <v>6</v>
      </c>
      <c r="C40" s="13">
        <f t="shared" si="4"/>
        <v>2084.4270246469437</v>
      </c>
      <c r="D40" s="13">
        <f t="shared" si="1"/>
        <v>23.5</v>
      </c>
      <c r="E40" s="13">
        <f t="shared" si="2"/>
        <v>2060.9270246469437</v>
      </c>
      <c r="F40" s="16">
        <f t="shared" si="3"/>
        <v>0.20844270246469437</v>
      </c>
    </row>
    <row r="41" spans="1:6" x14ac:dyDescent="0.25">
      <c r="A41" s="11">
        <v>45025</v>
      </c>
      <c r="B41" s="12">
        <f t="shared" si="0"/>
        <v>7</v>
      </c>
      <c r="C41" s="13">
        <f t="shared" si="4"/>
        <v>2096.9932475782653</v>
      </c>
      <c r="D41" s="13">
        <f t="shared" si="1"/>
        <v>23.5</v>
      </c>
      <c r="E41" s="13">
        <f t="shared" si="2"/>
        <v>2073.4932475782653</v>
      </c>
      <c r="F41" s="16">
        <f t="shared" si="3"/>
        <v>0.20969932475782652</v>
      </c>
    </row>
    <row r="42" spans="1:6" x14ac:dyDescent="0.25">
      <c r="A42" s="11">
        <v>45026</v>
      </c>
      <c r="B42" s="12">
        <f t="shared" si="0"/>
        <v>1</v>
      </c>
      <c r="C42" s="13">
        <f t="shared" si="4"/>
        <v>2109.7793794108852</v>
      </c>
      <c r="D42" s="13">
        <f t="shared" si="1"/>
        <v>23.5</v>
      </c>
      <c r="E42" s="13">
        <f t="shared" si="2"/>
        <v>2086.2793794108852</v>
      </c>
      <c r="F42" s="16">
        <f t="shared" si="3"/>
        <v>0.21097793794108852</v>
      </c>
    </row>
    <row r="43" spans="1:6" x14ac:dyDescent="0.25">
      <c r="A43" s="11">
        <v>45027</v>
      </c>
      <c r="B43" s="12">
        <f t="shared" si="0"/>
        <v>2</v>
      </c>
      <c r="C43" s="13">
        <f t="shared" si="4"/>
        <v>2122.7892685505758</v>
      </c>
      <c r="D43" s="13">
        <f t="shared" si="1"/>
        <v>23.5</v>
      </c>
      <c r="E43" s="13">
        <f t="shared" si="2"/>
        <v>2099.2892685505758</v>
      </c>
      <c r="F43" s="16">
        <f t="shared" si="3"/>
        <v>0.21227892685505759</v>
      </c>
    </row>
    <row r="44" spans="1:6" x14ac:dyDescent="0.25">
      <c r="A44" s="11">
        <v>45028</v>
      </c>
      <c r="B44" s="12">
        <f t="shared" si="0"/>
        <v>3</v>
      </c>
      <c r="C44" s="13">
        <f t="shared" si="4"/>
        <v>2136.026830750211</v>
      </c>
      <c r="D44" s="13">
        <f t="shared" si="1"/>
        <v>23.5</v>
      </c>
      <c r="E44" s="13">
        <f t="shared" si="2"/>
        <v>2112.526830750211</v>
      </c>
      <c r="F44" s="16">
        <f t="shared" si="3"/>
        <v>0.21360268307502112</v>
      </c>
    </row>
    <row r="45" spans="1:6" x14ac:dyDescent="0.25">
      <c r="A45" s="11">
        <v>45029</v>
      </c>
      <c r="B45" s="12">
        <f t="shared" si="0"/>
        <v>4</v>
      </c>
      <c r="C45" s="13">
        <f t="shared" si="4"/>
        <v>2149.49605028834</v>
      </c>
      <c r="D45" s="13">
        <f t="shared" si="1"/>
        <v>23.5</v>
      </c>
      <c r="E45" s="13">
        <f t="shared" si="2"/>
        <v>2125.99605028834</v>
      </c>
      <c r="F45" s="16">
        <f t="shared" si="3"/>
        <v>0.21494960502883401</v>
      </c>
    </row>
    <row r="46" spans="1:6" x14ac:dyDescent="0.25">
      <c r="A46" s="11">
        <v>45030</v>
      </c>
      <c r="B46" s="12">
        <f t="shared" si="0"/>
        <v>5</v>
      </c>
      <c r="C46" s="13">
        <f t="shared" si="4"/>
        <v>2163.2009811683861</v>
      </c>
      <c r="D46" s="13">
        <f t="shared" si="1"/>
        <v>83.5</v>
      </c>
      <c r="E46" s="13">
        <f t="shared" si="2"/>
        <v>2079.7009811683861</v>
      </c>
      <c r="F46" s="16">
        <f t="shared" si="3"/>
        <v>0.21632009811683861</v>
      </c>
    </row>
    <row r="47" spans="1:6" x14ac:dyDescent="0.25">
      <c r="A47" s="11">
        <v>45031</v>
      </c>
      <c r="B47" s="12">
        <f t="shared" si="0"/>
        <v>6</v>
      </c>
      <c r="C47" s="13">
        <f t="shared" si="4"/>
        <v>2116.0957483388329</v>
      </c>
      <c r="D47" s="13">
        <f t="shared" si="1"/>
        <v>23.5</v>
      </c>
      <c r="E47" s="13">
        <f t="shared" si="2"/>
        <v>2092.5957483388329</v>
      </c>
      <c r="F47" s="16">
        <f t="shared" si="3"/>
        <v>0.21160957483388329</v>
      </c>
    </row>
    <row r="48" spans="1:6" x14ac:dyDescent="0.25">
      <c r="A48" s="11">
        <v>45032</v>
      </c>
      <c r="B48" s="12">
        <f t="shared" si="0"/>
        <v>7</v>
      </c>
      <c r="C48" s="13">
        <f t="shared" si="4"/>
        <v>2129.2161739347625</v>
      </c>
      <c r="D48" s="13">
        <f t="shared" si="1"/>
        <v>23.5</v>
      </c>
      <c r="E48" s="13">
        <f t="shared" si="2"/>
        <v>2105.7161739347625</v>
      </c>
      <c r="F48" s="16">
        <f t="shared" si="3"/>
        <v>0.21292161739347626</v>
      </c>
    </row>
    <row r="49" spans="1:6" x14ac:dyDescent="0.25">
      <c r="A49" s="11">
        <v>45033</v>
      </c>
      <c r="B49" s="12">
        <f t="shared" si="0"/>
        <v>1</v>
      </c>
      <c r="C49" s="13">
        <f t="shared" si="4"/>
        <v>2142.5662069786208</v>
      </c>
      <c r="D49" s="13">
        <f t="shared" si="1"/>
        <v>23.5</v>
      </c>
      <c r="E49" s="13">
        <f t="shared" si="2"/>
        <v>2119.0662069786208</v>
      </c>
      <c r="F49" s="16">
        <f t="shared" si="3"/>
        <v>0.21425662069786208</v>
      </c>
    </row>
    <row r="50" spans="1:6" x14ac:dyDescent="0.25">
      <c r="A50" s="11">
        <v>45034</v>
      </c>
      <c r="B50" s="12">
        <f t="shared" si="0"/>
        <v>2</v>
      </c>
      <c r="C50" s="13">
        <f t="shared" si="4"/>
        <v>2156.149865600747</v>
      </c>
      <c r="D50" s="13">
        <f t="shared" si="1"/>
        <v>23.5</v>
      </c>
      <c r="E50" s="13">
        <f t="shared" si="2"/>
        <v>2132.649865600747</v>
      </c>
      <c r="F50" s="16">
        <f t="shared" si="3"/>
        <v>0.21561498656007472</v>
      </c>
    </row>
    <row r="51" spans="1:6" x14ac:dyDescent="0.25">
      <c r="A51" s="11">
        <v>45035</v>
      </c>
      <c r="B51" s="12">
        <f t="shared" si="0"/>
        <v>3</v>
      </c>
      <c r="C51" s="13">
        <f t="shared" si="4"/>
        <v>2169.9712382487601</v>
      </c>
      <c r="D51" s="13">
        <f t="shared" si="1"/>
        <v>23.5</v>
      </c>
      <c r="E51" s="13">
        <f t="shared" si="2"/>
        <v>2146.4712382487601</v>
      </c>
      <c r="F51" s="16">
        <f t="shared" si="3"/>
        <v>0.21699712382487601</v>
      </c>
    </row>
    <row r="52" spans="1:6" x14ac:dyDescent="0.25">
      <c r="A52" s="11">
        <v>45036</v>
      </c>
      <c r="B52" s="12">
        <f t="shared" si="0"/>
        <v>4</v>
      </c>
      <c r="C52" s="13">
        <f t="shared" si="4"/>
        <v>2184.0344849181133</v>
      </c>
      <c r="D52" s="13">
        <f t="shared" si="1"/>
        <v>23.5</v>
      </c>
      <c r="E52" s="13">
        <f t="shared" si="2"/>
        <v>2160.5344849181133</v>
      </c>
      <c r="F52" s="16">
        <f t="shared" si="3"/>
        <v>0.21840344849181134</v>
      </c>
    </row>
    <row r="53" spans="1:6" x14ac:dyDescent="0.25">
      <c r="A53" s="11">
        <v>45037</v>
      </c>
      <c r="B53" s="12">
        <f t="shared" si="0"/>
        <v>5</v>
      </c>
      <c r="C53" s="13">
        <f t="shared" si="4"/>
        <v>2198.3438384041806</v>
      </c>
      <c r="D53" s="13">
        <f t="shared" si="1"/>
        <v>83.5</v>
      </c>
      <c r="E53" s="13">
        <f t="shared" si="2"/>
        <v>2114.8438384041806</v>
      </c>
      <c r="F53" s="16">
        <f t="shared" si="3"/>
        <v>0.21983438384041806</v>
      </c>
    </row>
    <row r="54" spans="1:6" x14ac:dyDescent="0.25">
      <c r="A54" s="11">
        <v>45038</v>
      </c>
      <c r="B54" s="12">
        <f t="shared" si="0"/>
        <v>6</v>
      </c>
      <c r="C54" s="13">
        <f t="shared" si="4"/>
        <v>2151.8536055762538</v>
      </c>
      <c r="D54" s="13">
        <f t="shared" si="1"/>
        <v>23.5</v>
      </c>
      <c r="E54" s="13">
        <f t="shared" si="2"/>
        <v>2128.3536055762538</v>
      </c>
      <c r="F54" s="16">
        <f t="shared" si="3"/>
        <v>0.21518536055762538</v>
      </c>
    </row>
    <row r="55" spans="1:6" x14ac:dyDescent="0.25">
      <c r="A55" s="11">
        <v>45039</v>
      </c>
      <c r="B55" s="12">
        <f t="shared" si="0"/>
        <v>7</v>
      </c>
      <c r="C55" s="13">
        <f t="shared" si="4"/>
        <v>2165.5997936738386</v>
      </c>
      <c r="D55" s="13">
        <f t="shared" si="1"/>
        <v>23.5</v>
      </c>
      <c r="E55" s="13">
        <f t="shared" si="2"/>
        <v>2142.0997936738386</v>
      </c>
      <c r="F55" s="16">
        <f t="shared" si="3"/>
        <v>0.21655997936738386</v>
      </c>
    </row>
    <row r="56" spans="1:6" x14ac:dyDescent="0.25">
      <c r="A56" s="11">
        <v>45040</v>
      </c>
      <c r="B56" s="12">
        <f t="shared" si="0"/>
        <v>1</v>
      </c>
      <c r="C56" s="13">
        <f t="shared" si="4"/>
        <v>2179.586540063131</v>
      </c>
      <c r="D56" s="13">
        <f t="shared" si="1"/>
        <v>23.5</v>
      </c>
      <c r="E56" s="13">
        <f t="shared" si="2"/>
        <v>2156.086540063131</v>
      </c>
      <c r="F56" s="16">
        <f t="shared" si="3"/>
        <v>0.21795865400631309</v>
      </c>
    </row>
    <row r="57" spans="1:6" x14ac:dyDescent="0.25">
      <c r="A57" s="11">
        <v>45041</v>
      </c>
      <c r="B57" s="12">
        <f t="shared" si="0"/>
        <v>2</v>
      </c>
      <c r="C57" s="13">
        <f t="shared" si="4"/>
        <v>2193.8180545142359</v>
      </c>
      <c r="D57" s="13">
        <f t="shared" si="1"/>
        <v>23.5</v>
      </c>
      <c r="E57" s="13">
        <f t="shared" si="2"/>
        <v>2170.3180545142359</v>
      </c>
      <c r="F57" s="16">
        <f t="shared" si="3"/>
        <v>0.21938180545142358</v>
      </c>
    </row>
    <row r="58" spans="1:6" x14ac:dyDescent="0.25">
      <c r="A58" s="11">
        <v>45042</v>
      </c>
      <c r="B58" s="12">
        <f t="shared" si="0"/>
        <v>3</v>
      </c>
      <c r="C58" s="13">
        <f t="shared" si="4"/>
        <v>2208.2986204682352</v>
      </c>
      <c r="D58" s="13">
        <f t="shared" si="1"/>
        <v>23.5</v>
      </c>
      <c r="E58" s="13">
        <f t="shared" si="2"/>
        <v>2184.7986204682352</v>
      </c>
      <c r="F58" s="16">
        <f t="shared" si="3"/>
        <v>0.22082986204682351</v>
      </c>
    </row>
    <row r="59" spans="1:6" x14ac:dyDescent="0.25">
      <c r="A59" s="11">
        <v>45043</v>
      </c>
      <c r="B59" s="12">
        <f t="shared" si="0"/>
        <v>4</v>
      </c>
      <c r="C59" s="13">
        <f t="shared" si="4"/>
        <v>2223.0325963264295</v>
      </c>
      <c r="D59" s="13">
        <f t="shared" si="1"/>
        <v>23.5</v>
      </c>
      <c r="E59" s="13">
        <f t="shared" si="2"/>
        <v>2199.5325963264295</v>
      </c>
      <c r="F59" s="16">
        <f t="shared" si="3"/>
        <v>0.22230325963264294</v>
      </c>
    </row>
    <row r="60" spans="1:6" x14ac:dyDescent="0.25">
      <c r="A60" s="11">
        <v>45044</v>
      </c>
      <c r="B60" s="12">
        <f t="shared" si="0"/>
        <v>5</v>
      </c>
      <c r="C60" s="13">
        <f t="shared" si="4"/>
        <v>2238.0244167621422</v>
      </c>
      <c r="D60" s="13">
        <f t="shared" si="1"/>
        <v>83.5</v>
      </c>
      <c r="E60" s="13">
        <f t="shared" si="2"/>
        <v>2154.5244167621422</v>
      </c>
      <c r="F60" s="16">
        <f t="shared" si="3"/>
        <v>0.22380244167621421</v>
      </c>
    </row>
    <row r="61" spans="1:6" x14ac:dyDescent="0.25">
      <c r="A61" s="11">
        <v>45045</v>
      </c>
      <c r="B61" s="12">
        <f t="shared" si="0"/>
        <v>6</v>
      </c>
      <c r="C61" s="13">
        <f t="shared" si="4"/>
        <v>2192.2285940554798</v>
      </c>
      <c r="D61" s="13">
        <f t="shared" si="1"/>
        <v>23.5</v>
      </c>
      <c r="E61" s="13">
        <f t="shared" si="2"/>
        <v>2168.7285940554798</v>
      </c>
      <c r="F61" s="16">
        <f t="shared" si="3"/>
        <v>0.21922285940554798</v>
      </c>
    </row>
    <row r="62" spans="1:6" x14ac:dyDescent="0.25">
      <c r="A62" s="11">
        <v>45046</v>
      </c>
      <c r="B62" s="12">
        <f t="shared" si="0"/>
        <v>7</v>
      </c>
      <c r="C62" s="13">
        <f t="shared" si="4"/>
        <v>2206.681344451451</v>
      </c>
      <c r="D62" s="13">
        <f t="shared" si="1"/>
        <v>23.5</v>
      </c>
      <c r="E62" s="13">
        <f t="shared" si="2"/>
        <v>2183.181344451451</v>
      </c>
      <c r="F62" s="16">
        <f t="shared" si="3"/>
        <v>0.2206681344451451</v>
      </c>
    </row>
    <row r="63" spans="1:6" x14ac:dyDescent="0.25">
      <c r="A63" s="11">
        <v>45047</v>
      </c>
      <c r="B63" s="12">
        <f t="shared" si="0"/>
        <v>1</v>
      </c>
      <c r="C63" s="13">
        <f t="shared" si="4"/>
        <v>2221.3870179793516</v>
      </c>
      <c r="D63" s="13">
        <f t="shared" si="1"/>
        <v>23.5</v>
      </c>
      <c r="E63" s="13">
        <f t="shared" si="2"/>
        <v>2197.8870179793516</v>
      </c>
      <c r="F63" s="16">
        <f t="shared" si="3"/>
        <v>0.22213870179793516</v>
      </c>
    </row>
    <row r="64" spans="1:6" x14ac:dyDescent="0.25">
      <c r="A64" s="11">
        <v>45048</v>
      </c>
      <c r="B64" s="12">
        <f t="shared" si="0"/>
        <v>2</v>
      </c>
      <c r="C64" s="13">
        <f t="shared" si="4"/>
        <v>2236.3500407939905</v>
      </c>
      <c r="D64" s="13">
        <f t="shared" si="1"/>
        <v>23.5</v>
      </c>
      <c r="E64" s="13">
        <f t="shared" si="2"/>
        <v>2212.8500407939905</v>
      </c>
      <c r="F64" s="16">
        <f t="shared" si="3"/>
        <v>0.22363500407939904</v>
      </c>
    </row>
    <row r="65" spans="1:6" x14ac:dyDescent="0.25">
      <c r="A65" s="11">
        <v>45049</v>
      </c>
      <c r="B65" s="12">
        <f t="shared" si="0"/>
        <v>3</v>
      </c>
      <c r="C65" s="13">
        <f t="shared" si="4"/>
        <v>2251.5749165078855</v>
      </c>
      <c r="D65" s="13">
        <f t="shared" si="1"/>
        <v>23.5</v>
      </c>
      <c r="E65" s="13">
        <f t="shared" si="2"/>
        <v>2228.0749165078855</v>
      </c>
      <c r="F65" s="16">
        <f t="shared" si="3"/>
        <v>0.22515749165078855</v>
      </c>
    </row>
    <row r="66" spans="1:6" x14ac:dyDescent="0.25">
      <c r="A66" s="11">
        <v>45050</v>
      </c>
      <c r="B66" s="12">
        <f t="shared" si="0"/>
        <v>4</v>
      </c>
      <c r="C66" s="13">
        <f t="shared" si="4"/>
        <v>2267.0662275467735</v>
      </c>
      <c r="D66" s="13">
        <f t="shared" si="1"/>
        <v>23.5</v>
      </c>
      <c r="E66" s="13">
        <f t="shared" si="2"/>
        <v>2243.5662275467735</v>
      </c>
      <c r="F66" s="16">
        <f t="shared" si="3"/>
        <v>0.22670662275467734</v>
      </c>
    </row>
    <row r="67" spans="1:6" x14ac:dyDescent="0.25">
      <c r="A67" s="11">
        <v>45051</v>
      </c>
      <c r="B67" s="12">
        <f t="shared" ref="B67:B130" si="5">WEEKDAY(A67,2)</f>
        <v>5</v>
      </c>
      <c r="C67" s="13">
        <f t="shared" si="4"/>
        <v>2282.8286365288423</v>
      </c>
      <c r="D67" s="13">
        <f t="shared" ref="D67:D130" si="6">$M$7*0.25 + IF(B67=5,60,0)</f>
        <v>83.5</v>
      </c>
      <c r="E67" s="13">
        <f t="shared" ref="E67:E130" si="7">C67-D67</f>
        <v>2199.3286365288423</v>
      </c>
      <c r="F67" s="16">
        <f t="shared" ref="F67:F130" si="8">C67 / 10000</f>
        <v>0.22828286365288422</v>
      </c>
    </row>
    <row r="68" spans="1:6" x14ac:dyDescent="0.25">
      <c r="A68" s="11">
        <v>45052</v>
      </c>
      <c r="B68" s="12">
        <f t="shared" si="5"/>
        <v>6</v>
      </c>
      <c r="C68" s="13">
        <f t="shared" ref="C68:C131" si="9">E67*1.0175</f>
        <v>2237.816887668097</v>
      </c>
      <c r="D68" s="13">
        <f t="shared" si="6"/>
        <v>23.5</v>
      </c>
      <c r="E68" s="13">
        <f t="shared" si="7"/>
        <v>2214.316887668097</v>
      </c>
      <c r="F68" s="16">
        <f t="shared" si="8"/>
        <v>0.22378168876680971</v>
      </c>
    </row>
    <row r="69" spans="1:6" x14ac:dyDescent="0.25">
      <c r="A69" s="11">
        <v>45053</v>
      </c>
      <c r="B69" s="12">
        <f t="shared" si="5"/>
        <v>7</v>
      </c>
      <c r="C69" s="13">
        <f t="shared" si="9"/>
        <v>2253.0674332022891</v>
      </c>
      <c r="D69" s="13">
        <f t="shared" si="6"/>
        <v>23.5</v>
      </c>
      <c r="E69" s="13">
        <f t="shared" si="7"/>
        <v>2229.5674332022891</v>
      </c>
      <c r="F69" s="16">
        <f t="shared" si="8"/>
        <v>0.2253067433202289</v>
      </c>
    </row>
    <row r="70" spans="1:6" x14ac:dyDescent="0.25">
      <c r="A70" s="11">
        <v>45054</v>
      </c>
      <c r="B70" s="12">
        <f t="shared" si="5"/>
        <v>1</v>
      </c>
      <c r="C70" s="13">
        <f t="shared" si="9"/>
        <v>2268.5848632833295</v>
      </c>
      <c r="D70" s="13">
        <f t="shared" si="6"/>
        <v>23.5</v>
      </c>
      <c r="E70" s="13">
        <f t="shared" si="7"/>
        <v>2245.0848632833295</v>
      </c>
      <c r="F70" s="16">
        <f t="shared" si="8"/>
        <v>0.22685848632833294</v>
      </c>
    </row>
    <row r="71" spans="1:6" x14ac:dyDescent="0.25">
      <c r="A71" s="11">
        <v>45055</v>
      </c>
      <c r="B71" s="12">
        <f t="shared" si="5"/>
        <v>2</v>
      </c>
      <c r="C71" s="13">
        <f t="shared" si="9"/>
        <v>2284.3738483907878</v>
      </c>
      <c r="D71" s="13">
        <f t="shared" si="6"/>
        <v>23.5</v>
      </c>
      <c r="E71" s="13">
        <f t="shared" si="7"/>
        <v>2260.8738483907878</v>
      </c>
      <c r="F71" s="16">
        <f t="shared" si="8"/>
        <v>0.22843738483907877</v>
      </c>
    </row>
    <row r="72" spans="1:6" x14ac:dyDescent="0.25">
      <c r="A72" s="11">
        <v>45056</v>
      </c>
      <c r="B72" s="12">
        <f t="shared" si="5"/>
        <v>3</v>
      </c>
      <c r="C72" s="13">
        <f t="shared" si="9"/>
        <v>2300.4391407376265</v>
      </c>
      <c r="D72" s="13">
        <f t="shared" si="6"/>
        <v>23.5</v>
      </c>
      <c r="E72" s="13">
        <f t="shared" si="7"/>
        <v>2276.9391407376265</v>
      </c>
      <c r="F72" s="16">
        <f t="shared" si="8"/>
        <v>0.23004391407376265</v>
      </c>
    </row>
    <row r="73" spans="1:6" x14ac:dyDescent="0.25">
      <c r="A73" s="11">
        <v>45057</v>
      </c>
      <c r="B73" s="12">
        <f t="shared" si="5"/>
        <v>4</v>
      </c>
      <c r="C73" s="13">
        <f t="shared" si="9"/>
        <v>2316.785575700535</v>
      </c>
      <c r="D73" s="13">
        <f t="shared" si="6"/>
        <v>23.5</v>
      </c>
      <c r="E73" s="13">
        <f t="shared" si="7"/>
        <v>2293.285575700535</v>
      </c>
      <c r="F73" s="16">
        <f t="shared" si="8"/>
        <v>0.23167855757005351</v>
      </c>
    </row>
    <row r="74" spans="1:6" x14ac:dyDescent="0.25">
      <c r="A74" s="11">
        <v>45058</v>
      </c>
      <c r="B74" s="12">
        <f t="shared" si="5"/>
        <v>5</v>
      </c>
      <c r="C74" s="13">
        <f t="shared" si="9"/>
        <v>2333.4180732752943</v>
      </c>
      <c r="D74" s="13">
        <f t="shared" si="6"/>
        <v>83.5</v>
      </c>
      <c r="E74" s="13">
        <f t="shared" si="7"/>
        <v>2249.9180732752943</v>
      </c>
      <c r="F74" s="16">
        <f t="shared" si="8"/>
        <v>0.23334180732752943</v>
      </c>
    </row>
    <row r="75" spans="1:6" x14ac:dyDescent="0.25">
      <c r="A75" s="11">
        <v>45059</v>
      </c>
      <c r="B75" s="12">
        <f t="shared" si="5"/>
        <v>6</v>
      </c>
      <c r="C75" s="13">
        <f t="shared" si="9"/>
        <v>2289.2916395576121</v>
      </c>
      <c r="D75" s="13">
        <f t="shared" si="6"/>
        <v>23.5</v>
      </c>
      <c r="E75" s="13">
        <f t="shared" si="7"/>
        <v>2265.7916395576121</v>
      </c>
      <c r="F75" s="16">
        <f t="shared" si="8"/>
        <v>0.22892916395576121</v>
      </c>
    </row>
    <row r="76" spans="1:6" x14ac:dyDescent="0.25">
      <c r="A76" s="11">
        <v>45060</v>
      </c>
      <c r="B76" s="12">
        <f t="shared" si="5"/>
        <v>7</v>
      </c>
      <c r="C76" s="13">
        <f t="shared" si="9"/>
        <v>2305.4429932498706</v>
      </c>
      <c r="D76" s="13">
        <f t="shared" si="6"/>
        <v>23.5</v>
      </c>
      <c r="E76" s="13">
        <f t="shared" si="7"/>
        <v>2281.9429932498706</v>
      </c>
      <c r="F76" s="16">
        <f t="shared" si="8"/>
        <v>0.23054429932498707</v>
      </c>
    </row>
    <row r="77" spans="1:6" x14ac:dyDescent="0.25">
      <c r="A77" s="11">
        <v>45061</v>
      </c>
      <c r="B77" s="12">
        <f t="shared" si="5"/>
        <v>1</v>
      </c>
      <c r="C77" s="13">
        <f t="shared" si="9"/>
        <v>2321.8769956317433</v>
      </c>
      <c r="D77" s="13">
        <f t="shared" si="6"/>
        <v>23.5</v>
      </c>
      <c r="E77" s="13">
        <f t="shared" si="7"/>
        <v>2298.3769956317433</v>
      </c>
      <c r="F77" s="16">
        <f t="shared" si="8"/>
        <v>0.23218769956317434</v>
      </c>
    </row>
    <row r="78" spans="1:6" x14ac:dyDescent="0.25">
      <c r="A78" s="11">
        <v>45062</v>
      </c>
      <c r="B78" s="12">
        <f t="shared" si="5"/>
        <v>2</v>
      </c>
      <c r="C78" s="13">
        <f t="shared" si="9"/>
        <v>2338.5985930552988</v>
      </c>
      <c r="D78" s="13">
        <f t="shared" si="6"/>
        <v>23.5</v>
      </c>
      <c r="E78" s="13">
        <f t="shared" si="7"/>
        <v>2315.0985930552988</v>
      </c>
      <c r="F78" s="16">
        <f t="shared" si="8"/>
        <v>0.23385985930552988</v>
      </c>
    </row>
    <row r="79" spans="1:6" x14ac:dyDescent="0.25">
      <c r="A79" s="11">
        <v>45063</v>
      </c>
      <c r="B79" s="12">
        <f t="shared" si="5"/>
        <v>3</v>
      </c>
      <c r="C79" s="13">
        <f t="shared" si="9"/>
        <v>2355.6128184337667</v>
      </c>
      <c r="D79" s="13">
        <f t="shared" si="6"/>
        <v>23.5</v>
      </c>
      <c r="E79" s="13">
        <f t="shared" si="7"/>
        <v>2332.1128184337667</v>
      </c>
      <c r="F79" s="16">
        <f t="shared" si="8"/>
        <v>0.23556128184337669</v>
      </c>
    </row>
    <row r="80" spans="1:6" x14ac:dyDescent="0.25">
      <c r="A80" s="11">
        <v>45064</v>
      </c>
      <c r="B80" s="12">
        <f t="shared" si="5"/>
        <v>4</v>
      </c>
      <c r="C80" s="13">
        <f t="shared" si="9"/>
        <v>2372.9247927563579</v>
      </c>
      <c r="D80" s="13">
        <f t="shared" si="6"/>
        <v>23.5</v>
      </c>
      <c r="E80" s="13">
        <f t="shared" si="7"/>
        <v>2349.4247927563579</v>
      </c>
      <c r="F80" s="16">
        <f t="shared" si="8"/>
        <v>0.23729247927563579</v>
      </c>
    </row>
    <row r="81" spans="1:6" x14ac:dyDescent="0.25">
      <c r="A81" s="11">
        <v>45065</v>
      </c>
      <c r="B81" s="12">
        <f t="shared" si="5"/>
        <v>5</v>
      </c>
      <c r="C81" s="13">
        <f t="shared" si="9"/>
        <v>2390.5397266295945</v>
      </c>
      <c r="D81" s="13">
        <f t="shared" si="6"/>
        <v>83.5</v>
      </c>
      <c r="E81" s="13">
        <f t="shared" si="7"/>
        <v>2307.0397266295945</v>
      </c>
      <c r="F81" s="16">
        <f t="shared" si="8"/>
        <v>0.23905397266295944</v>
      </c>
    </row>
    <row r="82" spans="1:6" x14ac:dyDescent="0.25">
      <c r="A82" s="11">
        <v>45066</v>
      </c>
      <c r="B82" s="12">
        <f t="shared" si="5"/>
        <v>6</v>
      </c>
      <c r="C82" s="13">
        <f t="shared" si="9"/>
        <v>2347.4129218456123</v>
      </c>
      <c r="D82" s="13">
        <f t="shared" si="6"/>
        <v>23.5</v>
      </c>
      <c r="E82" s="13">
        <f t="shared" si="7"/>
        <v>2323.9129218456123</v>
      </c>
      <c r="F82" s="16">
        <f t="shared" si="8"/>
        <v>0.23474129218456125</v>
      </c>
    </row>
    <row r="83" spans="1:6" x14ac:dyDescent="0.25">
      <c r="A83" s="11">
        <v>45067</v>
      </c>
      <c r="B83" s="12">
        <f t="shared" si="5"/>
        <v>7</v>
      </c>
      <c r="C83" s="13">
        <f t="shared" si="9"/>
        <v>2364.5813979779109</v>
      </c>
      <c r="D83" s="13">
        <f t="shared" si="6"/>
        <v>23.5</v>
      </c>
      <c r="E83" s="13">
        <f t="shared" si="7"/>
        <v>2341.0813979779109</v>
      </c>
      <c r="F83" s="16">
        <f t="shared" si="8"/>
        <v>0.23645813979779109</v>
      </c>
    </row>
    <row r="84" spans="1:6" x14ac:dyDescent="0.25">
      <c r="A84" s="11">
        <v>45068</v>
      </c>
      <c r="B84" s="12">
        <f t="shared" si="5"/>
        <v>1</v>
      </c>
      <c r="C84" s="13">
        <f t="shared" si="9"/>
        <v>2382.0503224425247</v>
      </c>
      <c r="D84" s="13">
        <f t="shared" si="6"/>
        <v>23.5</v>
      </c>
      <c r="E84" s="13">
        <f t="shared" si="7"/>
        <v>2358.5503224425247</v>
      </c>
      <c r="F84" s="16">
        <f t="shared" si="8"/>
        <v>0.23820503224425246</v>
      </c>
    </row>
    <row r="85" spans="1:6" x14ac:dyDescent="0.25">
      <c r="A85" s="11">
        <v>45069</v>
      </c>
      <c r="B85" s="12">
        <f t="shared" si="5"/>
        <v>2</v>
      </c>
      <c r="C85" s="13">
        <f t="shared" si="9"/>
        <v>2399.824953085269</v>
      </c>
      <c r="D85" s="13">
        <f t="shared" si="6"/>
        <v>23.5</v>
      </c>
      <c r="E85" s="13">
        <f t="shared" si="7"/>
        <v>2376.324953085269</v>
      </c>
      <c r="F85" s="16">
        <f t="shared" si="8"/>
        <v>0.23998249530852692</v>
      </c>
    </row>
    <row r="86" spans="1:6" x14ac:dyDescent="0.25">
      <c r="A86" s="11">
        <v>45070</v>
      </c>
      <c r="B86" s="12">
        <f t="shared" si="5"/>
        <v>3</v>
      </c>
      <c r="C86" s="13">
        <f t="shared" si="9"/>
        <v>2417.9106397642613</v>
      </c>
      <c r="D86" s="13">
        <f t="shared" si="6"/>
        <v>23.5</v>
      </c>
      <c r="E86" s="13">
        <f t="shared" si="7"/>
        <v>2394.4106397642613</v>
      </c>
      <c r="F86" s="16">
        <f t="shared" si="8"/>
        <v>0.24179106397642613</v>
      </c>
    </row>
    <row r="87" spans="1:6" x14ac:dyDescent="0.25">
      <c r="A87" s="11">
        <v>45071</v>
      </c>
      <c r="B87" s="12">
        <f t="shared" si="5"/>
        <v>4</v>
      </c>
      <c r="C87" s="13">
        <f t="shared" si="9"/>
        <v>2436.3128259601363</v>
      </c>
      <c r="D87" s="13">
        <f t="shared" si="6"/>
        <v>23.5</v>
      </c>
      <c r="E87" s="13">
        <f t="shared" si="7"/>
        <v>2412.8128259601363</v>
      </c>
      <c r="F87" s="16">
        <f t="shared" si="8"/>
        <v>0.24363128259601363</v>
      </c>
    </row>
    <row r="88" spans="1:6" x14ac:dyDescent="0.25">
      <c r="A88" s="11">
        <v>45072</v>
      </c>
      <c r="B88" s="12">
        <f t="shared" si="5"/>
        <v>5</v>
      </c>
      <c r="C88" s="13">
        <f t="shared" si="9"/>
        <v>2455.0370504144389</v>
      </c>
      <c r="D88" s="13">
        <f t="shared" si="6"/>
        <v>83.5</v>
      </c>
      <c r="E88" s="13">
        <f t="shared" si="7"/>
        <v>2371.5370504144389</v>
      </c>
      <c r="F88" s="16">
        <f t="shared" si="8"/>
        <v>0.24550370504144389</v>
      </c>
    </row>
    <row r="89" spans="1:6" x14ac:dyDescent="0.25">
      <c r="A89" s="11">
        <v>45073</v>
      </c>
      <c r="B89" s="12">
        <f t="shared" si="5"/>
        <v>6</v>
      </c>
      <c r="C89" s="13">
        <f t="shared" si="9"/>
        <v>2413.0389487966918</v>
      </c>
      <c r="D89" s="13">
        <f t="shared" si="6"/>
        <v>23.5</v>
      </c>
      <c r="E89" s="13">
        <f t="shared" si="7"/>
        <v>2389.5389487966918</v>
      </c>
      <c r="F89" s="16">
        <f t="shared" si="8"/>
        <v>0.24130389487966919</v>
      </c>
    </row>
    <row r="90" spans="1:6" x14ac:dyDescent="0.25">
      <c r="A90" s="11">
        <v>45074</v>
      </c>
      <c r="B90" s="12">
        <f t="shared" si="5"/>
        <v>7</v>
      </c>
      <c r="C90" s="13">
        <f t="shared" si="9"/>
        <v>2431.3558804006339</v>
      </c>
      <c r="D90" s="13">
        <f t="shared" si="6"/>
        <v>23.5</v>
      </c>
      <c r="E90" s="13">
        <f t="shared" si="7"/>
        <v>2407.8558804006339</v>
      </c>
      <c r="F90" s="16">
        <f t="shared" si="8"/>
        <v>0.24313558804006338</v>
      </c>
    </row>
    <row r="91" spans="1:6" x14ac:dyDescent="0.25">
      <c r="A91" s="11">
        <v>45075</v>
      </c>
      <c r="B91" s="12">
        <f t="shared" si="5"/>
        <v>1</v>
      </c>
      <c r="C91" s="13">
        <f t="shared" si="9"/>
        <v>2449.9933583076449</v>
      </c>
      <c r="D91" s="13">
        <f t="shared" si="6"/>
        <v>23.5</v>
      </c>
      <c r="E91" s="13">
        <f t="shared" si="7"/>
        <v>2426.4933583076449</v>
      </c>
      <c r="F91" s="16">
        <f t="shared" si="8"/>
        <v>0.2449993358307645</v>
      </c>
    </row>
    <row r="92" spans="1:6" x14ac:dyDescent="0.25">
      <c r="A92" s="11">
        <v>45076</v>
      </c>
      <c r="B92" s="12">
        <f t="shared" si="5"/>
        <v>2</v>
      </c>
      <c r="C92" s="13">
        <f t="shared" si="9"/>
        <v>2468.9569920780291</v>
      </c>
      <c r="D92" s="13">
        <f t="shared" si="6"/>
        <v>23.5</v>
      </c>
      <c r="E92" s="13">
        <f t="shared" si="7"/>
        <v>2445.4569920780291</v>
      </c>
      <c r="F92" s="16">
        <f t="shared" si="8"/>
        <v>0.24689569920780291</v>
      </c>
    </row>
    <row r="93" spans="1:6" x14ac:dyDescent="0.25">
      <c r="A93" s="11">
        <v>45077</v>
      </c>
      <c r="B93" s="12">
        <f t="shared" si="5"/>
        <v>3</v>
      </c>
      <c r="C93" s="13">
        <f t="shared" si="9"/>
        <v>2488.2524894393946</v>
      </c>
      <c r="D93" s="13">
        <f t="shared" si="6"/>
        <v>23.5</v>
      </c>
      <c r="E93" s="13">
        <f t="shared" si="7"/>
        <v>2464.7524894393946</v>
      </c>
      <c r="F93" s="16">
        <f t="shared" si="8"/>
        <v>0.24882524894393945</v>
      </c>
    </row>
    <row r="94" spans="1:6" x14ac:dyDescent="0.25">
      <c r="A94" s="11">
        <v>45078</v>
      </c>
      <c r="B94" s="12">
        <f t="shared" si="5"/>
        <v>4</v>
      </c>
      <c r="C94" s="13">
        <f t="shared" si="9"/>
        <v>2507.885658004584</v>
      </c>
      <c r="D94" s="13">
        <f t="shared" si="6"/>
        <v>23.5</v>
      </c>
      <c r="E94" s="13">
        <f t="shared" si="7"/>
        <v>2484.385658004584</v>
      </c>
      <c r="F94" s="16">
        <f t="shared" si="8"/>
        <v>0.25078856580045839</v>
      </c>
    </row>
    <row r="95" spans="1:6" x14ac:dyDescent="0.25">
      <c r="A95" s="11">
        <v>45079</v>
      </c>
      <c r="B95" s="12">
        <f t="shared" si="5"/>
        <v>5</v>
      </c>
      <c r="C95" s="13">
        <f t="shared" si="9"/>
        <v>2527.8624070196643</v>
      </c>
      <c r="D95" s="13">
        <f t="shared" si="6"/>
        <v>83.5</v>
      </c>
      <c r="E95" s="13">
        <f t="shared" si="7"/>
        <v>2444.3624070196643</v>
      </c>
      <c r="F95" s="16">
        <f t="shared" si="8"/>
        <v>0.25278624070196642</v>
      </c>
    </row>
    <row r="96" spans="1:6" x14ac:dyDescent="0.25">
      <c r="A96" s="11">
        <v>45080</v>
      </c>
      <c r="B96" s="12">
        <f t="shared" si="5"/>
        <v>6</v>
      </c>
      <c r="C96" s="13">
        <f t="shared" si="9"/>
        <v>2487.1387491425085</v>
      </c>
      <c r="D96" s="13">
        <f t="shared" si="6"/>
        <v>23.5</v>
      </c>
      <c r="E96" s="13">
        <f t="shared" si="7"/>
        <v>2463.6387491425085</v>
      </c>
      <c r="F96" s="16">
        <f t="shared" si="8"/>
        <v>0.24871387491425084</v>
      </c>
    </row>
    <row r="97" spans="1:6" x14ac:dyDescent="0.25">
      <c r="A97" s="11">
        <v>45081</v>
      </c>
      <c r="B97" s="12">
        <f t="shared" si="5"/>
        <v>7</v>
      </c>
      <c r="C97" s="13">
        <f t="shared" si="9"/>
        <v>2506.7524272525025</v>
      </c>
      <c r="D97" s="13">
        <f t="shared" si="6"/>
        <v>23.5</v>
      </c>
      <c r="E97" s="13">
        <f t="shared" si="7"/>
        <v>2483.2524272525025</v>
      </c>
      <c r="F97" s="16">
        <f t="shared" si="8"/>
        <v>0.25067524272525027</v>
      </c>
    </row>
    <row r="98" spans="1:6" x14ac:dyDescent="0.25">
      <c r="A98" s="11">
        <v>45082</v>
      </c>
      <c r="B98" s="12">
        <f t="shared" si="5"/>
        <v>1</v>
      </c>
      <c r="C98" s="13">
        <f t="shared" si="9"/>
        <v>2526.7093447294214</v>
      </c>
      <c r="D98" s="13">
        <f t="shared" si="6"/>
        <v>23.5</v>
      </c>
      <c r="E98" s="13">
        <f t="shared" si="7"/>
        <v>2503.2093447294214</v>
      </c>
      <c r="F98" s="16">
        <f t="shared" si="8"/>
        <v>0.25267093447294214</v>
      </c>
    </row>
    <row r="99" spans="1:6" x14ac:dyDescent="0.25">
      <c r="A99" s="11">
        <v>45083</v>
      </c>
      <c r="B99" s="12">
        <f t="shared" si="5"/>
        <v>2</v>
      </c>
      <c r="C99" s="13">
        <f t="shared" si="9"/>
        <v>2547.0155082621864</v>
      </c>
      <c r="D99" s="13">
        <f t="shared" si="6"/>
        <v>23.5</v>
      </c>
      <c r="E99" s="13">
        <f t="shared" si="7"/>
        <v>2523.5155082621864</v>
      </c>
      <c r="F99" s="16">
        <f t="shared" si="8"/>
        <v>0.25470155082621865</v>
      </c>
    </row>
    <row r="100" spans="1:6" x14ac:dyDescent="0.25">
      <c r="A100" s="11">
        <v>45084</v>
      </c>
      <c r="B100" s="12">
        <f t="shared" si="5"/>
        <v>3</v>
      </c>
      <c r="C100" s="13">
        <f t="shared" si="9"/>
        <v>2567.6770296567747</v>
      </c>
      <c r="D100" s="13">
        <f t="shared" si="6"/>
        <v>23.5</v>
      </c>
      <c r="E100" s="13">
        <f t="shared" si="7"/>
        <v>2544.1770296567747</v>
      </c>
      <c r="F100" s="16">
        <f t="shared" si="8"/>
        <v>0.25676770296567747</v>
      </c>
    </row>
    <row r="101" spans="1:6" x14ac:dyDescent="0.25">
      <c r="A101" s="11">
        <v>45085</v>
      </c>
      <c r="B101" s="12">
        <f t="shared" si="5"/>
        <v>4</v>
      </c>
      <c r="C101" s="13">
        <f t="shared" si="9"/>
        <v>2588.7001276757683</v>
      </c>
      <c r="D101" s="13">
        <f t="shared" si="6"/>
        <v>23.5</v>
      </c>
      <c r="E101" s="13">
        <f t="shared" si="7"/>
        <v>2565.2001276757683</v>
      </c>
      <c r="F101" s="16">
        <f t="shared" si="8"/>
        <v>0.25887001276757682</v>
      </c>
    </row>
    <row r="102" spans="1:6" x14ac:dyDescent="0.25">
      <c r="A102" s="11">
        <v>45086</v>
      </c>
      <c r="B102" s="12">
        <f t="shared" si="5"/>
        <v>5</v>
      </c>
      <c r="C102" s="13">
        <f t="shared" si="9"/>
        <v>2610.0911299100944</v>
      </c>
      <c r="D102" s="13">
        <f t="shared" si="6"/>
        <v>83.5</v>
      </c>
      <c r="E102" s="13">
        <f t="shared" si="7"/>
        <v>2526.5911299100944</v>
      </c>
      <c r="F102" s="16">
        <f t="shared" si="8"/>
        <v>0.26100911299100943</v>
      </c>
    </row>
    <row r="103" spans="1:6" x14ac:dyDescent="0.25">
      <c r="A103" s="11">
        <v>45087</v>
      </c>
      <c r="B103" s="12">
        <f t="shared" si="5"/>
        <v>6</v>
      </c>
      <c r="C103" s="13">
        <f t="shared" si="9"/>
        <v>2570.8064746835212</v>
      </c>
      <c r="D103" s="13">
        <f t="shared" si="6"/>
        <v>23.5</v>
      </c>
      <c r="E103" s="13">
        <f t="shared" si="7"/>
        <v>2547.3064746835212</v>
      </c>
      <c r="F103" s="16">
        <f t="shared" si="8"/>
        <v>0.25708064746835213</v>
      </c>
    </row>
    <row r="104" spans="1:6" x14ac:dyDescent="0.25">
      <c r="A104" s="11">
        <v>45088</v>
      </c>
      <c r="B104" s="12">
        <f t="shared" si="5"/>
        <v>7</v>
      </c>
      <c r="C104" s="13">
        <f t="shared" si="9"/>
        <v>2591.8843379904829</v>
      </c>
      <c r="D104" s="13">
        <f t="shared" si="6"/>
        <v>23.5</v>
      </c>
      <c r="E104" s="13">
        <f t="shared" si="7"/>
        <v>2568.3843379904829</v>
      </c>
      <c r="F104" s="16">
        <f t="shared" si="8"/>
        <v>0.25918843379904827</v>
      </c>
    </row>
    <row r="105" spans="1:6" x14ac:dyDescent="0.25">
      <c r="A105" s="11">
        <v>45089</v>
      </c>
      <c r="B105" s="12">
        <f t="shared" si="5"/>
        <v>1</v>
      </c>
      <c r="C105" s="13">
        <f t="shared" si="9"/>
        <v>2613.3310639053166</v>
      </c>
      <c r="D105" s="13">
        <f t="shared" si="6"/>
        <v>23.5</v>
      </c>
      <c r="E105" s="13">
        <f t="shared" si="7"/>
        <v>2589.8310639053166</v>
      </c>
      <c r="F105" s="16">
        <f t="shared" si="8"/>
        <v>0.26133310639053164</v>
      </c>
    </row>
    <row r="106" spans="1:6" x14ac:dyDescent="0.25">
      <c r="A106" s="11">
        <v>45090</v>
      </c>
      <c r="B106" s="12">
        <f t="shared" si="5"/>
        <v>2</v>
      </c>
      <c r="C106" s="13">
        <f t="shared" si="9"/>
        <v>2635.1531075236599</v>
      </c>
      <c r="D106" s="13">
        <f t="shared" si="6"/>
        <v>23.5</v>
      </c>
      <c r="E106" s="13">
        <f t="shared" si="7"/>
        <v>2611.6531075236599</v>
      </c>
      <c r="F106" s="16">
        <f t="shared" si="8"/>
        <v>0.26351531075236601</v>
      </c>
    </row>
    <row r="107" spans="1:6" x14ac:dyDescent="0.25">
      <c r="A107" s="11">
        <v>45091</v>
      </c>
      <c r="B107" s="12">
        <f t="shared" si="5"/>
        <v>3</v>
      </c>
      <c r="C107" s="13">
        <f t="shared" si="9"/>
        <v>2657.3570369053241</v>
      </c>
      <c r="D107" s="13">
        <f t="shared" si="6"/>
        <v>23.5</v>
      </c>
      <c r="E107" s="13">
        <f t="shared" si="7"/>
        <v>2633.8570369053241</v>
      </c>
      <c r="F107" s="16">
        <f t="shared" si="8"/>
        <v>0.2657357036905324</v>
      </c>
    </row>
    <row r="108" spans="1:6" x14ac:dyDescent="0.25">
      <c r="A108" s="11">
        <v>45092</v>
      </c>
      <c r="B108" s="12">
        <f t="shared" si="5"/>
        <v>4</v>
      </c>
      <c r="C108" s="13">
        <f t="shared" si="9"/>
        <v>2679.9495350511675</v>
      </c>
      <c r="D108" s="13">
        <f t="shared" si="6"/>
        <v>23.5</v>
      </c>
      <c r="E108" s="13">
        <f t="shared" si="7"/>
        <v>2656.4495350511675</v>
      </c>
      <c r="F108" s="16">
        <f t="shared" si="8"/>
        <v>0.26799495350511676</v>
      </c>
    </row>
    <row r="109" spans="1:6" x14ac:dyDescent="0.25">
      <c r="A109" s="11">
        <v>45093</v>
      </c>
      <c r="B109" s="12">
        <f t="shared" si="5"/>
        <v>5</v>
      </c>
      <c r="C109" s="13">
        <f t="shared" si="9"/>
        <v>2702.937401914563</v>
      </c>
      <c r="D109" s="13">
        <f t="shared" si="6"/>
        <v>83.5</v>
      </c>
      <c r="E109" s="13">
        <f t="shared" si="7"/>
        <v>2619.437401914563</v>
      </c>
      <c r="F109" s="16">
        <f t="shared" si="8"/>
        <v>0.2702937401914563</v>
      </c>
    </row>
    <row r="110" spans="1:6" x14ac:dyDescent="0.25">
      <c r="A110" s="11">
        <v>45094</v>
      </c>
      <c r="B110" s="12">
        <f t="shared" si="5"/>
        <v>6</v>
      </c>
      <c r="C110" s="13">
        <f t="shared" si="9"/>
        <v>2665.277556448068</v>
      </c>
      <c r="D110" s="13">
        <f t="shared" si="6"/>
        <v>23.5</v>
      </c>
      <c r="E110" s="13">
        <f t="shared" si="7"/>
        <v>2641.777556448068</v>
      </c>
      <c r="F110" s="16">
        <f t="shared" si="8"/>
        <v>0.2665277556448068</v>
      </c>
    </row>
    <row r="111" spans="1:6" x14ac:dyDescent="0.25">
      <c r="A111" s="11">
        <v>45095</v>
      </c>
      <c r="B111" s="12">
        <f t="shared" si="5"/>
        <v>7</v>
      </c>
      <c r="C111" s="13">
        <f t="shared" si="9"/>
        <v>2688.0086636859096</v>
      </c>
      <c r="D111" s="13">
        <f t="shared" si="6"/>
        <v>23.5</v>
      </c>
      <c r="E111" s="13">
        <f t="shared" si="7"/>
        <v>2664.5086636859096</v>
      </c>
      <c r="F111" s="16">
        <f t="shared" si="8"/>
        <v>0.26880086636859096</v>
      </c>
    </row>
    <row r="112" spans="1:6" x14ac:dyDescent="0.25">
      <c r="A112" s="11">
        <v>45096</v>
      </c>
      <c r="B112" s="12">
        <f t="shared" si="5"/>
        <v>1</v>
      </c>
      <c r="C112" s="13">
        <f t="shared" si="9"/>
        <v>2711.1375653004134</v>
      </c>
      <c r="D112" s="13">
        <f t="shared" si="6"/>
        <v>23.5</v>
      </c>
      <c r="E112" s="13">
        <f t="shared" si="7"/>
        <v>2687.6375653004134</v>
      </c>
      <c r="F112" s="16">
        <f t="shared" si="8"/>
        <v>0.27111375653004133</v>
      </c>
    </row>
    <row r="113" spans="1:6" x14ac:dyDescent="0.25">
      <c r="A113" s="11">
        <v>45097</v>
      </c>
      <c r="B113" s="12">
        <f t="shared" si="5"/>
        <v>2</v>
      </c>
      <c r="C113" s="13">
        <f t="shared" si="9"/>
        <v>2734.6712226931709</v>
      </c>
      <c r="D113" s="13">
        <f t="shared" si="6"/>
        <v>23.5</v>
      </c>
      <c r="E113" s="13">
        <f t="shared" si="7"/>
        <v>2711.1712226931709</v>
      </c>
      <c r="F113" s="16">
        <f t="shared" si="8"/>
        <v>0.27346712226931708</v>
      </c>
    </row>
    <row r="114" spans="1:6" x14ac:dyDescent="0.25">
      <c r="A114" s="11">
        <v>45098</v>
      </c>
      <c r="B114" s="12">
        <f t="shared" si="5"/>
        <v>3</v>
      </c>
      <c r="C114" s="13">
        <f t="shared" si="9"/>
        <v>2758.6167190903016</v>
      </c>
      <c r="D114" s="13">
        <f t="shared" si="6"/>
        <v>23.5</v>
      </c>
      <c r="E114" s="13">
        <f t="shared" si="7"/>
        <v>2735.1167190903016</v>
      </c>
      <c r="F114" s="16">
        <f t="shared" si="8"/>
        <v>0.27586167190903016</v>
      </c>
    </row>
    <row r="115" spans="1:6" x14ac:dyDescent="0.25">
      <c r="A115" s="11">
        <v>45099</v>
      </c>
      <c r="B115" s="12">
        <f t="shared" si="5"/>
        <v>4</v>
      </c>
      <c r="C115" s="13">
        <f t="shared" si="9"/>
        <v>2782.981261674382</v>
      </c>
      <c r="D115" s="13">
        <f t="shared" si="6"/>
        <v>23.5</v>
      </c>
      <c r="E115" s="13">
        <f t="shared" si="7"/>
        <v>2759.481261674382</v>
      </c>
      <c r="F115" s="16">
        <f t="shared" si="8"/>
        <v>0.27829812616743821</v>
      </c>
    </row>
    <row r="116" spans="1:6" x14ac:dyDescent="0.25">
      <c r="A116" s="11">
        <v>45100</v>
      </c>
      <c r="B116" s="12">
        <f t="shared" si="5"/>
        <v>5</v>
      </c>
      <c r="C116" s="13">
        <f t="shared" si="9"/>
        <v>2807.7721837536837</v>
      </c>
      <c r="D116" s="13">
        <f t="shared" si="6"/>
        <v>83.5</v>
      </c>
      <c r="E116" s="13">
        <f t="shared" si="7"/>
        <v>2724.2721837536837</v>
      </c>
      <c r="F116" s="16">
        <f t="shared" si="8"/>
        <v>0.2807772183753684</v>
      </c>
    </row>
    <row r="117" spans="1:6" x14ac:dyDescent="0.25">
      <c r="A117" s="11">
        <v>45101</v>
      </c>
      <c r="B117" s="12">
        <f t="shared" si="5"/>
        <v>6</v>
      </c>
      <c r="C117" s="13">
        <f t="shared" si="9"/>
        <v>2771.9469469693736</v>
      </c>
      <c r="D117" s="13">
        <f t="shared" si="6"/>
        <v>23.5</v>
      </c>
      <c r="E117" s="13">
        <f t="shared" si="7"/>
        <v>2748.4469469693736</v>
      </c>
      <c r="F117" s="16">
        <f t="shared" si="8"/>
        <v>0.27719469469693736</v>
      </c>
    </row>
    <row r="118" spans="1:6" x14ac:dyDescent="0.25">
      <c r="A118" s="11">
        <v>45102</v>
      </c>
      <c r="B118" s="12">
        <f t="shared" si="5"/>
        <v>7</v>
      </c>
      <c r="C118" s="13">
        <f t="shared" si="9"/>
        <v>2796.5447685413378</v>
      </c>
      <c r="D118" s="13">
        <f t="shared" si="6"/>
        <v>23.5</v>
      </c>
      <c r="E118" s="13">
        <f t="shared" si="7"/>
        <v>2773.0447685413378</v>
      </c>
      <c r="F118" s="16">
        <f t="shared" si="8"/>
        <v>0.2796544768541338</v>
      </c>
    </row>
    <row r="119" spans="1:6" x14ac:dyDescent="0.25">
      <c r="A119" s="11">
        <v>45103</v>
      </c>
      <c r="B119" s="12">
        <f t="shared" si="5"/>
        <v>1</v>
      </c>
      <c r="C119" s="13">
        <f t="shared" si="9"/>
        <v>2821.5730519908116</v>
      </c>
      <c r="D119" s="13">
        <f t="shared" si="6"/>
        <v>23.5</v>
      </c>
      <c r="E119" s="13">
        <f t="shared" si="7"/>
        <v>2798.0730519908116</v>
      </c>
      <c r="F119" s="16">
        <f t="shared" si="8"/>
        <v>0.28215730519908117</v>
      </c>
    </row>
    <row r="120" spans="1:6" x14ac:dyDescent="0.25">
      <c r="A120" s="11">
        <v>45104</v>
      </c>
      <c r="B120" s="12">
        <f t="shared" si="5"/>
        <v>2</v>
      </c>
      <c r="C120" s="13">
        <f t="shared" si="9"/>
        <v>2847.0393304006511</v>
      </c>
      <c r="D120" s="13">
        <f t="shared" si="6"/>
        <v>23.5</v>
      </c>
      <c r="E120" s="13">
        <f t="shared" si="7"/>
        <v>2823.5393304006511</v>
      </c>
      <c r="F120" s="16">
        <f t="shared" si="8"/>
        <v>0.28470393304006514</v>
      </c>
    </row>
    <row r="121" spans="1:6" x14ac:dyDescent="0.25">
      <c r="A121" s="11">
        <v>45105</v>
      </c>
      <c r="B121" s="12">
        <f t="shared" si="5"/>
        <v>3</v>
      </c>
      <c r="C121" s="13">
        <f t="shared" si="9"/>
        <v>2872.9512686826629</v>
      </c>
      <c r="D121" s="13">
        <f t="shared" si="6"/>
        <v>23.5</v>
      </c>
      <c r="E121" s="13">
        <f t="shared" si="7"/>
        <v>2849.4512686826629</v>
      </c>
      <c r="F121" s="16">
        <f t="shared" si="8"/>
        <v>0.2872951268682663</v>
      </c>
    </row>
    <row r="122" spans="1:6" x14ac:dyDescent="0.25">
      <c r="A122" s="11">
        <v>45106</v>
      </c>
      <c r="B122" s="12">
        <f t="shared" si="5"/>
        <v>4</v>
      </c>
      <c r="C122" s="13">
        <f t="shared" si="9"/>
        <v>2899.3166658846098</v>
      </c>
      <c r="D122" s="13">
        <f t="shared" si="6"/>
        <v>23.5</v>
      </c>
      <c r="E122" s="13">
        <f t="shared" si="7"/>
        <v>2875.8166658846098</v>
      </c>
      <c r="F122" s="16">
        <f t="shared" si="8"/>
        <v>0.28993166658846098</v>
      </c>
    </row>
    <row r="123" spans="1:6" x14ac:dyDescent="0.25">
      <c r="A123" s="11">
        <v>45107</v>
      </c>
      <c r="B123" s="12">
        <f t="shared" si="5"/>
        <v>5</v>
      </c>
      <c r="C123" s="13">
        <f t="shared" si="9"/>
        <v>2926.1434575375906</v>
      </c>
      <c r="D123" s="13">
        <f t="shared" si="6"/>
        <v>83.5</v>
      </c>
      <c r="E123" s="13">
        <f t="shared" si="7"/>
        <v>2842.6434575375906</v>
      </c>
      <c r="F123" s="16">
        <f t="shared" si="8"/>
        <v>0.29261434575375905</v>
      </c>
    </row>
    <row r="124" spans="1:6" x14ac:dyDescent="0.25">
      <c r="A124" s="11">
        <v>45108</v>
      </c>
      <c r="B124" s="12">
        <f t="shared" si="5"/>
        <v>6</v>
      </c>
      <c r="C124" s="13">
        <f t="shared" si="9"/>
        <v>2892.3897180444987</v>
      </c>
      <c r="D124" s="13">
        <f t="shared" si="6"/>
        <v>23.5</v>
      </c>
      <c r="E124" s="13">
        <f t="shared" si="7"/>
        <v>2868.8897180444987</v>
      </c>
      <c r="F124" s="16">
        <f t="shared" si="8"/>
        <v>0.28923897180444985</v>
      </c>
    </row>
    <row r="125" spans="1:6" x14ac:dyDescent="0.25">
      <c r="A125" s="11">
        <v>45109</v>
      </c>
      <c r="B125" s="12">
        <f t="shared" si="5"/>
        <v>7</v>
      </c>
      <c r="C125" s="13">
        <f t="shared" si="9"/>
        <v>2919.0952881102776</v>
      </c>
      <c r="D125" s="13">
        <f t="shared" si="6"/>
        <v>23.5</v>
      </c>
      <c r="E125" s="13">
        <f t="shared" si="7"/>
        <v>2895.5952881102776</v>
      </c>
      <c r="F125" s="16">
        <f t="shared" si="8"/>
        <v>0.29190952881102777</v>
      </c>
    </row>
    <row r="126" spans="1:6" x14ac:dyDescent="0.25">
      <c r="A126" s="11">
        <v>45110</v>
      </c>
      <c r="B126" s="12">
        <f t="shared" si="5"/>
        <v>1</v>
      </c>
      <c r="C126" s="13">
        <f t="shared" si="9"/>
        <v>2946.2682056522076</v>
      </c>
      <c r="D126" s="13">
        <f t="shared" si="6"/>
        <v>23.5</v>
      </c>
      <c r="E126" s="13">
        <f t="shared" si="7"/>
        <v>2922.7682056522076</v>
      </c>
      <c r="F126" s="16">
        <f t="shared" si="8"/>
        <v>0.29462682056522077</v>
      </c>
    </row>
    <row r="127" spans="1:6" x14ac:dyDescent="0.25">
      <c r="A127" s="11">
        <v>45111</v>
      </c>
      <c r="B127" s="12">
        <f t="shared" si="5"/>
        <v>2</v>
      </c>
      <c r="C127" s="13">
        <f t="shared" si="9"/>
        <v>2973.9166492511213</v>
      </c>
      <c r="D127" s="13">
        <f t="shared" si="6"/>
        <v>23.5</v>
      </c>
      <c r="E127" s="13">
        <f t="shared" si="7"/>
        <v>2950.4166492511213</v>
      </c>
      <c r="F127" s="16">
        <f t="shared" si="8"/>
        <v>0.29739166492511215</v>
      </c>
    </row>
    <row r="128" spans="1:6" x14ac:dyDescent="0.25">
      <c r="A128" s="11">
        <v>45112</v>
      </c>
      <c r="B128" s="12">
        <f t="shared" si="5"/>
        <v>3</v>
      </c>
      <c r="C128" s="13">
        <f t="shared" si="9"/>
        <v>3002.0489406130159</v>
      </c>
      <c r="D128" s="13">
        <f t="shared" si="6"/>
        <v>23.5</v>
      </c>
      <c r="E128" s="13">
        <f t="shared" si="7"/>
        <v>2978.5489406130159</v>
      </c>
      <c r="F128" s="16">
        <f t="shared" si="8"/>
        <v>0.30020489406130157</v>
      </c>
    </row>
    <row r="129" spans="1:6" x14ac:dyDescent="0.25">
      <c r="A129" s="11">
        <v>45113</v>
      </c>
      <c r="B129" s="12">
        <f t="shared" si="5"/>
        <v>4</v>
      </c>
      <c r="C129" s="13">
        <f t="shared" si="9"/>
        <v>3030.673547073744</v>
      </c>
      <c r="D129" s="13">
        <f t="shared" si="6"/>
        <v>23.5</v>
      </c>
      <c r="E129" s="13">
        <f t="shared" si="7"/>
        <v>3007.173547073744</v>
      </c>
      <c r="F129" s="16">
        <f t="shared" si="8"/>
        <v>0.30306735470737439</v>
      </c>
    </row>
    <row r="130" spans="1:6" x14ac:dyDescent="0.25">
      <c r="A130" s="11">
        <v>45114</v>
      </c>
      <c r="B130" s="12">
        <f t="shared" si="5"/>
        <v>5</v>
      </c>
      <c r="C130" s="13">
        <f t="shared" si="9"/>
        <v>3059.7990841475348</v>
      </c>
      <c r="D130" s="13">
        <f t="shared" si="6"/>
        <v>83.5</v>
      </c>
      <c r="E130" s="13">
        <f t="shared" si="7"/>
        <v>2976.2990841475348</v>
      </c>
      <c r="F130" s="16">
        <f t="shared" si="8"/>
        <v>0.30597990841475348</v>
      </c>
    </row>
    <row r="131" spans="1:6" x14ac:dyDescent="0.25">
      <c r="A131" s="11">
        <v>45115</v>
      </c>
      <c r="B131" s="12">
        <f t="shared" ref="B131:B185" si="10">WEEKDAY(A131,2)</f>
        <v>6</v>
      </c>
      <c r="C131" s="13">
        <f t="shared" si="9"/>
        <v>3028.3843181201169</v>
      </c>
      <c r="D131" s="13">
        <f t="shared" ref="D131:D185" si="11">$M$7*0.25 + IF(B131=5,60,0)</f>
        <v>23.5</v>
      </c>
      <c r="E131" s="13">
        <f t="shared" ref="E131:E185" si="12">C131-D131</f>
        <v>3004.8843181201169</v>
      </c>
      <c r="F131" s="16">
        <f t="shared" ref="F131:F185" si="13">C131 / 10000</f>
        <v>0.3028384318120117</v>
      </c>
    </row>
    <row r="132" spans="1:6" x14ac:dyDescent="0.25">
      <c r="A132" s="11">
        <v>45116</v>
      </c>
      <c r="B132" s="12">
        <f t="shared" si="10"/>
        <v>7</v>
      </c>
      <c r="C132" s="13">
        <f t="shared" ref="C132:C185" si="14">E131*1.0175</f>
        <v>3057.469793687219</v>
      </c>
      <c r="D132" s="13">
        <f t="shared" si="11"/>
        <v>23.5</v>
      </c>
      <c r="E132" s="13">
        <f t="shared" si="12"/>
        <v>3033.969793687219</v>
      </c>
      <c r="F132" s="16">
        <f t="shared" si="13"/>
        <v>0.30574697936872192</v>
      </c>
    </row>
    <row r="133" spans="1:6" x14ac:dyDescent="0.25">
      <c r="A133" s="11">
        <v>45117</v>
      </c>
      <c r="B133" s="12">
        <f t="shared" si="10"/>
        <v>1</v>
      </c>
      <c r="C133" s="13">
        <f t="shared" si="14"/>
        <v>3087.0642650767454</v>
      </c>
      <c r="D133" s="13">
        <f t="shared" si="11"/>
        <v>23.5</v>
      </c>
      <c r="E133" s="13">
        <f t="shared" si="12"/>
        <v>3063.5642650767454</v>
      </c>
      <c r="F133" s="16">
        <f t="shared" si="13"/>
        <v>0.30870642650767455</v>
      </c>
    </row>
    <row r="134" spans="1:6" x14ac:dyDescent="0.25">
      <c r="A134" s="11">
        <v>45118</v>
      </c>
      <c r="B134" s="12">
        <f t="shared" si="10"/>
        <v>2</v>
      </c>
      <c r="C134" s="13">
        <f t="shared" si="14"/>
        <v>3117.1766397155889</v>
      </c>
      <c r="D134" s="13">
        <f t="shared" si="11"/>
        <v>23.5</v>
      </c>
      <c r="E134" s="13">
        <f t="shared" si="12"/>
        <v>3093.6766397155889</v>
      </c>
      <c r="F134" s="16">
        <f t="shared" si="13"/>
        <v>0.31171766397155887</v>
      </c>
    </row>
    <row r="135" spans="1:6" x14ac:dyDescent="0.25">
      <c r="A135" s="11">
        <v>45119</v>
      </c>
      <c r="B135" s="12">
        <f t="shared" si="10"/>
        <v>3</v>
      </c>
      <c r="C135" s="13">
        <f t="shared" si="14"/>
        <v>3147.8159809106119</v>
      </c>
      <c r="D135" s="13">
        <f t="shared" si="11"/>
        <v>23.5</v>
      </c>
      <c r="E135" s="13">
        <f t="shared" si="12"/>
        <v>3124.3159809106119</v>
      </c>
      <c r="F135" s="16">
        <f t="shared" si="13"/>
        <v>0.31478159809106121</v>
      </c>
    </row>
    <row r="136" spans="1:6" x14ac:dyDescent="0.25">
      <c r="A136" s="11">
        <v>45120</v>
      </c>
      <c r="B136" s="12">
        <f t="shared" si="10"/>
        <v>4</v>
      </c>
      <c r="C136" s="13">
        <f t="shared" si="14"/>
        <v>3178.9915105765476</v>
      </c>
      <c r="D136" s="13">
        <f t="shared" si="11"/>
        <v>23.5</v>
      </c>
      <c r="E136" s="13">
        <f t="shared" si="12"/>
        <v>3155.4915105765476</v>
      </c>
      <c r="F136" s="16">
        <f t="shared" si="13"/>
        <v>0.31789915105765476</v>
      </c>
    </row>
    <row r="137" spans="1:6" x14ac:dyDescent="0.25">
      <c r="A137" s="11">
        <v>45121</v>
      </c>
      <c r="B137" s="12">
        <f t="shared" si="10"/>
        <v>5</v>
      </c>
      <c r="C137" s="13">
        <f t="shared" si="14"/>
        <v>3210.7126120116372</v>
      </c>
      <c r="D137" s="13">
        <f t="shared" si="11"/>
        <v>83.5</v>
      </c>
      <c r="E137" s="13">
        <f t="shared" si="12"/>
        <v>3127.2126120116372</v>
      </c>
      <c r="F137" s="16">
        <f t="shared" si="13"/>
        <v>0.32107126120116375</v>
      </c>
    </row>
    <row r="138" spans="1:6" x14ac:dyDescent="0.25">
      <c r="A138" s="11">
        <v>45122</v>
      </c>
      <c r="B138" s="12">
        <f t="shared" si="10"/>
        <v>6</v>
      </c>
      <c r="C138" s="13">
        <f t="shared" si="14"/>
        <v>3181.9388327218412</v>
      </c>
      <c r="D138" s="13">
        <f t="shared" si="11"/>
        <v>23.5</v>
      </c>
      <c r="E138" s="13">
        <f t="shared" si="12"/>
        <v>3158.4388327218412</v>
      </c>
      <c r="F138" s="16">
        <f t="shared" si="13"/>
        <v>0.31819388327218412</v>
      </c>
    </row>
    <row r="139" spans="1:6" x14ac:dyDescent="0.25">
      <c r="A139" s="11">
        <v>45123</v>
      </c>
      <c r="B139" s="12">
        <f t="shared" si="10"/>
        <v>7</v>
      </c>
      <c r="C139" s="13">
        <f t="shared" si="14"/>
        <v>3213.7115122944738</v>
      </c>
      <c r="D139" s="13">
        <f t="shared" si="11"/>
        <v>23.5</v>
      </c>
      <c r="E139" s="13">
        <f t="shared" si="12"/>
        <v>3190.2115122944738</v>
      </c>
      <c r="F139" s="16">
        <f t="shared" si="13"/>
        <v>0.32137115122944737</v>
      </c>
    </row>
    <row r="140" spans="1:6" x14ac:dyDescent="0.25">
      <c r="A140" s="11">
        <v>45124</v>
      </c>
      <c r="B140" s="12">
        <f t="shared" si="10"/>
        <v>1</v>
      </c>
      <c r="C140" s="13">
        <f t="shared" si="14"/>
        <v>3246.0402137596275</v>
      </c>
      <c r="D140" s="13">
        <f t="shared" si="11"/>
        <v>23.5</v>
      </c>
      <c r="E140" s="13">
        <f t="shared" si="12"/>
        <v>3222.5402137596275</v>
      </c>
      <c r="F140" s="16">
        <f t="shared" si="13"/>
        <v>0.32460402137596273</v>
      </c>
    </row>
    <row r="141" spans="1:6" x14ac:dyDescent="0.25">
      <c r="A141" s="11">
        <v>45125</v>
      </c>
      <c r="B141" s="12">
        <f t="shared" si="10"/>
        <v>2</v>
      </c>
      <c r="C141" s="13">
        <f t="shared" si="14"/>
        <v>3278.9346675004213</v>
      </c>
      <c r="D141" s="13">
        <f t="shared" si="11"/>
        <v>23.5</v>
      </c>
      <c r="E141" s="13">
        <f t="shared" si="12"/>
        <v>3255.4346675004213</v>
      </c>
      <c r="F141" s="16">
        <f t="shared" si="13"/>
        <v>0.32789346675004211</v>
      </c>
    </row>
    <row r="142" spans="1:6" x14ac:dyDescent="0.25">
      <c r="A142" s="11">
        <v>45126</v>
      </c>
      <c r="B142" s="12">
        <f t="shared" si="10"/>
        <v>3</v>
      </c>
      <c r="C142" s="13">
        <f t="shared" si="14"/>
        <v>3312.4047741816789</v>
      </c>
      <c r="D142" s="13">
        <f t="shared" si="11"/>
        <v>23.5</v>
      </c>
      <c r="E142" s="13">
        <f t="shared" si="12"/>
        <v>3288.9047741816789</v>
      </c>
      <c r="F142" s="16">
        <f t="shared" si="13"/>
        <v>0.33124047741816787</v>
      </c>
    </row>
    <row r="143" spans="1:6" x14ac:dyDescent="0.25">
      <c r="A143" s="11">
        <v>45127</v>
      </c>
      <c r="B143" s="12">
        <f t="shared" si="10"/>
        <v>4</v>
      </c>
      <c r="C143" s="13">
        <f t="shared" si="14"/>
        <v>3346.4606077298586</v>
      </c>
      <c r="D143" s="13">
        <f t="shared" si="11"/>
        <v>23.5</v>
      </c>
      <c r="E143" s="13">
        <f t="shared" si="12"/>
        <v>3322.9606077298586</v>
      </c>
      <c r="F143" s="16">
        <f t="shared" si="13"/>
        <v>0.33464606077298586</v>
      </c>
    </row>
    <row r="144" spans="1:6" x14ac:dyDescent="0.25">
      <c r="A144" s="11">
        <v>45128</v>
      </c>
      <c r="B144" s="12">
        <f t="shared" si="10"/>
        <v>5</v>
      </c>
      <c r="C144" s="13">
        <f t="shared" si="14"/>
        <v>3381.1124183651314</v>
      </c>
      <c r="D144" s="13">
        <f t="shared" si="11"/>
        <v>83.5</v>
      </c>
      <c r="E144" s="13">
        <f t="shared" si="12"/>
        <v>3297.6124183651314</v>
      </c>
      <c r="F144" s="16">
        <f t="shared" si="13"/>
        <v>0.33811124183651314</v>
      </c>
    </row>
    <row r="145" spans="1:6" x14ac:dyDescent="0.25">
      <c r="A145" s="11">
        <v>45129</v>
      </c>
      <c r="B145" s="12">
        <f t="shared" si="10"/>
        <v>6</v>
      </c>
      <c r="C145" s="13">
        <f t="shared" si="14"/>
        <v>3355.3206356865212</v>
      </c>
      <c r="D145" s="13">
        <f t="shared" si="11"/>
        <v>23.5</v>
      </c>
      <c r="E145" s="13">
        <f t="shared" si="12"/>
        <v>3331.8206356865212</v>
      </c>
      <c r="F145" s="16">
        <f t="shared" si="13"/>
        <v>0.33553206356865212</v>
      </c>
    </row>
    <row r="146" spans="1:6" x14ac:dyDescent="0.25">
      <c r="A146" s="11">
        <v>45130</v>
      </c>
      <c r="B146" s="12">
        <f t="shared" si="10"/>
        <v>7</v>
      </c>
      <c r="C146" s="13">
        <f t="shared" si="14"/>
        <v>3390.1274968110356</v>
      </c>
      <c r="D146" s="13">
        <f t="shared" si="11"/>
        <v>23.5</v>
      </c>
      <c r="E146" s="13">
        <f t="shared" si="12"/>
        <v>3366.6274968110356</v>
      </c>
      <c r="F146" s="16">
        <f t="shared" si="13"/>
        <v>0.33901274968110356</v>
      </c>
    </row>
    <row r="147" spans="1:6" x14ac:dyDescent="0.25">
      <c r="A147" s="11">
        <v>45131</v>
      </c>
      <c r="B147" s="12">
        <f t="shared" si="10"/>
        <v>1</v>
      </c>
      <c r="C147" s="13">
        <f t="shared" si="14"/>
        <v>3425.5434780052287</v>
      </c>
      <c r="D147" s="13">
        <f t="shared" si="11"/>
        <v>23.5</v>
      </c>
      <c r="E147" s="13">
        <f t="shared" si="12"/>
        <v>3402.0434780052287</v>
      </c>
      <c r="F147" s="16">
        <f t="shared" si="13"/>
        <v>0.34255434780052285</v>
      </c>
    </row>
    <row r="148" spans="1:6" x14ac:dyDescent="0.25">
      <c r="A148" s="11">
        <v>45132</v>
      </c>
      <c r="B148" s="12">
        <f t="shared" si="10"/>
        <v>2</v>
      </c>
      <c r="C148" s="13">
        <f t="shared" si="14"/>
        <v>3461.5792388703203</v>
      </c>
      <c r="D148" s="13">
        <f t="shared" si="11"/>
        <v>23.5</v>
      </c>
      <c r="E148" s="13">
        <f t="shared" si="12"/>
        <v>3438.0792388703203</v>
      </c>
      <c r="F148" s="16">
        <f t="shared" si="13"/>
        <v>0.34615792388703204</v>
      </c>
    </row>
    <row r="149" spans="1:6" x14ac:dyDescent="0.25">
      <c r="A149" s="11">
        <v>45133</v>
      </c>
      <c r="B149" s="12">
        <f t="shared" si="10"/>
        <v>3</v>
      </c>
      <c r="C149" s="13">
        <f t="shared" si="14"/>
        <v>3498.2456255505513</v>
      </c>
      <c r="D149" s="13">
        <f t="shared" si="11"/>
        <v>23.5</v>
      </c>
      <c r="E149" s="13">
        <f t="shared" si="12"/>
        <v>3474.7456255505513</v>
      </c>
      <c r="F149" s="16">
        <f t="shared" si="13"/>
        <v>0.34982456255505512</v>
      </c>
    </row>
    <row r="150" spans="1:6" x14ac:dyDescent="0.25">
      <c r="A150" s="11">
        <v>45134</v>
      </c>
      <c r="B150" s="12">
        <f t="shared" si="10"/>
        <v>4</v>
      </c>
      <c r="C150" s="13">
        <f t="shared" si="14"/>
        <v>3535.553673997686</v>
      </c>
      <c r="D150" s="13">
        <f t="shared" si="11"/>
        <v>23.5</v>
      </c>
      <c r="E150" s="13">
        <f t="shared" si="12"/>
        <v>3512.053673997686</v>
      </c>
      <c r="F150" s="16">
        <f t="shared" si="13"/>
        <v>0.35355536739976862</v>
      </c>
    </row>
    <row r="151" spans="1:6" x14ac:dyDescent="0.25">
      <c r="A151" s="11">
        <v>45135</v>
      </c>
      <c r="B151" s="12">
        <f t="shared" si="10"/>
        <v>5</v>
      </c>
      <c r="C151" s="13">
        <f t="shared" si="14"/>
        <v>3573.5146132926457</v>
      </c>
      <c r="D151" s="13">
        <f t="shared" si="11"/>
        <v>83.5</v>
      </c>
      <c r="E151" s="13">
        <f t="shared" si="12"/>
        <v>3490.0146132926457</v>
      </c>
      <c r="F151" s="16">
        <f t="shared" si="13"/>
        <v>0.35735146132926454</v>
      </c>
    </row>
    <row r="152" spans="1:6" x14ac:dyDescent="0.25">
      <c r="A152" s="11">
        <v>45136</v>
      </c>
      <c r="B152" s="12">
        <f t="shared" si="10"/>
        <v>6</v>
      </c>
      <c r="C152" s="13">
        <f t="shared" si="14"/>
        <v>3551.089869025267</v>
      </c>
      <c r="D152" s="13">
        <f t="shared" si="11"/>
        <v>23.5</v>
      </c>
      <c r="E152" s="13">
        <f t="shared" si="12"/>
        <v>3527.589869025267</v>
      </c>
      <c r="F152" s="16">
        <f t="shared" si="13"/>
        <v>0.35510898690252668</v>
      </c>
    </row>
    <row r="153" spans="1:6" x14ac:dyDescent="0.25">
      <c r="A153" s="11">
        <v>45137</v>
      </c>
      <c r="B153" s="12">
        <f t="shared" si="10"/>
        <v>7</v>
      </c>
      <c r="C153" s="13">
        <f t="shared" si="14"/>
        <v>3589.3226917332095</v>
      </c>
      <c r="D153" s="13">
        <f t="shared" si="11"/>
        <v>23.5</v>
      </c>
      <c r="E153" s="13">
        <f t="shared" si="12"/>
        <v>3565.8226917332095</v>
      </c>
      <c r="F153" s="16">
        <f t="shared" si="13"/>
        <v>0.35893226917332094</v>
      </c>
    </row>
    <row r="154" spans="1:6" x14ac:dyDescent="0.25">
      <c r="A154" s="11">
        <v>45138</v>
      </c>
      <c r="B154" s="12">
        <f t="shared" si="10"/>
        <v>1</v>
      </c>
      <c r="C154" s="13">
        <f t="shared" si="14"/>
        <v>3628.224588838541</v>
      </c>
      <c r="D154" s="13">
        <f t="shared" si="11"/>
        <v>23.5</v>
      </c>
      <c r="E154" s="13">
        <f t="shared" si="12"/>
        <v>3604.724588838541</v>
      </c>
      <c r="F154" s="16">
        <f t="shared" si="13"/>
        <v>0.36282245888385412</v>
      </c>
    </row>
    <row r="155" spans="1:6" x14ac:dyDescent="0.25">
      <c r="A155" s="11">
        <v>45139</v>
      </c>
      <c r="B155" s="12">
        <f t="shared" si="10"/>
        <v>2</v>
      </c>
      <c r="C155" s="13">
        <f t="shared" si="14"/>
        <v>3667.8072691432158</v>
      </c>
      <c r="D155" s="13">
        <f t="shared" si="11"/>
        <v>23.5</v>
      </c>
      <c r="E155" s="13">
        <f t="shared" si="12"/>
        <v>3644.3072691432158</v>
      </c>
      <c r="F155" s="16">
        <f t="shared" si="13"/>
        <v>0.36678072691432156</v>
      </c>
    </row>
    <row r="156" spans="1:6" x14ac:dyDescent="0.25">
      <c r="A156" s="11">
        <v>45140</v>
      </c>
      <c r="B156" s="12">
        <f t="shared" si="10"/>
        <v>3</v>
      </c>
      <c r="C156" s="13">
        <f t="shared" si="14"/>
        <v>3708.0826463532221</v>
      </c>
      <c r="D156" s="13">
        <f t="shared" si="11"/>
        <v>23.5</v>
      </c>
      <c r="E156" s="13">
        <f t="shared" si="12"/>
        <v>3684.5826463532221</v>
      </c>
      <c r="F156" s="16">
        <f t="shared" si="13"/>
        <v>0.37080826463532224</v>
      </c>
    </row>
    <row r="157" spans="1:6" x14ac:dyDescent="0.25">
      <c r="A157" s="11">
        <v>45141</v>
      </c>
      <c r="B157" s="12">
        <f t="shared" si="10"/>
        <v>4</v>
      </c>
      <c r="C157" s="13">
        <f t="shared" si="14"/>
        <v>3749.0628426644039</v>
      </c>
      <c r="D157" s="13">
        <f t="shared" si="11"/>
        <v>23.5</v>
      </c>
      <c r="E157" s="13">
        <f t="shared" si="12"/>
        <v>3725.5628426644039</v>
      </c>
      <c r="F157" s="16">
        <f t="shared" si="13"/>
        <v>0.3749062842664404</v>
      </c>
    </row>
    <row r="158" spans="1:6" x14ac:dyDescent="0.25">
      <c r="A158" s="11">
        <v>45142</v>
      </c>
      <c r="B158" s="12">
        <f t="shared" si="10"/>
        <v>5</v>
      </c>
      <c r="C158" s="13">
        <f t="shared" si="14"/>
        <v>3790.7601924110313</v>
      </c>
      <c r="D158" s="13">
        <f t="shared" si="11"/>
        <v>83.5</v>
      </c>
      <c r="E158" s="13">
        <f t="shared" si="12"/>
        <v>3707.2601924110313</v>
      </c>
      <c r="F158" s="16">
        <f t="shared" si="13"/>
        <v>0.37907601924110312</v>
      </c>
    </row>
    <row r="159" spans="1:6" x14ac:dyDescent="0.25">
      <c r="A159" s="11">
        <v>45143</v>
      </c>
      <c r="B159" s="12">
        <f t="shared" si="10"/>
        <v>6</v>
      </c>
      <c r="C159" s="13">
        <f t="shared" si="14"/>
        <v>3772.1372457782245</v>
      </c>
      <c r="D159" s="13">
        <f t="shared" si="11"/>
        <v>23.5</v>
      </c>
      <c r="E159" s="13">
        <f t="shared" si="12"/>
        <v>3748.6372457782245</v>
      </c>
      <c r="F159" s="16">
        <f t="shared" si="13"/>
        <v>0.37721372457782243</v>
      </c>
    </row>
    <row r="160" spans="1:6" x14ac:dyDescent="0.25">
      <c r="A160" s="11">
        <v>45144</v>
      </c>
      <c r="B160" s="12">
        <f t="shared" si="10"/>
        <v>7</v>
      </c>
      <c r="C160" s="13">
        <f t="shared" si="14"/>
        <v>3814.2383975793437</v>
      </c>
      <c r="D160" s="13">
        <f t="shared" si="11"/>
        <v>23.5</v>
      </c>
      <c r="E160" s="13">
        <f t="shared" si="12"/>
        <v>3790.7383975793437</v>
      </c>
      <c r="F160" s="16">
        <f t="shared" si="13"/>
        <v>0.38142383975793437</v>
      </c>
    </row>
    <row r="161" spans="1:6" x14ac:dyDescent="0.25">
      <c r="A161" s="11">
        <v>45145</v>
      </c>
      <c r="B161" s="12">
        <f t="shared" si="10"/>
        <v>1</v>
      </c>
      <c r="C161" s="13">
        <f t="shared" si="14"/>
        <v>3857.0763195369823</v>
      </c>
      <c r="D161" s="13">
        <f t="shared" si="11"/>
        <v>23.5</v>
      </c>
      <c r="E161" s="13">
        <f t="shared" si="12"/>
        <v>3833.5763195369823</v>
      </c>
      <c r="F161" s="16">
        <f t="shared" si="13"/>
        <v>0.38570763195369823</v>
      </c>
    </row>
    <row r="162" spans="1:6" x14ac:dyDescent="0.25">
      <c r="A162" s="11">
        <v>45146</v>
      </c>
      <c r="B162" s="12">
        <f t="shared" si="10"/>
        <v>2</v>
      </c>
      <c r="C162" s="13">
        <f t="shared" si="14"/>
        <v>3900.6639051288798</v>
      </c>
      <c r="D162" s="13">
        <f t="shared" si="11"/>
        <v>23.5</v>
      </c>
      <c r="E162" s="13">
        <f t="shared" si="12"/>
        <v>3877.1639051288798</v>
      </c>
      <c r="F162" s="16">
        <f t="shared" si="13"/>
        <v>0.39006639051288799</v>
      </c>
    </row>
    <row r="163" spans="1:6" x14ac:dyDescent="0.25">
      <c r="A163" s="11">
        <v>45147</v>
      </c>
      <c r="B163" s="12">
        <f t="shared" si="10"/>
        <v>3</v>
      </c>
      <c r="C163" s="13">
        <f t="shared" si="14"/>
        <v>3945.0142734686356</v>
      </c>
      <c r="D163" s="13">
        <f t="shared" si="11"/>
        <v>23.5</v>
      </c>
      <c r="E163" s="13">
        <f t="shared" si="12"/>
        <v>3921.5142734686356</v>
      </c>
      <c r="F163" s="16">
        <f t="shared" si="13"/>
        <v>0.39450142734686355</v>
      </c>
    </row>
    <row r="164" spans="1:6" x14ac:dyDescent="0.25">
      <c r="A164" s="11">
        <v>45148</v>
      </c>
      <c r="B164" s="12">
        <f t="shared" si="10"/>
        <v>4</v>
      </c>
      <c r="C164" s="13">
        <f t="shared" si="14"/>
        <v>3990.1407732543371</v>
      </c>
      <c r="D164" s="13">
        <f t="shared" si="11"/>
        <v>23.5</v>
      </c>
      <c r="E164" s="13">
        <f t="shared" si="12"/>
        <v>3966.6407732543371</v>
      </c>
      <c r="F164" s="16">
        <f t="shared" si="13"/>
        <v>0.3990140773254337</v>
      </c>
    </row>
    <row r="165" spans="1:6" x14ac:dyDescent="0.25">
      <c r="A165" s="11">
        <v>45149</v>
      </c>
      <c r="B165" s="12">
        <f t="shared" si="10"/>
        <v>5</v>
      </c>
      <c r="C165" s="13">
        <f t="shared" si="14"/>
        <v>4036.0569867862882</v>
      </c>
      <c r="D165" s="13">
        <f t="shared" si="11"/>
        <v>83.5</v>
      </c>
      <c r="E165" s="13">
        <f t="shared" si="12"/>
        <v>3952.5569867862882</v>
      </c>
      <c r="F165" s="16">
        <f t="shared" si="13"/>
        <v>0.40360569867862883</v>
      </c>
    </row>
    <row r="166" spans="1:6" x14ac:dyDescent="0.25">
      <c r="A166" s="11">
        <v>45150</v>
      </c>
      <c r="B166" s="12">
        <f t="shared" si="10"/>
        <v>6</v>
      </c>
      <c r="C166" s="13">
        <f t="shared" si="14"/>
        <v>4021.7267340550484</v>
      </c>
      <c r="D166" s="13">
        <f t="shared" si="11"/>
        <v>23.5</v>
      </c>
      <c r="E166" s="13">
        <f t="shared" si="12"/>
        <v>3998.2267340550484</v>
      </c>
      <c r="F166" s="16">
        <f t="shared" si="13"/>
        <v>0.40217267340550483</v>
      </c>
    </row>
    <row r="167" spans="1:6" x14ac:dyDescent="0.25">
      <c r="A167" s="11">
        <v>45151</v>
      </c>
      <c r="B167" s="12">
        <f t="shared" si="10"/>
        <v>7</v>
      </c>
      <c r="C167" s="13">
        <f t="shared" si="14"/>
        <v>4068.1957019010119</v>
      </c>
      <c r="D167" s="13">
        <f t="shared" si="11"/>
        <v>23.5</v>
      </c>
      <c r="E167" s="13">
        <f t="shared" si="12"/>
        <v>4044.6957019010119</v>
      </c>
      <c r="F167" s="16">
        <f t="shared" si="13"/>
        <v>0.40681957019010118</v>
      </c>
    </row>
    <row r="168" spans="1:6" x14ac:dyDescent="0.25">
      <c r="A168" s="11">
        <v>45152</v>
      </c>
      <c r="B168" s="12">
        <f t="shared" si="10"/>
        <v>1</v>
      </c>
      <c r="C168" s="13">
        <f t="shared" si="14"/>
        <v>4115.4778766842801</v>
      </c>
      <c r="D168" s="13">
        <f t="shared" si="11"/>
        <v>23.5</v>
      </c>
      <c r="E168" s="13">
        <f t="shared" si="12"/>
        <v>4091.9778766842801</v>
      </c>
      <c r="F168" s="16">
        <f t="shared" si="13"/>
        <v>0.41154778766842803</v>
      </c>
    </row>
    <row r="169" spans="1:6" x14ac:dyDescent="0.25">
      <c r="A169" s="11">
        <v>45153</v>
      </c>
      <c r="B169" s="12">
        <f t="shared" si="10"/>
        <v>2</v>
      </c>
      <c r="C169" s="13">
        <f t="shared" si="14"/>
        <v>4163.587489526255</v>
      </c>
      <c r="D169" s="13">
        <f t="shared" si="11"/>
        <v>23.5</v>
      </c>
      <c r="E169" s="13">
        <f t="shared" si="12"/>
        <v>4140.087489526255</v>
      </c>
      <c r="F169" s="16">
        <f t="shared" si="13"/>
        <v>0.41635874895262548</v>
      </c>
    </row>
    <row r="170" spans="1:6" x14ac:dyDescent="0.25">
      <c r="A170" s="11">
        <v>45154</v>
      </c>
      <c r="B170" s="12">
        <f t="shared" si="10"/>
        <v>3</v>
      </c>
      <c r="C170" s="13">
        <f t="shared" si="14"/>
        <v>4212.5390205929643</v>
      </c>
      <c r="D170" s="13">
        <f t="shared" si="11"/>
        <v>23.5</v>
      </c>
      <c r="E170" s="13">
        <f t="shared" si="12"/>
        <v>4189.0390205929643</v>
      </c>
      <c r="F170" s="16">
        <f t="shared" si="13"/>
        <v>0.42125390205929641</v>
      </c>
    </row>
    <row r="171" spans="1:6" x14ac:dyDescent="0.25">
      <c r="A171" s="11">
        <v>45155</v>
      </c>
      <c r="B171" s="12">
        <f t="shared" si="10"/>
        <v>4</v>
      </c>
      <c r="C171" s="13">
        <f t="shared" si="14"/>
        <v>4262.3472034533415</v>
      </c>
      <c r="D171" s="13">
        <f t="shared" si="11"/>
        <v>23.5</v>
      </c>
      <c r="E171" s="13">
        <f t="shared" si="12"/>
        <v>4238.8472034533415</v>
      </c>
      <c r="F171" s="16">
        <f t="shared" si="13"/>
        <v>0.42623472034533416</v>
      </c>
    </row>
    <row r="172" spans="1:6" x14ac:dyDescent="0.25">
      <c r="A172" s="11">
        <v>45156</v>
      </c>
      <c r="B172" s="12">
        <f t="shared" si="10"/>
        <v>5</v>
      </c>
      <c r="C172" s="13">
        <f t="shared" si="14"/>
        <v>4313.0270295137752</v>
      </c>
      <c r="D172" s="13">
        <f t="shared" si="11"/>
        <v>83.5</v>
      </c>
      <c r="E172" s="13">
        <f t="shared" si="12"/>
        <v>4229.5270295137752</v>
      </c>
      <c r="F172" s="16">
        <f t="shared" si="13"/>
        <v>0.43130270295137751</v>
      </c>
    </row>
    <row r="173" spans="1:6" x14ac:dyDescent="0.25">
      <c r="A173" s="11">
        <v>45157</v>
      </c>
      <c r="B173" s="12">
        <f t="shared" si="10"/>
        <v>6</v>
      </c>
      <c r="C173" s="13">
        <f t="shared" si="14"/>
        <v>4303.5437525302668</v>
      </c>
      <c r="D173" s="13">
        <f t="shared" si="11"/>
        <v>23.5</v>
      </c>
      <c r="E173" s="13">
        <f t="shared" si="12"/>
        <v>4280.0437525302668</v>
      </c>
      <c r="F173" s="16">
        <f t="shared" si="13"/>
        <v>0.43035437525302667</v>
      </c>
    </row>
    <row r="174" spans="1:6" x14ac:dyDescent="0.25">
      <c r="A174" s="11">
        <v>45158</v>
      </c>
      <c r="B174" s="12">
        <f t="shared" si="10"/>
        <v>7</v>
      </c>
      <c r="C174" s="13">
        <f t="shared" si="14"/>
        <v>4354.944518199547</v>
      </c>
      <c r="D174" s="13">
        <f t="shared" si="11"/>
        <v>23.5</v>
      </c>
      <c r="E174" s="13">
        <f t="shared" si="12"/>
        <v>4331.444518199547</v>
      </c>
      <c r="F174" s="16">
        <f t="shared" si="13"/>
        <v>0.43549445181995472</v>
      </c>
    </row>
    <row r="175" spans="1:6" x14ac:dyDescent="0.25">
      <c r="A175" s="11">
        <v>45159</v>
      </c>
      <c r="B175" s="12">
        <f t="shared" si="10"/>
        <v>1</v>
      </c>
      <c r="C175" s="13">
        <f t="shared" si="14"/>
        <v>4407.2447972680393</v>
      </c>
      <c r="D175" s="13">
        <f t="shared" si="11"/>
        <v>23.5</v>
      </c>
      <c r="E175" s="13">
        <f t="shared" si="12"/>
        <v>4383.7447972680393</v>
      </c>
      <c r="F175" s="16">
        <f t="shared" si="13"/>
        <v>0.44072447972680395</v>
      </c>
    </row>
    <row r="176" spans="1:6" x14ac:dyDescent="0.25">
      <c r="A176" s="11">
        <v>45160</v>
      </c>
      <c r="B176" s="12">
        <f t="shared" si="10"/>
        <v>2</v>
      </c>
      <c r="C176" s="13">
        <f t="shared" si="14"/>
        <v>4460.4603312202307</v>
      </c>
      <c r="D176" s="13">
        <f t="shared" si="11"/>
        <v>23.5</v>
      </c>
      <c r="E176" s="13">
        <f t="shared" si="12"/>
        <v>4436.9603312202307</v>
      </c>
      <c r="F176" s="16">
        <f t="shared" si="13"/>
        <v>0.44604603312202307</v>
      </c>
    </row>
    <row r="177" spans="1:6" x14ac:dyDescent="0.25">
      <c r="A177" s="11">
        <v>45161</v>
      </c>
      <c r="B177" s="12">
        <f t="shared" si="10"/>
        <v>3</v>
      </c>
      <c r="C177" s="13">
        <f t="shared" si="14"/>
        <v>4514.6071370165855</v>
      </c>
      <c r="D177" s="13">
        <f t="shared" si="11"/>
        <v>23.5</v>
      </c>
      <c r="E177" s="13">
        <f t="shared" si="12"/>
        <v>4491.1071370165855</v>
      </c>
      <c r="F177" s="16">
        <f t="shared" si="13"/>
        <v>0.45146071370165858</v>
      </c>
    </row>
    <row r="178" spans="1:6" x14ac:dyDescent="0.25">
      <c r="A178" s="11">
        <v>45162</v>
      </c>
      <c r="B178" s="12">
        <f t="shared" si="10"/>
        <v>4</v>
      </c>
      <c r="C178" s="13">
        <f t="shared" si="14"/>
        <v>4569.7015119143762</v>
      </c>
      <c r="D178" s="13">
        <f t="shared" si="11"/>
        <v>23.5</v>
      </c>
      <c r="E178" s="13">
        <f t="shared" si="12"/>
        <v>4546.2015119143762</v>
      </c>
      <c r="F178" s="16">
        <f t="shared" si="13"/>
        <v>0.45697015119143763</v>
      </c>
    </row>
    <row r="179" spans="1:6" x14ac:dyDescent="0.25">
      <c r="A179" s="11">
        <v>45163</v>
      </c>
      <c r="B179" s="12">
        <f t="shared" si="10"/>
        <v>5</v>
      </c>
      <c r="C179" s="13">
        <f t="shared" si="14"/>
        <v>4625.7600383728777</v>
      </c>
      <c r="D179" s="13">
        <f t="shared" si="11"/>
        <v>83.5</v>
      </c>
      <c r="E179" s="13">
        <f t="shared" si="12"/>
        <v>4542.2600383728777</v>
      </c>
      <c r="F179" s="16">
        <f t="shared" si="13"/>
        <v>0.46257600383728775</v>
      </c>
    </row>
    <row r="180" spans="1:6" x14ac:dyDescent="0.25">
      <c r="A180" s="11">
        <v>45164</v>
      </c>
      <c r="B180" s="12">
        <f t="shared" si="10"/>
        <v>6</v>
      </c>
      <c r="C180" s="13">
        <f t="shared" si="14"/>
        <v>4621.7495890444034</v>
      </c>
      <c r="D180" s="13">
        <f t="shared" si="11"/>
        <v>23.5</v>
      </c>
      <c r="E180" s="13">
        <f t="shared" si="12"/>
        <v>4598.2495890444034</v>
      </c>
      <c r="F180" s="16">
        <f t="shared" si="13"/>
        <v>0.46217495890444033</v>
      </c>
    </row>
    <row r="181" spans="1:6" x14ac:dyDescent="0.25">
      <c r="A181" s="11">
        <v>45165</v>
      </c>
      <c r="B181" s="12">
        <f t="shared" si="10"/>
        <v>7</v>
      </c>
      <c r="C181" s="13">
        <f t="shared" si="14"/>
        <v>4678.718956852681</v>
      </c>
      <c r="D181" s="13">
        <f t="shared" si="11"/>
        <v>23.5</v>
      </c>
      <c r="E181" s="13">
        <f t="shared" si="12"/>
        <v>4655.218956852681</v>
      </c>
      <c r="F181" s="16">
        <f t="shared" si="13"/>
        <v>0.4678718956852681</v>
      </c>
    </row>
    <row r="182" spans="1:6" x14ac:dyDescent="0.25">
      <c r="A182" s="11">
        <v>45166</v>
      </c>
      <c r="B182" s="12">
        <f t="shared" si="10"/>
        <v>1</v>
      </c>
      <c r="C182" s="13">
        <f t="shared" si="14"/>
        <v>4736.6852885976032</v>
      </c>
      <c r="D182" s="13">
        <f t="shared" si="11"/>
        <v>23.5</v>
      </c>
      <c r="E182" s="13">
        <f t="shared" si="12"/>
        <v>4713.1852885976032</v>
      </c>
      <c r="F182" s="16">
        <f t="shared" si="13"/>
        <v>0.4736685288597603</v>
      </c>
    </row>
    <row r="183" spans="1:6" x14ac:dyDescent="0.25">
      <c r="A183" s="11">
        <v>45167</v>
      </c>
      <c r="B183" s="12">
        <f t="shared" si="10"/>
        <v>2</v>
      </c>
      <c r="C183" s="13">
        <f t="shared" si="14"/>
        <v>4795.6660311480618</v>
      </c>
      <c r="D183" s="13">
        <f t="shared" si="11"/>
        <v>23.5</v>
      </c>
      <c r="E183" s="13">
        <f t="shared" si="12"/>
        <v>4772.1660311480618</v>
      </c>
      <c r="F183" s="16">
        <f t="shared" si="13"/>
        <v>0.4795666031148062</v>
      </c>
    </row>
    <row r="184" spans="1:6" x14ac:dyDescent="0.25">
      <c r="A184" s="11">
        <v>45168</v>
      </c>
      <c r="B184" s="12">
        <f t="shared" si="10"/>
        <v>3</v>
      </c>
      <c r="C184" s="13">
        <f t="shared" si="14"/>
        <v>4855.6789366931534</v>
      </c>
      <c r="D184" s="13">
        <f t="shared" si="11"/>
        <v>23.5</v>
      </c>
      <c r="E184" s="13">
        <f t="shared" si="12"/>
        <v>4832.1789366931534</v>
      </c>
      <c r="F184" s="16">
        <f t="shared" si="13"/>
        <v>0.48556789366931535</v>
      </c>
    </row>
    <row r="185" spans="1:6" x14ac:dyDescent="0.25">
      <c r="A185" s="11">
        <v>45169</v>
      </c>
      <c r="B185" s="12">
        <f t="shared" si="10"/>
        <v>4</v>
      </c>
      <c r="C185" s="13">
        <f t="shared" si="14"/>
        <v>4916.7420680852838</v>
      </c>
      <c r="D185" s="13">
        <f t="shared" si="11"/>
        <v>23.5</v>
      </c>
      <c r="E185" s="13">
        <f t="shared" si="12"/>
        <v>4893.2420680852838</v>
      </c>
      <c r="F185" s="16">
        <f t="shared" si="13"/>
        <v>0.49167420680852836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A38750-1DEC-4BF3-98BA-C5E8C4F071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staw</vt:lpstr>
      <vt:lpstr>7_1-pomoc</vt:lpstr>
      <vt:lpstr>7_1</vt:lpstr>
      <vt:lpstr>7_2</vt:lpstr>
      <vt:lpstr>7_3</vt:lpstr>
      <vt:lpstr>Arkusz6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2026-07-10T16:11:38Z</dcterms:created>
  <dcterms:modified xsi:type="dcterms:W3CDTF">2026-07-10T17:23:41Z</dcterms:modified>
</cp:coreProperties>
</file>