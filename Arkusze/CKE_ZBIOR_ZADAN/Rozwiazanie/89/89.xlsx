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an\Desktop\89\"/>
    </mc:Choice>
  </mc:AlternateContent>
  <xr:revisionPtr revIDLastSave="0" documentId="13_ncr:1_{3591BBE6-9364-4F35-8A0D-5B7090252BD1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punkty_rekrutacyjne" sheetId="2" r:id="rId1"/>
    <sheet name="89_1" sheetId="1" r:id="rId2"/>
    <sheet name="89_2" sheetId="4" r:id="rId3"/>
    <sheet name="89_3" sheetId="5" r:id="rId4"/>
    <sheet name="89_4" sheetId="6" r:id="rId5"/>
    <sheet name="89_5" sheetId="7" r:id="rId6"/>
  </sheets>
  <definedNames>
    <definedName name="_xlnm._FilterDatabase" localSheetId="1" hidden="1">'89_1'!$R$17:$S$29</definedName>
    <definedName name="ExternalData_1" localSheetId="1" hidden="1">'89_1'!$A$1:$M$515</definedName>
    <definedName name="ExternalData_1" localSheetId="2" hidden="1">'89_2'!$A$1:$M$515</definedName>
    <definedName name="ExternalData_1" localSheetId="3" hidden="1">'89_3'!$A$1:$M$515</definedName>
    <definedName name="ExternalData_1" localSheetId="4" hidden="1">'89_4'!$A$1:$M$515</definedName>
    <definedName name="ExternalData_1" localSheetId="5" hidden="1">'89_5'!$A$1:$M$515</definedName>
    <definedName name="ExternalData_1" localSheetId="0" hidden="1">punkty_rekrutacyjne!$A$1:$M$515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7" l="1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P515" i="7"/>
  <c r="O515" i="7" a="1"/>
  <c r="O515" i="7" s="1"/>
  <c r="N515" i="7"/>
  <c r="P514" i="7"/>
  <c r="O514" i="7" a="1"/>
  <c r="O514" i="7" s="1"/>
  <c r="N514" i="7"/>
  <c r="P513" i="7"/>
  <c r="O513" i="7" a="1"/>
  <c r="O513" i="7" s="1"/>
  <c r="N513" i="7"/>
  <c r="P512" i="7"/>
  <c r="O512" i="7" a="1"/>
  <c r="O512" i="7" s="1"/>
  <c r="N512" i="7"/>
  <c r="P511" i="7"/>
  <c r="O511" i="7" a="1"/>
  <c r="O511" i="7" s="1"/>
  <c r="N511" i="7"/>
  <c r="P510" i="7"/>
  <c r="O510" i="7" a="1"/>
  <c r="O510" i="7" s="1"/>
  <c r="N510" i="7"/>
  <c r="P509" i="7"/>
  <c r="O509" i="7" a="1"/>
  <c r="O509" i="7" s="1"/>
  <c r="N509" i="7"/>
  <c r="P508" i="7"/>
  <c r="O508" i="7" a="1"/>
  <c r="O508" i="7" s="1"/>
  <c r="N508" i="7"/>
  <c r="P507" i="7"/>
  <c r="O507" i="7" a="1"/>
  <c r="O507" i="7" s="1"/>
  <c r="N507" i="7"/>
  <c r="P506" i="7"/>
  <c r="O506" i="7" a="1"/>
  <c r="O506" i="7" s="1"/>
  <c r="N506" i="7"/>
  <c r="P505" i="7"/>
  <c r="O505" i="7" a="1"/>
  <c r="O505" i="7" s="1"/>
  <c r="N505" i="7"/>
  <c r="P504" i="7"/>
  <c r="O504" i="7" a="1"/>
  <c r="O504" i="7" s="1"/>
  <c r="N504" i="7"/>
  <c r="P503" i="7"/>
  <c r="O503" i="7" a="1"/>
  <c r="O503" i="7" s="1"/>
  <c r="N503" i="7"/>
  <c r="P502" i="7"/>
  <c r="O502" i="7" a="1"/>
  <c r="O502" i="7" s="1"/>
  <c r="N502" i="7"/>
  <c r="P501" i="7"/>
  <c r="O501" i="7" a="1"/>
  <c r="O501" i="7" s="1"/>
  <c r="N501" i="7"/>
  <c r="P500" i="7"/>
  <c r="O500" i="7" a="1"/>
  <c r="O500" i="7" s="1"/>
  <c r="N500" i="7"/>
  <c r="P499" i="7"/>
  <c r="O499" i="7" a="1"/>
  <c r="O499" i="7" s="1"/>
  <c r="N499" i="7"/>
  <c r="P498" i="7"/>
  <c r="O498" i="7" a="1"/>
  <c r="O498" i="7" s="1"/>
  <c r="N498" i="7"/>
  <c r="P497" i="7"/>
  <c r="O497" i="7" a="1"/>
  <c r="O497" i="7" s="1"/>
  <c r="N497" i="7"/>
  <c r="P496" i="7"/>
  <c r="O496" i="7" a="1"/>
  <c r="O496" i="7" s="1"/>
  <c r="N496" i="7"/>
  <c r="P495" i="7"/>
  <c r="O495" i="7" a="1"/>
  <c r="O495" i="7" s="1"/>
  <c r="N495" i="7"/>
  <c r="P494" i="7"/>
  <c r="O494" i="7" a="1"/>
  <c r="O494" i="7" s="1"/>
  <c r="N494" i="7"/>
  <c r="P493" i="7"/>
  <c r="O493" i="7" a="1"/>
  <c r="O493" i="7" s="1"/>
  <c r="N493" i="7"/>
  <c r="P492" i="7"/>
  <c r="O492" i="7" a="1"/>
  <c r="O492" i="7" s="1"/>
  <c r="N492" i="7"/>
  <c r="P491" i="7"/>
  <c r="O491" i="7" a="1"/>
  <c r="O491" i="7" s="1"/>
  <c r="N491" i="7"/>
  <c r="P490" i="7"/>
  <c r="O490" i="7" a="1"/>
  <c r="O490" i="7" s="1"/>
  <c r="N490" i="7"/>
  <c r="P489" i="7"/>
  <c r="O489" i="7" a="1"/>
  <c r="O489" i="7" s="1"/>
  <c r="N489" i="7"/>
  <c r="P488" i="7"/>
  <c r="O488" i="7" a="1"/>
  <c r="O488" i="7" s="1"/>
  <c r="N488" i="7"/>
  <c r="P487" i="7"/>
  <c r="O487" i="7" a="1"/>
  <c r="O487" i="7" s="1"/>
  <c r="N487" i="7"/>
  <c r="P486" i="7"/>
  <c r="O486" i="7" a="1"/>
  <c r="O486" i="7" s="1"/>
  <c r="N486" i="7"/>
  <c r="P485" i="7"/>
  <c r="O485" i="7" a="1"/>
  <c r="O485" i="7" s="1"/>
  <c r="N485" i="7"/>
  <c r="P484" i="7"/>
  <c r="O484" i="7" a="1"/>
  <c r="O484" i="7" s="1"/>
  <c r="N484" i="7"/>
  <c r="P483" i="7"/>
  <c r="O483" i="7" a="1"/>
  <c r="O483" i="7" s="1"/>
  <c r="N483" i="7"/>
  <c r="P482" i="7"/>
  <c r="O482" i="7" a="1"/>
  <c r="O482" i="7" s="1"/>
  <c r="N482" i="7"/>
  <c r="P481" i="7"/>
  <c r="O481" i="7" a="1"/>
  <c r="O481" i="7" s="1"/>
  <c r="N481" i="7"/>
  <c r="P480" i="7"/>
  <c r="O480" i="7" a="1"/>
  <c r="O480" i="7" s="1"/>
  <c r="N480" i="7"/>
  <c r="P479" i="7"/>
  <c r="O479" i="7" a="1"/>
  <c r="O479" i="7" s="1"/>
  <c r="N479" i="7"/>
  <c r="P478" i="7"/>
  <c r="O478" i="7" a="1"/>
  <c r="O478" i="7" s="1"/>
  <c r="N478" i="7"/>
  <c r="P477" i="7"/>
  <c r="O477" i="7" a="1"/>
  <c r="O477" i="7" s="1"/>
  <c r="N477" i="7"/>
  <c r="P476" i="7"/>
  <c r="O476" i="7" a="1"/>
  <c r="O476" i="7" s="1"/>
  <c r="N476" i="7"/>
  <c r="P475" i="7"/>
  <c r="O475" i="7" a="1"/>
  <c r="O475" i="7" s="1"/>
  <c r="N475" i="7"/>
  <c r="P474" i="7"/>
  <c r="O474" i="7" a="1"/>
  <c r="O474" i="7" s="1"/>
  <c r="N474" i="7"/>
  <c r="P473" i="7"/>
  <c r="O473" i="7" a="1"/>
  <c r="O473" i="7" s="1"/>
  <c r="N473" i="7"/>
  <c r="P472" i="7"/>
  <c r="O472" i="7" a="1"/>
  <c r="O472" i="7" s="1"/>
  <c r="N472" i="7"/>
  <c r="P471" i="7"/>
  <c r="O471" i="7"/>
  <c r="O471" i="7" a="1"/>
  <c r="N471" i="7"/>
  <c r="P470" i="7"/>
  <c r="O470" i="7"/>
  <c r="O470" i="7" a="1"/>
  <c r="N470" i="7"/>
  <c r="P469" i="7"/>
  <c r="O469" i="7" a="1"/>
  <c r="O469" i="7" s="1"/>
  <c r="N469" i="7"/>
  <c r="P468" i="7"/>
  <c r="O468" i="7" a="1"/>
  <c r="O468" i="7" s="1"/>
  <c r="N468" i="7"/>
  <c r="P467" i="7"/>
  <c r="O467" i="7" a="1"/>
  <c r="O467" i="7" s="1"/>
  <c r="N467" i="7"/>
  <c r="P466" i="7"/>
  <c r="O466" i="7" a="1"/>
  <c r="O466" i="7" s="1"/>
  <c r="N466" i="7"/>
  <c r="P465" i="7"/>
  <c r="O465" i="7" a="1"/>
  <c r="O465" i="7" s="1"/>
  <c r="N465" i="7"/>
  <c r="P464" i="7"/>
  <c r="O464" i="7" a="1"/>
  <c r="O464" i="7" s="1"/>
  <c r="N464" i="7"/>
  <c r="P463" i="7"/>
  <c r="O463" i="7" a="1"/>
  <c r="O463" i="7" s="1"/>
  <c r="N463" i="7"/>
  <c r="P462" i="7"/>
  <c r="O462" i="7" a="1"/>
  <c r="O462" i="7" s="1"/>
  <c r="N462" i="7"/>
  <c r="P461" i="7"/>
  <c r="O461" i="7" a="1"/>
  <c r="O461" i="7" s="1"/>
  <c r="N461" i="7"/>
  <c r="P460" i="7"/>
  <c r="O460" i="7" a="1"/>
  <c r="O460" i="7" s="1"/>
  <c r="N460" i="7"/>
  <c r="P459" i="7"/>
  <c r="O459" i="7" a="1"/>
  <c r="O459" i="7" s="1"/>
  <c r="N459" i="7"/>
  <c r="P458" i="7"/>
  <c r="O458" i="7" a="1"/>
  <c r="O458" i="7" s="1"/>
  <c r="N458" i="7"/>
  <c r="P457" i="7"/>
  <c r="O457" i="7" a="1"/>
  <c r="O457" i="7" s="1"/>
  <c r="N457" i="7"/>
  <c r="P456" i="7"/>
  <c r="O456" i="7" a="1"/>
  <c r="O456" i="7" s="1"/>
  <c r="N456" i="7"/>
  <c r="P455" i="7"/>
  <c r="O455" i="7" a="1"/>
  <c r="O455" i="7" s="1"/>
  <c r="N455" i="7"/>
  <c r="P454" i="7"/>
  <c r="O454" i="7" a="1"/>
  <c r="O454" i="7" s="1"/>
  <c r="N454" i="7"/>
  <c r="P453" i="7"/>
  <c r="O453" i="7" a="1"/>
  <c r="O453" i="7" s="1"/>
  <c r="N453" i="7"/>
  <c r="P452" i="7"/>
  <c r="O452" i="7" a="1"/>
  <c r="O452" i="7" s="1"/>
  <c r="N452" i="7"/>
  <c r="P451" i="7"/>
  <c r="O451" i="7" a="1"/>
  <c r="O451" i="7" s="1"/>
  <c r="N451" i="7"/>
  <c r="P450" i="7"/>
  <c r="O450" i="7" a="1"/>
  <c r="O450" i="7" s="1"/>
  <c r="N450" i="7"/>
  <c r="P449" i="7"/>
  <c r="O449" i="7"/>
  <c r="O449" i="7" a="1"/>
  <c r="N449" i="7"/>
  <c r="P448" i="7"/>
  <c r="O448" i="7" a="1"/>
  <c r="O448" i="7" s="1"/>
  <c r="N448" i="7"/>
  <c r="P447" i="7"/>
  <c r="O447" i="7" a="1"/>
  <c r="O447" i="7" s="1"/>
  <c r="N447" i="7"/>
  <c r="P446" i="7"/>
  <c r="O446" i="7" a="1"/>
  <c r="O446" i="7" s="1"/>
  <c r="N446" i="7"/>
  <c r="P445" i="7"/>
  <c r="O445" i="7" a="1"/>
  <c r="O445" i="7" s="1"/>
  <c r="N445" i="7"/>
  <c r="P444" i="7"/>
  <c r="O444" i="7" a="1"/>
  <c r="O444" i="7" s="1"/>
  <c r="N444" i="7"/>
  <c r="P443" i="7"/>
  <c r="O443" i="7" a="1"/>
  <c r="O443" i="7" s="1"/>
  <c r="N443" i="7"/>
  <c r="P442" i="7"/>
  <c r="O442" i="7" a="1"/>
  <c r="O442" i="7" s="1"/>
  <c r="N442" i="7"/>
  <c r="P441" i="7"/>
  <c r="O441" i="7" a="1"/>
  <c r="O441" i="7" s="1"/>
  <c r="N441" i="7"/>
  <c r="P440" i="7"/>
  <c r="O440" i="7" a="1"/>
  <c r="O440" i="7" s="1"/>
  <c r="N440" i="7"/>
  <c r="P439" i="7"/>
  <c r="O439" i="7" a="1"/>
  <c r="O439" i="7" s="1"/>
  <c r="N439" i="7"/>
  <c r="P438" i="7"/>
  <c r="O438" i="7" a="1"/>
  <c r="O438" i="7" s="1"/>
  <c r="N438" i="7"/>
  <c r="P437" i="7"/>
  <c r="O437" i="7" a="1"/>
  <c r="O437" i="7" s="1"/>
  <c r="N437" i="7"/>
  <c r="P436" i="7"/>
  <c r="O436" i="7" a="1"/>
  <c r="O436" i="7" s="1"/>
  <c r="N436" i="7"/>
  <c r="P435" i="7"/>
  <c r="O435" i="7" a="1"/>
  <c r="O435" i="7" s="1"/>
  <c r="N435" i="7"/>
  <c r="P434" i="7"/>
  <c r="O434" i="7" a="1"/>
  <c r="O434" i="7" s="1"/>
  <c r="N434" i="7"/>
  <c r="P433" i="7"/>
  <c r="O433" i="7" a="1"/>
  <c r="O433" i="7" s="1"/>
  <c r="N433" i="7"/>
  <c r="P432" i="7"/>
  <c r="O432" i="7" a="1"/>
  <c r="O432" i="7" s="1"/>
  <c r="N432" i="7"/>
  <c r="P431" i="7"/>
  <c r="O431" i="7" a="1"/>
  <c r="O431" i="7" s="1"/>
  <c r="N431" i="7"/>
  <c r="P430" i="7"/>
  <c r="O430" i="7" a="1"/>
  <c r="O430" i="7" s="1"/>
  <c r="N430" i="7"/>
  <c r="P429" i="7"/>
  <c r="O429" i="7" a="1"/>
  <c r="O429" i="7" s="1"/>
  <c r="N429" i="7"/>
  <c r="P428" i="7"/>
  <c r="O428" i="7" a="1"/>
  <c r="O428" i="7" s="1"/>
  <c r="N428" i="7"/>
  <c r="P427" i="7"/>
  <c r="O427" i="7" a="1"/>
  <c r="O427" i="7" s="1"/>
  <c r="N427" i="7"/>
  <c r="P426" i="7"/>
  <c r="O426" i="7" a="1"/>
  <c r="O426" i="7" s="1"/>
  <c r="N426" i="7"/>
  <c r="P425" i="7"/>
  <c r="O425" i="7" a="1"/>
  <c r="O425" i="7" s="1"/>
  <c r="N425" i="7"/>
  <c r="P424" i="7"/>
  <c r="O424" i="7" a="1"/>
  <c r="O424" i="7" s="1"/>
  <c r="N424" i="7"/>
  <c r="P423" i="7"/>
  <c r="O423" i="7"/>
  <c r="O423" i="7" a="1"/>
  <c r="N423" i="7"/>
  <c r="P422" i="7"/>
  <c r="O422" i="7" a="1"/>
  <c r="O422" i="7" s="1"/>
  <c r="N422" i="7"/>
  <c r="P421" i="7"/>
  <c r="O421" i="7" a="1"/>
  <c r="O421" i="7" s="1"/>
  <c r="N421" i="7"/>
  <c r="P420" i="7"/>
  <c r="O420" i="7" a="1"/>
  <c r="O420" i="7" s="1"/>
  <c r="N420" i="7"/>
  <c r="P419" i="7"/>
  <c r="O419" i="7" a="1"/>
  <c r="O419" i="7" s="1"/>
  <c r="N419" i="7"/>
  <c r="P418" i="7"/>
  <c r="O418" i="7" a="1"/>
  <c r="O418" i="7" s="1"/>
  <c r="N418" i="7"/>
  <c r="P417" i="7"/>
  <c r="O417" i="7" a="1"/>
  <c r="O417" i="7" s="1"/>
  <c r="N417" i="7"/>
  <c r="P416" i="7"/>
  <c r="O416" i="7" a="1"/>
  <c r="O416" i="7" s="1"/>
  <c r="N416" i="7"/>
  <c r="P415" i="7"/>
  <c r="O415" i="7" a="1"/>
  <c r="O415" i="7" s="1"/>
  <c r="N415" i="7"/>
  <c r="P414" i="7"/>
  <c r="O414" i="7" a="1"/>
  <c r="O414" i="7" s="1"/>
  <c r="N414" i="7"/>
  <c r="P413" i="7"/>
  <c r="O413" i="7" a="1"/>
  <c r="O413" i="7" s="1"/>
  <c r="N413" i="7"/>
  <c r="P412" i="7"/>
  <c r="O412" i="7" a="1"/>
  <c r="O412" i="7" s="1"/>
  <c r="N412" i="7"/>
  <c r="P411" i="7"/>
  <c r="O411" i="7" a="1"/>
  <c r="O411" i="7" s="1"/>
  <c r="N411" i="7"/>
  <c r="P410" i="7"/>
  <c r="O410" i="7" a="1"/>
  <c r="O410" i="7" s="1"/>
  <c r="N410" i="7"/>
  <c r="P409" i="7"/>
  <c r="O409" i="7" a="1"/>
  <c r="O409" i="7" s="1"/>
  <c r="N409" i="7"/>
  <c r="P408" i="7"/>
  <c r="O408" i="7" a="1"/>
  <c r="O408" i="7" s="1"/>
  <c r="N408" i="7"/>
  <c r="P407" i="7"/>
  <c r="O407" i="7" a="1"/>
  <c r="O407" i="7" s="1"/>
  <c r="N407" i="7"/>
  <c r="P406" i="7"/>
  <c r="O406" i="7" a="1"/>
  <c r="O406" i="7" s="1"/>
  <c r="N406" i="7"/>
  <c r="P405" i="7"/>
  <c r="O405" i="7" a="1"/>
  <c r="O405" i="7" s="1"/>
  <c r="N405" i="7"/>
  <c r="P404" i="7"/>
  <c r="O404" i="7" a="1"/>
  <c r="O404" i="7" s="1"/>
  <c r="N404" i="7"/>
  <c r="P403" i="7"/>
  <c r="O403" i="7"/>
  <c r="O403" i="7" a="1"/>
  <c r="N403" i="7"/>
  <c r="P402" i="7"/>
  <c r="O402" i="7" a="1"/>
  <c r="O402" i="7" s="1"/>
  <c r="N402" i="7"/>
  <c r="P401" i="7"/>
  <c r="O401" i="7" a="1"/>
  <c r="O401" i="7" s="1"/>
  <c r="N401" i="7"/>
  <c r="P400" i="7"/>
  <c r="O400" i="7" a="1"/>
  <c r="O400" i="7" s="1"/>
  <c r="N400" i="7"/>
  <c r="P399" i="7"/>
  <c r="O399" i="7" a="1"/>
  <c r="O399" i="7" s="1"/>
  <c r="N399" i="7"/>
  <c r="P398" i="7"/>
  <c r="O398" i="7" a="1"/>
  <c r="O398" i="7" s="1"/>
  <c r="N398" i="7"/>
  <c r="P397" i="7"/>
  <c r="O397" i="7" a="1"/>
  <c r="O397" i="7" s="1"/>
  <c r="N397" i="7"/>
  <c r="P396" i="7"/>
  <c r="O396" i="7" a="1"/>
  <c r="O396" i="7" s="1"/>
  <c r="N396" i="7"/>
  <c r="P395" i="7"/>
  <c r="O395" i="7" a="1"/>
  <c r="O395" i="7" s="1"/>
  <c r="N395" i="7"/>
  <c r="P394" i="7"/>
  <c r="O394" i="7" a="1"/>
  <c r="O394" i="7" s="1"/>
  <c r="N394" i="7"/>
  <c r="P393" i="7"/>
  <c r="O393" i="7" a="1"/>
  <c r="O393" i="7" s="1"/>
  <c r="N393" i="7"/>
  <c r="P392" i="7"/>
  <c r="O392" i="7"/>
  <c r="O392" i="7" a="1"/>
  <c r="N392" i="7"/>
  <c r="P391" i="7"/>
  <c r="O391" i="7" a="1"/>
  <c r="O391" i="7" s="1"/>
  <c r="N391" i="7"/>
  <c r="P390" i="7"/>
  <c r="O390" i="7" a="1"/>
  <c r="O390" i="7" s="1"/>
  <c r="N390" i="7"/>
  <c r="P389" i="7"/>
  <c r="O389" i="7" a="1"/>
  <c r="O389" i="7" s="1"/>
  <c r="N389" i="7"/>
  <c r="P388" i="7"/>
  <c r="O388" i="7" a="1"/>
  <c r="O388" i="7" s="1"/>
  <c r="N388" i="7"/>
  <c r="P387" i="7"/>
  <c r="O387" i="7"/>
  <c r="O387" i="7" a="1"/>
  <c r="N387" i="7"/>
  <c r="P386" i="7"/>
  <c r="O386" i="7" a="1"/>
  <c r="O386" i="7" s="1"/>
  <c r="N386" i="7"/>
  <c r="P385" i="7"/>
  <c r="O385" i="7" a="1"/>
  <c r="O385" i="7" s="1"/>
  <c r="N385" i="7"/>
  <c r="P384" i="7"/>
  <c r="O384" i="7" a="1"/>
  <c r="O384" i="7" s="1"/>
  <c r="N384" i="7"/>
  <c r="P383" i="7"/>
  <c r="O383" i="7" a="1"/>
  <c r="O383" i="7" s="1"/>
  <c r="N383" i="7"/>
  <c r="P382" i="7"/>
  <c r="O382" i="7" a="1"/>
  <c r="O382" i="7" s="1"/>
  <c r="N382" i="7"/>
  <c r="P381" i="7"/>
  <c r="O381" i="7" a="1"/>
  <c r="O381" i="7" s="1"/>
  <c r="N381" i="7"/>
  <c r="P380" i="7"/>
  <c r="O380" i="7" a="1"/>
  <c r="O380" i="7" s="1"/>
  <c r="N380" i="7"/>
  <c r="P379" i="7"/>
  <c r="O379" i="7" a="1"/>
  <c r="O379" i="7" s="1"/>
  <c r="N379" i="7"/>
  <c r="P378" i="7"/>
  <c r="O378" i="7" a="1"/>
  <c r="O378" i="7" s="1"/>
  <c r="N378" i="7"/>
  <c r="P377" i="7"/>
  <c r="O377" i="7" a="1"/>
  <c r="O377" i="7" s="1"/>
  <c r="N377" i="7"/>
  <c r="P376" i="7"/>
  <c r="O376" i="7" a="1"/>
  <c r="O376" i="7" s="1"/>
  <c r="N376" i="7"/>
  <c r="P375" i="7"/>
  <c r="O375" i="7" a="1"/>
  <c r="O375" i="7" s="1"/>
  <c r="N375" i="7"/>
  <c r="P374" i="7"/>
  <c r="O374" i="7" a="1"/>
  <c r="O374" i="7" s="1"/>
  <c r="N374" i="7"/>
  <c r="P373" i="7"/>
  <c r="O373" i="7" a="1"/>
  <c r="O373" i="7" s="1"/>
  <c r="N373" i="7"/>
  <c r="P372" i="7"/>
  <c r="O372" i="7" a="1"/>
  <c r="O372" i="7" s="1"/>
  <c r="N372" i="7"/>
  <c r="P371" i="7"/>
  <c r="O371" i="7" a="1"/>
  <c r="O371" i="7" s="1"/>
  <c r="N371" i="7"/>
  <c r="P370" i="7"/>
  <c r="O370" i="7" a="1"/>
  <c r="O370" i="7" s="1"/>
  <c r="N370" i="7"/>
  <c r="P369" i="7"/>
  <c r="O369" i="7" a="1"/>
  <c r="O369" i="7" s="1"/>
  <c r="N369" i="7"/>
  <c r="P368" i="7"/>
  <c r="O368" i="7" a="1"/>
  <c r="O368" i="7" s="1"/>
  <c r="N368" i="7"/>
  <c r="P367" i="7"/>
  <c r="O367" i="7"/>
  <c r="O367" i="7" a="1"/>
  <c r="N367" i="7"/>
  <c r="P366" i="7"/>
  <c r="O366" i="7" a="1"/>
  <c r="O366" i="7" s="1"/>
  <c r="N366" i="7"/>
  <c r="P365" i="7"/>
  <c r="O365" i="7" a="1"/>
  <c r="O365" i="7" s="1"/>
  <c r="N365" i="7"/>
  <c r="P364" i="7"/>
  <c r="O364" i="7" a="1"/>
  <c r="O364" i="7" s="1"/>
  <c r="N364" i="7"/>
  <c r="P363" i="7"/>
  <c r="O363" i="7" a="1"/>
  <c r="O363" i="7" s="1"/>
  <c r="N363" i="7"/>
  <c r="P362" i="7"/>
  <c r="O362" i="7" a="1"/>
  <c r="O362" i="7" s="1"/>
  <c r="N362" i="7"/>
  <c r="P361" i="7"/>
  <c r="O361" i="7" a="1"/>
  <c r="O361" i="7" s="1"/>
  <c r="N361" i="7"/>
  <c r="P360" i="7"/>
  <c r="O360" i="7" a="1"/>
  <c r="O360" i="7" s="1"/>
  <c r="N360" i="7"/>
  <c r="P359" i="7"/>
  <c r="O359" i="7" a="1"/>
  <c r="O359" i="7" s="1"/>
  <c r="N359" i="7"/>
  <c r="P358" i="7"/>
  <c r="O358" i="7" a="1"/>
  <c r="O358" i="7" s="1"/>
  <c r="N358" i="7"/>
  <c r="P357" i="7"/>
  <c r="O357" i="7" a="1"/>
  <c r="O357" i="7" s="1"/>
  <c r="N357" i="7"/>
  <c r="P356" i="7"/>
  <c r="O356" i="7" a="1"/>
  <c r="O356" i="7" s="1"/>
  <c r="N356" i="7"/>
  <c r="P355" i="7"/>
  <c r="O355" i="7" a="1"/>
  <c r="O355" i="7" s="1"/>
  <c r="N355" i="7"/>
  <c r="P354" i="7"/>
  <c r="O354" i="7" a="1"/>
  <c r="O354" i="7" s="1"/>
  <c r="N354" i="7"/>
  <c r="P353" i="7"/>
  <c r="O353" i="7" a="1"/>
  <c r="O353" i="7" s="1"/>
  <c r="N353" i="7"/>
  <c r="P352" i="7"/>
  <c r="O352" i="7" a="1"/>
  <c r="O352" i="7" s="1"/>
  <c r="N352" i="7"/>
  <c r="P351" i="7"/>
  <c r="O351" i="7" a="1"/>
  <c r="O351" i="7" s="1"/>
  <c r="N351" i="7"/>
  <c r="P350" i="7"/>
  <c r="O350" i="7" a="1"/>
  <c r="O350" i="7" s="1"/>
  <c r="N350" i="7"/>
  <c r="P349" i="7"/>
  <c r="O349" i="7" a="1"/>
  <c r="O349" i="7" s="1"/>
  <c r="N349" i="7"/>
  <c r="P348" i="7"/>
  <c r="O348" i="7" a="1"/>
  <c r="O348" i="7" s="1"/>
  <c r="N348" i="7"/>
  <c r="P347" i="7"/>
  <c r="O347" i="7"/>
  <c r="O347" i="7" a="1"/>
  <c r="N347" i="7"/>
  <c r="P346" i="7"/>
  <c r="O346" i="7" a="1"/>
  <c r="O346" i="7" s="1"/>
  <c r="N346" i="7"/>
  <c r="P345" i="7"/>
  <c r="O345" i="7" a="1"/>
  <c r="O345" i="7" s="1"/>
  <c r="N345" i="7"/>
  <c r="P344" i="7"/>
  <c r="O344" i="7" a="1"/>
  <c r="O344" i="7" s="1"/>
  <c r="N344" i="7"/>
  <c r="P343" i="7"/>
  <c r="O343" i="7" a="1"/>
  <c r="O343" i="7" s="1"/>
  <c r="N343" i="7"/>
  <c r="P342" i="7"/>
  <c r="O342" i="7" a="1"/>
  <c r="O342" i="7" s="1"/>
  <c r="N342" i="7"/>
  <c r="P341" i="7"/>
  <c r="O341" i="7" a="1"/>
  <c r="O341" i="7" s="1"/>
  <c r="N341" i="7"/>
  <c r="P340" i="7"/>
  <c r="O340" i="7" a="1"/>
  <c r="O340" i="7" s="1"/>
  <c r="N340" i="7"/>
  <c r="P339" i="7"/>
  <c r="O339" i="7" a="1"/>
  <c r="O339" i="7" s="1"/>
  <c r="N339" i="7"/>
  <c r="P338" i="7"/>
  <c r="O338" i="7" a="1"/>
  <c r="O338" i="7" s="1"/>
  <c r="N338" i="7"/>
  <c r="P337" i="7"/>
  <c r="O337" i="7" a="1"/>
  <c r="O337" i="7" s="1"/>
  <c r="N337" i="7"/>
  <c r="P336" i="7"/>
  <c r="O336" i="7" a="1"/>
  <c r="O336" i="7" s="1"/>
  <c r="N336" i="7"/>
  <c r="P335" i="7"/>
  <c r="O335" i="7" a="1"/>
  <c r="O335" i="7" s="1"/>
  <c r="N335" i="7"/>
  <c r="P334" i="7"/>
  <c r="O334" i="7" a="1"/>
  <c r="O334" i="7" s="1"/>
  <c r="N334" i="7"/>
  <c r="P333" i="7"/>
  <c r="O333" i="7" a="1"/>
  <c r="O333" i="7" s="1"/>
  <c r="N333" i="7"/>
  <c r="P332" i="7"/>
  <c r="O332" i="7" a="1"/>
  <c r="O332" i="7" s="1"/>
  <c r="N332" i="7"/>
  <c r="P331" i="7"/>
  <c r="O331" i="7" a="1"/>
  <c r="O331" i="7" s="1"/>
  <c r="N331" i="7"/>
  <c r="P330" i="7"/>
  <c r="O330" i="7" a="1"/>
  <c r="O330" i="7" s="1"/>
  <c r="N330" i="7"/>
  <c r="P329" i="7"/>
  <c r="O329" i="7" a="1"/>
  <c r="O329" i="7" s="1"/>
  <c r="N329" i="7"/>
  <c r="P328" i="7"/>
  <c r="O328" i="7" a="1"/>
  <c r="O328" i="7" s="1"/>
  <c r="N328" i="7"/>
  <c r="P327" i="7"/>
  <c r="O327" i="7" a="1"/>
  <c r="O327" i="7" s="1"/>
  <c r="N327" i="7"/>
  <c r="P326" i="7"/>
  <c r="O326" i="7"/>
  <c r="O326" i="7" a="1"/>
  <c r="N326" i="7"/>
  <c r="P325" i="7"/>
  <c r="O325" i="7" a="1"/>
  <c r="O325" i="7" s="1"/>
  <c r="N325" i="7"/>
  <c r="P324" i="7"/>
  <c r="O324" i="7" a="1"/>
  <c r="O324" i="7" s="1"/>
  <c r="N324" i="7"/>
  <c r="P323" i="7"/>
  <c r="O323" i="7" a="1"/>
  <c r="O323" i="7" s="1"/>
  <c r="N323" i="7"/>
  <c r="P322" i="7"/>
  <c r="O322" i="7" a="1"/>
  <c r="O322" i="7" s="1"/>
  <c r="N322" i="7"/>
  <c r="P321" i="7"/>
  <c r="O321" i="7" a="1"/>
  <c r="O321" i="7" s="1"/>
  <c r="N321" i="7"/>
  <c r="P320" i="7"/>
  <c r="O320" i="7" a="1"/>
  <c r="O320" i="7" s="1"/>
  <c r="N320" i="7"/>
  <c r="P319" i="7"/>
  <c r="O319" i="7" a="1"/>
  <c r="O319" i="7" s="1"/>
  <c r="N319" i="7"/>
  <c r="P318" i="7"/>
  <c r="O318" i="7" a="1"/>
  <c r="O318" i="7" s="1"/>
  <c r="N318" i="7"/>
  <c r="P317" i="7"/>
  <c r="O317" i="7" a="1"/>
  <c r="O317" i="7" s="1"/>
  <c r="N317" i="7"/>
  <c r="P316" i="7"/>
  <c r="O316" i="7" a="1"/>
  <c r="O316" i="7" s="1"/>
  <c r="N316" i="7"/>
  <c r="P315" i="7"/>
  <c r="O315" i="7" a="1"/>
  <c r="O315" i="7" s="1"/>
  <c r="N315" i="7"/>
  <c r="P314" i="7"/>
  <c r="O314" i="7" a="1"/>
  <c r="O314" i="7" s="1"/>
  <c r="N314" i="7"/>
  <c r="P313" i="7"/>
  <c r="O313" i="7" a="1"/>
  <c r="O313" i="7" s="1"/>
  <c r="N313" i="7"/>
  <c r="P312" i="7"/>
  <c r="O312" i="7" a="1"/>
  <c r="O312" i="7" s="1"/>
  <c r="N312" i="7"/>
  <c r="P311" i="7"/>
  <c r="O311" i="7" a="1"/>
  <c r="O311" i="7" s="1"/>
  <c r="N311" i="7"/>
  <c r="P310" i="7"/>
  <c r="O310" i="7" a="1"/>
  <c r="O310" i="7" s="1"/>
  <c r="N310" i="7"/>
  <c r="P309" i="7"/>
  <c r="O309" i="7" a="1"/>
  <c r="O309" i="7" s="1"/>
  <c r="N309" i="7"/>
  <c r="P308" i="7"/>
  <c r="O308" i="7" a="1"/>
  <c r="O308" i="7" s="1"/>
  <c r="N308" i="7"/>
  <c r="P307" i="7"/>
  <c r="O307" i="7" a="1"/>
  <c r="O307" i="7" s="1"/>
  <c r="N307" i="7"/>
  <c r="P306" i="7"/>
  <c r="O306" i="7" a="1"/>
  <c r="O306" i="7" s="1"/>
  <c r="N306" i="7"/>
  <c r="P305" i="7"/>
  <c r="O305" i="7" a="1"/>
  <c r="O305" i="7" s="1"/>
  <c r="N305" i="7"/>
  <c r="P304" i="7"/>
  <c r="O304" i="7" a="1"/>
  <c r="O304" i="7" s="1"/>
  <c r="N304" i="7"/>
  <c r="P303" i="7"/>
  <c r="O303" i="7" a="1"/>
  <c r="O303" i="7" s="1"/>
  <c r="N303" i="7"/>
  <c r="P302" i="7"/>
  <c r="O302" i="7" a="1"/>
  <c r="O302" i="7" s="1"/>
  <c r="N302" i="7"/>
  <c r="P301" i="7"/>
  <c r="O301" i="7" a="1"/>
  <c r="O301" i="7" s="1"/>
  <c r="N301" i="7"/>
  <c r="P300" i="7"/>
  <c r="O300" i="7" a="1"/>
  <c r="O300" i="7" s="1"/>
  <c r="N300" i="7"/>
  <c r="P299" i="7"/>
  <c r="O299" i="7" a="1"/>
  <c r="O299" i="7" s="1"/>
  <c r="N299" i="7"/>
  <c r="P298" i="7"/>
  <c r="O298" i="7" a="1"/>
  <c r="O298" i="7" s="1"/>
  <c r="N298" i="7"/>
  <c r="P297" i="7"/>
  <c r="O297" i="7" a="1"/>
  <c r="O297" i="7" s="1"/>
  <c r="N297" i="7"/>
  <c r="P296" i="7"/>
  <c r="O296" i="7" a="1"/>
  <c r="O296" i="7" s="1"/>
  <c r="N296" i="7"/>
  <c r="P295" i="7"/>
  <c r="O295" i="7" a="1"/>
  <c r="O295" i="7" s="1"/>
  <c r="N295" i="7"/>
  <c r="P294" i="7"/>
  <c r="O294" i="7" a="1"/>
  <c r="O294" i="7" s="1"/>
  <c r="N294" i="7"/>
  <c r="P293" i="7"/>
  <c r="O293" i="7" a="1"/>
  <c r="O293" i="7" s="1"/>
  <c r="N293" i="7"/>
  <c r="P292" i="7"/>
  <c r="O292" i="7" a="1"/>
  <c r="O292" i="7" s="1"/>
  <c r="N292" i="7"/>
  <c r="P291" i="7"/>
  <c r="O291" i="7" a="1"/>
  <c r="O291" i="7" s="1"/>
  <c r="N291" i="7"/>
  <c r="P290" i="7"/>
  <c r="O290" i="7" a="1"/>
  <c r="O290" i="7" s="1"/>
  <c r="N290" i="7"/>
  <c r="P289" i="7"/>
  <c r="O289" i="7" a="1"/>
  <c r="O289" i="7" s="1"/>
  <c r="N289" i="7"/>
  <c r="P288" i="7"/>
  <c r="O288" i="7" a="1"/>
  <c r="O288" i="7" s="1"/>
  <c r="N288" i="7"/>
  <c r="P287" i="7"/>
  <c r="O287" i="7"/>
  <c r="O287" i="7" a="1"/>
  <c r="N287" i="7"/>
  <c r="P286" i="7"/>
  <c r="O286" i="7" a="1"/>
  <c r="O286" i="7" s="1"/>
  <c r="N286" i="7"/>
  <c r="P285" i="7"/>
  <c r="O285" i="7" a="1"/>
  <c r="O285" i="7" s="1"/>
  <c r="N285" i="7"/>
  <c r="P284" i="7"/>
  <c r="O284" i="7" a="1"/>
  <c r="O284" i="7" s="1"/>
  <c r="N284" i="7"/>
  <c r="P283" i="7"/>
  <c r="O283" i="7" a="1"/>
  <c r="O283" i="7" s="1"/>
  <c r="N283" i="7"/>
  <c r="P282" i="7"/>
  <c r="O282" i="7" a="1"/>
  <c r="O282" i="7" s="1"/>
  <c r="N282" i="7"/>
  <c r="P281" i="7"/>
  <c r="O281" i="7" a="1"/>
  <c r="O281" i="7" s="1"/>
  <c r="N281" i="7"/>
  <c r="P280" i="7"/>
  <c r="O280" i="7" a="1"/>
  <c r="O280" i="7" s="1"/>
  <c r="N280" i="7"/>
  <c r="P279" i="7"/>
  <c r="O279" i="7" a="1"/>
  <c r="O279" i="7" s="1"/>
  <c r="N279" i="7"/>
  <c r="P278" i="7"/>
  <c r="O278" i="7"/>
  <c r="O278" i="7" a="1"/>
  <c r="N278" i="7"/>
  <c r="P277" i="7"/>
  <c r="O277" i="7" a="1"/>
  <c r="O277" i="7" s="1"/>
  <c r="N277" i="7"/>
  <c r="P276" i="7"/>
  <c r="O276" i="7" a="1"/>
  <c r="O276" i="7" s="1"/>
  <c r="N276" i="7"/>
  <c r="P275" i="7"/>
  <c r="O275" i="7" a="1"/>
  <c r="O275" i="7" s="1"/>
  <c r="N275" i="7"/>
  <c r="P274" i="7"/>
  <c r="O274" i="7" a="1"/>
  <c r="O274" i="7" s="1"/>
  <c r="N274" i="7"/>
  <c r="P273" i="7"/>
  <c r="O273" i="7" a="1"/>
  <c r="O273" i="7" s="1"/>
  <c r="N273" i="7"/>
  <c r="P272" i="7"/>
  <c r="O272" i="7" a="1"/>
  <c r="O272" i="7" s="1"/>
  <c r="N272" i="7"/>
  <c r="P271" i="7"/>
  <c r="O271" i="7" a="1"/>
  <c r="O271" i="7" s="1"/>
  <c r="N271" i="7"/>
  <c r="P270" i="7"/>
  <c r="O270" i="7" a="1"/>
  <c r="O270" i="7" s="1"/>
  <c r="N270" i="7"/>
  <c r="P269" i="7"/>
  <c r="O269" i="7" a="1"/>
  <c r="O269" i="7" s="1"/>
  <c r="N269" i="7"/>
  <c r="P268" i="7"/>
  <c r="O268" i="7" a="1"/>
  <c r="O268" i="7" s="1"/>
  <c r="N268" i="7"/>
  <c r="P267" i="7"/>
  <c r="O267" i="7" a="1"/>
  <c r="O267" i="7" s="1"/>
  <c r="N267" i="7"/>
  <c r="P266" i="7"/>
  <c r="O266" i="7" a="1"/>
  <c r="O266" i="7" s="1"/>
  <c r="N266" i="7"/>
  <c r="P265" i="7"/>
  <c r="O265" i="7" a="1"/>
  <c r="O265" i="7" s="1"/>
  <c r="N265" i="7"/>
  <c r="P264" i="7"/>
  <c r="O264" i="7" a="1"/>
  <c r="O264" i="7" s="1"/>
  <c r="N264" i="7"/>
  <c r="P263" i="7"/>
  <c r="O263" i="7" a="1"/>
  <c r="O263" i="7" s="1"/>
  <c r="N263" i="7"/>
  <c r="P262" i="7"/>
  <c r="O262" i="7" a="1"/>
  <c r="O262" i="7" s="1"/>
  <c r="N262" i="7"/>
  <c r="P261" i="7"/>
  <c r="O261" i="7" a="1"/>
  <c r="O261" i="7" s="1"/>
  <c r="N261" i="7"/>
  <c r="P260" i="7"/>
  <c r="O260" i="7" a="1"/>
  <c r="O260" i="7" s="1"/>
  <c r="N260" i="7"/>
  <c r="P259" i="7"/>
  <c r="O259" i="7"/>
  <c r="O259" i="7" a="1"/>
  <c r="N259" i="7"/>
  <c r="P258" i="7"/>
  <c r="O258" i="7" a="1"/>
  <c r="O258" i="7" s="1"/>
  <c r="N258" i="7"/>
  <c r="P257" i="7"/>
  <c r="O257" i="7" a="1"/>
  <c r="O257" i="7" s="1"/>
  <c r="N257" i="7"/>
  <c r="P256" i="7"/>
  <c r="O256" i="7" a="1"/>
  <c r="O256" i="7" s="1"/>
  <c r="N256" i="7"/>
  <c r="P255" i="7"/>
  <c r="O255" i="7"/>
  <c r="O255" i="7" a="1"/>
  <c r="N255" i="7"/>
  <c r="P254" i="7"/>
  <c r="O254" i="7"/>
  <c r="O254" i="7" a="1"/>
  <c r="N254" i="7"/>
  <c r="P253" i="7"/>
  <c r="O253" i="7" a="1"/>
  <c r="O253" i="7" s="1"/>
  <c r="N253" i="7"/>
  <c r="P252" i="7"/>
  <c r="O252" i="7" a="1"/>
  <c r="O252" i="7" s="1"/>
  <c r="N252" i="7"/>
  <c r="P251" i="7"/>
  <c r="O251" i="7" a="1"/>
  <c r="O251" i="7" s="1"/>
  <c r="N251" i="7"/>
  <c r="P250" i="7"/>
  <c r="O250" i="7" a="1"/>
  <c r="O250" i="7" s="1"/>
  <c r="N250" i="7"/>
  <c r="P249" i="7"/>
  <c r="O249" i="7" a="1"/>
  <c r="O249" i="7" s="1"/>
  <c r="N249" i="7"/>
  <c r="P248" i="7"/>
  <c r="O248" i="7" a="1"/>
  <c r="O248" i="7" s="1"/>
  <c r="N248" i="7"/>
  <c r="P247" i="7"/>
  <c r="O247" i="7" a="1"/>
  <c r="O247" i="7" s="1"/>
  <c r="N247" i="7"/>
  <c r="P246" i="7"/>
  <c r="O246" i="7" a="1"/>
  <c r="O246" i="7" s="1"/>
  <c r="N246" i="7"/>
  <c r="P245" i="7"/>
  <c r="O245" i="7" a="1"/>
  <c r="O245" i="7" s="1"/>
  <c r="N245" i="7"/>
  <c r="P244" i="7"/>
  <c r="O244" i="7" a="1"/>
  <c r="O244" i="7" s="1"/>
  <c r="N244" i="7"/>
  <c r="P243" i="7"/>
  <c r="O243" i="7" a="1"/>
  <c r="O243" i="7" s="1"/>
  <c r="N243" i="7"/>
  <c r="P242" i="7"/>
  <c r="O242" i="7" a="1"/>
  <c r="O242" i="7" s="1"/>
  <c r="N242" i="7"/>
  <c r="P241" i="7"/>
  <c r="O241" i="7" a="1"/>
  <c r="O241" i="7" s="1"/>
  <c r="N241" i="7"/>
  <c r="P240" i="7"/>
  <c r="O240" i="7" a="1"/>
  <c r="O240" i="7" s="1"/>
  <c r="N240" i="7"/>
  <c r="P239" i="7"/>
  <c r="O239" i="7" a="1"/>
  <c r="O239" i="7" s="1"/>
  <c r="N239" i="7"/>
  <c r="P238" i="7"/>
  <c r="O238" i="7" a="1"/>
  <c r="O238" i="7" s="1"/>
  <c r="N238" i="7"/>
  <c r="P237" i="7"/>
  <c r="O237" i="7" a="1"/>
  <c r="O237" i="7" s="1"/>
  <c r="N237" i="7"/>
  <c r="P236" i="7"/>
  <c r="O236" i="7" a="1"/>
  <c r="O236" i="7" s="1"/>
  <c r="N236" i="7"/>
  <c r="P235" i="7"/>
  <c r="O235" i="7" a="1"/>
  <c r="O235" i="7" s="1"/>
  <c r="N235" i="7"/>
  <c r="P234" i="7"/>
  <c r="O234" i="7" a="1"/>
  <c r="O234" i="7" s="1"/>
  <c r="N234" i="7"/>
  <c r="P233" i="7"/>
  <c r="O233" i="7" a="1"/>
  <c r="O233" i="7" s="1"/>
  <c r="N233" i="7"/>
  <c r="P232" i="7"/>
  <c r="O232" i="7" a="1"/>
  <c r="O232" i="7" s="1"/>
  <c r="N232" i="7"/>
  <c r="P231" i="7"/>
  <c r="O231" i="7" a="1"/>
  <c r="O231" i="7" s="1"/>
  <c r="N231" i="7"/>
  <c r="P230" i="7"/>
  <c r="O230" i="7"/>
  <c r="O230" i="7" a="1"/>
  <c r="N230" i="7"/>
  <c r="P229" i="7"/>
  <c r="O229" i="7" a="1"/>
  <c r="O229" i="7" s="1"/>
  <c r="N229" i="7"/>
  <c r="P228" i="7"/>
  <c r="O228" i="7" a="1"/>
  <c r="O228" i="7" s="1"/>
  <c r="N228" i="7"/>
  <c r="P227" i="7"/>
  <c r="O227" i="7" a="1"/>
  <c r="O227" i="7" s="1"/>
  <c r="N227" i="7"/>
  <c r="P226" i="7"/>
  <c r="O226" i="7" a="1"/>
  <c r="O226" i="7" s="1"/>
  <c r="N226" i="7"/>
  <c r="P225" i="7"/>
  <c r="O225" i="7" a="1"/>
  <c r="O225" i="7" s="1"/>
  <c r="N225" i="7"/>
  <c r="P224" i="7"/>
  <c r="O224" i="7" a="1"/>
  <c r="O224" i="7" s="1"/>
  <c r="N224" i="7"/>
  <c r="P223" i="7"/>
  <c r="O223" i="7" a="1"/>
  <c r="O223" i="7" s="1"/>
  <c r="N223" i="7"/>
  <c r="P222" i="7"/>
  <c r="O222" i="7" a="1"/>
  <c r="O222" i="7" s="1"/>
  <c r="N222" i="7"/>
  <c r="P221" i="7"/>
  <c r="O221" i="7" a="1"/>
  <c r="O221" i="7" s="1"/>
  <c r="N221" i="7"/>
  <c r="P220" i="7"/>
  <c r="O220" i="7" a="1"/>
  <c r="O220" i="7" s="1"/>
  <c r="N220" i="7"/>
  <c r="P219" i="7"/>
  <c r="O219" i="7" a="1"/>
  <c r="O219" i="7" s="1"/>
  <c r="N219" i="7"/>
  <c r="P218" i="7"/>
  <c r="O218" i="7" a="1"/>
  <c r="O218" i="7" s="1"/>
  <c r="N218" i="7"/>
  <c r="P217" i="7"/>
  <c r="O217" i="7" a="1"/>
  <c r="O217" i="7" s="1"/>
  <c r="N217" i="7"/>
  <c r="P216" i="7"/>
  <c r="O216" i="7" a="1"/>
  <c r="O216" i="7" s="1"/>
  <c r="N216" i="7"/>
  <c r="P215" i="7"/>
  <c r="O215" i="7" a="1"/>
  <c r="O215" i="7" s="1"/>
  <c r="N215" i="7"/>
  <c r="P214" i="7"/>
  <c r="O214" i="7" a="1"/>
  <c r="O214" i="7" s="1"/>
  <c r="N214" i="7"/>
  <c r="P213" i="7"/>
  <c r="O213" i="7" a="1"/>
  <c r="O213" i="7" s="1"/>
  <c r="N213" i="7"/>
  <c r="P212" i="7"/>
  <c r="O212" i="7" a="1"/>
  <c r="O212" i="7" s="1"/>
  <c r="N212" i="7"/>
  <c r="P211" i="7"/>
  <c r="O211" i="7"/>
  <c r="O211" i="7" a="1"/>
  <c r="N211" i="7"/>
  <c r="P210" i="7"/>
  <c r="O210" i="7" a="1"/>
  <c r="O210" i="7" s="1"/>
  <c r="N210" i="7"/>
  <c r="P209" i="7"/>
  <c r="O209" i="7" a="1"/>
  <c r="O209" i="7" s="1"/>
  <c r="N209" i="7"/>
  <c r="P208" i="7"/>
  <c r="O208" i="7" a="1"/>
  <c r="O208" i="7" s="1"/>
  <c r="N208" i="7"/>
  <c r="P207" i="7"/>
  <c r="O207" i="7" a="1"/>
  <c r="O207" i="7" s="1"/>
  <c r="N207" i="7"/>
  <c r="P206" i="7"/>
  <c r="O206" i="7" a="1"/>
  <c r="O206" i="7" s="1"/>
  <c r="N206" i="7"/>
  <c r="P205" i="7"/>
  <c r="O205" i="7" a="1"/>
  <c r="O205" i="7" s="1"/>
  <c r="N205" i="7"/>
  <c r="P204" i="7"/>
  <c r="O204" i="7" a="1"/>
  <c r="O204" i="7" s="1"/>
  <c r="N204" i="7"/>
  <c r="P203" i="7"/>
  <c r="O203" i="7"/>
  <c r="O203" i="7" a="1"/>
  <c r="N203" i="7"/>
  <c r="P202" i="7"/>
  <c r="O202" i="7" a="1"/>
  <c r="O202" i="7" s="1"/>
  <c r="N202" i="7"/>
  <c r="P201" i="7"/>
  <c r="O201" i="7" a="1"/>
  <c r="O201" i="7" s="1"/>
  <c r="N201" i="7"/>
  <c r="P200" i="7"/>
  <c r="O200" i="7" a="1"/>
  <c r="O200" i="7" s="1"/>
  <c r="N200" i="7"/>
  <c r="P199" i="7"/>
  <c r="O199" i="7" a="1"/>
  <c r="O199" i="7" s="1"/>
  <c r="N199" i="7"/>
  <c r="P198" i="7"/>
  <c r="O198" i="7" a="1"/>
  <c r="O198" i="7" s="1"/>
  <c r="N198" i="7"/>
  <c r="P197" i="7"/>
  <c r="O197" i="7" a="1"/>
  <c r="O197" i="7" s="1"/>
  <c r="N197" i="7"/>
  <c r="P196" i="7"/>
  <c r="O196" i="7" a="1"/>
  <c r="O196" i="7" s="1"/>
  <c r="N196" i="7"/>
  <c r="P195" i="7"/>
  <c r="O195" i="7" a="1"/>
  <c r="O195" i="7" s="1"/>
  <c r="N195" i="7"/>
  <c r="P194" i="7"/>
  <c r="O194" i="7" a="1"/>
  <c r="O194" i="7" s="1"/>
  <c r="N194" i="7"/>
  <c r="P193" i="7"/>
  <c r="O193" i="7" a="1"/>
  <c r="O193" i="7" s="1"/>
  <c r="N193" i="7"/>
  <c r="P192" i="7"/>
  <c r="O192" i="7" a="1"/>
  <c r="O192" i="7" s="1"/>
  <c r="N192" i="7"/>
  <c r="P191" i="7"/>
  <c r="O191" i="7" a="1"/>
  <c r="O191" i="7" s="1"/>
  <c r="N191" i="7"/>
  <c r="P190" i="7"/>
  <c r="O190" i="7" a="1"/>
  <c r="O190" i="7" s="1"/>
  <c r="N190" i="7"/>
  <c r="P189" i="7"/>
  <c r="O189" i="7" a="1"/>
  <c r="O189" i="7" s="1"/>
  <c r="N189" i="7"/>
  <c r="P188" i="7"/>
  <c r="O188" i="7" a="1"/>
  <c r="O188" i="7" s="1"/>
  <c r="N188" i="7"/>
  <c r="P187" i="7"/>
  <c r="O187" i="7"/>
  <c r="O187" i="7" a="1"/>
  <c r="N187" i="7"/>
  <c r="P186" i="7"/>
  <c r="O186" i="7" a="1"/>
  <c r="O186" i="7" s="1"/>
  <c r="N186" i="7"/>
  <c r="P185" i="7"/>
  <c r="O185" i="7" a="1"/>
  <c r="O185" i="7" s="1"/>
  <c r="N185" i="7"/>
  <c r="P184" i="7"/>
  <c r="O184" i="7" a="1"/>
  <c r="O184" i="7" s="1"/>
  <c r="N184" i="7"/>
  <c r="P183" i="7"/>
  <c r="O183" i="7" a="1"/>
  <c r="O183" i="7" s="1"/>
  <c r="N183" i="7"/>
  <c r="P182" i="7"/>
  <c r="O182" i="7" a="1"/>
  <c r="O182" i="7" s="1"/>
  <c r="N182" i="7"/>
  <c r="P181" i="7"/>
  <c r="O181" i="7" a="1"/>
  <c r="O181" i="7" s="1"/>
  <c r="N181" i="7"/>
  <c r="P180" i="7"/>
  <c r="O180" i="7" a="1"/>
  <c r="O180" i="7" s="1"/>
  <c r="N180" i="7"/>
  <c r="P179" i="7"/>
  <c r="O179" i="7" a="1"/>
  <c r="O179" i="7" s="1"/>
  <c r="N179" i="7"/>
  <c r="P178" i="7"/>
  <c r="O178" i="7" a="1"/>
  <c r="O178" i="7" s="1"/>
  <c r="N178" i="7"/>
  <c r="P177" i="7"/>
  <c r="O177" i="7" a="1"/>
  <c r="O177" i="7" s="1"/>
  <c r="N177" i="7"/>
  <c r="P176" i="7"/>
  <c r="O176" i="7" a="1"/>
  <c r="O176" i="7" s="1"/>
  <c r="N176" i="7"/>
  <c r="P175" i="7"/>
  <c r="O175" i="7" a="1"/>
  <c r="O175" i="7" s="1"/>
  <c r="N175" i="7"/>
  <c r="P174" i="7"/>
  <c r="O174" i="7" a="1"/>
  <c r="O174" i="7" s="1"/>
  <c r="N174" i="7"/>
  <c r="P173" i="7"/>
  <c r="O173" i="7" a="1"/>
  <c r="O173" i="7" s="1"/>
  <c r="N173" i="7"/>
  <c r="P172" i="7"/>
  <c r="O172" i="7" a="1"/>
  <c r="O172" i="7" s="1"/>
  <c r="N172" i="7"/>
  <c r="P171" i="7"/>
  <c r="O171" i="7" a="1"/>
  <c r="O171" i="7" s="1"/>
  <c r="N171" i="7"/>
  <c r="P170" i="7"/>
  <c r="O170" i="7" a="1"/>
  <c r="O170" i="7" s="1"/>
  <c r="N170" i="7"/>
  <c r="P169" i="7"/>
  <c r="O169" i="7" a="1"/>
  <c r="O169" i="7" s="1"/>
  <c r="N169" i="7"/>
  <c r="P168" i="7"/>
  <c r="O168" i="7" a="1"/>
  <c r="O168" i="7" s="1"/>
  <c r="N168" i="7"/>
  <c r="P167" i="7"/>
  <c r="O167" i="7" a="1"/>
  <c r="O167" i="7" s="1"/>
  <c r="N167" i="7"/>
  <c r="P166" i="7"/>
  <c r="O166" i="7" a="1"/>
  <c r="O166" i="7" s="1"/>
  <c r="N166" i="7"/>
  <c r="P165" i="7"/>
  <c r="O165" i="7" a="1"/>
  <c r="O165" i="7" s="1"/>
  <c r="N165" i="7"/>
  <c r="P164" i="7"/>
  <c r="O164" i="7" a="1"/>
  <c r="O164" i="7" s="1"/>
  <c r="N164" i="7"/>
  <c r="P163" i="7"/>
  <c r="O163" i="7" a="1"/>
  <c r="O163" i="7" s="1"/>
  <c r="N163" i="7"/>
  <c r="P162" i="7"/>
  <c r="O162" i="7" a="1"/>
  <c r="O162" i="7" s="1"/>
  <c r="N162" i="7"/>
  <c r="P161" i="7"/>
  <c r="O161" i="7" a="1"/>
  <c r="O161" i="7" s="1"/>
  <c r="N161" i="7"/>
  <c r="P160" i="7"/>
  <c r="O160" i="7" a="1"/>
  <c r="O160" i="7" s="1"/>
  <c r="N160" i="7"/>
  <c r="P159" i="7"/>
  <c r="O159" i="7" a="1"/>
  <c r="O159" i="7" s="1"/>
  <c r="N159" i="7"/>
  <c r="P158" i="7"/>
  <c r="O158" i="7" a="1"/>
  <c r="O158" i="7" s="1"/>
  <c r="N158" i="7"/>
  <c r="P157" i="7"/>
  <c r="O157" i="7" a="1"/>
  <c r="O157" i="7" s="1"/>
  <c r="N157" i="7"/>
  <c r="P156" i="7"/>
  <c r="O156" i="7" a="1"/>
  <c r="O156" i="7" s="1"/>
  <c r="N156" i="7"/>
  <c r="P155" i="7"/>
  <c r="O155" i="7" a="1"/>
  <c r="O155" i="7" s="1"/>
  <c r="N155" i="7"/>
  <c r="P154" i="7"/>
  <c r="O154" i="7" a="1"/>
  <c r="O154" i="7" s="1"/>
  <c r="N154" i="7"/>
  <c r="P153" i="7"/>
  <c r="O153" i="7" a="1"/>
  <c r="O153" i="7" s="1"/>
  <c r="N153" i="7"/>
  <c r="P152" i="7"/>
  <c r="O152" i="7" a="1"/>
  <c r="O152" i="7" s="1"/>
  <c r="N152" i="7"/>
  <c r="P151" i="7"/>
  <c r="O151" i="7" a="1"/>
  <c r="O151" i="7" s="1"/>
  <c r="N151" i="7"/>
  <c r="P150" i="7"/>
  <c r="O150" i="7"/>
  <c r="O150" i="7" a="1"/>
  <c r="N150" i="7"/>
  <c r="P149" i="7"/>
  <c r="O149" i="7" a="1"/>
  <c r="O149" i="7" s="1"/>
  <c r="N149" i="7"/>
  <c r="P148" i="7"/>
  <c r="O148" i="7" a="1"/>
  <c r="O148" i="7" s="1"/>
  <c r="N148" i="7"/>
  <c r="P147" i="7"/>
  <c r="O147" i="7" a="1"/>
  <c r="O147" i="7" s="1"/>
  <c r="N147" i="7"/>
  <c r="P146" i="7"/>
  <c r="O146" i="7" a="1"/>
  <c r="O146" i="7" s="1"/>
  <c r="N146" i="7"/>
  <c r="P145" i="7"/>
  <c r="O145" i="7" a="1"/>
  <c r="O145" i="7" s="1"/>
  <c r="N145" i="7"/>
  <c r="P144" i="7"/>
  <c r="O144" i="7" a="1"/>
  <c r="O144" i="7" s="1"/>
  <c r="N144" i="7"/>
  <c r="P143" i="7"/>
  <c r="O143" i="7" a="1"/>
  <c r="O143" i="7" s="1"/>
  <c r="N143" i="7"/>
  <c r="P142" i="7"/>
  <c r="O142" i="7" a="1"/>
  <c r="O142" i="7" s="1"/>
  <c r="N142" i="7"/>
  <c r="P141" i="7"/>
  <c r="O141" i="7" a="1"/>
  <c r="O141" i="7" s="1"/>
  <c r="N141" i="7"/>
  <c r="P140" i="7"/>
  <c r="O140" i="7" a="1"/>
  <c r="O140" i="7" s="1"/>
  <c r="N140" i="7"/>
  <c r="P139" i="7"/>
  <c r="O139" i="7" a="1"/>
  <c r="O139" i="7" s="1"/>
  <c r="N139" i="7"/>
  <c r="P138" i="7"/>
  <c r="O138" i="7" a="1"/>
  <c r="O138" i="7" s="1"/>
  <c r="N138" i="7"/>
  <c r="P137" i="7"/>
  <c r="O137" i="7" a="1"/>
  <c r="O137" i="7" s="1"/>
  <c r="N137" i="7"/>
  <c r="P136" i="7"/>
  <c r="O136" i="7" a="1"/>
  <c r="O136" i="7" s="1"/>
  <c r="N136" i="7"/>
  <c r="P135" i="7"/>
  <c r="O135" i="7" a="1"/>
  <c r="O135" i="7" s="1"/>
  <c r="N135" i="7"/>
  <c r="P134" i="7"/>
  <c r="O134" i="7" a="1"/>
  <c r="O134" i="7" s="1"/>
  <c r="N134" i="7"/>
  <c r="P133" i="7"/>
  <c r="O133" i="7" a="1"/>
  <c r="O133" i="7" s="1"/>
  <c r="N133" i="7"/>
  <c r="P132" i="7"/>
  <c r="O132" i="7" a="1"/>
  <c r="O132" i="7" s="1"/>
  <c r="N132" i="7"/>
  <c r="P131" i="7"/>
  <c r="O131" i="7" a="1"/>
  <c r="O131" i="7" s="1"/>
  <c r="N131" i="7"/>
  <c r="P130" i="7"/>
  <c r="O130" i="7" a="1"/>
  <c r="O130" i="7" s="1"/>
  <c r="N130" i="7"/>
  <c r="P129" i="7"/>
  <c r="O129" i="7" a="1"/>
  <c r="O129" i="7" s="1"/>
  <c r="N129" i="7"/>
  <c r="P128" i="7"/>
  <c r="O128" i="7" a="1"/>
  <c r="O128" i="7" s="1"/>
  <c r="N128" i="7"/>
  <c r="P127" i="7"/>
  <c r="O127" i="7" a="1"/>
  <c r="O127" i="7" s="1"/>
  <c r="N127" i="7"/>
  <c r="P126" i="7"/>
  <c r="O126" i="7" a="1"/>
  <c r="O126" i="7" s="1"/>
  <c r="N126" i="7"/>
  <c r="P125" i="7"/>
  <c r="O125" i="7" a="1"/>
  <c r="O125" i="7" s="1"/>
  <c r="N125" i="7"/>
  <c r="P124" i="7"/>
  <c r="O124" i="7" a="1"/>
  <c r="O124" i="7" s="1"/>
  <c r="N124" i="7"/>
  <c r="P123" i="7"/>
  <c r="O123" i="7" a="1"/>
  <c r="O123" i="7" s="1"/>
  <c r="N123" i="7"/>
  <c r="P122" i="7"/>
  <c r="O122" i="7" a="1"/>
  <c r="O122" i="7" s="1"/>
  <c r="N122" i="7"/>
  <c r="P121" i="7"/>
  <c r="O121" i="7" a="1"/>
  <c r="O121" i="7" s="1"/>
  <c r="N121" i="7"/>
  <c r="P120" i="7"/>
  <c r="O120" i="7" a="1"/>
  <c r="O120" i="7" s="1"/>
  <c r="N120" i="7"/>
  <c r="P119" i="7"/>
  <c r="O119" i="7" a="1"/>
  <c r="O119" i="7" s="1"/>
  <c r="N119" i="7"/>
  <c r="P118" i="7"/>
  <c r="O118" i="7" a="1"/>
  <c r="O118" i="7" s="1"/>
  <c r="N118" i="7"/>
  <c r="P117" i="7"/>
  <c r="O117" i="7" a="1"/>
  <c r="O117" i="7" s="1"/>
  <c r="N117" i="7"/>
  <c r="P116" i="7"/>
  <c r="O116" i="7" a="1"/>
  <c r="O116" i="7" s="1"/>
  <c r="N116" i="7"/>
  <c r="P115" i="7"/>
  <c r="O115" i="7" a="1"/>
  <c r="O115" i="7" s="1"/>
  <c r="N115" i="7"/>
  <c r="P114" i="7"/>
  <c r="O114" i="7" a="1"/>
  <c r="O114" i="7" s="1"/>
  <c r="N114" i="7"/>
  <c r="P113" i="7"/>
  <c r="O113" i="7" a="1"/>
  <c r="O113" i="7" s="1"/>
  <c r="N113" i="7"/>
  <c r="P112" i="7"/>
  <c r="O112" i="7" a="1"/>
  <c r="O112" i="7" s="1"/>
  <c r="N112" i="7"/>
  <c r="P111" i="7"/>
  <c r="O111" i="7" a="1"/>
  <c r="O111" i="7" s="1"/>
  <c r="N111" i="7"/>
  <c r="P110" i="7"/>
  <c r="O110" i="7" a="1"/>
  <c r="O110" i="7" s="1"/>
  <c r="N110" i="7"/>
  <c r="P109" i="7"/>
  <c r="O109" i="7" a="1"/>
  <c r="O109" i="7" s="1"/>
  <c r="N109" i="7"/>
  <c r="P108" i="7"/>
  <c r="O108" i="7" a="1"/>
  <c r="O108" i="7" s="1"/>
  <c r="N108" i="7"/>
  <c r="P107" i="7"/>
  <c r="O107" i="7" a="1"/>
  <c r="O107" i="7" s="1"/>
  <c r="N107" i="7"/>
  <c r="P106" i="7"/>
  <c r="O106" i="7" a="1"/>
  <c r="O106" i="7" s="1"/>
  <c r="N106" i="7"/>
  <c r="P105" i="7"/>
  <c r="O105" i="7" a="1"/>
  <c r="O105" i="7" s="1"/>
  <c r="N105" i="7"/>
  <c r="P104" i="7"/>
  <c r="O104" i="7" a="1"/>
  <c r="O104" i="7" s="1"/>
  <c r="N104" i="7"/>
  <c r="P103" i="7"/>
  <c r="O103" i="7" a="1"/>
  <c r="O103" i="7" s="1"/>
  <c r="N103" i="7"/>
  <c r="P102" i="7"/>
  <c r="O102" i="7" a="1"/>
  <c r="O102" i="7" s="1"/>
  <c r="N102" i="7"/>
  <c r="P101" i="7"/>
  <c r="O101" i="7" a="1"/>
  <c r="O101" i="7" s="1"/>
  <c r="N101" i="7"/>
  <c r="P100" i="7"/>
  <c r="O100" i="7" a="1"/>
  <c r="O100" i="7" s="1"/>
  <c r="N100" i="7"/>
  <c r="P99" i="7"/>
  <c r="O99" i="7"/>
  <c r="O99" i="7" a="1"/>
  <c r="N99" i="7"/>
  <c r="P98" i="7"/>
  <c r="O98" i="7" a="1"/>
  <c r="O98" i="7" s="1"/>
  <c r="N98" i="7"/>
  <c r="P97" i="7"/>
  <c r="O97" i="7" a="1"/>
  <c r="O97" i="7" s="1"/>
  <c r="N97" i="7"/>
  <c r="P96" i="7"/>
  <c r="O96" i="7" a="1"/>
  <c r="O96" i="7" s="1"/>
  <c r="N96" i="7"/>
  <c r="P95" i="7"/>
  <c r="O95" i="7" a="1"/>
  <c r="O95" i="7" s="1"/>
  <c r="N95" i="7"/>
  <c r="P94" i="7"/>
  <c r="O94" i="7" a="1"/>
  <c r="O94" i="7" s="1"/>
  <c r="N94" i="7"/>
  <c r="P93" i="7"/>
  <c r="O93" i="7" a="1"/>
  <c r="O93" i="7" s="1"/>
  <c r="N93" i="7"/>
  <c r="P92" i="7"/>
  <c r="O92" i="7" a="1"/>
  <c r="O92" i="7" s="1"/>
  <c r="N92" i="7"/>
  <c r="P91" i="7"/>
  <c r="O91" i="7" a="1"/>
  <c r="O91" i="7" s="1"/>
  <c r="N91" i="7"/>
  <c r="P90" i="7"/>
  <c r="O90" i="7" a="1"/>
  <c r="O90" i="7" s="1"/>
  <c r="N90" i="7"/>
  <c r="P89" i="7"/>
  <c r="O89" i="7" a="1"/>
  <c r="O89" i="7" s="1"/>
  <c r="N89" i="7"/>
  <c r="P88" i="7"/>
  <c r="O88" i="7" a="1"/>
  <c r="O88" i="7" s="1"/>
  <c r="N88" i="7"/>
  <c r="P87" i="7"/>
  <c r="O87" i="7" a="1"/>
  <c r="O87" i="7" s="1"/>
  <c r="N87" i="7"/>
  <c r="P86" i="7"/>
  <c r="O86" i="7" a="1"/>
  <c r="O86" i="7" s="1"/>
  <c r="N86" i="7"/>
  <c r="P85" i="7"/>
  <c r="O85" i="7" a="1"/>
  <c r="O85" i="7" s="1"/>
  <c r="N85" i="7"/>
  <c r="P84" i="7"/>
  <c r="O84" i="7" a="1"/>
  <c r="O84" i="7" s="1"/>
  <c r="N84" i="7"/>
  <c r="P83" i="7"/>
  <c r="O83" i="7" a="1"/>
  <c r="O83" i="7" s="1"/>
  <c r="N83" i="7"/>
  <c r="P82" i="7"/>
  <c r="O82" i="7" a="1"/>
  <c r="O82" i="7" s="1"/>
  <c r="N82" i="7"/>
  <c r="P81" i="7"/>
  <c r="O81" i="7" a="1"/>
  <c r="O81" i="7" s="1"/>
  <c r="N81" i="7"/>
  <c r="P80" i="7"/>
  <c r="O80" i="7" a="1"/>
  <c r="O80" i="7" s="1"/>
  <c r="N80" i="7"/>
  <c r="P79" i="7"/>
  <c r="O79" i="7"/>
  <c r="O79" i="7" a="1"/>
  <c r="N79" i="7"/>
  <c r="P78" i="7"/>
  <c r="O78" i="7" a="1"/>
  <c r="O78" i="7" s="1"/>
  <c r="N78" i="7"/>
  <c r="P77" i="7"/>
  <c r="O77" i="7" a="1"/>
  <c r="O77" i="7" s="1"/>
  <c r="N77" i="7"/>
  <c r="P76" i="7"/>
  <c r="O76" i="7" a="1"/>
  <c r="O76" i="7" s="1"/>
  <c r="N76" i="7"/>
  <c r="P75" i="7"/>
  <c r="O75" i="7" a="1"/>
  <c r="O75" i="7" s="1"/>
  <c r="N75" i="7"/>
  <c r="P74" i="7"/>
  <c r="O74" i="7" a="1"/>
  <c r="O74" i="7" s="1"/>
  <c r="N74" i="7"/>
  <c r="P73" i="7"/>
  <c r="O73" i="7" a="1"/>
  <c r="O73" i="7" s="1"/>
  <c r="N73" i="7"/>
  <c r="P72" i="7"/>
  <c r="O72" i="7" a="1"/>
  <c r="O72" i="7" s="1"/>
  <c r="N72" i="7"/>
  <c r="P71" i="7"/>
  <c r="O71" i="7"/>
  <c r="O71" i="7" a="1"/>
  <c r="N71" i="7"/>
  <c r="P70" i="7"/>
  <c r="O70" i="7" a="1"/>
  <c r="O70" i="7" s="1"/>
  <c r="N70" i="7"/>
  <c r="P69" i="7"/>
  <c r="O69" i="7" a="1"/>
  <c r="O69" i="7" s="1"/>
  <c r="N69" i="7"/>
  <c r="P68" i="7"/>
  <c r="O68" i="7" a="1"/>
  <c r="O68" i="7" s="1"/>
  <c r="N68" i="7"/>
  <c r="P67" i="7"/>
  <c r="O67" i="7" a="1"/>
  <c r="O67" i="7" s="1"/>
  <c r="N67" i="7"/>
  <c r="P66" i="7"/>
  <c r="O66" i="7" a="1"/>
  <c r="O66" i="7" s="1"/>
  <c r="N66" i="7"/>
  <c r="P65" i="7"/>
  <c r="O65" i="7" a="1"/>
  <c r="O65" i="7" s="1"/>
  <c r="N65" i="7"/>
  <c r="P64" i="7"/>
  <c r="O64" i="7" a="1"/>
  <c r="O64" i="7" s="1"/>
  <c r="N64" i="7"/>
  <c r="P63" i="7"/>
  <c r="O63" i="7" a="1"/>
  <c r="O63" i="7" s="1"/>
  <c r="N63" i="7"/>
  <c r="P62" i="7"/>
  <c r="O62" i="7" a="1"/>
  <c r="O62" i="7" s="1"/>
  <c r="N62" i="7"/>
  <c r="P61" i="7"/>
  <c r="O61" i="7" a="1"/>
  <c r="O61" i="7" s="1"/>
  <c r="N61" i="7"/>
  <c r="P60" i="7"/>
  <c r="O60" i="7" a="1"/>
  <c r="O60" i="7" s="1"/>
  <c r="N60" i="7"/>
  <c r="P59" i="7"/>
  <c r="O59" i="7" a="1"/>
  <c r="O59" i="7" s="1"/>
  <c r="N59" i="7"/>
  <c r="P58" i="7"/>
  <c r="O58" i="7" a="1"/>
  <c r="O58" i="7" s="1"/>
  <c r="N58" i="7"/>
  <c r="P57" i="7"/>
  <c r="O57" i="7" a="1"/>
  <c r="O57" i="7" s="1"/>
  <c r="N57" i="7"/>
  <c r="P56" i="7"/>
  <c r="O56" i="7" a="1"/>
  <c r="O56" i="7" s="1"/>
  <c r="N56" i="7"/>
  <c r="P55" i="7"/>
  <c r="O55" i="7"/>
  <c r="O55" i="7" a="1"/>
  <c r="N55" i="7"/>
  <c r="P54" i="7"/>
  <c r="O54" i="7" a="1"/>
  <c r="O54" i="7" s="1"/>
  <c r="N54" i="7"/>
  <c r="P53" i="7"/>
  <c r="O53" i="7" a="1"/>
  <c r="O53" i="7" s="1"/>
  <c r="N53" i="7"/>
  <c r="P52" i="7"/>
  <c r="O52" i="7" a="1"/>
  <c r="O52" i="7" s="1"/>
  <c r="N52" i="7"/>
  <c r="P51" i="7"/>
  <c r="O51" i="7" a="1"/>
  <c r="O51" i="7" s="1"/>
  <c r="N51" i="7"/>
  <c r="P50" i="7"/>
  <c r="O50" i="7" a="1"/>
  <c r="O50" i="7" s="1"/>
  <c r="N50" i="7"/>
  <c r="P49" i="7"/>
  <c r="O49" i="7" a="1"/>
  <c r="O49" i="7" s="1"/>
  <c r="N49" i="7"/>
  <c r="P48" i="7"/>
  <c r="O48" i="7" a="1"/>
  <c r="O48" i="7" s="1"/>
  <c r="N48" i="7"/>
  <c r="P47" i="7"/>
  <c r="O47" i="7" a="1"/>
  <c r="O47" i="7" s="1"/>
  <c r="N47" i="7"/>
  <c r="P46" i="7"/>
  <c r="O46" i="7" a="1"/>
  <c r="O46" i="7" s="1"/>
  <c r="N46" i="7"/>
  <c r="P45" i="7"/>
  <c r="O45" i="7" a="1"/>
  <c r="O45" i="7" s="1"/>
  <c r="N45" i="7"/>
  <c r="P44" i="7"/>
  <c r="O44" i="7" a="1"/>
  <c r="O44" i="7" s="1"/>
  <c r="N44" i="7"/>
  <c r="P43" i="7"/>
  <c r="O43" i="7"/>
  <c r="O43" i="7" a="1"/>
  <c r="N43" i="7"/>
  <c r="P42" i="7"/>
  <c r="O42" i="7" a="1"/>
  <c r="O42" i="7" s="1"/>
  <c r="N42" i="7"/>
  <c r="P41" i="7"/>
  <c r="O41" i="7" a="1"/>
  <c r="O41" i="7" s="1"/>
  <c r="N41" i="7"/>
  <c r="P40" i="7"/>
  <c r="O40" i="7" a="1"/>
  <c r="O40" i="7" s="1"/>
  <c r="N40" i="7"/>
  <c r="P39" i="7"/>
  <c r="O39" i="7" a="1"/>
  <c r="O39" i="7" s="1"/>
  <c r="N39" i="7"/>
  <c r="P38" i="7"/>
  <c r="O38" i="7" a="1"/>
  <c r="O38" i="7" s="1"/>
  <c r="N38" i="7"/>
  <c r="P37" i="7"/>
  <c r="O37" i="7" a="1"/>
  <c r="O37" i="7" s="1"/>
  <c r="N37" i="7"/>
  <c r="P36" i="7"/>
  <c r="O36" i="7" a="1"/>
  <c r="O36" i="7" s="1"/>
  <c r="N36" i="7"/>
  <c r="P35" i="7"/>
  <c r="O35" i="7" a="1"/>
  <c r="O35" i="7" s="1"/>
  <c r="N35" i="7"/>
  <c r="P34" i="7"/>
  <c r="O34" i="7" a="1"/>
  <c r="O34" i="7" s="1"/>
  <c r="N34" i="7"/>
  <c r="P33" i="7"/>
  <c r="O33" i="7" a="1"/>
  <c r="O33" i="7" s="1"/>
  <c r="N33" i="7"/>
  <c r="P32" i="7"/>
  <c r="O32" i="7" a="1"/>
  <c r="O32" i="7" s="1"/>
  <c r="N32" i="7"/>
  <c r="P31" i="7"/>
  <c r="O31" i="7" a="1"/>
  <c r="O31" i="7" s="1"/>
  <c r="N31" i="7"/>
  <c r="P30" i="7"/>
  <c r="O30" i="7" a="1"/>
  <c r="O30" i="7" s="1"/>
  <c r="N30" i="7"/>
  <c r="P29" i="7"/>
  <c r="O29" i="7" a="1"/>
  <c r="O29" i="7" s="1"/>
  <c r="N29" i="7"/>
  <c r="P28" i="7"/>
  <c r="O28" i="7" a="1"/>
  <c r="O28" i="7" s="1"/>
  <c r="N28" i="7"/>
  <c r="P27" i="7"/>
  <c r="O27" i="7" a="1"/>
  <c r="O27" i="7" s="1"/>
  <c r="N27" i="7"/>
  <c r="P26" i="7"/>
  <c r="O26" i="7" a="1"/>
  <c r="O26" i="7" s="1"/>
  <c r="N26" i="7"/>
  <c r="P25" i="7"/>
  <c r="O25" i="7" a="1"/>
  <c r="O25" i="7" s="1"/>
  <c r="N25" i="7"/>
  <c r="P24" i="7"/>
  <c r="O24" i="7" a="1"/>
  <c r="O24" i="7" s="1"/>
  <c r="N24" i="7"/>
  <c r="P23" i="7"/>
  <c r="O23" i="7" a="1"/>
  <c r="O23" i="7" s="1"/>
  <c r="N23" i="7"/>
  <c r="P22" i="7"/>
  <c r="O22" i="7" a="1"/>
  <c r="O22" i="7" s="1"/>
  <c r="N22" i="7"/>
  <c r="P21" i="7"/>
  <c r="O21" i="7" a="1"/>
  <c r="O21" i="7" s="1"/>
  <c r="N21" i="7"/>
  <c r="P20" i="7"/>
  <c r="O20" i="7" a="1"/>
  <c r="O20" i="7" s="1"/>
  <c r="N20" i="7"/>
  <c r="P19" i="7"/>
  <c r="O19" i="7" a="1"/>
  <c r="O19" i="7" s="1"/>
  <c r="N19" i="7"/>
  <c r="P18" i="7"/>
  <c r="O18" i="7" a="1"/>
  <c r="O18" i="7" s="1"/>
  <c r="N18" i="7"/>
  <c r="P17" i="7"/>
  <c r="O17" i="7" a="1"/>
  <c r="O17" i="7" s="1"/>
  <c r="N17" i="7"/>
  <c r="P16" i="7"/>
  <c r="O16" i="7" a="1"/>
  <c r="O16" i="7" s="1"/>
  <c r="N16" i="7"/>
  <c r="P15" i="7"/>
  <c r="O15" i="7" a="1"/>
  <c r="O15" i="7" s="1"/>
  <c r="N15" i="7"/>
  <c r="P14" i="7"/>
  <c r="O14" i="7" a="1"/>
  <c r="O14" i="7" s="1"/>
  <c r="N14" i="7"/>
  <c r="P13" i="7"/>
  <c r="O13" i="7" a="1"/>
  <c r="O13" i="7" s="1"/>
  <c r="N13" i="7"/>
  <c r="P12" i="7"/>
  <c r="O12" i="7" a="1"/>
  <c r="O12" i="7" s="1"/>
  <c r="N12" i="7"/>
  <c r="P11" i="7"/>
  <c r="O11" i="7"/>
  <c r="O11" i="7" a="1"/>
  <c r="N11" i="7"/>
  <c r="P10" i="7"/>
  <c r="O10" i="7" a="1"/>
  <c r="O10" i="7" s="1"/>
  <c r="N10" i="7"/>
  <c r="P9" i="7"/>
  <c r="O9" i="7" a="1"/>
  <c r="O9" i="7" s="1"/>
  <c r="N9" i="7"/>
  <c r="P8" i="7"/>
  <c r="O8" i="7" a="1"/>
  <c r="O8" i="7" s="1"/>
  <c r="N8" i="7"/>
  <c r="P7" i="7"/>
  <c r="O7" i="7" a="1"/>
  <c r="O7" i="7" s="1"/>
  <c r="N7" i="7"/>
  <c r="P6" i="7"/>
  <c r="O6" i="7" a="1"/>
  <c r="O6" i="7" s="1"/>
  <c r="N6" i="7"/>
  <c r="P5" i="7"/>
  <c r="O5" i="7" a="1"/>
  <c r="O5" i="7" s="1"/>
  <c r="N5" i="7"/>
  <c r="P4" i="7"/>
  <c r="O4" i="7" a="1"/>
  <c r="O4" i="7" s="1"/>
  <c r="N4" i="7"/>
  <c r="P3" i="7"/>
  <c r="O3" i="7" a="1"/>
  <c r="O3" i="7" s="1"/>
  <c r="N3" i="7"/>
  <c r="P2" i="7"/>
  <c r="O2" i="7" a="1"/>
  <c r="O2" i="7" s="1"/>
  <c r="N2" i="7"/>
  <c r="V12" i="6"/>
  <c r="V11" i="6"/>
  <c r="V10" i="6"/>
  <c r="V9" i="6"/>
  <c r="V8" i="6"/>
  <c r="U12" i="6"/>
  <c r="U11" i="6"/>
  <c r="U10" i="6"/>
  <c r="U9" i="6"/>
  <c r="U8" i="6"/>
  <c r="T12" i="6"/>
  <c r="T11" i="6"/>
  <c r="T10" i="6"/>
  <c r="T9" i="6"/>
  <c r="T8" i="6"/>
  <c r="S8" i="6"/>
  <c r="S12" i="6"/>
  <c r="S11" i="6"/>
  <c r="S10" i="6"/>
  <c r="S9" i="6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O2" i="4" a="1"/>
  <c r="O2" i="4" s="1"/>
  <c r="O3" i="4" a="1"/>
  <c r="O3" i="4" s="1"/>
  <c r="O4" i="4" a="1"/>
  <c r="O4" i="4" s="1"/>
  <c r="O5" i="4" a="1"/>
  <c r="O5" i="4" s="1"/>
  <c r="O6" i="4" a="1"/>
  <c r="O6" i="4" s="1"/>
  <c r="O7" i="4" a="1"/>
  <c r="O7" i="4" s="1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 s="1"/>
  <c r="O21" i="4" a="1"/>
  <c r="O21" i="4" s="1"/>
  <c r="O22" i="4" a="1"/>
  <c r="O22" i="4" s="1"/>
  <c r="O23" i="4" a="1"/>
  <c r="O23" i="4" s="1"/>
  <c r="O24" i="4" a="1"/>
  <c r="O24" i="4" s="1"/>
  <c r="O25" i="4" a="1"/>
  <c r="O25" i="4" s="1"/>
  <c r="O26" i="4" a="1"/>
  <c r="O26" i="4" s="1"/>
  <c r="O27" i="4" a="1"/>
  <c r="O27" i="4" s="1"/>
  <c r="O28" i="4" a="1"/>
  <c r="O28" i="4" s="1"/>
  <c r="O29" i="4" a="1"/>
  <c r="O29" i="4" s="1"/>
  <c r="O30" i="4" a="1"/>
  <c r="O30" i="4" s="1"/>
  <c r="O31" i="4" a="1"/>
  <c r="O31" i="4" s="1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40" i="4" a="1"/>
  <c r="O40" i="4" s="1"/>
  <c r="O41" i="4" a="1"/>
  <c r="O41" i="4" s="1"/>
  <c r="O42" i="4" a="1"/>
  <c r="O42" i="4" s="1"/>
  <c r="O43" i="4" a="1"/>
  <c r="O43" i="4" s="1"/>
  <c r="O44" i="4" a="1"/>
  <c r="O44" i="4" s="1"/>
  <c r="O45" i="4" a="1"/>
  <c r="O45" i="4" s="1"/>
  <c r="O46" i="4" a="1"/>
  <c r="O46" i="4" s="1"/>
  <c r="O47" i="4" a="1"/>
  <c r="O47" i="4" s="1"/>
  <c r="O48" i="4" a="1"/>
  <c r="O48" i="4" s="1"/>
  <c r="O49" i="4" a="1"/>
  <c r="O49" i="4" s="1"/>
  <c r="O50" i="4" a="1"/>
  <c r="O50" i="4" s="1"/>
  <c r="O51" i="4" a="1"/>
  <c r="O51" i="4" s="1"/>
  <c r="O52" i="4" a="1"/>
  <c r="O52" i="4" s="1"/>
  <c r="O53" i="4" a="1"/>
  <c r="O53" i="4" s="1"/>
  <c r="O54" i="4" a="1"/>
  <c r="O54" i="4" s="1"/>
  <c r="O55" i="4" a="1"/>
  <c r="O55" i="4" s="1"/>
  <c r="O56" i="4" a="1"/>
  <c r="O56" i="4" s="1"/>
  <c r="O57" i="4" a="1"/>
  <c r="O57" i="4" s="1"/>
  <c r="O58" i="4" a="1"/>
  <c r="O58" i="4" s="1"/>
  <c r="O59" i="4" a="1"/>
  <c r="O59" i="4" s="1"/>
  <c r="O60" i="4" a="1"/>
  <c r="O60" i="4" s="1"/>
  <c r="O61" i="4" a="1"/>
  <c r="O61" i="4" s="1"/>
  <c r="O62" i="4" a="1"/>
  <c r="O62" i="4" s="1"/>
  <c r="O63" i="4" a="1"/>
  <c r="O63" i="4" s="1"/>
  <c r="O64" i="4" a="1"/>
  <c r="O64" i="4" s="1"/>
  <c r="O65" i="4" a="1"/>
  <c r="O65" i="4" s="1"/>
  <c r="O66" i="4" a="1"/>
  <c r="O66" i="4" s="1"/>
  <c r="O67" i="4" a="1"/>
  <c r="O67" i="4" s="1"/>
  <c r="O68" i="4" a="1"/>
  <c r="O68" i="4" s="1"/>
  <c r="O69" i="4" a="1"/>
  <c r="O69" i="4" s="1"/>
  <c r="O70" i="4" a="1"/>
  <c r="O70" i="4" s="1"/>
  <c r="O71" i="4" a="1"/>
  <c r="O71" i="4" s="1"/>
  <c r="O72" i="4" a="1"/>
  <c r="O72" i="4" s="1"/>
  <c r="O73" i="4" a="1"/>
  <c r="O73" i="4" s="1"/>
  <c r="O74" i="4" a="1"/>
  <c r="O74" i="4" s="1"/>
  <c r="O75" i="4" a="1"/>
  <c r="O75" i="4" s="1"/>
  <c r="O76" i="4" a="1"/>
  <c r="O76" i="4" s="1"/>
  <c r="O77" i="4" a="1"/>
  <c r="O77" i="4" s="1"/>
  <c r="O78" i="4" a="1"/>
  <c r="O78" i="4" s="1"/>
  <c r="O79" i="4" a="1"/>
  <c r="O79" i="4" s="1"/>
  <c r="O80" i="4" a="1"/>
  <c r="O80" i="4" s="1"/>
  <c r="O81" i="4" a="1"/>
  <c r="O81" i="4" s="1"/>
  <c r="O82" i="4" a="1"/>
  <c r="O82" i="4" s="1"/>
  <c r="O83" i="4" a="1"/>
  <c r="O83" i="4" s="1"/>
  <c r="O84" i="4" a="1"/>
  <c r="O84" i="4" s="1"/>
  <c r="O85" i="4" a="1"/>
  <c r="O85" i="4" s="1"/>
  <c r="O86" i="4" a="1"/>
  <c r="O86" i="4" s="1"/>
  <c r="O87" i="4" a="1"/>
  <c r="O87" i="4" s="1"/>
  <c r="O88" i="4" a="1"/>
  <c r="O88" i="4" s="1"/>
  <c r="O89" i="4" a="1"/>
  <c r="O89" i="4" s="1"/>
  <c r="O90" i="4" a="1"/>
  <c r="O90" i="4" s="1"/>
  <c r="O91" i="4" a="1"/>
  <c r="O91" i="4" s="1"/>
  <c r="O92" i="4" a="1"/>
  <c r="O92" i="4" s="1"/>
  <c r="O93" i="4" a="1"/>
  <c r="O93" i="4" s="1"/>
  <c r="O94" i="4" a="1"/>
  <c r="O94" i="4" s="1"/>
  <c r="O95" i="4" a="1"/>
  <c r="O95" i="4" s="1"/>
  <c r="O96" i="4" a="1"/>
  <c r="O96" i="4" s="1"/>
  <c r="O97" i="4" a="1"/>
  <c r="O97" i="4" s="1"/>
  <c r="O98" i="4" a="1"/>
  <c r="O98" i="4" s="1"/>
  <c r="O99" i="4" a="1"/>
  <c r="O99" i="4" s="1"/>
  <c r="O100" i="4" a="1"/>
  <c r="O100" i="4" s="1"/>
  <c r="O101" i="4" a="1"/>
  <c r="O101" i="4" s="1"/>
  <c r="O102" i="4" a="1"/>
  <c r="O102" i="4" s="1"/>
  <c r="O103" i="4" a="1"/>
  <c r="O103" i="4" s="1"/>
  <c r="O104" i="4" a="1"/>
  <c r="O104" i="4" s="1"/>
  <c r="O105" i="4" a="1"/>
  <c r="O105" i="4" s="1"/>
  <c r="O106" i="4" a="1"/>
  <c r="O106" i="4" s="1"/>
  <c r="O107" i="4" a="1"/>
  <c r="O107" i="4" s="1"/>
  <c r="O108" i="4" a="1"/>
  <c r="O108" i="4" s="1"/>
  <c r="O109" i="4" a="1"/>
  <c r="O109" i="4" s="1"/>
  <c r="O110" i="4" a="1"/>
  <c r="O110" i="4" s="1"/>
  <c r="O111" i="4" a="1"/>
  <c r="O111" i="4" s="1"/>
  <c r="O112" i="4" a="1"/>
  <c r="O112" i="4" s="1"/>
  <c r="O113" i="4" a="1"/>
  <c r="O113" i="4" s="1"/>
  <c r="O114" i="4" a="1"/>
  <c r="O114" i="4" s="1"/>
  <c r="O115" i="4" a="1"/>
  <c r="O115" i="4" s="1"/>
  <c r="O116" i="4" a="1"/>
  <c r="O116" i="4" s="1"/>
  <c r="O117" i="4" a="1"/>
  <c r="O117" i="4" s="1"/>
  <c r="O118" i="4" a="1"/>
  <c r="O118" i="4" s="1"/>
  <c r="O119" i="4" a="1"/>
  <c r="O119" i="4" s="1"/>
  <c r="O120" i="4" a="1"/>
  <c r="O120" i="4" s="1"/>
  <c r="O121" i="4" a="1"/>
  <c r="O121" i="4" s="1"/>
  <c r="O122" i="4" a="1"/>
  <c r="O122" i="4" s="1"/>
  <c r="O123" i="4" a="1"/>
  <c r="O123" i="4" s="1"/>
  <c r="O124" i="4" a="1"/>
  <c r="O124" i="4" s="1"/>
  <c r="O125" i="4" a="1"/>
  <c r="O125" i="4" s="1"/>
  <c r="O126" i="4" a="1"/>
  <c r="O126" i="4" s="1"/>
  <c r="O127" i="4" a="1"/>
  <c r="O127" i="4" s="1"/>
  <c r="O128" i="4" a="1"/>
  <c r="O128" i="4" s="1"/>
  <c r="O129" i="4" a="1"/>
  <c r="O129" i="4" s="1"/>
  <c r="O130" i="4" a="1"/>
  <c r="O130" i="4" s="1"/>
  <c r="O131" i="4" a="1"/>
  <c r="O131" i="4" s="1"/>
  <c r="O132" i="4" a="1"/>
  <c r="O132" i="4" s="1"/>
  <c r="O133" i="4" a="1"/>
  <c r="O133" i="4" s="1"/>
  <c r="O134" i="4" a="1"/>
  <c r="O134" i="4" s="1"/>
  <c r="O135" i="4" a="1"/>
  <c r="O135" i="4" s="1"/>
  <c r="O136" i="4" a="1"/>
  <c r="O136" i="4" s="1"/>
  <c r="O137" i="4" a="1"/>
  <c r="O137" i="4" s="1"/>
  <c r="O138" i="4" a="1"/>
  <c r="O138" i="4" s="1"/>
  <c r="O139" i="4" a="1"/>
  <c r="O139" i="4" s="1"/>
  <c r="O140" i="4" a="1"/>
  <c r="O140" i="4" s="1"/>
  <c r="O141" i="4" a="1"/>
  <c r="O141" i="4" s="1"/>
  <c r="O142" i="4" a="1"/>
  <c r="O142" i="4" s="1"/>
  <c r="O143" i="4" a="1"/>
  <c r="O143" i="4" s="1"/>
  <c r="O144" i="4" a="1"/>
  <c r="O144" i="4" s="1"/>
  <c r="O145" i="4" a="1"/>
  <c r="O145" i="4" s="1"/>
  <c r="O146" i="4" a="1"/>
  <c r="O146" i="4" s="1"/>
  <c r="O147" i="4" a="1"/>
  <c r="O147" i="4" s="1"/>
  <c r="O148" i="4" a="1"/>
  <c r="O148" i="4" s="1"/>
  <c r="O149" i="4" a="1"/>
  <c r="O149" i="4" s="1"/>
  <c r="O150" i="4" a="1"/>
  <c r="O150" i="4" s="1"/>
  <c r="O151" i="4" a="1"/>
  <c r="O151" i="4" s="1"/>
  <c r="O152" i="4" a="1"/>
  <c r="O152" i="4" s="1"/>
  <c r="O153" i="4" a="1"/>
  <c r="O153" i="4" s="1"/>
  <c r="O154" i="4" a="1"/>
  <c r="O154" i="4" s="1"/>
  <c r="O155" i="4" a="1"/>
  <c r="O155" i="4" s="1"/>
  <c r="O156" i="4" a="1"/>
  <c r="O156" i="4" s="1"/>
  <c r="O157" i="4" a="1"/>
  <c r="O157" i="4" s="1"/>
  <c r="O158" i="4" a="1"/>
  <c r="O158" i="4" s="1"/>
  <c r="O159" i="4" a="1"/>
  <c r="O159" i="4" s="1"/>
  <c r="O160" i="4" a="1"/>
  <c r="O160" i="4" s="1"/>
  <c r="O161" i="4" a="1"/>
  <c r="O161" i="4" s="1"/>
  <c r="O162" i="4" a="1"/>
  <c r="O162" i="4" s="1"/>
  <c r="O163" i="4" a="1"/>
  <c r="O163" i="4" s="1"/>
  <c r="O164" i="4" a="1"/>
  <c r="O164" i="4" s="1"/>
  <c r="O165" i="4" a="1"/>
  <c r="O165" i="4" s="1"/>
  <c r="O166" i="4" a="1"/>
  <c r="O166" i="4" s="1"/>
  <c r="O167" i="4" a="1"/>
  <c r="O167" i="4" s="1"/>
  <c r="O168" i="4" a="1"/>
  <c r="O168" i="4" s="1"/>
  <c r="O169" i="4" a="1"/>
  <c r="O169" i="4" s="1"/>
  <c r="O170" i="4" a="1"/>
  <c r="O170" i="4" s="1"/>
  <c r="O171" i="4" a="1"/>
  <c r="O171" i="4" s="1"/>
  <c r="O172" i="4" a="1"/>
  <c r="O172" i="4" s="1"/>
  <c r="O173" i="4" a="1"/>
  <c r="O173" i="4" s="1"/>
  <c r="O174" i="4" a="1"/>
  <c r="O174" i="4" s="1"/>
  <c r="O175" i="4" a="1"/>
  <c r="O175" i="4" s="1"/>
  <c r="O176" i="4" a="1"/>
  <c r="O176" i="4" s="1"/>
  <c r="O177" i="4" a="1"/>
  <c r="O177" i="4" s="1"/>
  <c r="O178" i="4" a="1"/>
  <c r="O178" i="4" s="1"/>
  <c r="O179" i="4" a="1"/>
  <c r="O179" i="4" s="1"/>
  <c r="O180" i="4" a="1"/>
  <c r="O180" i="4" s="1"/>
  <c r="O181" i="4" a="1"/>
  <c r="O181" i="4" s="1"/>
  <c r="O182" i="4" a="1"/>
  <c r="O182" i="4" s="1"/>
  <c r="O183" i="4" a="1"/>
  <c r="O183" i="4" s="1"/>
  <c r="O184" i="4" a="1"/>
  <c r="O184" i="4" s="1"/>
  <c r="O185" i="4" a="1"/>
  <c r="O185" i="4" s="1"/>
  <c r="O186" i="4" a="1"/>
  <c r="O186" i="4" s="1"/>
  <c r="O187" i="4" a="1"/>
  <c r="O187" i="4" s="1"/>
  <c r="O188" i="4" a="1"/>
  <c r="O188" i="4" s="1"/>
  <c r="O189" i="4" a="1"/>
  <c r="O189" i="4" s="1"/>
  <c r="O190" i="4" a="1"/>
  <c r="O190" i="4" s="1"/>
  <c r="O191" i="4" a="1"/>
  <c r="O191" i="4" s="1"/>
  <c r="O192" i="4" a="1"/>
  <c r="O192" i="4" s="1"/>
  <c r="O193" i="4" a="1"/>
  <c r="O193" i="4" s="1"/>
  <c r="O194" i="4" a="1"/>
  <c r="O194" i="4" s="1"/>
  <c r="O195" i="4" a="1"/>
  <c r="O195" i="4" s="1"/>
  <c r="O196" i="4" a="1"/>
  <c r="O196" i="4" s="1"/>
  <c r="O197" i="4" a="1"/>
  <c r="O197" i="4" s="1"/>
  <c r="O198" i="4" a="1"/>
  <c r="O198" i="4" s="1"/>
  <c r="O199" i="4" a="1"/>
  <c r="O199" i="4" s="1"/>
  <c r="O200" i="4" a="1"/>
  <c r="O200" i="4" s="1"/>
  <c r="O201" i="4" a="1"/>
  <c r="O201" i="4" s="1"/>
  <c r="O202" i="4" a="1"/>
  <c r="O202" i="4" s="1"/>
  <c r="O203" i="4" a="1"/>
  <c r="O203" i="4" s="1"/>
  <c r="O204" i="4" a="1"/>
  <c r="O204" i="4" s="1"/>
  <c r="O205" i="4" a="1"/>
  <c r="O205" i="4" s="1"/>
  <c r="O206" i="4" a="1"/>
  <c r="O206" i="4" s="1"/>
  <c r="O207" i="4" a="1"/>
  <c r="O207" i="4" s="1"/>
  <c r="O208" i="4" a="1"/>
  <c r="O208" i="4" s="1"/>
  <c r="O209" i="4" a="1"/>
  <c r="O209" i="4" s="1"/>
  <c r="O210" i="4" a="1"/>
  <c r="O210" i="4" s="1"/>
  <c r="O211" i="4" a="1"/>
  <c r="O211" i="4" s="1"/>
  <c r="O212" i="4" a="1"/>
  <c r="O212" i="4" s="1"/>
  <c r="O213" i="4" a="1"/>
  <c r="O213" i="4" s="1"/>
  <c r="O214" i="4" a="1"/>
  <c r="O214" i="4" s="1"/>
  <c r="O215" i="4" a="1"/>
  <c r="O215" i="4" s="1"/>
  <c r="O216" i="4" a="1"/>
  <c r="O216" i="4" s="1"/>
  <c r="O217" i="4" a="1"/>
  <c r="O217" i="4" s="1"/>
  <c r="O218" i="4" a="1"/>
  <c r="O218" i="4" s="1"/>
  <c r="O219" i="4" a="1"/>
  <c r="O219" i="4" s="1"/>
  <c r="O220" i="4" a="1"/>
  <c r="O220" i="4" s="1"/>
  <c r="O221" i="4" a="1"/>
  <c r="O221" i="4" s="1"/>
  <c r="O222" i="4" a="1"/>
  <c r="O222" i="4" s="1"/>
  <c r="O223" i="4" a="1"/>
  <c r="O223" i="4" s="1"/>
  <c r="O224" i="4" a="1"/>
  <c r="O224" i="4" s="1"/>
  <c r="O225" i="4" a="1"/>
  <c r="O225" i="4" s="1"/>
  <c r="O226" i="4" a="1"/>
  <c r="O226" i="4" s="1"/>
  <c r="O227" i="4" a="1"/>
  <c r="O227" i="4" s="1"/>
  <c r="O228" i="4" a="1"/>
  <c r="O228" i="4" s="1"/>
  <c r="O229" i="4" a="1"/>
  <c r="O229" i="4" s="1"/>
  <c r="O230" i="4" a="1"/>
  <c r="O230" i="4" s="1"/>
  <c r="O231" i="4" a="1"/>
  <c r="O231" i="4" s="1"/>
  <c r="O232" i="4" a="1"/>
  <c r="O232" i="4" s="1"/>
  <c r="O233" i="4" a="1"/>
  <c r="O233" i="4" s="1"/>
  <c r="O234" i="4" a="1"/>
  <c r="O234" i="4" s="1"/>
  <c r="O235" i="4" a="1"/>
  <c r="O235" i="4" s="1"/>
  <c r="O236" i="4" a="1"/>
  <c r="O236" i="4" s="1"/>
  <c r="O237" i="4" a="1"/>
  <c r="O237" i="4" s="1"/>
  <c r="O238" i="4" a="1"/>
  <c r="O238" i="4" s="1"/>
  <c r="O239" i="4" a="1"/>
  <c r="O239" i="4" s="1"/>
  <c r="O240" i="4" a="1"/>
  <c r="O240" i="4" s="1"/>
  <c r="O241" i="4" a="1"/>
  <c r="O241" i="4" s="1"/>
  <c r="O242" i="4" a="1"/>
  <c r="O242" i="4" s="1"/>
  <c r="O243" i="4" a="1"/>
  <c r="O243" i="4" s="1"/>
  <c r="O244" i="4" a="1"/>
  <c r="O244" i="4" s="1"/>
  <c r="O245" i="4" a="1"/>
  <c r="O245" i="4" s="1"/>
  <c r="O246" i="4" a="1"/>
  <c r="O246" i="4" s="1"/>
  <c r="O247" i="4" a="1"/>
  <c r="O247" i="4" s="1"/>
  <c r="O248" i="4" a="1"/>
  <c r="O248" i="4" s="1"/>
  <c r="O249" i="4" a="1"/>
  <c r="O249" i="4" s="1"/>
  <c r="O250" i="4" a="1"/>
  <c r="O250" i="4" s="1"/>
  <c r="O251" i="4" a="1"/>
  <c r="O251" i="4" s="1"/>
  <c r="O252" i="4" a="1"/>
  <c r="O252" i="4" s="1"/>
  <c r="O253" i="4" a="1"/>
  <c r="O253" i="4" s="1"/>
  <c r="O254" i="4" a="1"/>
  <c r="O254" i="4" s="1"/>
  <c r="O255" i="4" a="1"/>
  <c r="O255" i="4" s="1"/>
  <c r="O256" i="4" a="1"/>
  <c r="O256" i="4" s="1"/>
  <c r="O257" i="4" a="1"/>
  <c r="O257" i="4" s="1"/>
  <c r="O258" i="4" a="1"/>
  <c r="O258" i="4" s="1"/>
  <c r="O259" i="4" a="1"/>
  <c r="O259" i="4" s="1"/>
  <c r="O260" i="4" a="1"/>
  <c r="O260" i="4" s="1"/>
  <c r="O261" i="4" a="1"/>
  <c r="O261" i="4" s="1"/>
  <c r="O262" i="4" a="1"/>
  <c r="O262" i="4" s="1"/>
  <c r="O263" i="4" a="1"/>
  <c r="O263" i="4" s="1"/>
  <c r="O264" i="4" a="1"/>
  <c r="O264" i="4" s="1"/>
  <c r="O265" i="4" a="1"/>
  <c r="O265" i="4" s="1"/>
  <c r="O266" i="4" a="1"/>
  <c r="O266" i="4" s="1"/>
  <c r="O267" i="4" a="1"/>
  <c r="O267" i="4" s="1"/>
  <c r="O268" i="4" a="1"/>
  <c r="O268" i="4" s="1"/>
  <c r="O269" i="4" a="1"/>
  <c r="O269" i="4" s="1"/>
  <c r="O270" i="4" a="1"/>
  <c r="O270" i="4" s="1"/>
  <c r="O271" i="4" a="1"/>
  <c r="O271" i="4" s="1"/>
  <c r="O272" i="4" a="1"/>
  <c r="O272" i="4" s="1"/>
  <c r="O273" i="4" a="1"/>
  <c r="O273" i="4" s="1"/>
  <c r="O274" i="4" a="1"/>
  <c r="O274" i="4" s="1"/>
  <c r="O275" i="4" a="1"/>
  <c r="O275" i="4" s="1"/>
  <c r="O276" i="4" a="1"/>
  <c r="O276" i="4" s="1"/>
  <c r="O277" i="4" a="1"/>
  <c r="O277" i="4" s="1"/>
  <c r="O278" i="4" a="1"/>
  <c r="O278" i="4" s="1"/>
  <c r="O279" i="4" a="1"/>
  <c r="O279" i="4" s="1"/>
  <c r="O280" i="4" a="1"/>
  <c r="O280" i="4" s="1"/>
  <c r="O281" i="4" a="1"/>
  <c r="O281" i="4" s="1"/>
  <c r="O282" i="4" a="1"/>
  <c r="O282" i="4" s="1"/>
  <c r="O283" i="4" a="1"/>
  <c r="O283" i="4" s="1"/>
  <c r="O284" i="4" a="1"/>
  <c r="O284" i="4" s="1"/>
  <c r="O285" i="4" a="1"/>
  <c r="O285" i="4" s="1"/>
  <c r="O286" i="4" a="1"/>
  <c r="O286" i="4" s="1"/>
  <c r="O287" i="4" a="1"/>
  <c r="O287" i="4" s="1"/>
  <c r="O288" i="4" a="1"/>
  <c r="O288" i="4" s="1"/>
  <c r="O289" i="4" a="1"/>
  <c r="O289" i="4" s="1"/>
  <c r="O290" i="4" a="1"/>
  <c r="O290" i="4" s="1"/>
  <c r="O291" i="4" a="1"/>
  <c r="O291" i="4" s="1"/>
  <c r="O292" i="4" a="1"/>
  <c r="O292" i="4" s="1"/>
  <c r="O293" i="4" a="1"/>
  <c r="O293" i="4" s="1"/>
  <c r="O294" i="4" a="1"/>
  <c r="O294" i="4" s="1"/>
  <c r="O295" i="4" a="1"/>
  <c r="O295" i="4" s="1"/>
  <c r="O296" i="4" a="1"/>
  <c r="O296" i="4" s="1"/>
  <c r="O297" i="4" a="1"/>
  <c r="O297" i="4" s="1"/>
  <c r="O298" i="4" a="1"/>
  <c r="O298" i="4" s="1"/>
  <c r="O299" i="4" a="1"/>
  <c r="O299" i="4" s="1"/>
  <c r="O300" i="4" a="1"/>
  <c r="O300" i="4" s="1"/>
  <c r="O301" i="4" a="1"/>
  <c r="O301" i="4" s="1"/>
  <c r="O302" i="4" a="1"/>
  <c r="O302" i="4" s="1"/>
  <c r="O303" i="4" a="1"/>
  <c r="O303" i="4" s="1"/>
  <c r="O304" i="4" a="1"/>
  <c r="O304" i="4" s="1"/>
  <c r="O305" i="4" a="1"/>
  <c r="O305" i="4" s="1"/>
  <c r="O306" i="4" a="1"/>
  <c r="O306" i="4" s="1"/>
  <c r="O307" i="4" a="1"/>
  <c r="O307" i="4" s="1"/>
  <c r="O308" i="4" a="1"/>
  <c r="O308" i="4" s="1"/>
  <c r="O309" i="4" a="1"/>
  <c r="O309" i="4" s="1"/>
  <c r="O310" i="4" a="1"/>
  <c r="O310" i="4" s="1"/>
  <c r="O311" i="4" a="1"/>
  <c r="O311" i="4" s="1"/>
  <c r="O312" i="4" a="1"/>
  <c r="O312" i="4" s="1"/>
  <c r="O313" i="4" a="1"/>
  <c r="O313" i="4" s="1"/>
  <c r="O314" i="4" a="1"/>
  <c r="O314" i="4" s="1"/>
  <c r="O315" i="4" a="1"/>
  <c r="O315" i="4" s="1"/>
  <c r="O316" i="4" a="1"/>
  <c r="O316" i="4" s="1"/>
  <c r="O317" i="4" a="1"/>
  <c r="O317" i="4" s="1"/>
  <c r="O318" i="4" a="1"/>
  <c r="O318" i="4" s="1"/>
  <c r="O319" i="4" a="1"/>
  <c r="O319" i="4" s="1"/>
  <c r="O320" i="4" a="1"/>
  <c r="O320" i="4" s="1"/>
  <c r="O321" i="4" a="1"/>
  <c r="O321" i="4" s="1"/>
  <c r="O322" i="4" a="1"/>
  <c r="O322" i="4" s="1"/>
  <c r="O323" i="4" a="1"/>
  <c r="O323" i="4" s="1"/>
  <c r="O324" i="4" a="1"/>
  <c r="O324" i="4" s="1"/>
  <c r="O325" i="4" a="1"/>
  <c r="O325" i="4" s="1"/>
  <c r="O326" i="4" a="1"/>
  <c r="O326" i="4" s="1"/>
  <c r="O327" i="4" a="1"/>
  <c r="O327" i="4" s="1"/>
  <c r="O328" i="4" a="1"/>
  <c r="O328" i="4" s="1"/>
  <c r="O329" i="4" a="1"/>
  <c r="O329" i="4" s="1"/>
  <c r="O330" i="4" a="1"/>
  <c r="O330" i="4" s="1"/>
  <c r="O331" i="4" a="1"/>
  <c r="O331" i="4" s="1"/>
  <c r="O332" i="4" a="1"/>
  <c r="O332" i="4" s="1"/>
  <c r="O333" i="4" a="1"/>
  <c r="O333" i="4" s="1"/>
  <c r="O334" i="4" a="1"/>
  <c r="O334" i="4" s="1"/>
  <c r="O335" i="4" a="1"/>
  <c r="O335" i="4" s="1"/>
  <c r="O336" i="4" a="1"/>
  <c r="O336" i="4" s="1"/>
  <c r="O337" i="4" a="1"/>
  <c r="O337" i="4" s="1"/>
  <c r="O338" i="4" a="1"/>
  <c r="O338" i="4" s="1"/>
  <c r="O339" i="4" a="1"/>
  <c r="O339" i="4" s="1"/>
  <c r="O340" i="4" a="1"/>
  <c r="O340" i="4" s="1"/>
  <c r="O341" i="4" a="1"/>
  <c r="O341" i="4" s="1"/>
  <c r="O342" i="4" a="1"/>
  <c r="O342" i="4" s="1"/>
  <c r="O343" i="4" a="1"/>
  <c r="O343" i="4" s="1"/>
  <c r="O344" i="4" a="1"/>
  <c r="O344" i="4" s="1"/>
  <c r="O345" i="4" a="1"/>
  <c r="O345" i="4" s="1"/>
  <c r="O346" i="4" a="1"/>
  <c r="O346" i="4" s="1"/>
  <c r="O347" i="4" a="1"/>
  <c r="O347" i="4" s="1"/>
  <c r="O348" i="4" a="1"/>
  <c r="O348" i="4" s="1"/>
  <c r="O349" i="4" a="1"/>
  <c r="O349" i="4" s="1"/>
  <c r="O350" i="4" a="1"/>
  <c r="O350" i="4" s="1"/>
  <c r="O351" i="4" a="1"/>
  <c r="O351" i="4" s="1"/>
  <c r="O352" i="4" a="1"/>
  <c r="O352" i="4" s="1"/>
  <c r="O353" i="4" a="1"/>
  <c r="O353" i="4" s="1"/>
  <c r="O354" i="4" a="1"/>
  <c r="O354" i="4" s="1"/>
  <c r="O355" i="4" a="1"/>
  <c r="O355" i="4" s="1"/>
  <c r="O356" i="4" a="1"/>
  <c r="O356" i="4" s="1"/>
  <c r="O357" i="4" a="1"/>
  <c r="O357" i="4" s="1"/>
  <c r="O358" i="4" a="1"/>
  <c r="O358" i="4" s="1"/>
  <c r="O359" i="4" a="1"/>
  <c r="O359" i="4" s="1"/>
  <c r="O360" i="4" a="1"/>
  <c r="O360" i="4" s="1"/>
  <c r="O361" i="4" a="1"/>
  <c r="O361" i="4" s="1"/>
  <c r="O362" i="4" a="1"/>
  <c r="O362" i="4" s="1"/>
  <c r="O363" i="4" a="1"/>
  <c r="O363" i="4" s="1"/>
  <c r="O364" i="4" a="1"/>
  <c r="O364" i="4" s="1"/>
  <c r="O365" i="4" a="1"/>
  <c r="O365" i="4" s="1"/>
  <c r="O366" i="4" a="1"/>
  <c r="O366" i="4" s="1"/>
  <c r="O367" i="4" a="1"/>
  <c r="O367" i="4" s="1"/>
  <c r="O368" i="4" a="1"/>
  <c r="O368" i="4" s="1"/>
  <c r="O369" i="4" a="1"/>
  <c r="O369" i="4" s="1"/>
  <c r="O370" i="4" a="1"/>
  <c r="O370" i="4" s="1"/>
  <c r="O371" i="4" a="1"/>
  <c r="O371" i="4" s="1"/>
  <c r="O372" i="4" a="1"/>
  <c r="O372" i="4" s="1"/>
  <c r="O373" i="4" a="1"/>
  <c r="O373" i="4" s="1"/>
  <c r="O374" i="4" a="1"/>
  <c r="O374" i="4" s="1"/>
  <c r="O375" i="4" a="1"/>
  <c r="O375" i="4" s="1"/>
  <c r="O376" i="4" a="1"/>
  <c r="O376" i="4" s="1"/>
  <c r="O377" i="4" a="1"/>
  <c r="O377" i="4" s="1"/>
  <c r="O378" i="4" a="1"/>
  <c r="O378" i="4" s="1"/>
  <c r="O379" i="4" a="1"/>
  <c r="O379" i="4" s="1"/>
  <c r="O380" i="4" a="1"/>
  <c r="O380" i="4" s="1"/>
  <c r="O381" i="4" a="1"/>
  <c r="O381" i="4" s="1"/>
  <c r="O382" i="4" a="1"/>
  <c r="O382" i="4" s="1"/>
  <c r="O383" i="4" a="1"/>
  <c r="O383" i="4" s="1"/>
  <c r="O384" i="4" a="1"/>
  <c r="O384" i="4" s="1"/>
  <c r="O385" i="4" a="1"/>
  <c r="O385" i="4" s="1"/>
  <c r="O386" i="4" a="1"/>
  <c r="O386" i="4" s="1"/>
  <c r="O387" i="4" a="1"/>
  <c r="O387" i="4" s="1"/>
  <c r="O388" i="4" a="1"/>
  <c r="O388" i="4" s="1"/>
  <c r="O389" i="4" a="1"/>
  <c r="O389" i="4" s="1"/>
  <c r="O390" i="4" a="1"/>
  <c r="O390" i="4" s="1"/>
  <c r="O391" i="4" a="1"/>
  <c r="O391" i="4" s="1"/>
  <c r="O392" i="4" a="1"/>
  <c r="O392" i="4" s="1"/>
  <c r="O393" i="4" a="1"/>
  <c r="O393" i="4" s="1"/>
  <c r="O394" i="4" a="1"/>
  <c r="O394" i="4" s="1"/>
  <c r="O395" i="4" a="1"/>
  <c r="O395" i="4" s="1"/>
  <c r="O396" i="4" a="1"/>
  <c r="O396" i="4" s="1"/>
  <c r="O397" i="4" a="1"/>
  <c r="O397" i="4" s="1"/>
  <c r="O398" i="4" a="1"/>
  <c r="O398" i="4" s="1"/>
  <c r="O399" i="4" a="1"/>
  <c r="O399" i="4" s="1"/>
  <c r="O400" i="4" a="1"/>
  <c r="O400" i="4" s="1"/>
  <c r="O401" i="4" a="1"/>
  <c r="O401" i="4" s="1"/>
  <c r="O402" i="4" a="1"/>
  <c r="O402" i="4" s="1"/>
  <c r="O403" i="4" a="1"/>
  <c r="O403" i="4" s="1"/>
  <c r="O404" i="4" a="1"/>
  <c r="O404" i="4" s="1"/>
  <c r="O405" i="4" a="1"/>
  <c r="O405" i="4" s="1"/>
  <c r="O406" i="4" a="1"/>
  <c r="O406" i="4" s="1"/>
  <c r="O407" i="4" a="1"/>
  <c r="O407" i="4" s="1"/>
  <c r="O408" i="4" a="1"/>
  <c r="O408" i="4" s="1"/>
  <c r="O409" i="4" a="1"/>
  <c r="O409" i="4" s="1"/>
  <c r="O410" i="4" a="1"/>
  <c r="O410" i="4" s="1"/>
  <c r="O411" i="4" a="1"/>
  <c r="O411" i="4" s="1"/>
  <c r="O412" i="4" a="1"/>
  <c r="O412" i="4" s="1"/>
  <c r="O413" i="4" a="1"/>
  <c r="O413" i="4" s="1"/>
  <c r="O414" i="4" a="1"/>
  <c r="O414" i="4" s="1"/>
  <c r="O415" i="4" a="1"/>
  <c r="O415" i="4" s="1"/>
  <c r="O416" i="4" a="1"/>
  <c r="O416" i="4" s="1"/>
  <c r="O417" i="4" a="1"/>
  <c r="O417" i="4" s="1"/>
  <c r="O418" i="4" a="1"/>
  <c r="O418" i="4" s="1"/>
  <c r="O419" i="4" a="1"/>
  <c r="O419" i="4" s="1"/>
  <c r="O420" i="4" a="1"/>
  <c r="O420" i="4" s="1"/>
  <c r="O421" i="4" a="1"/>
  <c r="O421" i="4" s="1"/>
  <c r="O422" i="4" a="1"/>
  <c r="O422" i="4" s="1"/>
  <c r="O423" i="4" a="1"/>
  <c r="O423" i="4" s="1"/>
  <c r="O424" i="4" a="1"/>
  <c r="O424" i="4" s="1"/>
  <c r="O425" i="4" a="1"/>
  <c r="O425" i="4" s="1"/>
  <c r="O426" i="4" a="1"/>
  <c r="O426" i="4" s="1"/>
  <c r="O427" i="4" a="1"/>
  <c r="O427" i="4" s="1"/>
  <c r="O428" i="4" a="1"/>
  <c r="O428" i="4" s="1"/>
  <c r="O429" i="4" a="1"/>
  <c r="O429" i="4" s="1"/>
  <c r="O430" i="4" a="1"/>
  <c r="O430" i="4" s="1"/>
  <c r="O431" i="4" a="1"/>
  <c r="O431" i="4" s="1"/>
  <c r="O432" i="4" a="1"/>
  <c r="O432" i="4" s="1"/>
  <c r="O433" i="4" a="1"/>
  <c r="O433" i="4" s="1"/>
  <c r="O434" i="4" a="1"/>
  <c r="O434" i="4" s="1"/>
  <c r="O435" i="4" a="1"/>
  <c r="O435" i="4" s="1"/>
  <c r="O436" i="4" a="1"/>
  <c r="O436" i="4" s="1"/>
  <c r="O437" i="4" a="1"/>
  <c r="O437" i="4" s="1"/>
  <c r="O438" i="4" a="1"/>
  <c r="O438" i="4" s="1"/>
  <c r="O439" i="4" a="1"/>
  <c r="O439" i="4" s="1"/>
  <c r="O440" i="4" a="1"/>
  <c r="O440" i="4" s="1"/>
  <c r="O441" i="4" a="1"/>
  <c r="O441" i="4" s="1"/>
  <c r="O442" i="4" a="1"/>
  <c r="O442" i="4" s="1"/>
  <c r="O443" i="4" a="1"/>
  <c r="O443" i="4" s="1"/>
  <c r="O444" i="4" a="1"/>
  <c r="O444" i="4" s="1"/>
  <c r="O445" i="4" a="1"/>
  <c r="O445" i="4" s="1"/>
  <c r="O446" i="4" a="1"/>
  <c r="O446" i="4" s="1"/>
  <c r="O447" i="4" a="1"/>
  <c r="O447" i="4" s="1"/>
  <c r="O448" i="4" a="1"/>
  <c r="O448" i="4" s="1"/>
  <c r="O449" i="4" a="1"/>
  <c r="O449" i="4" s="1"/>
  <c r="O450" i="4" a="1"/>
  <c r="O450" i="4" s="1"/>
  <c r="O451" i="4" a="1"/>
  <c r="O451" i="4" s="1"/>
  <c r="O452" i="4" a="1"/>
  <c r="O452" i="4" s="1"/>
  <c r="O453" i="4" a="1"/>
  <c r="O453" i="4" s="1"/>
  <c r="O454" i="4" a="1"/>
  <c r="O454" i="4" s="1"/>
  <c r="O455" i="4" a="1"/>
  <c r="O455" i="4" s="1"/>
  <c r="O456" i="4" a="1"/>
  <c r="O456" i="4" s="1"/>
  <c r="O457" i="4" a="1"/>
  <c r="O457" i="4" s="1"/>
  <c r="O458" i="4" a="1"/>
  <c r="O458" i="4" s="1"/>
  <c r="O459" i="4" a="1"/>
  <c r="O459" i="4" s="1"/>
  <c r="O460" i="4" a="1"/>
  <c r="O460" i="4" s="1"/>
  <c r="O461" i="4" a="1"/>
  <c r="O461" i="4" s="1"/>
  <c r="O462" i="4" a="1"/>
  <c r="O462" i="4" s="1"/>
  <c r="O463" i="4" a="1"/>
  <c r="O463" i="4" s="1"/>
  <c r="O464" i="4" a="1"/>
  <c r="O464" i="4" s="1"/>
  <c r="O465" i="4" a="1"/>
  <c r="O465" i="4" s="1"/>
  <c r="O466" i="4" a="1"/>
  <c r="O466" i="4" s="1"/>
  <c r="O467" i="4" a="1"/>
  <c r="O467" i="4" s="1"/>
  <c r="O468" i="4" a="1"/>
  <c r="O468" i="4" s="1"/>
  <c r="O469" i="4" a="1"/>
  <c r="O469" i="4" s="1"/>
  <c r="O470" i="4" a="1"/>
  <c r="O470" i="4" s="1"/>
  <c r="O471" i="4" a="1"/>
  <c r="O471" i="4" s="1"/>
  <c r="O472" i="4" a="1"/>
  <c r="O472" i="4" s="1"/>
  <c r="O473" i="4" a="1"/>
  <c r="O473" i="4" s="1"/>
  <c r="O474" i="4" a="1"/>
  <c r="O474" i="4" s="1"/>
  <c r="O475" i="4" a="1"/>
  <c r="O475" i="4" s="1"/>
  <c r="O476" i="4" a="1"/>
  <c r="O476" i="4" s="1"/>
  <c r="O477" i="4" a="1"/>
  <c r="O477" i="4" s="1"/>
  <c r="O478" i="4" a="1"/>
  <c r="O478" i="4" s="1"/>
  <c r="O479" i="4" a="1"/>
  <c r="O479" i="4" s="1"/>
  <c r="O480" i="4" a="1"/>
  <c r="O480" i="4" s="1"/>
  <c r="O481" i="4" a="1"/>
  <c r="O481" i="4" s="1"/>
  <c r="O482" i="4" a="1"/>
  <c r="O482" i="4" s="1"/>
  <c r="O483" i="4" a="1"/>
  <c r="O483" i="4" s="1"/>
  <c r="O484" i="4" a="1"/>
  <c r="O484" i="4" s="1"/>
  <c r="O485" i="4" a="1"/>
  <c r="O485" i="4" s="1"/>
  <c r="O486" i="4" a="1"/>
  <c r="O486" i="4" s="1"/>
  <c r="O487" i="4" a="1"/>
  <c r="O487" i="4" s="1"/>
  <c r="O488" i="4" a="1"/>
  <c r="O488" i="4" s="1"/>
  <c r="O489" i="4" a="1"/>
  <c r="O489" i="4" s="1"/>
  <c r="O490" i="4" a="1"/>
  <c r="O490" i="4" s="1"/>
  <c r="O491" i="4" a="1"/>
  <c r="O491" i="4" s="1"/>
  <c r="O492" i="4" a="1"/>
  <c r="O492" i="4" s="1"/>
  <c r="O493" i="4" a="1"/>
  <c r="O493" i="4" s="1"/>
  <c r="O494" i="4" a="1"/>
  <c r="O494" i="4" s="1"/>
  <c r="O495" i="4" a="1"/>
  <c r="O495" i="4" s="1"/>
  <c r="O496" i="4" a="1"/>
  <c r="O496" i="4" s="1"/>
  <c r="O497" i="4" a="1"/>
  <c r="O497" i="4" s="1"/>
  <c r="O498" i="4" a="1"/>
  <c r="O498" i="4" s="1"/>
  <c r="O499" i="4" a="1"/>
  <c r="O499" i="4" s="1"/>
  <c r="O500" i="4" a="1"/>
  <c r="O500" i="4" s="1"/>
  <c r="O501" i="4" a="1"/>
  <c r="O501" i="4" s="1"/>
  <c r="O502" i="4" a="1"/>
  <c r="O502" i="4" s="1"/>
  <c r="O503" i="4" a="1"/>
  <c r="O503" i="4" s="1"/>
  <c r="O504" i="4" a="1"/>
  <c r="O504" i="4" s="1"/>
  <c r="O505" i="4" a="1"/>
  <c r="O505" i="4" s="1"/>
  <c r="O506" i="4" a="1"/>
  <c r="O506" i="4" s="1"/>
  <c r="O507" i="4" a="1"/>
  <c r="O507" i="4" s="1"/>
  <c r="O508" i="4" a="1"/>
  <c r="O508" i="4" s="1"/>
  <c r="O509" i="4" a="1"/>
  <c r="O509" i="4" s="1"/>
  <c r="O510" i="4" a="1"/>
  <c r="O510" i="4" s="1"/>
  <c r="O511" i="4" a="1"/>
  <c r="O511" i="4" s="1"/>
  <c r="O512" i="4" a="1"/>
  <c r="O512" i="4" s="1"/>
  <c r="O513" i="4" a="1"/>
  <c r="O513" i="4" s="1"/>
  <c r="O514" i="4" a="1"/>
  <c r="O514" i="4" s="1"/>
  <c r="O515" i="4" a="1"/>
  <c r="O515" i="4" s="1"/>
  <c r="N2" i="4"/>
  <c r="N3" i="4"/>
  <c r="N4" i="4"/>
  <c r="Q4" i="4" s="1"/>
  <c r="N5" i="4"/>
  <c r="Q5" i="4" s="1"/>
  <c r="N6" i="4"/>
  <c r="Q6" i="4" s="1"/>
  <c r="N7" i="4"/>
  <c r="Q7" i="4" s="1"/>
  <c r="N8" i="4"/>
  <c r="N9" i="4"/>
  <c r="N10" i="4"/>
  <c r="N11" i="4"/>
  <c r="N12" i="4"/>
  <c r="N13" i="4"/>
  <c r="N14" i="4"/>
  <c r="N15" i="4"/>
  <c r="N16" i="4"/>
  <c r="Q16" i="4" s="1"/>
  <c r="N17" i="4"/>
  <c r="Q17" i="4" s="1"/>
  <c r="N18" i="4"/>
  <c r="Q18" i="4" s="1"/>
  <c r="N19" i="4"/>
  <c r="Q19" i="4" s="1"/>
  <c r="N20" i="4"/>
  <c r="N21" i="4"/>
  <c r="N22" i="4"/>
  <c r="N23" i="4"/>
  <c r="N24" i="4"/>
  <c r="N25" i="4"/>
  <c r="N26" i="4"/>
  <c r="N27" i="4"/>
  <c r="N28" i="4"/>
  <c r="Q28" i="4" s="1"/>
  <c r="N29" i="4"/>
  <c r="Q29" i="4" s="1"/>
  <c r="N30" i="4"/>
  <c r="Q30" i="4" s="1"/>
  <c r="N31" i="4"/>
  <c r="Q31" i="4" s="1"/>
  <c r="N32" i="4"/>
  <c r="N33" i="4"/>
  <c r="N34" i="4"/>
  <c r="N35" i="4"/>
  <c r="N36" i="4"/>
  <c r="N37" i="4"/>
  <c r="N38" i="4"/>
  <c r="N39" i="4"/>
  <c r="N40" i="4"/>
  <c r="Q40" i="4" s="1"/>
  <c r="N41" i="4"/>
  <c r="Q41" i="4" s="1"/>
  <c r="N42" i="4"/>
  <c r="Q42" i="4" s="1"/>
  <c r="N43" i="4"/>
  <c r="Q43" i="4" s="1"/>
  <c r="N44" i="4"/>
  <c r="N45" i="4"/>
  <c r="N46" i="4"/>
  <c r="N47" i="4"/>
  <c r="N48" i="4"/>
  <c r="N49" i="4"/>
  <c r="N50" i="4"/>
  <c r="N51" i="4"/>
  <c r="N52" i="4"/>
  <c r="Q52" i="4" s="1"/>
  <c r="N53" i="4"/>
  <c r="Q53" i="4" s="1"/>
  <c r="N54" i="4"/>
  <c r="Q54" i="4" s="1"/>
  <c r="N55" i="4"/>
  <c r="Q55" i="4" s="1"/>
  <c r="N56" i="4"/>
  <c r="N57" i="4"/>
  <c r="N58" i="4"/>
  <c r="N59" i="4"/>
  <c r="N60" i="4"/>
  <c r="N61" i="4"/>
  <c r="N62" i="4"/>
  <c r="N63" i="4"/>
  <c r="N64" i="4"/>
  <c r="Q64" i="4" s="1"/>
  <c r="N65" i="4"/>
  <c r="Q65" i="4" s="1"/>
  <c r="N66" i="4"/>
  <c r="Q66" i="4" s="1"/>
  <c r="N67" i="4"/>
  <c r="Q67" i="4" s="1"/>
  <c r="N68" i="4"/>
  <c r="N69" i="4"/>
  <c r="N70" i="4"/>
  <c r="N71" i="4"/>
  <c r="N72" i="4"/>
  <c r="N73" i="4"/>
  <c r="N74" i="4"/>
  <c r="N75" i="4"/>
  <c r="N76" i="4"/>
  <c r="Q76" i="4" s="1"/>
  <c r="N77" i="4"/>
  <c r="Q77" i="4" s="1"/>
  <c r="N78" i="4"/>
  <c r="Q78" i="4" s="1"/>
  <c r="N79" i="4"/>
  <c r="Q79" i="4" s="1"/>
  <c r="N80" i="4"/>
  <c r="N81" i="4"/>
  <c r="N82" i="4"/>
  <c r="N83" i="4"/>
  <c r="N84" i="4"/>
  <c r="N85" i="4"/>
  <c r="N86" i="4"/>
  <c r="N87" i="4"/>
  <c r="N88" i="4"/>
  <c r="Q88" i="4" s="1"/>
  <c r="N89" i="4"/>
  <c r="Q89" i="4" s="1"/>
  <c r="N90" i="4"/>
  <c r="Q90" i="4" s="1"/>
  <c r="N91" i="4"/>
  <c r="Q91" i="4" s="1"/>
  <c r="N92" i="4"/>
  <c r="N93" i="4"/>
  <c r="N94" i="4"/>
  <c r="N95" i="4"/>
  <c r="N96" i="4"/>
  <c r="N97" i="4"/>
  <c r="N98" i="4"/>
  <c r="N99" i="4"/>
  <c r="N100" i="4"/>
  <c r="Q100" i="4" s="1"/>
  <c r="N101" i="4"/>
  <c r="Q101" i="4" s="1"/>
  <c r="N102" i="4"/>
  <c r="Q102" i="4" s="1"/>
  <c r="N103" i="4"/>
  <c r="Q103" i="4" s="1"/>
  <c r="N104" i="4"/>
  <c r="N105" i="4"/>
  <c r="N106" i="4"/>
  <c r="N107" i="4"/>
  <c r="N108" i="4"/>
  <c r="N109" i="4"/>
  <c r="N110" i="4"/>
  <c r="N111" i="4"/>
  <c r="N112" i="4"/>
  <c r="Q112" i="4" s="1"/>
  <c r="N113" i="4"/>
  <c r="Q113" i="4" s="1"/>
  <c r="N114" i="4"/>
  <c r="Q114" i="4" s="1"/>
  <c r="N115" i="4"/>
  <c r="Q115" i="4" s="1"/>
  <c r="N116" i="4"/>
  <c r="N117" i="4"/>
  <c r="N118" i="4"/>
  <c r="N119" i="4"/>
  <c r="N120" i="4"/>
  <c r="N121" i="4"/>
  <c r="N122" i="4"/>
  <c r="N123" i="4"/>
  <c r="N124" i="4"/>
  <c r="Q124" i="4" s="1"/>
  <c r="N125" i="4"/>
  <c r="Q125" i="4" s="1"/>
  <c r="N126" i="4"/>
  <c r="Q126" i="4" s="1"/>
  <c r="N127" i="4"/>
  <c r="Q127" i="4" s="1"/>
  <c r="N128" i="4"/>
  <c r="N129" i="4"/>
  <c r="N130" i="4"/>
  <c r="N131" i="4"/>
  <c r="N132" i="4"/>
  <c r="N133" i="4"/>
  <c r="N134" i="4"/>
  <c r="N135" i="4"/>
  <c r="N136" i="4"/>
  <c r="Q136" i="4" s="1"/>
  <c r="N137" i="4"/>
  <c r="Q137" i="4" s="1"/>
  <c r="N138" i="4"/>
  <c r="Q138" i="4" s="1"/>
  <c r="N139" i="4"/>
  <c r="Q139" i="4" s="1"/>
  <c r="N140" i="4"/>
  <c r="N141" i="4"/>
  <c r="N142" i="4"/>
  <c r="N143" i="4"/>
  <c r="N144" i="4"/>
  <c r="N145" i="4"/>
  <c r="N146" i="4"/>
  <c r="N147" i="4"/>
  <c r="N148" i="4"/>
  <c r="Q148" i="4" s="1"/>
  <c r="N149" i="4"/>
  <c r="Q149" i="4" s="1"/>
  <c r="N150" i="4"/>
  <c r="Q150" i="4" s="1"/>
  <c r="N151" i="4"/>
  <c r="Q151" i="4" s="1"/>
  <c r="N152" i="4"/>
  <c r="N153" i="4"/>
  <c r="N154" i="4"/>
  <c r="N155" i="4"/>
  <c r="N156" i="4"/>
  <c r="N157" i="4"/>
  <c r="N158" i="4"/>
  <c r="N159" i="4"/>
  <c r="N160" i="4"/>
  <c r="Q160" i="4" s="1"/>
  <c r="N161" i="4"/>
  <c r="Q161" i="4" s="1"/>
  <c r="N162" i="4"/>
  <c r="Q162" i="4" s="1"/>
  <c r="N163" i="4"/>
  <c r="Q163" i="4" s="1"/>
  <c r="N164" i="4"/>
  <c r="N165" i="4"/>
  <c r="N166" i="4"/>
  <c r="N167" i="4"/>
  <c r="N168" i="4"/>
  <c r="N169" i="4"/>
  <c r="N170" i="4"/>
  <c r="N171" i="4"/>
  <c r="N172" i="4"/>
  <c r="Q172" i="4" s="1"/>
  <c r="N173" i="4"/>
  <c r="Q173" i="4" s="1"/>
  <c r="N174" i="4"/>
  <c r="Q174" i="4" s="1"/>
  <c r="N175" i="4"/>
  <c r="Q175" i="4" s="1"/>
  <c r="N176" i="4"/>
  <c r="N177" i="4"/>
  <c r="N178" i="4"/>
  <c r="N179" i="4"/>
  <c r="N180" i="4"/>
  <c r="N181" i="4"/>
  <c r="N182" i="4"/>
  <c r="N183" i="4"/>
  <c r="N184" i="4"/>
  <c r="Q184" i="4" s="1"/>
  <c r="N185" i="4"/>
  <c r="Q185" i="4" s="1"/>
  <c r="N186" i="4"/>
  <c r="Q186" i="4" s="1"/>
  <c r="N187" i="4"/>
  <c r="Q187" i="4" s="1"/>
  <c r="N188" i="4"/>
  <c r="N189" i="4"/>
  <c r="N190" i="4"/>
  <c r="N191" i="4"/>
  <c r="N192" i="4"/>
  <c r="N193" i="4"/>
  <c r="N194" i="4"/>
  <c r="N195" i="4"/>
  <c r="N196" i="4"/>
  <c r="Q196" i="4" s="1"/>
  <c r="N197" i="4"/>
  <c r="Q197" i="4" s="1"/>
  <c r="N198" i="4"/>
  <c r="Q198" i="4" s="1"/>
  <c r="N199" i="4"/>
  <c r="Q199" i="4" s="1"/>
  <c r="N200" i="4"/>
  <c r="N201" i="4"/>
  <c r="N202" i="4"/>
  <c r="N203" i="4"/>
  <c r="N204" i="4"/>
  <c r="N205" i="4"/>
  <c r="N206" i="4"/>
  <c r="N207" i="4"/>
  <c r="N208" i="4"/>
  <c r="Q208" i="4" s="1"/>
  <c r="N209" i="4"/>
  <c r="Q209" i="4" s="1"/>
  <c r="N210" i="4"/>
  <c r="Q210" i="4" s="1"/>
  <c r="N211" i="4"/>
  <c r="Q211" i="4" s="1"/>
  <c r="N212" i="4"/>
  <c r="N213" i="4"/>
  <c r="N214" i="4"/>
  <c r="N215" i="4"/>
  <c r="N216" i="4"/>
  <c r="N217" i="4"/>
  <c r="N218" i="4"/>
  <c r="N219" i="4"/>
  <c r="N220" i="4"/>
  <c r="Q220" i="4" s="1"/>
  <c r="N221" i="4"/>
  <c r="Q221" i="4" s="1"/>
  <c r="N222" i="4"/>
  <c r="Q222" i="4" s="1"/>
  <c r="N223" i="4"/>
  <c r="Q223" i="4" s="1"/>
  <c r="N224" i="4"/>
  <c r="N225" i="4"/>
  <c r="N226" i="4"/>
  <c r="N227" i="4"/>
  <c r="N228" i="4"/>
  <c r="N229" i="4"/>
  <c r="N230" i="4"/>
  <c r="N231" i="4"/>
  <c r="N232" i="4"/>
  <c r="Q232" i="4" s="1"/>
  <c r="N233" i="4"/>
  <c r="Q233" i="4" s="1"/>
  <c r="N234" i="4"/>
  <c r="Q234" i="4" s="1"/>
  <c r="N235" i="4"/>
  <c r="Q235" i="4" s="1"/>
  <c r="N236" i="4"/>
  <c r="N237" i="4"/>
  <c r="N238" i="4"/>
  <c r="N239" i="4"/>
  <c r="N240" i="4"/>
  <c r="N241" i="4"/>
  <c r="N242" i="4"/>
  <c r="N243" i="4"/>
  <c r="N244" i="4"/>
  <c r="Q244" i="4" s="1"/>
  <c r="N245" i="4"/>
  <c r="Q245" i="4" s="1"/>
  <c r="N246" i="4"/>
  <c r="Q246" i="4" s="1"/>
  <c r="N247" i="4"/>
  <c r="Q247" i="4" s="1"/>
  <c r="N248" i="4"/>
  <c r="N249" i="4"/>
  <c r="N250" i="4"/>
  <c r="N251" i="4"/>
  <c r="N252" i="4"/>
  <c r="N253" i="4"/>
  <c r="N254" i="4"/>
  <c r="N255" i="4"/>
  <c r="N256" i="4"/>
  <c r="Q256" i="4" s="1"/>
  <c r="N257" i="4"/>
  <c r="Q257" i="4" s="1"/>
  <c r="N258" i="4"/>
  <c r="Q258" i="4" s="1"/>
  <c r="N259" i="4"/>
  <c r="Q259" i="4" s="1"/>
  <c r="N260" i="4"/>
  <c r="N261" i="4"/>
  <c r="N262" i="4"/>
  <c r="N263" i="4"/>
  <c r="N264" i="4"/>
  <c r="N265" i="4"/>
  <c r="N266" i="4"/>
  <c r="N267" i="4"/>
  <c r="N268" i="4"/>
  <c r="Q268" i="4" s="1"/>
  <c r="N269" i="4"/>
  <c r="Q269" i="4" s="1"/>
  <c r="N270" i="4"/>
  <c r="Q270" i="4" s="1"/>
  <c r="N271" i="4"/>
  <c r="Q271" i="4" s="1"/>
  <c r="N272" i="4"/>
  <c r="N273" i="4"/>
  <c r="N274" i="4"/>
  <c r="N275" i="4"/>
  <c r="N276" i="4"/>
  <c r="N277" i="4"/>
  <c r="N278" i="4"/>
  <c r="N279" i="4"/>
  <c r="N280" i="4"/>
  <c r="Q280" i="4" s="1"/>
  <c r="N281" i="4"/>
  <c r="Q281" i="4" s="1"/>
  <c r="N282" i="4"/>
  <c r="Q282" i="4" s="1"/>
  <c r="N283" i="4"/>
  <c r="Q283" i="4" s="1"/>
  <c r="N284" i="4"/>
  <c r="N285" i="4"/>
  <c r="N286" i="4"/>
  <c r="N287" i="4"/>
  <c r="N288" i="4"/>
  <c r="N289" i="4"/>
  <c r="N290" i="4"/>
  <c r="N291" i="4"/>
  <c r="N292" i="4"/>
  <c r="Q292" i="4" s="1"/>
  <c r="N293" i="4"/>
  <c r="N294" i="4"/>
  <c r="Q294" i="4" s="1"/>
  <c r="N295" i="4"/>
  <c r="Q295" i="4" s="1"/>
  <c r="N296" i="4"/>
  <c r="N297" i="4"/>
  <c r="N298" i="4"/>
  <c r="N299" i="4"/>
  <c r="N300" i="4"/>
  <c r="N301" i="4"/>
  <c r="N302" i="4"/>
  <c r="N303" i="4"/>
  <c r="N304" i="4"/>
  <c r="Q304" i="4" s="1"/>
  <c r="N305" i="4"/>
  <c r="N306" i="4"/>
  <c r="Q306" i="4" s="1"/>
  <c r="N307" i="4"/>
  <c r="Q307" i="4" s="1"/>
  <c r="N308" i="4"/>
  <c r="N309" i="4"/>
  <c r="N310" i="4"/>
  <c r="N311" i="4"/>
  <c r="N312" i="4"/>
  <c r="N313" i="4"/>
  <c r="N314" i="4"/>
  <c r="N315" i="4"/>
  <c r="N316" i="4"/>
  <c r="Q316" i="4" s="1"/>
  <c r="N317" i="4"/>
  <c r="N318" i="4"/>
  <c r="Q318" i="4" s="1"/>
  <c r="N319" i="4"/>
  <c r="Q319" i="4" s="1"/>
  <c r="N320" i="4"/>
  <c r="N321" i="4"/>
  <c r="N322" i="4"/>
  <c r="N323" i="4"/>
  <c r="N324" i="4"/>
  <c r="N325" i="4"/>
  <c r="N326" i="4"/>
  <c r="N327" i="4"/>
  <c r="N328" i="4"/>
  <c r="Q328" i="4" s="1"/>
  <c r="N329" i="4"/>
  <c r="N330" i="4"/>
  <c r="N331" i="4"/>
  <c r="Q331" i="4" s="1"/>
  <c r="N332" i="4"/>
  <c r="N333" i="4"/>
  <c r="N334" i="4"/>
  <c r="N335" i="4"/>
  <c r="N336" i="4"/>
  <c r="N337" i="4"/>
  <c r="N338" i="4"/>
  <c r="N339" i="4"/>
  <c r="N340" i="4"/>
  <c r="Q340" i="4" s="1"/>
  <c r="N341" i="4"/>
  <c r="N342" i="4"/>
  <c r="N343" i="4"/>
  <c r="Q343" i="4" s="1"/>
  <c r="N344" i="4"/>
  <c r="N345" i="4"/>
  <c r="N346" i="4"/>
  <c r="N347" i="4"/>
  <c r="N348" i="4"/>
  <c r="N349" i="4"/>
  <c r="N350" i="4"/>
  <c r="N351" i="4"/>
  <c r="N352" i="4"/>
  <c r="Q352" i="4" s="1"/>
  <c r="N353" i="4"/>
  <c r="N354" i="4"/>
  <c r="N355" i="4"/>
  <c r="Q355" i="4" s="1"/>
  <c r="N356" i="4"/>
  <c r="N357" i="4"/>
  <c r="N358" i="4"/>
  <c r="N359" i="4"/>
  <c r="N360" i="4"/>
  <c r="N361" i="4"/>
  <c r="N362" i="4"/>
  <c r="N363" i="4"/>
  <c r="N364" i="4"/>
  <c r="Q364" i="4" s="1"/>
  <c r="N365" i="4"/>
  <c r="N366" i="4"/>
  <c r="N367" i="4"/>
  <c r="Q367" i="4" s="1"/>
  <c r="N368" i="4"/>
  <c r="N369" i="4"/>
  <c r="N370" i="4"/>
  <c r="N371" i="4"/>
  <c r="N372" i="4"/>
  <c r="N373" i="4"/>
  <c r="N374" i="4"/>
  <c r="N375" i="4"/>
  <c r="N376" i="4"/>
  <c r="Q376" i="4" s="1"/>
  <c r="N377" i="4"/>
  <c r="N378" i="4"/>
  <c r="N379" i="4"/>
  <c r="Q379" i="4" s="1"/>
  <c r="N380" i="4"/>
  <c r="N381" i="4"/>
  <c r="N382" i="4"/>
  <c r="N383" i="4"/>
  <c r="N384" i="4"/>
  <c r="N385" i="4"/>
  <c r="N386" i="4"/>
  <c r="N387" i="4"/>
  <c r="N388" i="4"/>
  <c r="Q388" i="4" s="1"/>
  <c r="N389" i="4"/>
  <c r="N390" i="4"/>
  <c r="N391" i="4"/>
  <c r="Q391" i="4" s="1"/>
  <c r="N392" i="4"/>
  <c r="N393" i="4"/>
  <c r="N394" i="4"/>
  <c r="N395" i="4"/>
  <c r="N396" i="4"/>
  <c r="N397" i="4"/>
  <c r="N398" i="4"/>
  <c r="N399" i="4"/>
  <c r="N400" i="4"/>
  <c r="Q400" i="4" s="1"/>
  <c r="N401" i="4"/>
  <c r="N402" i="4"/>
  <c r="N403" i="4"/>
  <c r="Q403" i="4" s="1"/>
  <c r="N404" i="4"/>
  <c r="N405" i="4"/>
  <c r="N406" i="4"/>
  <c r="N407" i="4"/>
  <c r="N408" i="4"/>
  <c r="N409" i="4"/>
  <c r="N410" i="4"/>
  <c r="N411" i="4"/>
  <c r="N412" i="4"/>
  <c r="Q412" i="4" s="1"/>
  <c r="N413" i="4"/>
  <c r="N414" i="4"/>
  <c r="N415" i="4"/>
  <c r="Q415" i="4" s="1"/>
  <c r="N416" i="4"/>
  <c r="N417" i="4"/>
  <c r="N418" i="4"/>
  <c r="N419" i="4"/>
  <c r="N420" i="4"/>
  <c r="N421" i="4"/>
  <c r="N422" i="4"/>
  <c r="N423" i="4"/>
  <c r="N424" i="4"/>
  <c r="Q424" i="4" s="1"/>
  <c r="N425" i="4"/>
  <c r="N426" i="4"/>
  <c r="N427" i="4"/>
  <c r="Q427" i="4" s="1"/>
  <c r="N428" i="4"/>
  <c r="N429" i="4"/>
  <c r="N430" i="4"/>
  <c r="N431" i="4"/>
  <c r="N432" i="4"/>
  <c r="N433" i="4"/>
  <c r="N434" i="4"/>
  <c r="N435" i="4"/>
  <c r="N436" i="4"/>
  <c r="Q436" i="4" s="1"/>
  <c r="N437" i="4"/>
  <c r="N438" i="4"/>
  <c r="N439" i="4"/>
  <c r="Q439" i="4" s="1"/>
  <c r="N440" i="4"/>
  <c r="N441" i="4"/>
  <c r="N442" i="4"/>
  <c r="N443" i="4"/>
  <c r="N444" i="4"/>
  <c r="N445" i="4"/>
  <c r="N446" i="4"/>
  <c r="N447" i="4"/>
  <c r="N448" i="4"/>
  <c r="Q448" i="4" s="1"/>
  <c r="N449" i="4"/>
  <c r="N450" i="4"/>
  <c r="N451" i="4"/>
  <c r="Q451" i="4" s="1"/>
  <c r="N452" i="4"/>
  <c r="N453" i="4"/>
  <c r="N454" i="4"/>
  <c r="N455" i="4"/>
  <c r="N456" i="4"/>
  <c r="N457" i="4"/>
  <c r="N458" i="4"/>
  <c r="N459" i="4"/>
  <c r="N460" i="4"/>
  <c r="Q460" i="4" s="1"/>
  <c r="N461" i="4"/>
  <c r="N462" i="4"/>
  <c r="N463" i="4"/>
  <c r="Q463" i="4" s="1"/>
  <c r="N464" i="4"/>
  <c r="N465" i="4"/>
  <c r="N466" i="4"/>
  <c r="N467" i="4"/>
  <c r="N468" i="4"/>
  <c r="N469" i="4"/>
  <c r="N470" i="4"/>
  <c r="N471" i="4"/>
  <c r="N472" i="4"/>
  <c r="Q472" i="4" s="1"/>
  <c r="N473" i="4"/>
  <c r="N474" i="4"/>
  <c r="N475" i="4"/>
  <c r="N476" i="4"/>
  <c r="N477" i="4"/>
  <c r="N478" i="4"/>
  <c r="N479" i="4"/>
  <c r="N480" i="4"/>
  <c r="N481" i="4"/>
  <c r="N482" i="4"/>
  <c r="N483" i="4"/>
  <c r="N484" i="4"/>
  <c r="Q484" i="4" s="1"/>
  <c r="N485" i="4"/>
  <c r="N486" i="4"/>
  <c r="N487" i="4"/>
  <c r="N488" i="4"/>
  <c r="N489" i="4"/>
  <c r="N490" i="4"/>
  <c r="N491" i="4"/>
  <c r="N492" i="4"/>
  <c r="N493" i="4"/>
  <c r="N494" i="4"/>
  <c r="N495" i="4"/>
  <c r="N496" i="4"/>
  <c r="Q496" i="4" s="1"/>
  <c r="N497" i="4"/>
  <c r="N498" i="4"/>
  <c r="N499" i="4"/>
  <c r="N500" i="4"/>
  <c r="N501" i="4"/>
  <c r="N502" i="4"/>
  <c r="N503" i="4"/>
  <c r="N504" i="4"/>
  <c r="N505" i="4"/>
  <c r="N506" i="4"/>
  <c r="N507" i="4"/>
  <c r="N508" i="4"/>
  <c r="Q508" i="4" s="1"/>
  <c r="N509" i="4"/>
  <c r="N510" i="4"/>
  <c r="N511" i="4"/>
  <c r="N512" i="4"/>
  <c r="N513" i="4"/>
  <c r="N514" i="4"/>
  <c r="N515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Q510" i="4" l="1"/>
  <c r="Q498" i="4"/>
  <c r="Q486" i="4"/>
  <c r="Q474" i="4"/>
  <c r="Q462" i="4"/>
  <c r="Q450" i="4"/>
  <c r="Q438" i="4"/>
  <c r="Q426" i="4"/>
  <c r="Q402" i="4"/>
  <c r="Q390" i="4"/>
  <c r="Q378" i="4"/>
  <c r="Q366" i="4"/>
  <c r="Q354" i="4"/>
  <c r="Q342" i="4"/>
  <c r="Q330" i="4"/>
  <c r="Q511" i="4"/>
  <c r="Q487" i="4"/>
  <c r="Q475" i="4"/>
  <c r="Q219" i="4"/>
  <c r="Q135" i="4"/>
  <c r="Q87" i="4"/>
  <c r="Q51" i="4"/>
  <c r="Q3" i="4"/>
  <c r="Q506" i="4"/>
  <c r="Q494" i="4"/>
  <c r="Q482" i="4"/>
  <c r="Q470" i="4"/>
  <c r="Q458" i="4"/>
  <c r="Q446" i="4"/>
  <c r="Q434" i="4"/>
  <c r="Q422" i="4"/>
  <c r="Q26" i="4"/>
  <c r="Q14" i="4"/>
  <c r="Q2" i="4"/>
  <c r="Q147" i="4"/>
  <c r="Q195" i="4"/>
  <c r="Q99" i="4"/>
  <c r="Q27" i="4"/>
  <c r="Q159" i="4"/>
  <c r="Q432" i="4"/>
  <c r="Q231" i="4"/>
  <c r="Q171" i="4"/>
  <c r="Q63" i="4"/>
  <c r="Q396" i="4"/>
  <c r="Q123" i="4"/>
  <c r="Q183" i="4"/>
  <c r="Q75" i="4"/>
  <c r="Q15" i="4"/>
  <c r="Q420" i="4"/>
  <c r="Q207" i="4"/>
  <c r="Q111" i="4"/>
  <c r="Q39" i="4"/>
  <c r="Q435" i="4"/>
  <c r="Q351" i="4"/>
  <c r="Q255" i="4"/>
  <c r="Q471" i="4"/>
  <c r="Q387" i="4"/>
  <c r="Q315" i="4"/>
  <c r="Q409" i="4"/>
  <c r="Q397" i="4"/>
  <c r="Q385" i="4"/>
  <c r="Q373" i="4"/>
  <c r="Q361" i="4"/>
  <c r="Q349" i="4"/>
  <c r="Q337" i="4"/>
  <c r="Q325" i="4"/>
  <c r="Q313" i="4"/>
  <c r="Q301" i="4"/>
  <c r="Q289" i="4"/>
  <c r="Q277" i="4"/>
  <c r="Q265" i="4"/>
  <c r="Q253" i="4"/>
  <c r="Q241" i="4"/>
  <c r="Q229" i="4"/>
  <c r="Q217" i="4"/>
  <c r="Q205" i="4"/>
  <c r="Q193" i="4"/>
  <c r="Q181" i="4"/>
  <c r="Q169" i="4"/>
  <c r="Q157" i="4"/>
  <c r="Q145" i="4"/>
  <c r="Q133" i="4"/>
  <c r="Q121" i="4"/>
  <c r="Q109" i="4"/>
  <c r="Q97" i="4"/>
  <c r="Q85" i="4"/>
  <c r="Q73" i="4"/>
  <c r="Q61" i="4"/>
  <c r="Q49" i="4"/>
  <c r="Q25" i="4"/>
  <c r="Q13" i="4"/>
  <c r="Q447" i="4"/>
  <c r="Q363" i="4"/>
  <c r="Q291" i="4"/>
  <c r="Q504" i="4"/>
  <c r="Q483" i="4"/>
  <c r="Q411" i="4"/>
  <c r="Q327" i="4"/>
  <c r="Q243" i="4"/>
  <c r="Q468" i="4"/>
  <c r="Q459" i="4"/>
  <c r="Q375" i="4"/>
  <c r="Q279" i="4"/>
  <c r="Q456" i="4"/>
  <c r="Q507" i="4"/>
  <c r="Q399" i="4"/>
  <c r="Q303" i="4"/>
  <c r="Q492" i="4"/>
  <c r="Q444" i="4"/>
  <c r="Q495" i="4"/>
  <c r="Q423" i="4"/>
  <c r="Q339" i="4"/>
  <c r="Q267" i="4"/>
  <c r="Q480" i="4"/>
  <c r="Q502" i="4"/>
  <c r="Q490" i="4"/>
  <c r="Q478" i="4"/>
  <c r="Q466" i="4"/>
  <c r="Q454" i="4"/>
  <c r="Q442" i="4"/>
  <c r="Q430" i="4"/>
  <c r="Q418" i="4"/>
  <c r="Q406" i="4"/>
  <c r="Q394" i="4"/>
  <c r="Q382" i="4"/>
  <c r="Q370" i="4"/>
  <c r="Q358" i="4"/>
  <c r="Q346" i="4"/>
  <c r="Q334" i="4"/>
  <c r="Q322" i="4"/>
  <c r="Q310" i="4"/>
  <c r="Q298" i="4"/>
  <c r="Q286" i="4"/>
  <c r="Q274" i="4"/>
  <c r="Q238" i="4"/>
  <c r="Q226" i="4"/>
  <c r="Q202" i="4"/>
  <c r="Q190" i="4"/>
  <c r="Q178" i="4"/>
  <c r="Q166" i="4"/>
  <c r="Q154" i="4"/>
  <c r="Q142" i="4"/>
  <c r="Q130" i="4"/>
  <c r="Q118" i="4"/>
  <c r="Q106" i="4"/>
  <c r="Q94" i="4"/>
  <c r="Q82" i="4"/>
  <c r="Q70" i="4"/>
  <c r="Q58" i="4"/>
  <c r="Q46" i="4"/>
  <c r="Q34" i="4"/>
  <c r="Q22" i="4"/>
  <c r="Q10" i="4"/>
  <c r="Q513" i="4"/>
  <c r="Q501" i="4"/>
  <c r="Q489" i="4"/>
  <c r="Q477" i="4"/>
  <c r="Q465" i="4"/>
  <c r="Q453" i="4"/>
  <c r="Q441" i="4"/>
  <c r="Q429" i="4"/>
  <c r="Q417" i="4"/>
  <c r="Q261" i="4"/>
  <c r="Q249" i="4"/>
  <c r="Q237" i="4"/>
  <c r="Q225" i="4"/>
  <c r="Q213" i="4"/>
  <c r="Q201" i="4"/>
  <c r="Q189" i="4"/>
  <c r="Q177" i="4"/>
  <c r="Q165" i="4"/>
  <c r="Q153" i="4"/>
  <c r="Q141" i="4"/>
  <c r="Q129" i="4"/>
  <c r="Q117" i="4"/>
  <c r="Q105" i="4"/>
  <c r="Q93" i="4"/>
  <c r="Q81" i="4"/>
  <c r="Q69" i="4"/>
  <c r="Q57" i="4"/>
  <c r="Q45" i="4"/>
  <c r="Q33" i="4"/>
  <c r="Q21" i="4"/>
  <c r="Q9" i="4"/>
  <c r="Q404" i="4"/>
  <c r="Q392" i="4"/>
  <c r="Q380" i="4"/>
  <c r="Q368" i="4"/>
  <c r="Q356" i="4"/>
  <c r="Q344" i="4"/>
  <c r="Q332" i="4"/>
  <c r="Q320" i="4"/>
  <c r="Q308" i="4"/>
  <c r="Q296" i="4"/>
  <c r="Q284" i="4"/>
  <c r="Q272" i="4"/>
  <c r="Q260" i="4"/>
  <c r="Q248" i="4"/>
  <c r="Q236" i="4"/>
  <c r="Q224" i="4"/>
  <c r="Q212" i="4"/>
  <c r="Q200" i="4"/>
  <c r="Q188" i="4"/>
  <c r="Q176" i="4"/>
  <c r="Q164" i="4"/>
  <c r="Q152" i="4"/>
  <c r="Q140" i="4"/>
  <c r="Q128" i="4"/>
  <c r="Q116" i="4"/>
  <c r="Q104" i="4"/>
  <c r="Q92" i="4"/>
  <c r="Q80" i="4"/>
  <c r="Q68" i="4"/>
  <c r="Q56" i="4"/>
  <c r="Q44" i="4"/>
  <c r="Q32" i="4"/>
  <c r="Q20" i="4"/>
  <c r="Q8" i="4"/>
  <c r="Q497" i="4"/>
  <c r="Q485" i="4"/>
  <c r="Q473" i="4"/>
  <c r="Q461" i="4"/>
  <c r="Q449" i="4"/>
  <c r="Q437" i="4"/>
  <c r="Q425" i="4"/>
  <c r="Q413" i="4"/>
  <c r="Q401" i="4"/>
  <c r="Q389" i="4"/>
  <c r="Q377" i="4"/>
  <c r="Q365" i="4"/>
  <c r="Q353" i="4"/>
  <c r="Q341" i="4"/>
  <c r="Q329" i="4"/>
  <c r="Q317" i="4"/>
  <c r="Q305" i="4"/>
  <c r="Q293" i="4"/>
  <c r="Q509" i="4"/>
  <c r="Q360" i="4"/>
  <c r="Q216" i="4"/>
  <c r="Q156" i="4"/>
  <c r="Q144" i="4"/>
  <c r="Q132" i="4"/>
  <c r="Q120" i="4"/>
  <c r="Q108" i="4"/>
  <c r="Q410" i="4"/>
  <c r="Q398" i="4"/>
  <c r="Q386" i="4"/>
  <c r="Q374" i="4"/>
  <c r="Q362" i="4"/>
  <c r="Q350" i="4"/>
  <c r="Q338" i="4"/>
  <c r="Q326" i="4"/>
  <c r="Q314" i="4"/>
  <c r="Q302" i="4"/>
  <c r="Q290" i="4"/>
  <c r="Q278" i="4"/>
  <c r="Q266" i="4"/>
  <c r="Q254" i="4"/>
  <c r="Q242" i="4"/>
  <c r="Q230" i="4"/>
  <c r="Q218" i="4"/>
  <c r="Q206" i="4"/>
  <c r="Q194" i="4"/>
  <c r="Q182" i="4"/>
  <c r="Q170" i="4"/>
  <c r="Q158" i="4"/>
  <c r="Q146" i="4"/>
  <c r="Q134" i="4"/>
  <c r="Q122" i="4"/>
  <c r="Q110" i="4"/>
  <c r="Q98" i="4"/>
  <c r="Q86" i="4"/>
  <c r="Q74" i="4"/>
  <c r="Q62" i="4"/>
  <c r="Q50" i="4"/>
  <c r="Q38" i="4"/>
  <c r="Q408" i="4"/>
  <c r="Q384" i="4"/>
  <c r="Q372" i="4"/>
  <c r="Q348" i="4"/>
  <c r="Q336" i="4"/>
  <c r="Q324" i="4"/>
  <c r="Q312" i="4"/>
  <c r="Q300" i="4"/>
  <c r="Q288" i="4"/>
  <c r="Q276" i="4"/>
  <c r="Q264" i="4"/>
  <c r="Q252" i="4"/>
  <c r="Q240" i="4"/>
  <c r="Q228" i="4"/>
  <c r="Q204" i="4"/>
  <c r="Q192" i="4"/>
  <c r="Q180" i="4"/>
  <c r="Q168" i="4"/>
  <c r="Q96" i="4"/>
  <c r="Q84" i="4"/>
  <c r="Q72" i="4"/>
  <c r="Q60" i="4"/>
  <c r="Q48" i="4"/>
  <c r="Q36" i="4"/>
  <c r="Q24" i="4"/>
  <c r="Q12" i="4"/>
  <c r="Q433" i="4"/>
  <c r="Q514" i="4"/>
  <c r="Q445" i="4"/>
  <c r="Q515" i="4"/>
  <c r="Q503" i="4"/>
  <c r="Q491" i="4"/>
  <c r="Q479" i="4"/>
  <c r="Q467" i="4"/>
  <c r="Q455" i="4"/>
  <c r="Q443" i="4"/>
  <c r="Q431" i="4"/>
  <c r="Q419" i="4"/>
  <c r="Q407" i="4"/>
  <c r="Q395" i="4"/>
  <c r="Q383" i="4"/>
  <c r="Q371" i="4"/>
  <c r="Q359" i="4"/>
  <c r="Q347" i="4"/>
  <c r="Q335" i="4"/>
  <c r="Q323" i="4"/>
  <c r="Q311" i="4"/>
  <c r="Q299" i="4"/>
  <c r="Q287" i="4"/>
  <c r="Q275" i="4"/>
  <c r="Q263" i="4"/>
  <c r="Q251" i="4"/>
  <c r="Q239" i="4"/>
  <c r="Q227" i="4"/>
  <c r="Q215" i="4"/>
  <c r="Q203" i="4"/>
  <c r="Q191" i="4"/>
  <c r="Q179" i="4"/>
  <c r="Q167" i="4"/>
  <c r="Q155" i="4"/>
  <c r="Q143" i="4"/>
  <c r="Q131" i="4"/>
  <c r="Q119" i="4"/>
  <c r="Q107" i="4"/>
  <c r="Q95" i="4"/>
  <c r="Q83" i="4"/>
  <c r="Q71" i="4"/>
  <c r="Q59" i="4"/>
  <c r="Q47" i="4"/>
  <c r="Q35" i="4"/>
  <c r="Q23" i="4"/>
  <c r="Q11" i="4"/>
  <c r="Q262" i="4"/>
  <c r="Q250" i="4"/>
  <c r="Q214" i="4"/>
  <c r="Q493" i="4"/>
  <c r="Q37" i="4"/>
  <c r="Q405" i="4"/>
  <c r="Q393" i="4"/>
  <c r="Q381" i="4"/>
  <c r="Q369" i="4"/>
  <c r="Q357" i="4"/>
  <c r="Q345" i="4"/>
  <c r="Q333" i="4"/>
  <c r="Q321" i="4"/>
  <c r="Q309" i="4"/>
  <c r="Q297" i="4"/>
  <c r="Q285" i="4"/>
  <c r="Q273" i="4"/>
  <c r="Q469" i="4"/>
  <c r="Q500" i="4"/>
  <c r="Q488" i="4"/>
  <c r="Q476" i="4"/>
  <c r="Q464" i="4"/>
  <c r="Q452" i="4"/>
  <c r="Q440" i="4"/>
  <c r="Q428" i="4"/>
  <c r="Q416" i="4"/>
  <c r="Q505" i="4"/>
  <c r="Q421" i="4"/>
  <c r="Q414" i="4"/>
  <c r="Q481" i="4"/>
  <c r="Q457" i="4"/>
  <c r="Q512" i="4"/>
  <c r="Q499" i="4"/>
  <c r="V21" i="4" l="1" a="1"/>
  <c r="V2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9EC51-CE00-40D2-9B4B-3ABFE105B589}" keepAlive="1" name="Zapytanie — punkty_rekrutacyjne" description="Połączenie z zapytaniem „punkty_rekrutacyjne” w skoroszycie." type="5" refreshedVersion="8" background="1" saveData="1">
    <dbPr connection="Provider=Microsoft.Mashup.OleDb.1;Data Source=$Workbook$;Location=punkty_rekrutacyjne;Extended Properties=&quot;&quot;" command="SELECT * FROM [punkty_rekrutacyjne]"/>
  </connection>
  <connection id="2" xr16:uid="{A07A13EA-A2B7-4332-9C1B-8AE3941658EB}" keepAlive="1" name="Zapytanie — punkty_rekrutacyjne (2)" description="Połączenie z zapytaniem „punkty_rekrutacyjne (2)” w skoroszycie." type="5" refreshedVersion="8" background="1" saveData="1">
    <dbPr connection="Provider=Microsoft.Mashup.OleDb.1;Data Source=$Workbook$;Location=&quot;punkty_rekrutacyjne (2)&quot;;Extended Properties=&quot;&quot;" command="SELECT * FROM [punkty_rekrutacyjne (2)]"/>
  </connection>
  <connection id="3" xr16:uid="{835791B7-90BB-4721-946C-C43550B52E87}" keepAlive="1" name="Zapytanie — punkty_rekrutacyjne (3)" description="Połączenie z zapytaniem „punkty_rekrutacyjne (3)” w skoroszycie." type="5" refreshedVersion="8" background="1" saveData="1">
    <dbPr connection="Provider=Microsoft.Mashup.OleDb.1;Data Source=$Workbook$;Location=&quot;punkty_rekrutacyjne (3)&quot;;Extended Properties=&quot;&quot;" command="SELECT * FROM [punkty_rekrutacyjne (3)]"/>
  </connection>
  <connection id="4" xr16:uid="{64271D11-AED4-455F-A372-17C16F4C41BC}" keepAlive="1" name="Zapytanie — punkty_rekrutacyjne (4)" description="Połączenie z zapytaniem „punkty_rekrutacyjne (4)” w skoroszycie." type="5" refreshedVersion="8" background="1" saveData="1">
    <dbPr connection="Provider=Microsoft.Mashup.OleDb.1;Data Source=$Workbook$;Location=&quot;punkty_rekrutacyjne (4)&quot;;Extended Properties=&quot;&quot;" command="SELECT * FROM [punkty_rekrutacyjne (4)]"/>
  </connection>
  <connection id="5" xr16:uid="{B7BCB9D1-01E1-43B0-8BD9-F1F22BBE62BD}" keepAlive="1" name="Zapytanie — punkty_rekrutacyjne (5)" description="Połączenie z zapytaniem „punkty_rekrutacyjne (5)” w skoroszycie." type="5" refreshedVersion="8" background="1" saveData="1">
    <dbPr connection="Provider=Microsoft.Mashup.OleDb.1;Data Source=$Workbook$;Location=&quot;punkty_rekrutacyjne (5)&quot;;Extended Properties=&quot;&quot;" command="SELECT * FROM [punkty_rekrutacyjne (5)]"/>
  </connection>
  <connection id="6" xr16:uid="{A5773ED4-C992-4691-A414-EFCAB5D85661}" keepAlive="1" name="Zapytanie — punkty_rekrutacyjne (6)" description="Połączenie z zapytaniem „punkty_rekrutacyjne (6)” w skoroszycie." type="5" refreshedVersion="8" background="1" saveData="1">
    <dbPr connection="Provider=Microsoft.Mashup.OleDb.1;Data Source=$Workbook$;Location=&quot;punkty_rekrutacyjne (6)&quot;;Extended Properties=&quot;&quot;" command="SELECT * FROM [punkty_rekrutacyjne (6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<sst xmlns="http://schemas.openxmlformats.org/spreadsheetml/2006/main" count="6299" uniqueCount="694">
  <si>
    <t>Nazwisko</t>
  </si>
  <si>
    <t>Imie</t>
  </si>
  <si>
    <t>Osiagniecia</t>
  </si>
  <si>
    <t>Zachowanie</t>
  </si>
  <si>
    <t>JP</t>
  </si>
  <si>
    <t>Mat</t>
  </si>
  <si>
    <t>Biol</t>
  </si>
  <si>
    <t>Geog</t>
  </si>
  <si>
    <t>GHP</t>
  </si>
  <si>
    <t>GHH</t>
  </si>
  <si>
    <t>GMM</t>
  </si>
  <si>
    <t>GMP</t>
  </si>
  <si>
    <t>GJP</t>
  </si>
  <si>
    <t>Swistek</t>
  </si>
  <si>
    <t>Damian</t>
  </si>
  <si>
    <t>Kowalik</t>
  </si>
  <si>
    <t>Mateusz</t>
  </si>
  <si>
    <t>Hintzke</t>
  </si>
  <si>
    <t>Nikola</t>
  </si>
  <si>
    <t>Grzelecki</t>
  </si>
  <si>
    <t>Oliwier</t>
  </si>
  <si>
    <t>Hinz</t>
  </si>
  <si>
    <t>Wasiluk</t>
  </si>
  <si>
    <t>Bartlomiej</t>
  </si>
  <si>
    <t>Wasilewski</t>
  </si>
  <si>
    <t>Silakowski</t>
  </si>
  <si>
    <t>Henryk</t>
  </si>
  <si>
    <t>Kaftan</t>
  </si>
  <si>
    <t>Monika</t>
  </si>
  <si>
    <t>Pettka</t>
  </si>
  <si>
    <t>Jan</t>
  </si>
  <si>
    <t>Zygmunt</t>
  </si>
  <si>
    <t>Adam</t>
  </si>
  <si>
    <t>Lukasik</t>
  </si>
  <si>
    <t>Magdalena</t>
  </si>
  <si>
    <t>Hanczarek</t>
  </si>
  <si>
    <t>Olivier</t>
  </si>
  <si>
    <t>Samulczyk</t>
  </si>
  <si>
    <t>Julia</t>
  </si>
  <si>
    <t>Rutkiewicz</t>
  </si>
  <si>
    <t>Bialaszewski</t>
  </si>
  <si>
    <t>Piotr</t>
  </si>
  <si>
    <t>Berezniewicz</t>
  </si>
  <si>
    <t>Wiktor</t>
  </si>
  <si>
    <t>Sobol</t>
  </si>
  <si>
    <t>Filip</t>
  </si>
  <si>
    <t>Kowalczyk</t>
  </si>
  <si>
    <t>Senger</t>
  </si>
  <si>
    <t>Joanna</t>
  </si>
  <si>
    <t>Sadowska</t>
  </si>
  <si>
    <t>Wojcicki</t>
  </si>
  <si>
    <t>Aleks</t>
  </si>
  <si>
    <t>Szczepkowski</t>
  </si>
  <si>
    <t>Dorian</t>
  </si>
  <si>
    <t>Stanislawska</t>
  </si>
  <si>
    <t>Hanna</t>
  </si>
  <si>
    <t>Salanowska</t>
  </si>
  <si>
    <t>Skrzydlak</t>
  </si>
  <si>
    <t>Izabela</t>
  </si>
  <si>
    <t>Koszlaga</t>
  </si>
  <si>
    <t>Glowinska</t>
  </si>
  <si>
    <t>Patrycja</t>
  </si>
  <si>
    <t>Sautycz</t>
  </si>
  <si>
    <t>Kowalczuk</t>
  </si>
  <si>
    <t>Maria</t>
  </si>
  <si>
    <t>Sochacka</t>
  </si>
  <si>
    <t>Inka</t>
  </si>
  <si>
    <t>Filarska</t>
  </si>
  <si>
    <t>Sandra</t>
  </si>
  <si>
    <t>Przestrzelski</t>
  </si>
  <si>
    <t>Jakub</t>
  </si>
  <si>
    <t>Labuda</t>
  </si>
  <si>
    <t>Marcel</t>
  </si>
  <si>
    <t>Broukin</t>
  </si>
  <si>
    <t>Zofia</t>
  </si>
  <si>
    <t>Kozlowska</t>
  </si>
  <si>
    <t>Malgorzata</t>
  </si>
  <si>
    <t>Jakubowski</t>
  </si>
  <si>
    <t>Nikodem</t>
  </si>
  <si>
    <t>Sarnowski</t>
  </si>
  <si>
    <t>Ignacy</t>
  </si>
  <si>
    <t>Riegel</t>
  </si>
  <si>
    <t>Wierzbicki</t>
  </si>
  <si>
    <t>Antoni</t>
  </si>
  <si>
    <t>Sachse</t>
  </si>
  <si>
    <t>Jurewicz</t>
  </si>
  <si>
    <t>Nadia</t>
  </si>
  <si>
    <t>Steinborn</t>
  </si>
  <si>
    <t>Siminski</t>
  </si>
  <si>
    <t>Machalski</t>
  </si>
  <si>
    <t>Maciej</t>
  </si>
  <si>
    <t>Porydzaj</t>
  </si>
  <si>
    <t>Spanowski</t>
  </si>
  <si>
    <t>Zmurko</t>
  </si>
  <si>
    <t>Sibiga</t>
  </si>
  <si>
    <t>Makowska</t>
  </si>
  <si>
    <t>Luiza</t>
  </si>
  <si>
    <t>Machol</t>
  </si>
  <si>
    <t>Szmitko</t>
  </si>
  <si>
    <t>Dominik</t>
  </si>
  <si>
    <t>Leman</t>
  </si>
  <si>
    <t>Maja</t>
  </si>
  <si>
    <t>Rembisz</t>
  </si>
  <si>
    <t>Stankiewicz</t>
  </si>
  <si>
    <t>Zurek</t>
  </si>
  <si>
    <t>Reczmin</t>
  </si>
  <si>
    <t>Swierszcz</t>
  </si>
  <si>
    <t>Cyprian</t>
  </si>
  <si>
    <t>Wizniewski</t>
  </si>
  <si>
    <t xml:space="preserve">Perez </t>
  </si>
  <si>
    <t>Karolina</t>
  </si>
  <si>
    <t>Adamiak</t>
  </si>
  <si>
    <t>Zylinska</t>
  </si>
  <si>
    <t>Adelajda</t>
  </si>
  <si>
    <t>Kulkowska</t>
  </si>
  <si>
    <t>Dzierzak</t>
  </si>
  <si>
    <t>Engel</t>
  </si>
  <si>
    <t>Urszula</t>
  </si>
  <si>
    <t>Yuksek</t>
  </si>
  <si>
    <t>Adrian</t>
  </si>
  <si>
    <t>Zdrojewska</t>
  </si>
  <si>
    <t>Agata</t>
  </si>
  <si>
    <t>Zgadzaj</t>
  </si>
  <si>
    <t>Zawisza</t>
  </si>
  <si>
    <t>Duszota</t>
  </si>
  <si>
    <t>Nowak</t>
  </si>
  <si>
    <t>Kacper</t>
  </si>
  <si>
    <t>Lyszcz</t>
  </si>
  <si>
    <t>Strack</t>
  </si>
  <si>
    <t>Mazurkiewicz</t>
  </si>
  <si>
    <t>Lena</t>
  </si>
  <si>
    <t>Potocki</t>
  </si>
  <si>
    <t>Furmaniak</t>
  </si>
  <si>
    <t>Pawel</t>
  </si>
  <si>
    <t>Strupiechowski</t>
  </si>
  <si>
    <t>Reclaw</t>
  </si>
  <si>
    <t>Tomaszewski</t>
  </si>
  <si>
    <t>Bruno</t>
  </si>
  <si>
    <t>Szczepanska</t>
  </si>
  <si>
    <t>Emilia</t>
  </si>
  <si>
    <t>Spychala</t>
  </si>
  <si>
    <t>Szczucki</t>
  </si>
  <si>
    <t>Marzec</t>
  </si>
  <si>
    <t>Rembiewski</t>
  </si>
  <si>
    <t>Geszczynski</t>
  </si>
  <si>
    <t>Patryk</t>
  </si>
  <si>
    <t>Wamka</t>
  </si>
  <si>
    <t>Anastazja</t>
  </si>
  <si>
    <t>Bialkowska</t>
  </si>
  <si>
    <t>Kulakowski</t>
  </si>
  <si>
    <t>Marcjusz</t>
  </si>
  <si>
    <t>Przytula</t>
  </si>
  <si>
    <t>Bsk</t>
  </si>
  <si>
    <t>Arleta</t>
  </si>
  <si>
    <t>Derek</t>
  </si>
  <si>
    <t>Stanislaw</t>
  </si>
  <si>
    <t>Felisiak</t>
  </si>
  <si>
    <t>Sofie</t>
  </si>
  <si>
    <t>Lupa</t>
  </si>
  <si>
    <t>Maksymilian</t>
  </si>
  <si>
    <t>Wojciechowska</t>
  </si>
  <si>
    <t>Alicja</t>
  </si>
  <si>
    <t>Pieterson</t>
  </si>
  <si>
    <t>Hrywniak</t>
  </si>
  <si>
    <t>Olaf</t>
  </si>
  <si>
    <t>Ciosinski</t>
  </si>
  <si>
    <t>Jacek</t>
  </si>
  <si>
    <t>Helinska</t>
  </si>
  <si>
    <t>Frankowska</t>
  </si>
  <si>
    <t>Roksana</t>
  </si>
  <si>
    <t>Brydzinski</t>
  </si>
  <si>
    <t>Mariusz</t>
  </si>
  <si>
    <t>Mrozik</t>
  </si>
  <si>
    <t>Klein</t>
  </si>
  <si>
    <t>Michalina</t>
  </si>
  <si>
    <t>Strehlke</t>
  </si>
  <si>
    <t>Ciesielska</t>
  </si>
  <si>
    <t>Wiktoria</t>
  </si>
  <si>
    <t>Wydrzynski</t>
  </si>
  <si>
    <t>Beniuszys</t>
  </si>
  <si>
    <t>Mikolaj</t>
  </si>
  <si>
    <t>Witkowski</t>
  </si>
  <si>
    <t>Andrea</t>
  </si>
  <si>
    <t>Dsbrowski</t>
  </si>
  <si>
    <t>Procinska</t>
  </si>
  <si>
    <t>Julianna</t>
  </si>
  <si>
    <t>Radziszewski</t>
  </si>
  <si>
    <t>Kolodziejczyk</t>
  </si>
  <si>
    <t>Marta</t>
  </si>
  <si>
    <t>Radomski</t>
  </si>
  <si>
    <t>Lange</t>
  </si>
  <si>
    <t>Kornatowski</t>
  </si>
  <si>
    <t>Pistek</t>
  </si>
  <si>
    <t>Kamila</t>
  </si>
  <si>
    <t>Jurczyk</t>
  </si>
  <si>
    <t>Cieslik</t>
  </si>
  <si>
    <t>Trzebiatowska</t>
  </si>
  <si>
    <t>Anna</t>
  </si>
  <si>
    <t>Kluziak</t>
  </si>
  <si>
    <t>Matylda</t>
  </si>
  <si>
    <t>Mierzejewski</t>
  </si>
  <si>
    <t>Kornel</t>
  </si>
  <si>
    <t>Szreder</t>
  </si>
  <si>
    <t>Dawid</t>
  </si>
  <si>
    <t>Rybinski</t>
  </si>
  <si>
    <t>Igor</t>
  </si>
  <si>
    <t>Burza</t>
  </si>
  <si>
    <t>Wojcik</t>
  </si>
  <si>
    <t>Pawelec</t>
  </si>
  <si>
    <t>Micun</t>
  </si>
  <si>
    <t>Krzysztof</t>
  </si>
  <si>
    <t>Jablonski</t>
  </si>
  <si>
    <t>Kwidczynska</t>
  </si>
  <si>
    <t>Leoniuk</t>
  </si>
  <si>
    <t>Tomaszewska</t>
  </si>
  <si>
    <t>Kurasik</t>
  </si>
  <si>
    <t>Marcin</t>
  </si>
  <si>
    <t>Grzsdzielska</t>
  </si>
  <si>
    <t>Nina</t>
  </si>
  <si>
    <t>Krynicki</t>
  </si>
  <si>
    <t>Miszkin</t>
  </si>
  <si>
    <t>Wilk</t>
  </si>
  <si>
    <t>Amelia</t>
  </si>
  <si>
    <t>Gibas</t>
  </si>
  <si>
    <t>Nowakowska</t>
  </si>
  <si>
    <t>Kornelia</t>
  </si>
  <si>
    <t>Broszkow</t>
  </si>
  <si>
    <t>Jama</t>
  </si>
  <si>
    <t>Chojnacki</t>
  </si>
  <si>
    <t>Klebba</t>
  </si>
  <si>
    <t>Tomczyk</t>
  </si>
  <si>
    <t>Wojciechowski</t>
  </si>
  <si>
    <t>Aleksander</t>
  </si>
  <si>
    <t>Glac</t>
  </si>
  <si>
    <t>Lewita</t>
  </si>
  <si>
    <t>Kurowska</t>
  </si>
  <si>
    <t>Lutczyk</t>
  </si>
  <si>
    <t>Laskowski</t>
  </si>
  <si>
    <t>Adamczyk</t>
  </si>
  <si>
    <t>Zuzanna</t>
  </si>
  <si>
    <t>Wolski</t>
  </si>
  <si>
    <t>Dsbrowa</t>
  </si>
  <si>
    <t>Szymon</t>
  </si>
  <si>
    <t>Jackowska</t>
  </si>
  <si>
    <t>Natasza</t>
  </si>
  <si>
    <t>Korenkiewicz</t>
  </si>
  <si>
    <t>Marika</t>
  </si>
  <si>
    <t>Iwanowski</t>
  </si>
  <si>
    <t>Arendt</t>
  </si>
  <si>
    <t>Wojciech</t>
  </si>
  <si>
    <t>Tarkowska</t>
  </si>
  <si>
    <t>Antonina</t>
  </si>
  <si>
    <t>Murczynska</t>
  </si>
  <si>
    <t>Laura</t>
  </si>
  <si>
    <t>Kado</t>
  </si>
  <si>
    <t>Wieczerzak</t>
  </si>
  <si>
    <t>Jakudczyk</t>
  </si>
  <si>
    <t>Gryniewicz</t>
  </si>
  <si>
    <t>Kaliszuk</t>
  </si>
  <si>
    <t>Majtas</t>
  </si>
  <si>
    <t>Lucja</t>
  </si>
  <si>
    <t>Grzesiak</t>
  </si>
  <si>
    <t>Freda</t>
  </si>
  <si>
    <t>Janczynski</t>
  </si>
  <si>
    <t>Kossakowska</t>
  </si>
  <si>
    <t>Korda</t>
  </si>
  <si>
    <t>Klukowska</t>
  </si>
  <si>
    <t>Araucz</t>
  </si>
  <si>
    <t>Kuban</t>
  </si>
  <si>
    <t>Rutkowski</t>
  </si>
  <si>
    <t>MaŸNiewski</t>
  </si>
  <si>
    <t>Pawlak</t>
  </si>
  <si>
    <t>Zasowska</t>
  </si>
  <si>
    <t>Agnieszka</t>
  </si>
  <si>
    <t>Korkosz</t>
  </si>
  <si>
    <t>Olczak</t>
  </si>
  <si>
    <t>Kaminski</t>
  </si>
  <si>
    <t>Wlodarczyk</t>
  </si>
  <si>
    <t>Grubba</t>
  </si>
  <si>
    <t>Oskar</t>
  </si>
  <si>
    <t>Ligman</t>
  </si>
  <si>
    <t>Filbrandt</t>
  </si>
  <si>
    <t>Formela</t>
  </si>
  <si>
    <t>D¾browski</t>
  </si>
  <si>
    <t>Rowinski</t>
  </si>
  <si>
    <t>Szymanska</t>
  </si>
  <si>
    <t>Ariuna</t>
  </si>
  <si>
    <t>Gozdalik</t>
  </si>
  <si>
    <t>Oliwia</t>
  </si>
  <si>
    <t>Pinker</t>
  </si>
  <si>
    <t>Jaglowski</t>
  </si>
  <si>
    <t>Wendt</t>
  </si>
  <si>
    <t>Obarowska</t>
  </si>
  <si>
    <t>Baranowska</t>
  </si>
  <si>
    <t>Bonislawska</t>
  </si>
  <si>
    <t>JoŸWiak</t>
  </si>
  <si>
    <t>Wejner</t>
  </si>
  <si>
    <t>Wojcicka</t>
  </si>
  <si>
    <t>Koprowski</t>
  </si>
  <si>
    <t>Maurycy</t>
  </si>
  <si>
    <t>Cicherski</t>
  </si>
  <si>
    <t>Olitkowska</t>
  </si>
  <si>
    <t>Klaudia</t>
  </si>
  <si>
    <t>Majewski</t>
  </si>
  <si>
    <t>Podbereski</t>
  </si>
  <si>
    <t>Wójcik</t>
  </si>
  <si>
    <t>Alan</t>
  </si>
  <si>
    <t>Latika</t>
  </si>
  <si>
    <t>Piotrowski</t>
  </si>
  <si>
    <t>Bialek</t>
  </si>
  <si>
    <t>Galla</t>
  </si>
  <si>
    <t>Paulina</t>
  </si>
  <si>
    <t>Glasmann</t>
  </si>
  <si>
    <t>Paula</t>
  </si>
  <si>
    <t>Aniol</t>
  </si>
  <si>
    <t>Cuper</t>
  </si>
  <si>
    <t>Olga</t>
  </si>
  <si>
    <t>Becla</t>
  </si>
  <si>
    <t>Grodzki</t>
  </si>
  <si>
    <t>Ulwan</t>
  </si>
  <si>
    <t>Goszczynski</t>
  </si>
  <si>
    <t>Bigos</t>
  </si>
  <si>
    <t>Zosia</t>
  </si>
  <si>
    <t>Waclawski</t>
  </si>
  <si>
    <t>Bartosz</t>
  </si>
  <si>
    <t>Wludyka</t>
  </si>
  <si>
    <t>Alexander</t>
  </si>
  <si>
    <t>Andrzej</t>
  </si>
  <si>
    <t>Florek</t>
  </si>
  <si>
    <t>Korbus</t>
  </si>
  <si>
    <t>Piechalski</t>
  </si>
  <si>
    <t>Depczynski</t>
  </si>
  <si>
    <t>Erbel</t>
  </si>
  <si>
    <t>Kutnik</t>
  </si>
  <si>
    <t>Dabrowski</t>
  </si>
  <si>
    <t>Ciupa</t>
  </si>
  <si>
    <t>Michalak</t>
  </si>
  <si>
    <t>Mieczkowski</t>
  </si>
  <si>
    <t>Krystian</t>
  </si>
  <si>
    <t>Jaglowska</t>
  </si>
  <si>
    <t>Natalia</t>
  </si>
  <si>
    <t>Czechowska</t>
  </si>
  <si>
    <t>Domanski</t>
  </si>
  <si>
    <t>Sebastian</t>
  </si>
  <si>
    <t>Kotowska</t>
  </si>
  <si>
    <t>Marianna</t>
  </si>
  <si>
    <t>Nieradko</t>
  </si>
  <si>
    <t>Kajetan</t>
  </si>
  <si>
    <t>Mendrek</t>
  </si>
  <si>
    <t>Trawicki</t>
  </si>
  <si>
    <t>Borys</t>
  </si>
  <si>
    <t>Sobon</t>
  </si>
  <si>
    <t>Cejnog</t>
  </si>
  <si>
    <t>Jazkowiec</t>
  </si>
  <si>
    <t>Jarosiewicz</t>
  </si>
  <si>
    <t>Milosz</t>
  </si>
  <si>
    <t>Kmiecik</t>
  </si>
  <si>
    <t>Martyna</t>
  </si>
  <si>
    <t>Kilanowska</t>
  </si>
  <si>
    <t>Markowiak</t>
  </si>
  <si>
    <t>Leon</t>
  </si>
  <si>
    <t>Sikora</t>
  </si>
  <si>
    <t>Hubert</t>
  </si>
  <si>
    <t>Szczuplinska</t>
  </si>
  <si>
    <t>Szubarczyk</t>
  </si>
  <si>
    <t>Krefta</t>
  </si>
  <si>
    <t>Malinowski</t>
  </si>
  <si>
    <t>Lukasz</t>
  </si>
  <si>
    <t>Czerlonek</t>
  </si>
  <si>
    <t>Weronika</t>
  </si>
  <si>
    <t>Szostakowska</t>
  </si>
  <si>
    <t>Dominika</t>
  </si>
  <si>
    <t>Kaleta</t>
  </si>
  <si>
    <t>Kocur</t>
  </si>
  <si>
    <t>Wit</t>
  </si>
  <si>
    <t>Rybienik</t>
  </si>
  <si>
    <t>Puzlecka</t>
  </si>
  <si>
    <t>Juralewicz</t>
  </si>
  <si>
    <t>Piwowarek</t>
  </si>
  <si>
    <t>Jurczak</t>
  </si>
  <si>
    <t>Ogrodowczyk</t>
  </si>
  <si>
    <t>Konstancja</t>
  </si>
  <si>
    <t>Strojek</t>
  </si>
  <si>
    <t>Zaremba</t>
  </si>
  <si>
    <t>Aleksandra</t>
  </si>
  <si>
    <t>Gorska</t>
  </si>
  <si>
    <t>Garus</t>
  </si>
  <si>
    <t>Siemistkowska</t>
  </si>
  <si>
    <t>Jagoda</t>
  </si>
  <si>
    <t>Ulewicz</t>
  </si>
  <si>
    <t>Tokarska</t>
  </si>
  <si>
    <t>Antonia</t>
  </si>
  <si>
    <t>Krupa</t>
  </si>
  <si>
    <t>Swirk</t>
  </si>
  <si>
    <t>Kizielewicz</t>
  </si>
  <si>
    <t>Michal</t>
  </si>
  <si>
    <t>Kecler</t>
  </si>
  <si>
    <t>Milena</t>
  </si>
  <si>
    <t>Zochowska</t>
  </si>
  <si>
    <t>Adriana</t>
  </si>
  <si>
    <t>Lewandowska</t>
  </si>
  <si>
    <t>Górlikowski</t>
  </si>
  <si>
    <t>Patrick</t>
  </si>
  <si>
    <t>Kowalska</t>
  </si>
  <si>
    <t>Katende</t>
  </si>
  <si>
    <t>Tokarz</t>
  </si>
  <si>
    <t>Radosz</t>
  </si>
  <si>
    <t>Komorowska</t>
  </si>
  <si>
    <t>Zakrzewska</t>
  </si>
  <si>
    <t>Ewa</t>
  </si>
  <si>
    <t>Rohde</t>
  </si>
  <si>
    <t>Smoliniec</t>
  </si>
  <si>
    <t>Franciszek</t>
  </si>
  <si>
    <t>Paluchowski</t>
  </si>
  <si>
    <t>Julian</t>
  </si>
  <si>
    <t>Bielawski</t>
  </si>
  <si>
    <t>Tymoteusz</t>
  </si>
  <si>
    <t>Pawlun</t>
  </si>
  <si>
    <t>Zielinski</t>
  </si>
  <si>
    <t>Majchrzak</t>
  </si>
  <si>
    <t>Koczakowska</t>
  </si>
  <si>
    <t>Brzozowski</t>
  </si>
  <si>
    <t>Jakubczyk</t>
  </si>
  <si>
    <t>Krol</t>
  </si>
  <si>
    <t>Bialy</t>
  </si>
  <si>
    <t>Viktor</t>
  </si>
  <si>
    <t>Drozd</t>
  </si>
  <si>
    <t>Radoslaw</t>
  </si>
  <si>
    <t>Srokowska</t>
  </si>
  <si>
    <t>Helena</t>
  </si>
  <si>
    <t>Iga</t>
  </si>
  <si>
    <t>Cejman</t>
  </si>
  <si>
    <t>Stambuldzys</t>
  </si>
  <si>
    <t>Adryan</t>
  </si>
  <si>
    <t>Xawery</t>
  </si>
  <si>
    <t>Kwidzinski</t>
  </si>
  <si>
    <t>Marceli</t>
  </si>
  <si>
    <t>Ostrowska</t>
  </si>
  <si>
    <t>Kelly</t>
  </si>
  <si>
    <t>Karmasz</t>
  </si>
  <si>
    <t>Smiecinska</t>
  </si>
  <si>
    <t>Czecholinska</t>
  </si>
  <si>
    <t>PodraZka</t>
  </si>
  <si>
    <t>Kmita</t>
  </si>
  <si>
    <t>Gachewicz</t>
  </si>
  <si>
    <t>Pola</t>
  </si>
  <si>
    <t>Pilewski</t>
  </si>
  <si>
    <t>Paliniewicz</t>
  </si>
  <si>
    <t>Katarzyna</t>
  </si>
  <si>
    <t>Lubinska</t>
  </si>
  <si>
    <t>Konstanski</t>
  </si>
  <si>
    <t>Warda</t>
  </si>
  <si>
    <t>Stefan</t>
  </si>
  <si>
    <t>Mrozek</t>
  </si>
  <si>
    <t>Drapinska</t>
  </si>
  <si>
    <t>Dawidowska</t>
  </si>
  <si>
    <t>Lesiak</t>
  </si>
  <si>
    <t>Szarmach</t>
  </si>
  <si>
    <t>Burghard</t>
  </si>
  <si>
    <t>Michalska</t>
  </si>
  <si>
    <t>Mezynska</t>
  </si>
  <si>
    <t>Kaminska</t>
  </si>
  <si>
    <t>Edel</t>
  </si>
  <si>
    <t>Vanessa</t>
  </si>
  <si>
    <t>Gadomska</t>
  </si>
  <si>
    <t>Bieniasz</t>
  </si>
  <si>
    <t>Kozlowski</t>
  </si>
  <si>
    <t>Karewicz</t>
  </si>
  <si>
    <t>Hinca</t>
  </si>
  <si>
    <t>Mielcarz</t>
  </si>
  <si>
    <t>Zebrowski</t>
  </si>
  <si>
    <t>Janik</t>
  </si>
  <si>
    <t>Radziun</t>
  </si>
  <si>
    <t>Stawirej</t>
  </si>
  <si>
    <t>Brankiewicz</t>
  </si>
  <si>
    <t>Wojniusz</t>
  </si>
  <si>
    <t>Borowiec</t>
  </si>
  <si>
    <t>Tymon</t>
  </si>
  <si>
    <t>Kuszner</t>
  </si>
  <si>
    <t>Pawlowski</t>
  </si>
  <si>
    <t>Boleski</t>
  </si>
  <si>
    <t>GnieŸDzinska</t>
  </si>
  <si>
    <t>Gazarkiewicz</t>
  </si>
  <si>
    <t>Gawinkowski</t>
  </si>
  <si>
    <t>Lendzion</t>
  </si>
  <si>
    <t>Skrzek</t>
  </si>
  <si>
    <t>Reda</t>
  </si>
  <si>
    <t>Krolikowska</t>
  </si>
  <si>
    <t>Szydlowski</t>
  </si>
  <si>
    <t>Daniel</t>
  </si>
  <si>
    <t>Sawicka</t>
  </si>
  <si>
    <t>Jakubiak</t>
  </si>
  <si>
    <t>Maciejewski</t>
  </si>
  <si>
    <t>Kachniarz</t>
  </si>
  <si>
    <t>Pluzinska</t>
  </si>
  <si>
    <t>Kaja</t>
  </si>
  <si>
    <t>Domachowska</t>
  </si>
  <si>
    <t>Skrodzki</t>
  </si>
  <si>
    <t>Gabriel</t>
  </si>
  <si>
    <t>Skoropinski</t>
  </si>
  <si>
    <t>Zak</t>
  </si>
  <si>
    <t>Hildebrandt</t>
  </si>
  <si>
    <t>Papciak</t>
  </si>
  <si>
    <t>Jaroslaw</t>
  </si>
  <si>
    <t>Malanowski</t>
  </si>
  <si>
    <t>Osojca</t>
  </si>
  <si>
    <t>Kinga</t>
  </si>
  <si>
    <t>Szulfer</t>
  </si>
  <si>
    <t>Daria</t>
  </si>
  <si>
    <t>Konieczka</t>
  </si>
  <si>
    <t>Komasinska</t>
  </si>
  <si>
    <t>Gajdecka</t>
  </si>
  <si>
    <t>Galikowska</t>
  </si>
  <si>
    <t>Schmidtke</t>
  </si>
  <si>
    <t>Romanowska</t>
  </si>
  <si>
    <t>Iwa</t>
  </si>
  <si>
    <t>Kukulski</t>
  </si>
  <si>
    <t>Wakuluk</t>
  </si>
  <si>
    <t>Angelika</t>
  </si>
  <si>
    <t>Wabiszewska</t>
  </si>
  <si>
    <t>Aniela</t>
  </si>
  <si>
    <t>Bialowss</t>
  </si>
  <si>
    <t>Gondek</t>
  </si>
  <si>
    <t>Górski</t>
  </si>
  <si>
    <t>Szlage</t>
  </si>
  <si>
    <t>Stiewa</t>
  </si>
  <si>
    <t>Gabriela</t>
  </si>
  <si>
    <t>Janiszewska</t>
  </si>
  <si>
    <t>Orlowski</t>
  </si>
  <si>
    <t>Kulik</t>
  </si>
  <si>
    <t>Marek</t>
  </si>
  <si>
    <t>Szymaniak</t>
  </si>
  <si>
    <t>Bianka</t>
  </si>
  <si>
    <t>Soja</t>
  </si>
  <si>
    <t>Macholla</t>
  </si>
  <si>
    <t>Duchcik</t>
  </si>
  <si>
    <t>Victoria</t>
  </si>
  <si>
    <t>Subocz</t>
  </si>
  <si>
    <t>Emma</t>
  </si>
  <si>
    <t>Matusiewicz</t>
  </si>
  <si>
    <t>Ksawery</t>
  </si>
  <si>
    <t>Czapkowski</t>
  </si>
  <si>
    <t>Cudzilo</t>
  </si>
  <si>
    <t>Frost</t>
  </si>
  <si>
    <t>Tylec</t>
  </si>
  <si>
    <t>Niewierowska</t>
  </si>
  <si>
    <t>Bankowski</t>
  </si>
  <si>
    <t>Stopinska</t>
  </si>
  <si>
    <t>Odya</t>
  </si>
  <si>
    <t>Jaroszek</t>
  </si>
  <si>
    <t>Deszcz</t>
  </si>
  <si>
    <t>Simon</t>
  </si>
  <si>
    <t>Bujalski</t>
  </si>
  <si>
    <t>Tobiasz</t>
  </si>
  <si>
    <t>Kowalina</t>
  </si>
  <si>
    <t>Broner</t>
  </si>
  <si>
    <t>Majsik</t>
  </si>
  <si>
    <t>Borkowski</t>
  </si>
  <si>
    <t>Tomasz</t>
  </si>
  <si>
    <t>Górecki</t>
  </si>
  <si>
    <t>Gerygk</t>
  </si>
  <si>
    <t>Gerono</t>
  </si>
  <si>
    <t>Dsbkowska</t>
  </si>
  <si>
    <t>Lang</t>
  </si>
  <si>
    <t>Glowacz</t>
  </si>
  <si>
    <t>Olstowska</t>
  </si>
  <si>
    <t>Kik</t>
  </si>
  <si>
    <t>Chajecki</t>
  </si>
  <si>
    <t>Karol</t>
  </si>
  <si>
    <t>Wizniewska</t>
  </si>
  <si>
    <t>Szewczyk</t>
  </si>
  <si>
    <t>Edyta</t>
  </si>
  <si>
    <t>Basek</t>
  </si>
  <si>
    <t>Stiburska</t>
  </si>
  <si>
    <t>Dreger</t>
  </si>
  <si>
    <t>Wanessa</t>
  </si>
  <si>
    <t>Sorr</t>
  </si>
  <si>
    <t>Marjanski</t>
  </si>
  <si>
    <t>Sokolnicka</t>
  </si>
  <si>
    <t>Inga</t>
  </si>
  <si>
    <t>Sciebur</t>
  </si>
  <si>
    <t>Polubinski</t>
  </si>
  <si>
    <t>Makarski</t>
  </si>
  <si>
    <t>Freitag</t>
  </si>
  <si>
    <t>Aftanas</t>
  </si>
  <si>
    <t>Polonska</t>
  </si>
  <si>
    <t>Justyna</t>
  </si>
  <si>
    <t>Piwowarska</t>
  </si>
  <si>
    <t>Pomierska</t>
  </si>
  <si>
    <t>Sulek</t>
  </si>
  <si>
    <t>Fabian</t>
  </si>
  <si>
    <t>Uszkiewicz</t>
  </si>
  <si>
    <t>Wentland</t>
  </si>
  <si>
    <t>Baniamin</t>
  </si>
  <si>
    <t>Zebala</t>
  </si>
  <si>
    <t>Chudzik</t>
  </si>
  <si>
    <t>Jedrzejewski</t>
  </si>
  <si>
    <t>Hajdamowicz</t>
  </si>
  <si>
    <t>Ropel</t>
  </si>
  <si>
    <t>Budzynski</t>
  </si>
  <si>
    <t>Tadeusz</t>
  </si>
  <si>
    <t>Zbieska</t>
  </si>
  <si>
    <t>Skrzynska</t>
  </si>
  <si>
    <t>Karmazyn</t>
  </si>
  <si>
    <t>Mira</t>
  </si>
  <si>
    <t>Bienkowska</t>
  </si>
  <si>
    <t>Chabowski</t>
  </si>
  <si>
    <t>Markiewicz</t>
  </si>
  <si>
    <t>Lila</t>
  </si>
  <si>
    <t>Dalek</t>
  </si>
  <si>
    <t>Klos</t>
  </si>
  <si>
    <t>Kedzierski</t>
  </si>
  <si>
    <t>Irek</t>
  </si>
  <si>
    <t>Smal</t>
  </si>
  <si>
    <t>Muczynski</t>
  </si>
  <si>
    <t>Kasjan</t>
  </si>
  <si>
    <t>Butajlo</t>
  </si>
  <si>
    <t>Kass</t>
  </si>
  <si>
    <t>Jenda</t>
  </si>
  <si>
    <t>Markowski</t>
  </si>
  <si>
    <t>Kuba</t>
  </si>
  <si>
    <t>M¾dry</t>
  </si>
  <si>
    <t>Ostwald</t>
  </si>
  <si>
    <t>Begdon</t>
  </si>
  <si>
    <t>Panfil</t>
  </si>
  <si>
    <t>Wnuczynska</t>
  </si>
  <si>
    <t>Rychter</t>
  </si>
  <si>
    <t>Gasinski</t>
  </si>
  <si>
    <t>Toczek</t>
  </si>
  <si>
    <t>Sokolowska</t>
  </si>
  <si>
    <t>Zawizlak</t>
  </si>
  <si>
    <t>Golunska</t>
  </si>
  <si>
    <t>Piskor</t>
  </si>
  <si>
    <t>Kalina</t>
  </si>
  <si>
    <t>Szumala</t>
  </si>
  <si>
    <t>Blanka</t>
  </si>
  <si>
    <t>Jakuszewska</t>
  </si>
  <si>
    <t>Jezierska</t>
  </si>
  <si>
    <t>Kisiela</t>
  </si>
  <si>
    <t>Macierzynska</t>
  </si>
  <si>
    <t>Sosnowski</t>
  </si>
  <si>
    <t>Winiarczyk</t>
  </si>
  <si>
    <t>Bialkowski</t>
  </si>
  <si>
    <t>Lehmann</t>
  </si>
  <si>
    <t>Gnacinski</t>
  </si>
  <si>
    <t>Marchewicz</t>
  </si>
  <si>
    <t>Lucjan</t>
  </si>
  <si>
    <t>Zurowski</t>
  </si>
  <si>
    <t>Morawski</t>
  </si>
  <si>
    <t>Klaudiusz</t>
  </si>
  <si>
    <t>Sitarska</t>
  </si>
  <si>
    <t>Izabella</t>
  </si>
  <si>
    <t>Bianga</t>
  </si>
  <si>
    <t>Jank</t>
  </si>
  <si>
    <t>Janukowicz</t>
  </si>
  <si>
    <t>Richter</t>
  </si>
  <si>
    <t>Zarzeczanski</t>
  </si>
  <si>
    <t>Jasik</t>
  </si>
  <si>
    <t>Krawiec</t>
  </si>
  <si>
    <t>Olszowka</t>
  </si>
  <si>
    <t>Klara</t>
  </si>
  <si>
    <t>Wieruszewski</t>
  </si>
  <si>
    <t>Jarosz</t>
  </si>
  <si>
    <t>Daczkowska</t>
  </si>
  <si>
    <t>Bastian</t>
  </si>
  <si>
    <t>Witold</t>
  </si>
  <si>
    <t>Lsczynska</t>
  </si>
  <si>
    <t>Szubiga</t>
  </si>
  <si>
    <t>Winiarski</t>
  </si>
  <si>
    <t>Mazurowski</t>
  </si>
  <si>
    <t>Olewnik</t>
  </si>
  <si>
    <t>Kruz</t>
  </si>
  <si>
    <t>spelnia_warunki</t>
  </si>
  <si>
    <t>Wynik</t>
  </si>
  <si>
    <t>punkty_egzamin</t>
  </si>
  <si>
    <t>punkty_swiadectwo</t>
  </si>
  <si>
    <t>Liczba_punktow</t>
  </si>
  <si>
    <t>ocena</t>
  </si>
  <si>
    <t>dod_osiagniecia</t>
  </si>
  <si>
    <t>suma_punktow</t>
  </si>
  <si>
    <t>Najczęściej występująca ilość punktów:</t>
  </si>
  <si>
    <t>spełnia_warunek</t>
  </si>
  <si>
    <t>Liczba ocen</t>
  </si>
  <si>
    <t>Język Polski</t>
  </si>
  <si>
    <t>Matematyka</t>
  </si>
  <si>
    <t>Biologia</t>
  </si>
  <si>
    <t>Geografia</t>
  </si>
  <si>
    <t>dopuszczających</t>
  </si>
  <si>
    <t>dostatecznych</t>
  </si>
  <si>
    <t>dobrych</t>
  </si>
  <si>
    <t>bardzo dobrych</t>
  </si>
  <si>
    <t>celujących</t>
  </si>
  <si>
    <t>Spełnia_warunek</t>
  </si>
  <si>
    <t>Liczba uczniów: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</si>
</sst>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4" borderId="0" xfId="0" applyFill="1" applyAlignment="1">
      <alignment horizontal="center"/>
    </xf>
    <xf numFmtId="0" fontId="0" fillId="0" borderId="3" xfId="0" applyBorder="1"/>
    <xf numFmtId="0" fontId="2" fillId="0" borderId="3" xfId="0" applyFont="1" applyBorder="1"/>
  </cellXfs>
  <cellStyles count="1">
    <cellStyle name="Normalny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</a:t>
            </a:r>
            <a:r>
              <a:rPr lang="en-GB" baseline="0"/>
              <a:t> ocen z przedmiotów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'89_4'!$S$7</c:f>
              <c:strCache>
                <c:ptCount val="1"/>
                <c:pt idx="0">
                  <c:v>Język Polski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'89_4'!$R$8:$R$12</c:f>
              <c:strCache>
                <c:ptCount val="5"/>
                <c:pt idx="0">
                  <c:v>dopuszczających</c:v>
                </c:pt>
                <c:pt idx="1">
                  <c:v>dostatecznych</c:v>
                </c:pt>
                <c:pt idx="2">
                  <c:v>dobrych</c:v>
                </c:pt>
                <c:pt idx="3">
                  <c:v>bardzo dobrych</c:v>
                </c:pt>
                <c:pt idx="4">
                  <c:v>celujących</c:v>
                </c:pt>
              </c:strCache>
            </c:strRef>
          </c:cat>
          <c:val>
            <c:numRef>
              <c:f>'89_4'!$S$8:$S$12</c:f>
              <c:numCache>
                <c:formatCode>General</c:formatCode>
                <c:ptCount val="5"/>
                <c:pt idx="0">
                  <c:v>95</c:v>
                </c:pt>
                <c:pt idx="1">
                  <c:v>96</c:v>
                </c:pt>
                <c:pt idx="2">
                  <c:v>101</c:v>
                </c:pt>
                <c:pt idx="3">
                  <c:v>108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F-4913-9B73-A75D63213F7E}"/>
            </c:ext>
          </c:extLst>
        </c:ser>
        <c:ser>
          <c:idx val="1"/>
          <c:order val="1"/>
          <c:tx>
            <c:strRef>
              <c:f>'89_4'!$T$7</c:f>
              <c:strCache>
                <c:ptCount val="1"/>
                <c:pt idx="0">
                  <c:v>Matematyka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'89_4'!$R$8:$R$12</c:f>
              <c:strCache>
                <c:ptCount val="5"/>
                <c:pt idx="0">
                  <c:v>dopuszczających</c:v>
                </c:pt>
                <c:pt idx="1">
                  <c:v>dostatecznych</c:v>
                </c:pt>
                <c:pt idx="2">
                  <c:v>dobrych</c:v>
                </c:pt>
                <c:pt idx="3">
                  <c:v>bardzo dobrych</c:v>
                </c:pt>
                <c:pt idx="4">
                  <c:v>celujących</c:v>
                </c:pt>
              </c:strCache>
            </c:strRef>
          </c:cat>
          <c:val>
            <c:numRef>
              <c:f>'89_4'!$T$8:$T$12</c:f>
              <c:numCache>
                <c:formatCode>General</c:formatCode>
                <c:ptCount val="5"/>
                <c:pt idx="0">
                  <c:v>110</c:v>
                </c:pt>
                <c:pt idx="1">
                  <c:v>106</c:v>
                </c:pt>
                <c:pt idx="2">
                  <c:v>100</c:v>
                </c:pt>
                <c:pt idx="3">
                  <c:v>97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F-4913-9B73-A75D63213F7E}"/>
            </c:ext>
          </c:extLst>
        </c:ser>
        <c:ser>
          <c:idx val="2"/>
          <c:order val="2"/>
          <c:tx>
            <c:strRef>
              <c:f>'89_4'!$U$7</c:f>
              <c:strCache>
                <c:ptCount val="1"/>
                <c:pt idx="0">
                  <c:v>Biologia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'89_4'!$R$8:$R$12</c:f>
              <c:strCache>
                <c:ptCount val="5"/>
                <c:pt idx="0">
                  <c:v>dopuszczających</c:v>
                </c:pt>
                <c:pt idx="1">
                  <c:v>dostatecznych</c:v>
                </c:pt>
                <c:pt idx="2">
                  <c:v>dobrych</c:v>
                </c:pt>
                <c:pt idx="3">
                  <c:v>bardzo dobrych</c:v>
                </c:pt>
                <c:pt idx="4">
                  <c:v>celujących</c:v>
                </c:pt>
              </c:strCache>
            </c:strRef>
          </c:cat>
          <c:val>
            <c:numRef>
              <c:f>'89_4'!$U$8:$U$12</c:f>
              <c:numCache>
                <c:formatCode>General</c:formatCode>
                <c:ptCount val="5"/>
                <c:pt idx="0">
                  <c:v>101</c:v>
                </c:pt>
                <c:pt idx="1">
                  <c:v>105</c:v>
                </c:pt>
                <c:pt idx="2">
                  <c:v>94</c:v>
                </c:pt>
                <c:pt idx="3">
                  <c:v>110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F-4913-9B73-A75D63213F7E}"/>
            </c:ext>
          </c:extLst>
        </c:ser>
        <c:ser>
          <c:idx val="3"/>
          <c:order val="3"/>
          <c:tx>
            <c:strRef>
              <c:f>'89_4'!$V$7</c:f>
              <c:strCache>
                <c:ptCount val="1"/>
                <c:pt idx="0">
                  <c:v>Geografia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'89_4'!$R$8:$R$12</c:f>
              <c:strCache>
                <c:ptCount val="5"/>
                <c:pt idx="0">
                  <c:v>dopuszczających</c:v>
                </c:pt>
                <c:pt idx="1">
                  <c:v>dostatecznych</c:v>
                </c:pt>
                <c:pt idx="2">
                  <c:v>dobrych</c:v>
                </c:pt>
                <c:pt idx="3">
                  <c:v>bardzo dobrych</c:v>
                </c:pt>
                <c:pt idx="4">
                  <c:v>celujących</c:v>
                </c:pt>
              </c:strCache>
            </c:strRef>
          </c:cat>
          <c:val>
            <c:numRef>
              <c:f>'89_4'!$V$8:$V$12</c:f>
              <c:numCache>
                <c:formatCode>General</c:formatCode>
                <c:ptCount val="5"/>
                <c:pt idx="0">
                  <c:v>112</c:v>
                </c:pt>
                <c:pt idx="1">
                  <c:v>97</c:v>
                </c:pt>
                <c:pt idx="2">
                  <c:v>96</c:v>
                </c:pt>
                <c:pt idx="3">
                  <c:v>97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AF-4913-9B73-A75D63213F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5961936"/>
        <c:axId val="1704403280"/>
      </c:barChart>
      <c:catAx>
        <c:axId val="56596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403280"/>
        <c:crosses val="autoZero"/>
        <c:auto val="1"/>
        <c:lblAlgn val="ctr"/>
        <c:lblOffset val="100"/>
        <c:noMultiLvlLbl val="0"/>
      </c:catAx>
      <c:valAx>
        <c:axId val="170440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6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5443</xdr:colOff>
      <xdr:row>12</xdr:row>
      <xdr:rowOff>187779</xdr:rowOff>
    </xdr:from>
    <xdr:to>
      <xdr:col>21</xdr:col>
      <xdr:colOff>10885</xdr:colOff>
      <xdr:row>28</xdr:row>
      <xdr:rowOff>21771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61A1BA1-87EB-2F7F-913A-23F947446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FF536E-675D-4437-97FB-7E8037D2E0D3}" autoFormatId="16" applyNumberFormats="0" applyBorderFormats="0" applyFontFormats="0" applyPatternFormats="0" applyAlignmentFormats="0" applyWidthHeightFormats="0">
  <queryTableRefresh nextId="14">
    <queryTableFields count="13">
      <queryTableField id="1" name="Nazwisko" tableColumnId="1"/>
      <queryTableField id="2" name="Imie" tableColumnId="2"/>
      <queryTableField id="3" name="Osiagniecia" tableColumnId="3"/>
      <queryTableField id="4" name="Zachowanie" tableColumnId="4"/>
      <queryTableField id="5" name="JP" tableColumnId="5"/>
      <queryTableField id="6" name="Mat" tableColumnId="6"/>
      <queryTableField id="7" name="Biol" tableColumnId="7"/>
      <queryTableField id="8" name="Geog" tableColumnId="8"/>
      <queryTableField id="9" name="GHP" tableColumnId="9"/>
      <queryTableField id="10" name="GHH" tableColumnId="10"/>
      <queryTableField id="11" name="GMM" tableColumnId="11"/>
      <queryTableField id="12" name="GMP" tableColumnId="12"/>
      <queryTableField id="13" name="GJP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21E2E1C-5F26-4ED2-9317-808913C73BC9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Nazwisko" tableColumnId="1"/>
      <queryTableField id="2" name="Imie" tableColumnId="2"/>
      <queryTableField id="3" name="Osiagniecia" tableColumnId="3"/>
      <queryTableField id="4" name="Zachowanie" tableColumnId="4"/>
      <queryTableField id="5" name="JP" tableColumnId="5"/>
      <queryTableField id="6" name="Mat" tableColumnId="6"/>
      <queryTableField id="7" name="Biol" tableColumnId="7"/>
      <queryTableField id="8" name="Geog" tableColumnId="8"/>
      <queryTableField id="9" name="GHP" tableColumnId="9"/>
      <queryTableField id="10" name="GHH" tableColumnId="10"/>
      <queryTableField id="11" name="GMM" tableColumnId="11"/>
      <queryTableField id="12" name="GMP" tableColumnId="12"/>
      <queryTableField id="13" name="GJP" tableColumnId="13"/>
      <queryTableField id="14" dataBound="0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BEA6A59-75A4-4ED9-9098-F72FF7730C8B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Nazwisko" tableColumnId="1"/>
      <queryTableField id="2" name="Imie" tableColumnId="2"/>
      <queryTableField id="3" name="Osiagniecia" tableColumnId="3"/>
      <queryTableField id="4" name="Zachowanie" tableColumnId="4"/>
      <queryTableField id="5" name="JP" tableColumnId="5"/>
      <queryTableField id="6" name="Mat" tableColumnId="6"/>
      <queryTableField id="7" name="Biol" tableColumnId="7"/>
      <queryTableField id="8" name="Geog" tableColumnId="8"/>
      <queryTableField id="9" name="GHP" tableColumnId="9"/>
      <queryTableField id="10" name="GHH" tableColumnId="10"/>
      <queryTableField id="11" name="GMM" tableColumnId="11"/>
      <queryTableField id="12" name="GMP" tableColumnId="12"/>
      <queryTableField id="13" name="GJP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957DBDF-FE8E-4BE4-80AC-90F223DE5176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Nazwisko" tableColumnId="1"/>
      <queryTableField id="2" name="Imie" tableColumnId="2"/>
      <queryTableField id="3" name="Osiagniecia" tableColumnId="3"/>
      <queryTableField id="4" name="Zachowanie" tableColumnId="4"/>
      <queryTableField id="5" name="JP" tableColumnId="5"/>
      <queryTableField id="6" name="Mat" tableColumnId="6"/>
      <queryTableField id="7" name="Biol" tableColumnId="7"/>
      <queryTableField id="8" name="Geog" tableColumnId="8"/>
      <queryTableField id="9" name="GHP" tableColumnId="9"/>
      <queryTableField id="10" name="GHH" tableColumnId="10"/>
      <queryTableField id="11" name="GMM" tableColumnId="11"/>
      <queryTableField id="12" name="GMP" tableColumnId="12"/>
      <queryTableField id="13" name="GJP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5B31A5B-6E08-4C96-B16C-82BEE27E308C}" autoFormatId="16" applyNumberFormats="0" applyBorderFormats="0" applyFontFormats="0" applyPatternFormats="0" applyAlignmentFormats="0" applyWidthHeightFormats="0">
  <queryTableRefresh nextId="14">
    <queryTableFields count="13">
      <queryTableField id="1" name="Nazwisko" tableColumnId="1"/>
      <queryTableField id="2" name="Imie" tableColumnId="2"/>
      <queryTableField id="3" name="Osiagniecia" tableColumnId="3"/>
      <queryTableField id="4" name="Zachowanie" tableColumnId="4"/>
      <queryTableField id="5" name="JP" tableColumnId="5"/>
      <queryTableField id="6" name="Mat" tableColumnId="6"/>
      <queryTableField id="7" name="Biol" tableColumnId="7"/>
      <queryTableField id="8" name="Geog" tableColumnId="8"/>
      <queryTableField id="9" name="GHP" tableColumnId="9"/>
      <queryTableField id="10" name="GHH" tableColumnId="10"/>
      <queryTableField id="11" name="GMM" tableColumnId="11"/>
      <queryTableField id="12" name="GMP" tableColumnId="12"/>
      <queryTableField id="13" name="GJP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74FABCD-A792-4873-8BAB-5FEC80515959}" autoFormatId="16" applyNumberFormats="0" applyBorderFormats="0" applyFontFormats="0" applyPatternFormats="0" applyAlignmentFormats="0" applyWidthHeightFormats="0">
  <queryTableRefresh nextId="19" unboundColumnsRight="4">
    <queryTableFields count="17">
      <queryTableField id="1" name="Nazwisko" tableColumnId="1"/>
      <queryTableField id="2" name="Imie" tableColumnId="2"/>
      <queryTableField id="3" name="Osiagniecia" tableColumnId="3"/>
      <queryTableField id="4" name="Zachowanie" tableColumnId="4"/>
      <queryTableField id="5" name="JP" tableColumnId="5"/>
      <queryTableField id="6" name="Mat" tableColumnId="6"/>
      <queryTableField id="7" name="Biol" tableColumnId="7"/>
      <queryTableField id="8" name="Geog" tableColumnId="8"/>
      <queryTableField id="9" name="GHP" tableColumnId="9"/>
      <queryTableField id="10" name="GHH" tableColumnId="10"/>
      <queryTableField id="11" name="GMM" tableColumnId="11"/>
      <queryTableField id="12" name="GMP" tableColumnId="12"/>
      <queryTableField id="13" name="GJP" tableColumnId="13"/>
      <queryTableField id="14" dataBound="0" tableColumnId="14"/>
      <queryTableField id="15" dataBound="0" tableColumnId="15"/>
      <queryTableField id="16" dataBound="0" tableColumnId="16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B5E6A-8443-402E-BBEC-471AEE33C3B1}" name="punkty_rekrutacyjne" displayName="punkty_rekrutacyjne" ref="A1:M515" tableType="queryTable" totalsRowShown="0">
  <autoFilter ref="A1:M515" xr:uid="{5A5B5E6A-8443-402E-BBEC-471AEE33C3B1}"/>
  <tableColumns count="13">
    <tableColumn id="1" xr3:uid="{68177310-BFA3-4BF7-B63F-D552CA1C72DB}" uniqueName="1" name="Nazwisko" queryTableFieldId="1" dataDxfId="21"/>
    <tableColumn id="2" xr3:uid="{99ADA02F-141D-4B64-BABF-AF7B783E01A3}" uniqueName="2" name="Imie" queryTableFieldId="2" dataDxfId="20"/>
    <tableColumn id="3" xr3:uid="{682557E7-7F09-4ADC-AE5A-FE4BC9891F01}" uniqueName="3" name="Osiagniecia" queryTableFieldId="3"/>
    <tableColumn id="4" xr3:uid="{F7AB7C24-CE58-4EDF-B79D-B9C8C989CF13}" uniqueName="4" name="Zachowanie" queryTableFieldId="4"/>
    <tableColumn id="5" xr3:uid="{E251B334-D55B-48F8-B782-A6626844E235}" uniqueName="5" name="JP" queryTableFieldId="5"/>
    <tableColumn id="6" xr3:uid="{4A4880D8-3F5D-497D-ACE6-5BEB91B80623}" uniqueName="6" name="Mat" queryTableFieldId="6"/>
    <tableColumn id="7" xr3:uid="{8FD17302-1ED3-4F5A-B6CA-E2A388D0C853}" uniqueName="7" name="Biol" queryTableFieldId="7"/>
    <tableColumn id="8" xr3:uid="{15553F49-15C8-4C78-B188-C32842D0A7D3}" uniqueName="8" name="Geog" queryTableFieldId="8"/>
    <tableColumn id="9" xr3:uid="{2018506B-CE91-4D1F-B248-4041CC843E0C}" uniqueName="9" name="GHP" queryTableFieldId="9"/>
    <tableColumn id="10" xr3:uid="{4F986003-BD8E-4532-B47C-4CCFCAFA1195}" uniqueName="10" name="GHH" queryTableFieldId="10"/>
    <tableColumn id="11" xr3:uid="{E7E3A017-9BAC-44DA-9E9B-F6646C27555E}" uniqueName="11" name="GMM" queryTableFieldId="11"/>
    <tableColumn id="12" xr3:uid="{033C2C9E-5C84-40B0-9A4D-D644C11D1B94}" uniqueName="12" name="GMP" queryTableFieldId="12"/>
    <tableColumn id="13" xr3:uid="{7CB0D3E9-D776-489D-B2A6-99037D2A330B}" uniqueName="13" name="GJP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B758C-FAD4-4F44-9196-A3EC4A1C86DA}" name="punkty_rekrutacyjne3" displayName="punkty_rekrutacyjne3" ref="A1:N515" tableType="queryTable" totalsRowShown="0">
  <autoFilter ref="A1:N515" xr:uid="{4B1B758C-FAD4-4F44-9196-A3EC4A1C86DA}"/>
  <tableColumns count="14">
    <tableColumn id="1" xr3:uid="{668201B5-1D8B-449C-813D-400F787A1C2B}" uniqueName="1" name="Nazwisko" queryTableFieldId="1" dataDxfId="19"/>
    <tableColumn id="2" xr3:uid="{283DDC1D-2A96-4BF8-B020-AD15308E9C6A}" uniqueName="2" name="Imie" queryTableFieldId="2" dataDxfId="18"/>
    <tableColumn id="3" xr3:uid="{A9EF2175-7964-42AE-A899-EF29AC3E1187}" uniqueName="3" name="Osiagniecia" queryTableFieldId="3"/>
    <tableColumn id="4" xr3:uid="{E1ED84EF-20BB-457A-B549-B7DDF68D3F3A}" uniqueName="4" name="Zachowanie" queryTableFieldId="4"/>
    <tableColumn id="5" xr3:uid="{2932CBF5-5B42-442D-BBDC-9D074AF3085C}" uniqueName="5" name="JP" queryTableFieldId="5"/>
    <tableColumn id="6" xr3:uid="{DC6D284C-5EC9-43D0-93D5-CA94B644ADD0}" uniqueName="6" name="Mat" queryTableFieldId="6"/>
    <tableColumn id="7" xr3:uid="{FACE3106-A72B-435D-96D7-BF21E52F8B1F}" uniqueName="7" name="Biol" queryTableFieldId="7"/>
    <tableColumn id="8" xr3:uid="{0CE9E087-1CBF-4161-A864-129E79D95354}" uniqueName="8" name="Geog" queryTableFieldId="8"/>
    <tableColumn id="9" xr3:uid="{DCAF3F26-9D93-4166-A8F8-07C026089F20}" uniqueName="9" name="GHP" queryTableFieldId="9"/>
    <tableColumn id="10" xr3:uid="{F0E90C95-D9AF-48AB-9C40-2D75C42AD961}" uniqueName="10" name="GHH" queryTableFieldId="10"/>
    <tableColumn id="11" xr3:uid="{62C242D2-75F7-4F76-8203-ED5A8A694C0B}" uniqueName="11" name="GMM" queryTableFieldId="11"/>
    <tableColumn id="12" xr3:uid="{79941F00-90B4-48E9-9007-27449F597D99}" uniqueName="12" name="GMP" queryTableFieldId="12"/>
    <tableColumn id="13" xr3:uid="{D177964C-777F-4E10-9E3B-682EB747D2DB}" uniqueName="13" name="GJP" queryTableFieldId="13"/>
    <tableColumn id="14" xr3:uid="{F1F23C64-A0BB-4104-936F-FF071FDCB8C5}" uniqueName="14" name="spelnia_warunki" queryTableFieldId="14" dataDxfId="17">
      <calculatedColumnFormula>IF(AND(C2=0,D2&gt;4, AVERAGE(E2:H2) &gt; 4), 1, 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358F63-4732-4E42-92C4-5C70C1209E39}" name="punkty_rekrutacyjne4" displayName="punkty_rekrutacyjne4" ref="A1:Q515" tableType="queryTable" totalsRowShown="0">
  <autoFilter ref="A1:Q515" xr:uid="{F2358F63-4732-4E42-92C4-5C70C1209E39}"/>
  <tableColumns count="17">
    <tableColumn id="1" xr3:uid="{ED9952AE-18B6-45FD-9895-ACB0C8459064}" uniqueName="1" name="Nazwisko" queryTableFieldId="1" dataDxfId="16"/>
    <tableColumn id="2" xr3:uid="{A22709FD-3419-43E8-801F-0C253EE76DC5}" uniqueName="2" name="Imie" queryTableFieldId="2" dataDxfId="15"/>
    <tableColumn id="3" xr3:uid="{81DE6263-7AA4-494B-A581-373E886D61BF}" uniqueName="3" name="Osiagniecia" queryTableFieldId="3"/>
    <tableColumn id="4" xr3:uid="{39FC2E39-9E0A-4EE0-AA2E-B1DA817DFAE3}" uniqueName="4" name="Zachowanie" queryTableFieldId="4"/>
    <tableColumn id="5" xr3:uid="{D378237F-8C7C-41C1-82AB-60600D3A36A9}" uniqueName="5" name="JP" queryTableFieldId="5"/>
    <tableColumn id="6" xr3:uid="{BA6DE6F5-4278-40FE-8533-2057119C5E29}" uniqueName="6" name="Mat" queryTableFieldId="6"/>
    <tableColumn id="7" xr3:uid="{B4FF23D4-D594-467C-B42F-7AE8C9FB4A1E}" uniqueName="7" name="Biol" queryTableFieldId="7"/>
    <tableColumn id="8" xr3:uid="{572C97CE-E6FC-4C11-AB23-C8279143955F}" uniqueName="8" name="Geog" queryTableFieldId="8"/>
    <tableColumn id="9" xr3:uid="{6C979616-A184-40DD-A3CC-1E16CEECC74A}" uniqueName="9" name="GHP" queryTableFieldId="9"/>
    <tableColumn id="10" xr3:uid="{F143B2C2-4C17-428C-AF99-492102309406}" uniqueName="10" name="GHH" queryTableFieldId="10"/>
    <tableColumn id="11" xr3:uid="{82678A7A-026F-4B18-8A58-B81C58183405}" uniqueName="11" name="GMM" queryTableFieldId="11"/>
    <tableColumn id="12" xr3:uid="{667A33BB-AED9-4333-B38C-7144C8A00602}" uniqueName="12" name="GMP" queryTableFieldId="12"/>
    <tableColumn id="13" xr3:uid="{E371917F-0557-4AAB-B559-A2EFC2A4DE47}" uniqueName="13" name="GJP" queryTableFieldId="13"/>
    <tableColumn id="14" xr3:uid="{BC539B4E-1566-4081-9E95-1F4F9D2BBB91}" uniqueName="14" name="punkty_egzamin" queryTableFieldId="14" dataDxfId="14">
      <calculatedColumnFormula>I2/10 + J2/10 + K2/10 + L2/10 + M2/10</calculatedColumnFormula>
    </tableColumn>
    <tableColumn id="15" xr3:uid="{5B8DE939-C937-4BA0-8CC3-57A7FD554E8E}" uniqueName="15" name="punkty_swiadectwo" queryTableFieldId="15" dataDxfId="13">
      <calculatedColumnFormula array="1">SUM(_xlfn.XLOOKUP(E2:H2, $V$13:$V$17, $U$13:$U$17))</calculatedColumnFormula>
    </tableColumn>
    <tableColumn id="16" xr3:uid="{AA31B43E-F9CD-4BC9-9F5E-4C8706ED2883}" uniqueName="16" name="dod_osiagniecia" queryTableFieldId="16" dataDxfId="12">
      <calculatedColumnFormula>IF(D2=6,C2+2,C2)</calculatedColumnFormula>
    </tableColumn>
    <tableColumn id="17" xr3:uid="{E8AF9FFE-F6B3-49FC-BA74-DC7EB0F8FC4A}" uniqueName="17" name="suma_punktow" queryTableFieldId="17" dataDxfId="11">
      <calculatedColumnFormula>SUM(N2:P2)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88C361-E628-475F-84D2-A8491E523167}" name="Tabela4" displayName="Tabela4" ref="U12:V17" totalsRowShown="0">
  <tableColumns count="2">
    <tableColumn id="1" xr3:uid="{F8C6E228-FB31-413C-929D-10EF9027493B}" name="Liczba_punktow"/>
    <tableColumn id="2" xr3:uid="{A6296C3E-D7B3-4850-8503-48D55700AA37}" name="ocena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F59389-F00A-49A9-AB82-A64A235B3142}" name="punkty_rekrutacyjne6" displayName="punkty_rekrutacyjne6" ref="A1:N515" tableType="queryTable" totalsRowShown="0">
  <autoFilter ref="A1:N515" xr:uid="{80F59389-F00A-49A9-AB82-A64A235B3142}">
    <filterColumn colId="13">
      <filters>
        <filter val="3"/>
      </filters>
    </filterColumn>
  </autoFilter>
  <tableColumns count="14">
    <tableColumn id="1" xr3:uid="{A71D9620-E226-4D73-953E-6D53EC7235C5}" uniqueName="1" name="Nazwisko" queryTableFieldId="1" dataDxfId="10"/>
    <tableColumn id="2" xr3:uid="{0CEB52B3-9742-4D0A-889B-535D7FC9F12B}" uniqueName="2" name="Imie" queryTableFieldId="2" dataDxfId="9"/>
    <tableColumn id="3" xr3:uid="{46A27962-D8DC-497B-B09D-DD326C5656E9}" uniqueName="3" name="Osiagniecia" queryTableFieldId="3"/>
    <tableColumn id="4" xr3:uid="{F74B6DA5-A2E7-41F9-B823-ABF426120CCE}" uniqueName="4" name="Zachowanie" queryTableFieldId="4"/>
    <tableColumn id="5" xr3:uid="{DA94AB18-8213-4BFE-8B3B-7F25C6959491}" uniqueName="5" name="JP" queryTableFieldId="5"/>
    <tableColumn id="6" xr3:uid="{9F461736-E219-4707-83D8-CF810C2D80FD}" uniqueName="6" name="Mat" queryTableFieldId="6"/>
    <tableColumn id="7" xr3:uid="{2DADF09A-E413-476C-B6A4-B6902F7AAF20}" uniqueName="7" name="Biol" queryTableFieldId="7"/>
    <tableColumn id="8" xr3:uid="{3A12A2E8-4511-4EDF-8388-4A6CC2A2EEC9}" uniqueName="8" name="Geog" queryTableFieldId="8"/>
    <tableColumn id="9" xr3:uid="{EBC94C83-4ED5-402C-ADAD-D9CAE9FA5305}" uniqueName="9" name="GHP" queryTableFieldId="9"/>
    <tableColumn id="10" xr3:uid="{3772E6D5-5B0C-4898-9309-F266CC8AFA35}" uniqueName="10" name="GHH" queryTableFieldId="10"/>
    <tableColumn id="11" xr3:uid="{B8BD49C8-4CBD-4A8B-AC73-8FA5054C1FE8}" uniqueName="11" name="GMM" queryTableFieldId="11"/>
    <tableColumn id="12" xr3:uid="{0BCB2011-0FE5-465D-9289-22D64C1D4F6B}" uniqueName="12" name="GMP" queryTableFieldId="12"/>
    <tableColumn id="13" xr3:uid="{9BB43366-D94A-4537-8F1F-D4C662D83C60}" uniqueName="13" name="GJP" queryTableFieldId="13"/>
    <tableColumn id="14" xr3:uid="{9125CA1A-7776-4A08-ACEE-804D4A48FC57}" uniqueName="14" name="spełnia_warunek" queryTableFieldId="14" dataDxfId="8">
      <calculatedColumnFormula>COUNTIF(I2:M2, 100)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FB9BF7-91C5-4BE6-A3D3-0547E9EEC4CC}" name="punkty_rekrutacyjne7" displayName="punkty_rekrutacyjne7" ref="A1:M515" tableType="queryTable" totalsRowShown="0">
  <autoFilter ref="A1:M515" xr:uid="{A9FB9BF7-91C5-4BE6-A3D3-0547E9EEC4CC}"/>
  <tableColumns count="13">
    <tableColumn id="1" xr3:uid="{C9572378-2CFD-4E05-865C-2D95ECF42D52}" uniqueName="1" name="Nazwisko" queryTableFieldId="1" dataDxfId="7"/>
    <tableColumn id="2" xr3:uid="{84F6F6A8-3C46-4860-AE19-C4E23D5A0CEA}" uniqueName="2" name="Imie" queryTableFieldId="2" dataDxfId="6"/>
    <tableColumn id="3" xr3:uid="{B7B383CB-A41B-49FE-B1C8-C308A7B48F8A}" uniqueName="3" name="Osiagniecia" queryTableFieldId="3"/>
    <tableColumn id="4" xr3:uid="{096B4873-4253-413B-95BE-30B88C6F0D4A}" uniqueName="4" name="Zachowanie" queryTableFieldId="4"/>
    <tableColumn id="5" xr3:uid="{9F653ED0-7F30-481D-8623-CA6E3EF49880}" uniqueName="5" name="JP" queryTableFieldId="5"/>
    <tableColumn id="6" xr3:uid="{EF6B936A-5DA4-420A-A13E-EB684FE74E9D}" uniqueName="6" name="Mat" queryTableFieldId="6"/>
    <tableColumn id="7" xr3:uid="{D6F67B26-AF56-468D-BC92-D3556A0A24C8}" uniqueName="7" name="Biol" queryTableFieldId="7"/>
    <tableColumn id="8" xr3:uid="{FA66AAC4-BDF4-464A-A9CE-C68F3549BD43}" uniqueName="8" name="Geog" queryTableFieldId="8"/>
    <tableColumn id="9" xr3:uid="{930D0E11-41E2-406A-A895-B404D33F58D8}" uniqueName="9" name="GHP" queryTableFieldId="9"/>
    <tableColumn id="10" xr3:uid="{5D10E57A-2C2D-4097-AF1C-EDAD365E22C2}" uniqueName="10" name="GHH" queryTableFieldId="10"/>
    <tableColumn id="11" xr3:uid="{9B7BB739-892A-4335-BD2F-C39A439D1B62}" uniqueName="11" name="GMM" queryTableFieldId="11"/>
    <tableColumn id="12" xr3:uid="{4692C57A-402F-4B5B-ADAB-2620620757C7}" uniqueName="12" name="GMP" queryTableFieldId="12"/>
    <tableColumn id="13" xr3:uid="{D0D6794F-82A5-4902-ADD4-1B3E2E47064B}" uniqueName="13" name="GJP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A67E16-CDD9-422F-9C41-DF0A39BD637F}" name="punkty_rekrutacyjne48" displayName="punkty_rekrutacyjne48" ref="A1:Q515" tableType="queryTable" totalsRowShown="0">
  <autoFilter ref="A1:Q515" xr:uid="{63A67E16-CDD9-422F-9C41-DF0A39BD637F}"/>
  <tableColumns count="17">
    <tableColumn id="1" xr3:uid="{BD9BE07D-9CE9-422C-A876-BA8FB4854DA3}" uniqueName="1" name="Nazwisko" queryTableFieldId="1" dataDxfId="5"/>
    <tableColumn id="2" xr3:uid="{AF55E39B-2167-4CAB-8F45-979F7FD0F30B}" uniqueName="2" name="Imie" queryTableFieldId="2" dataDxfId="4"/>
    <tableColumn id="3" xr3:uid="{859A7401-0109-4AED-A13E-418EB50AA600}" uniqueName="3" name="Osiagniecia" queryTableFieldId="3"/>
    <tableColumn id="4" xr3:uid="{8D742D2A-9B0A-4D86-8AE7-A39047A5864E}" uniqueName="4" name="Zachowanie" queryTableFieldId="4"/>
    <tableColumn id="5" xr3:uid="{B9D5F2FE-1428-489E-8D67-F263419A856E}" uniqueName="5" name="JP" queryTableFieldId="5"/>
    <tableColumn id="6" xr3:uid="{91B28A38-8D48-43C2-8F2A-5D8625B45500}" uniqueName="6" name="Mat" queryTableFieldId="6"/>
    <tableColumn id="7" xr3:uid="{E9D1B4FD-4C0F-4E5A-9EFA-FB49D556D1EE}" uniqueName="7" name="Biol" queryTableFieldId="7"/>
    <tableColumn id="8" xr3:uid="{C354D11B-6356-4269-9DD2-FD0BF0D282F8}" uniqueName="8" name="Geog" queryTableFieldId="8"/>
    <tableColumn id="9" xr3:uid="{8C2BEE7E-DD46-4726-9290-16975C2B1A39}" uniqueName="9" name="GHP" queryTableFieldId="9"/>
    <tableColumn id="10" xr3:uid="{FE6EA467-0375-48A9-A475-6E946FDAF892}" uniqueName="10" name="GHH" queryTableFieldId="10"/>
    <tableColumn id="11" xr3:uid="{1BFC6ADD-7E3F-4886-94EA-A1227DDAE740}" uniqueName="11" name="GMM" queryTableFieldId="11"/>
    <tableColumn id="12" xr3:uid="{872E515B-C79A-4FBB-8A28-F679EFAB133A}" uniqueName="12" name="GMP" queryTableFieldId="12"/>
    <tableColumn id="13" xr3:uid="{D587C9A2-8544-4F5F-B963-D4F2864D8946}" uniqueName="13" name="GJP" queryTableFieldId="13"/>
    <tableColumn id="14" xr3:uid="{FE159C19-1EA4-41C6-ACA6-7535EBC2BDC1}" uniqueName="14" name="punkty_egzamin" queryTableFieldId="14" dataDxfId="3">
      <calculatedColumnFormula>I2/10 + J2/10 + K2/10 + L2/10 + M2/10</calculatedColumnFormula>
    </tableColumn>
    <tableColumn id="15" xr3:uid="{5EA33114-88B5-4A95-8F8A-4BC4A46AE70E}" uniqueName="15" name="punkty_swiadectwo" queryTableFieldId="15" dataDxfId="2">
      <calculatedColumnFormula array="1">SUM(_xlfn.XLOOKUP(E2:H2, $U$13:$U$17, $T$13:$T$17))</calculatedColumnFormula>
    </tableColumn>
    <tableColumn id="16" xr3:uid="{C9D3FB8F-5712-41C5-ABBB-3066535A87A0}" uniqueName="16" name="dod_osiagniecia" queryTableFieldId="16" dataDxfId="1">
      <calculatedColumnFormula>IF(D2=6,C2+2,C2)</calculatedColumnFormula>
    </tableColumn>
    <tableColumn id="18" xr3:uid="{3C12576F-974B-473D-8E6E-785955200372}" uniqueName="18" name="Spełnia_warunek" queryTableFieldId="18" dataDxfId="0">
      <calculatedColumnFormula>IF((O2+P2)&gt;N2, 1, 0)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5DE8E-39B0-4817-BA12-841C732C28B2}" name="Tabela49" displayName="Tabela49" ref="T12:U17" totalsRowShown="0">
  <tableColumns count="2">
    <tableColumn id="1" xr3:uid="{A8CD535C-ED13-422A-8523-CE60218DC0E6}" name="Liczba_punktow"/>
    <tableColumn id="2" xr3:uid="{761D3CE4-CE9B-40A0-8000-EACF29932B52}" name="ocen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B343-19CC-4B75-9903-795B45750095}">
  <dimension ref="A1:M515"/>
  <sheetViews>
    <sheetView topLeftCell="A476" zoomScale="130" zoomScaleNormal="130" workbookViewId="0">
      <selection sqref="A1:M515"/>
    </sheetView>
  </sheetViews>
  <sheetFormatPr defaultRowHeight="15" x14ac:dyDescent="0.25"/>
  <cols>
    <col min="1" max="1" width="14.85546875" bestFit="1" customWidth="1"/>
    <col min="2" max="2" width="12.140625" bestFit="1" customWidth="1"/>
    <col min="3" max="3" width="13.42578125" bestFit="1" customWidth="1"/>
    <col min="4" max="4" width="13.85546875" bestFit="1" customWidth="1"/>
    <col min="5" max="5" width="5.140625" bestFit="1" customWidth="1"/>
    <col min="6" max="6" width="6.85546875" bestFit="1" customWidth="1"/>
    <col min="7" max="7" width="6.7109375" bestFit="1" customWidth="1"/>
    <col min="8" max="8" width="8" bestFit="1" customWidth="1"/>
    <col min="9" max="9" width="7.140625" bestFit="1" customWidth="1"/>
    <col min="10" max="10" width="7.28515625" bestFit="1" customWidth="1"/>
    <col min="11" max="11" width="8.42578125" bestFit="1" customWidth="1"/>
    <col min="12" max="12" width="7.7109375" bestFit="1" customWidth="1"/>
    <col min="13" max="13" width="6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>
        <v>0</v>
      </c>
      <c r="D2">
        <v>4</v>
      </c>
      <c r="E2">
        <v>4</v>
      </c>
      <c r="F2">
        <v>5</v>
      </c>
      <c r="G2">
        <v>6</v>
      </c>
      <c r="H2">
        <v>6</v>
      </c>
      <c r="I2">
        <v>62</v>
      </c>
      <c r="J2">
        <v>13</v>
      </c>
      <c r="K2">
        <v>26</v>
      </c>
      <c r="L2">
        <v>67</v>
      </c>
      <c r="M2">
        <v>62</v>
      </c>
    </row>
    <row r="3" spans="1:13" x14ac:dyDescent="0.25">
      <c r="A3" s="1" t="s">
        <v>15</v>
      </c>
      <c r="B3" s="1" t="s">
        <v>16</v>
      </c>
      <c r="C3">
        <v>7</v>
      </c>
      <c r="D3">
        <v>4</v>
      </c>
      <c r="E3">
        <v>4</v>
      </c>
      <c r="F3">
        <v>2</v>
      </c>
      <c r="G3">
        <v>5</v>
      </c>
      <c r="H3">
        <v>6</v>
      </c>
      <c r="I3">
        <v>90</v>
      </c>
      <c r="J3">
        <v>8</v>
      </c>
      <c r="K3">
        <v>21</v>
      </c>
      <c r="L3">
        <v>52</v>
      </c>
      <c r="M3">
        <v>33</v>
      </c>
    </row>
    <row r="4" spans="1:13" x14ac:dyDescent="0.25">
      <c r="A4" s="1" t="s">
        <v>17</v>
      </c>
      <c r="B4" s="1" t="s">
        <v>18</v>
      </c>
      <c r="C4">
        <v>7</v>
      </c>
      <c r="D4">
        <v>4</v>
      </c>
      <c r="E4">
        <v>4</v>
      </c>
      <c r="F4">
        <v>6</v>
      </c>
      <c r="G4">
        <v>6</v>
      </c>
      <c r="H4">
        <v>5</v>
      </c>
      <c r="I4">
        <v>96</v>
      </c>
      <c r="J4">
        <v>99</v>
      </c>
      <c r="K4">
        <v>16</v>
      </c>
      <c r="L4">
        <v>85</v>
      </c>
      <c r="M4">
        <v>65</v>
      </c>
    </row>
    <row r="5" spans="1:13" x14ac:dyDescent="0.25">
      <c r="A5" s="1" t="s">
        <v>19</v>
      </c>
      <c r="B5" s="1" t="s">
        <v>20</v>
      </c>
      <c r="C5">
        <v>8</v>
      </c>
      <c r="D5">
        <v>6</v>
      </c>
      <c r="E5">
        <v>4</v>
      </c>
      <c r="F5">
        <v>4</v>
      </c>
      <c r="G5">
        <v>3</v>
      </c>
      <c r="H5">
        <v>5</v>
      </c>
      <c r="I5">
        <v>17</v>
      </c>
      <c r="J5">
        <v>100</v>
      </c>
      <c r="K5">
        <v>100</v>
      </c>
      <c r="L5">
        <v>100</v>
      </c>
      <c r="M5">
        <v>31</v>
      </c>
    </row>
    <row r="6" spans="1:13" x14ac:dyDescent="0.25">
      <c r="A6" s="1" t="s">
        <v>21</v>
      </c>
      <c r="B6" s="1" t="s">
        <v>18</v>
      </c>
      <c r="C6">
        <v>5</v>
      </c>
      <c r="D6">
        <v>4</v>
      </c>
      <c r="E6">
        <v>2</v>
      </c>
      <c r="F6">
        <v>4</v>
      </c>
      <c r="G6">
        <v>5</v>
      </c>
      <c r="H6">
        <v>4</v>
      </c>
      <c r="I6">
        <v>20</v>
      </c>
      <c r="J6">
        <v>28</v>
      </c>
      <c r="K6">
        <v>58</v>
      </c>
      <c r="L6">
        <v>86</v>
      </c>
      <c r="M6">
        <v>48</v>
      </c>
    </row>
    <row r="7" spans="1:13" x14ac:dyDescent="0.25">
      <c r="A7" s="1" t="s">
        <v>22</v>
      </c>
      <c r="B7" s="1" t="s">
        <v>23</v>
      </c>
      <c r="C7">
        <v>7</v>
      </c>
      <c r="D7">
        <v>3</v>
      </c>
      <c r="E7">
        <v>2</v>
      </c>
      <c r="F7">
        <v>2</v>
      </c>
      <c r="G7">
        <v>2</v>
      </c>
      <c r="H7">
        <v>3</v>
      </c>
      <c r="I7">
        <v>77</v>
      </c>
      <c r="J7">
        <v>10</v>
      </c>
      <c r="K7">
        <v>11</v>
      </c>
      <c r="L7">
        <v>72</v>
      </c>
      <c r="M7">
        <v>78</v>
      </c>
    </row>
    <row r="8" spans="1:13" x14ac:dyDescent="0.25">
      <c r="A8" s="1" t="s">
        <v>24</v>
      </c>
      <c r="B8" s="1" t="s">
        <v>23</v>
      </c>
      <c r="C8">
        <v>8</v>
      </c>
      <c r="D8">
        <v>6</v>
      </c>
      <c r="E8">
        <v>6</v>
      </c>
      <c r="F8">
        <v>5</v>
      </c>
      <c r="G8">
        <v>5</v>
      </c>
      <c r="H8">
        <v>2</v>
      </c>
      <c r="I8">
        <v>75</v>
      </c>
      <c r="J8">
        <v>25</v>
      </c>
      <c r="K8">
        <v>5</v>
      </c>
      <c r="L8">
        <v>3</v>
      </c>
      <c r="M8">
        <v>58</v>
      </c>
    </row>
    <row r="9" spans="1:13" x14ac:dyDescent="0.25">
      <c r="A9" s="1" t="s">
        <v>25</v>
      </c>
      <c r="B9" s="1" t="s">
        <v>26</v>
      </c>
      <c r="C9">
        <v>6</v>
      </c>
      <c r="D9">
        <v>6</v>
      </c>
      <c r="E9">
        <v>2</v>
      </c>
      <c r="F9">
        <v>5</v>
      </c>
      <c r="G9">
        <v>5</v>
      </c>
      <c r="H9">
        <v>3</v>
      </c>
      <c r="I9">
        <v>12</v>
      </c>
      <c r="J9">
        <v>17</v>
      </c>
      <c r="K9">
        <v>14</v>
      </c>
      <c r="L9">
        <v>4</v>
      </c>
      <c r="M9">
        <v>3</v>
      </c>
    </row>
    <row r="10" spans="1:13" x14ac:dyDescent="0.25">
      <c r="A10" s="1" t="s">
        <v>27</v>
      </c>
      <c r="B10" s="1" t="s">
        <v>28</v>
      </c>
      <c r="C10">
        <v>1</v>
      </c>
      <c r="D10">
        <v>6</v>
      </c>
      <c r="E10">
        <v>6</v>
      </c>
      <c r="F10">
        <v>2</v>
      </c>
      <c r="G10">
        <v>3</v>
      </c>
      <c r="H10">
        <v>6</v>
      </c>
      <c r="I10">
        <v>1</v>
      </c>
      <c r="J10">
        <v>3</v>
      </c>
      <c r="K10">
        <v>69</v>
      </c>
      <c r="L10">
        <v>89</v>
      </c>
      <c r="M10">
        <v>10</v>
      </c>
    </row>
    <row r="11" spans="1:13" x14ac:dyDescent="0.25">
      <c r="A11" s="1" t="s">
        <v>29</v>
      </c>
      <c r="B11" s="1" t="s">
        <v>30</v>
      </c>
      <c r="C11">
        <v>0</v>
      </c>
      <c r="D11">
        <v>5</v>
      </c>
      <c r="E11">
        <v>3</v>
      </c>
      <c r="F11">
        <v>6</v>
      </c>
      <c r="G11">
        <v>6</v>
      </c>
      <c r="H11">
        <v>4</v>
      </c>
      <c r="I11">
        <v>28</v>
      </c>
      <c r="J11">
        <v>53</v>
      </c>
      <c r="K11">
        <v>38</v>
      </c>
      <c r="L11">
        <v>63</v>
      </c>
      <c r="M11">
        <v>70</v>
      </c>
    </row>
    <row r="12" spans="1:13" x14ac:dyDescent="0.25">
      <c r="A12" s="1" t="s">
        <v>31</v>
      </c>
      <c r="B12" s="1" t="s">
        <v>32</v>
      </c>
      <c r="C12">
        <v>4</v>
      </c>
      <c r="D12">
        <v>3</v>
      </c>
      <c r="E12">
        <v>3</v>
      </c>
      <c r="F12">
        <v>6</v>
      </c>
      <c r="G12">
        <v>6</v>
      </c>
      <c r="H12">
        <v>2</v>
      </c>
      <c r="I12">
        <v>77</v>
      </c>
      <c r="J12">
        <v>8</v>
      </c>
      <c r="K12">
        <v>71</v>
      </c>
      <c r="L12">
        <v>88</v>
      </c>
      <c r="M12">
        <v>41</v>
      </c>
    </row>
    <row r="13" spans="1:13" x14ac:dyDescent="0.25">
      <c r="A13" s="1" t="s">
        <v>33</v>
      </c>
      <c r="B13" s="1" t="s">
        <v>34</v>
      </c>
      <c r="C13">
        <v>4</v>
      </c>
      <c r="D13">
        <v>6</v>
      </c>
      <c r="E13">
        <v>5</v>
      </c>
      <c r="F13">
        <v>6</v>
      </c>
      <c r="G13">
        <v>3</v>
      </c>
      <c r="H13">
        <v>6</v>
      </c>
      <c r="I13">
        <v>83</v>
      </c>
      <c r="J13">
        <v>27</v>
      </c>
      <c r="K13">
        <v>79</v>
      </c>
      <c r="L13">
        <v>20</v>
      </c>
      <c r="M13">
        <v>43</v>
      </c>
    </row>
    <row r="14" spans="1:13" x14ac:dyDescent="0.25">
      <c r="A14" s="1" t="s">
        <v>35</v>
      </c>
      <c r="B14" s="1" t="s">
        <v>36</v>
      </c>
      <c r="C14">
        <v>1</v>
      </c>
      <c r="D14">
        <v>3</v>
      </c>
      <c r="E14">
        <v>6</v>
      </c>
      <c r="F14">
        <v>3</v>
      </c>
      <c r="G14">
        <v>3</v>
      </c>
      <c r="H14">
        <v>2</v>
      </c>
      <c r="I14">
        <v>16</v>
      </c>
      <c r="J14">
        <v>43</v>
      </c>
      <c r="K14">
        <v>92</v>
      </c>
      <c r="L14">
        <v>54</v>
      </c>
      <c r="M14">
        <v>27</v>
      </c>
    </row>
    <row r="15" spans="1:13" x14ac:dyDescent="0.25">
      <c r="A15" s="1" t="s">
        <v>37</v>
      </c>
      <c r="B15" s="1" t="s">
        <v>38</v>
      </c>
      <c r="C15">
        <v>6</v>
      </c>
      <c r="D15">
        <v>6</v>
      </c>
      <c r="E15">
        <v>5</v>
      </c>
      <c r="F15">
        <v>3</v>
      </c>
      <c r="G15">
        <v>2</v>
      </c>
      <c r="H15">
        <v>6</v>
      </c>
      <c r="I15">
        <v>11</v>
      </c>
      <c r="J15">
        <v>36</v>
      </c>
      <c r="K15">
        <v>4</v>
      </c>
      <c r="L15">
        <v>41</v>
      </c>
      <c r="M15">
        <v>62</v>
      </c>
    </row>
    <row r="16" spans="1:13" x14ac:dyDescent="0.25">
      <c r="A16" s="1" t="s">
        <v>39</v>
      </c>
      <c r="B16" s="1" t="s">
        <v>38</v>
      </c>
      <c r="C16">
        <v>5</v>
      </c>
      <c r="D16">
        <v>2</v>
      </c>
      <c r="E16">
        <v>4</v>
      </c>
      <c r="F16">
        <v>2</v>
      </c>
      <c r="G16">
        <v>3</v>
      </c>
      <c r="H16">
        <v>5</v>
      </c>
      <c r="I16">
        <v>80</v>
      </c>
      <c r="J16">
        <v>75</v>
      </c>
      <c r="K16">
        <v>60</v>
      </c>
      <c r="L16">
        <v>54</v>
      </c>
      <c r="M16">
        <v>69</v>
      </c>
    </row>
    <row r="17" spans="1:13" x14ac:dyDescent="0.25">
      <c r="A17" s="1" t="s">
        <v>40</v>
      </c>
      <c r="B17" s="1" t="s">
        <v>41</v>
      </c>
      <c r="C17">
        <v>8</v>
      </c>
      <c r="D17">
        <v>6</v>
      </c>
      <c r="E17">
        <v>4</v>
      </c>
      <c r="F17">
        <v>3</v>
      </c>
      <c r="G17">
        <v>4</v>
      </c>
      <c r="H17">
        <v>5</v>
      </c>
      <c r="I17">
        <v>22</v>
      </c>
      <c r="J17">
        <v>46</v>
      </c>
      <c r="K17">
        <v>36</v>
      </c>
      <c r="L17">
        <v>35</v>
      </c>
      <c r="M17">
        <v>91</v>
      </c>
    </row>
    <row r="18" spans="1:13" x14ac:dyDescent="0.25">
      <c r="A18" s="1" t="s">
        <v>42</v>
      </c>
      <c r="B18" s="1" t="s">
        <v>43</v>
      </c>
      <c r="C18">
        <v>2</v>
      </c>
      <c r="D18">
        <v>5</v>
      </c>
      <c r="E18">
        <v>3</v>
      </c>
      <c r="F18">
        <v>5</v>
      </c>
      <c r="G18">
        <v>6</v>
      </c>
      <c r="H18">
        <v>3</v>
      </c>
      <c r="I18">
        <v>47</v>
      </c>
      <c r="J18">
        <v>30</v>
      </c>
      <c r="K18">
        <v>2</v>
      </c>
      <c r="L18">
        <v>45</v>
      </c>
      <c r="M18">
        <v>76</v>
      </c>
    </row>
    <row r="19" spans="1:13" x14ac:dyDescent="0.25">
      <c r="A19" s="1" t="s">
        <v>44</v>
      </c>
      <c r="B19" s="1" t="s">
        <v>45</v>
      </c>
      <c r="C19">
        <v>8</v>
      </c>
      <c r="D19">
        <v>4</v>
      </c>
      <c r="E19">
        <v>3</v>
      </c>
      <c r="F19">
        <v>4</v>
      </c>
      <c r="G19">
        <v>6</v>
      </c>
      <c r="H19">
        <v>2</v>
      </c>
      <c r="I19">
        <v>23</v>
      </c>
      <c r="J19">
        <v>49</v>
      </c>
      <c r="K19">
        <v>16</v>
      </c>
      <c r="L19">
        <v>3</v>
      </c>
      <c r="M19">
        <v>81</v>
      </c>
    </row>
    <row r="20" spans="1:13" x14ac:dyDescent="0.25">
      <c r="A20" s="1" t="s">
        <v>46</v>
      </c>
      <c r="B20" s="1" t="s">
        <v>16</v>
      </c>
      <c r="C20">
        <v>1</v>
      </c>
      <c r="D20">
        <v>6</v>
      </c>
      <c r="E20">
        <v>6</v>
      </c>
      <c r="F20">
        <v>6</v>
      </c>
      <c r="G20">
        <v>3</v>
      </c>
      <c r="H20">
        <v>2</v>
      </c>
      <c r="I20">
        <v>14</v>
      </c>
      <c r="J20">
        <v>20</v>
      </c>
      <c r="K20">
        <v>14</v>
      </c>
      <c r="L20">
        <v>64</v>
      </c>
      <c r="M20">
        <v>55</v>
      </c>
    </row>
    <row r="21" spans="1:13" x14ac:dyDescent="0.25">
      <c r="A21" s="1" t="s">
        <v>47</v>
      </c>
      <c r="B21" s="1" t="s">
        <v>48</v>
      </c>
      <c r="C21">
        <v>5</v>
      </c>
      <c r="D21">
        <v>4</v>
      </c>
      <c r="E21">
        <v>3</v>
      </c>
      <c r="F21">
        <v>3</v>
      </c>
      <c r="G21">
        <v>3</v>
      </c>
      <c r="H21">
        <v>6</v>
      </c>
      <c r="I21">
        <v>98</v>
      </c>
      <c r="J21">
        <v>48</v>
      </c>
      <c r="K21">
        <v>6</v>
      </c>
      <c r="L21">
        <v>70</v>
      </c>
      <c r="M21">
        <v>6</v>
      </c>
    </row>
    <row r="22" spans="1:13" x14ac:dyDescent="0.25">
      <c r="A22" s="1" t="s">
        <v>49</v>
      </c>
      <c r="B22" s="1" t="s">
        <v>38</v>
      </c>
      <c r="C22">
        <v>3</v>
      </c>
      <c r="D22">
        <v>3</v>
      </c>
      <c r="E22">
        <v>2</v>
      </c>
      <c r="F22">
        <v>3</v>
      </c>
      <c r="G22">
        <v>3</v>
      </c>
      <c r="H22">
        <v>2</v>
      </c>
      <c r="I22">
        <v>38</v>
      </c>
      <c r="J22">
        <v>71</v>
      </c>
      <c r="K22">
        <v>35</v>
      </c>
      <c r="L22">
        <v>95</v>
      </c>
      <c r="M22">
        <v>84</v>
      </c>
    </row>
    <row r="23" spans="1:13" x14ac:dyDescent="0.25">
      <c r="A23" s="1" t="s">
        <v>50</v>
      </c>
      <c r="B23" s="1" t="s">
        <v>51</v>
      </c>
      <c r="C23">
        <v>7</v>
      </c>
      <c r="D23">
        <v>4</v>
      </c>
      <c r="E23">
        <v>6</v>
      </c>
      <c r="F23">
        <v>4</v>
      </c>
      <c r="G23">
        <v>6</v>
      </c>
      <c r="H23">
        <v>5</v>
      </c>
      <c r="I23">
        <v>95</v>
      </c>
      <c r="J23">
        <v>100</v>
      </c>
      <c r="K23">
        <v>100</v>
      </c>
      <c r="L23">
        <v>40</v>
      </c>
      <c r="M23">
        <v>100</v>
      </c>
    </row>
    <row r="24" spans="1:13" x14ac:dyDescent="0.25">
      <c r="A24" s="1" t="s">
        <v>52</v>
      </c>
      <c r="B24" s="1" t="s">
        <v>53</v>
      </c>
      <c r="C24">
        <v>7</v>
      </c>
      <c r="D24">
        <v>2</v>
      </c>
      <c r="E24">
        <v>4</v>
      </c>
      <c r="F24">
        <v>5</v>
      </c>
      <c r="G24">
        <v>3</v>
      </c>
      <c r="H24">
        <v>4</v>
      </c>
      <c r="I24">
        <v>59</v>
      </c>
      <c r="J24">
        <v>14</v>
      </c>
      <c r="K24">
        <v>99</v>
      </c>
      <c r="L24">
        <v>4</v>
      </c>
      <c r="M24">
        <v>3</v>
      </c>
    </row>
    <row r="25" spans="1:13" x14ac:dyDescent="0.25">
      <c r="A25" s="1" t="s">
        <v>54</v>
      </c>
      <c r="B25" s="1" t="s">
        <v>55</v>
      </c>
      <c r="C25">
        <v>3</v>
      </c>
      <c r="D25">
        <v>3</v>
      </c>
      <c r="E25">
        <v>5</v>
      </c>
      <c r="F25">
        <v>5</v>
      </c>
      <c r="G25">
        <v>2</v>
      </c>
      <c r="H25">
        <v>6</v>
      </c>
      <c r="I25">
        <v>26</v>
      </c>
      <c r="J25">
        <v>14</v>
      </c>
      <c r="K25">
        <v>18</v>
      </c>
      <c r="L25">
        <v>96</v>
      </c>
      <c r="M25">
        <v>41</v>
      </c>
    </row>
    <row r="26" spans="1:13" x14ac:dyDescent="0.25">
      <c r="A26" s="1" t="s">
        <v>56</v>
      </c>
      <c r="B26" s="1" t="s">
        <v>38</v>
      </c>
      <c r="C26">
        <v>8</v>
      </c>
      <c r="D26">
        <v>6</v>
      </c>
      <c r="E26">
        <v>3</v>
      </c>
      <c r="F26">
        <v>4</v>
      </c>
      <c r="G26">
        <v>2</v>
      </c>
      <c r="H26">
        <v>4</v>
      </c>
      <c r="I26">
        <v>8</v>
      </c>
      <c r="J26">
        <v>78</v>
      </c>
      <c r="K26">
        <v>64</v>
      </c>
      <c r="L26">
        <v>10</v>
      </c>
      <c r="M26">
        <v>55</v>
      </c>
    </row>
    <row r="27" spans="1:13" x14ac:dyDescent="0.25">
      <c r="A27" s="1" t="s">
        <v>57</v>
      </c>
      <c r="B27" s="1" t="s">
        <v>58</v>
      </c>
      <c r="C27">
        <v>3</v>
      </c>
      <c r="D27">
        <v>5</v>
      </c>
      <c r="E27">
        <v>2</v>
      </c>
      <c r="F27">
        <v>4</v>
      </c>
      <c r="G27">
        <v>3</v>
      </c>
      <c r="H27">
        <v>6</v>
      </c>
      <c r="I27">
        <v>41</v>
      </c>
      <c r="J27">
        <v>37</v>
      </c>
      <c r="K27">
        <v>5</v>
      </c>
      <c r="L27">
        <v>34</v>
      </c>
      <c r="M27">
        <v>93</v>
      </c>
    </row>
    <row r="28" spans="1:13" x14ac:dyDescent="0.25">
      <c r="A28" s="1" t="s">
        <v>59</v>
      </c>
      <c r="B28" s="1" t="s">
        <v>16</v>
      </c>
      <c r="C28">
        <v>4</v>
      </c>
      <c r="D28">
        <v>6</v>
      </c>
      <c r="E28">
        <v>4</v>
      </c>
      <c r="F28">
        <v>3</v>
      </c>
      <c r="G28">
        <v>2</v>
      </c>
      <c r="H28">
        <v>3</v>
      </c>
      <c r="I28">
        <v>60</v>
      </c>
      <c r="J28">
        <v>7</v>
      </c>
      <c r="K28">
        <v>97</v>
      </c>
      <c r="L28">
        <v>80</v>
      </c>
      <c r="M28">
        <v>43</v>
      </c>
    </row>
    <row r="29" spans="1:13" x14ac:dyDescent="0.25">
      <c r="A29" s="1" t="s">
        <v>60</v>
      </c>
      <c r="B29" s="1" t="s">
        <v>61</v>
      </c>
      <c r="C29">
        <v>1</v>
      </c>
      <c r="D29">
        <v>4</v>
      </c>
      <c r="E29">
        <v>5</v>
      </c>
      <c r="F29">
        <v>4</v>
      </c>
      <c r="G29">
        <v>2</v>
      </c>
      <c r="H29">
        <v>5</v>
      </c>
      <c r="I29">
        <v>53</v>
      </c>
      <c r="J29">
        <v>18</v>
      </c>
      <c r="K29">
        <v>94</v>
      </c>
      <c r="L29">
        <v>99</v>
      </c>
      <c r="M29">
        <v>76</v>
      </c>
    </row>
    <row r="30" spans="1:13" x14ac:dyDescent="0.25">
      <c r="A30" s="1" t="s">
        <v>62</v>
      </c>
      <c r="B30" s="1" t="s">
        <v>38</v>
      </c>
      <c r="C30">
        <v>5</v>
      </c>
      <c r="D30">
        <v>3</v>
      </c>
      <c r="E30">
        <v>3</v>
      </c>
      <c r="F30">
        <v>4</v>
      </c>
      <c r="G30">
        <v>6</v>
      </c>
      <c r="H30">
        <v>6</v>
      </c>
      <c r="I30">
        <v>84</v>
      </c>
      <c r="J30">
        <v>87</v>
      </c>
      <c r="K30">
        <v>96</v>
      </c>
      <c r="L30">
        <v>8</v>
      </c>
      <c r="M30">
        <v>17</v>
      </c>
    </row>
    <row r="31" spans="1:13" x14ac:dyDescent="0.25">
      <c r="A31" s="1" t="s">
        <v>63</v>
      </c>
      <c r="B31" s="1" t="s">
        <v>64</v>
      </c>
      <c r="C31">
        <v>2</v>
      </c>
      <c r="D31">
        <v>3</v>
      </c>
      <c r="E31">
        <v>5</v>
      </c>
      <c r="F31">
        <v>2</v>
      </c>
      <c r="G31">
        <v>2</v>
      </c>
      <c r="H31">
        <v>5</v>
      </c>
      <c r="I31">
        <v>6</v>
      </c>
      <c r="J31">
        <v>43</v>
      </c>
      <c r="K31">
        <v>53</v>
      </c>
      <c r="L31">
        <v>71</v>
      </c>
      <c r="M31">
        <v>3</v>
      </c>
    </row>
    <row r="32" spans="1:13" x14ac:dyDescent="0.25">
      <c r="A32" s="1" t="s">
        <v>65</v>
      </c>
      <c r="B32" s="1" t="s">
        <v>66</v>
      </c>
      <c r="C32">
        <v>0</v>
      </c>
      <c r="D32">
        <v>2</v>
      </c>
      <c r="E32">
        <v>6</v>
      </c>
      <c r="F32">
        <v>5</v>
      </c>
      <c r="G32">
        <v>6</v>
      </c>
      <c r="H32">
        <v>3</v>
      </c>
      <c r="I32">
        <v>89</v>
      </c>
      <c r="J32">
        <v>40</v>
      </c>
      <c r="K32">
        <v>28</v>
      </c>
      <c r="L32">
        <v>32</v>
      </c>
      <c r="M32">
        <v>47</v>
      </c>
    </row>
    <row r="33" spans="1:13" x14ac:dyDescent="0.25">
      <c r="A33" s="1" t="s">
        <v>67</v>
      </c>
      <c r="B33" s="1" t="s">
        <v>68</v>
      </c>
      <c r="C33">
        <v>0</v>
      </c>
      <c r="D33">
        <v>5</v>
      </c>
      <c r="E33">
        <v>6</v>
      </c>
      <c r="F33">
        <v>4</v>
      </c>
      <c r="G33">
        <v>4</v>
      </c>
      <c r="H33">
        <v>2</v>
      </c>
      <c r="I33">
        <v>22</v>
      </c>
      <c r="J33">
        <v>9</v>
      </c>
      <c r="K33">
        <v>1</v>
      </c>
      <c r="L33">
        <v>76</v>
      </c>
      <c r="M33">
        <v>28</v>
      </c>
    </row>
    <row r="34" spans="1:13" x14ac:dyDescent="0.25">
      <c r="A34" s="1" t="s">
        <v>69</v>
      </c>
      <c r="B34" s="1" t="s">
        <v>70</v>
      </c>
      <c r="C34">
        <v>6</v>
      </c>
      <c r="D34">
        <v>3</v>
      </c>
      <c r="E34">
        <v>2</v>
      </c>
      <c r="F34">
        <v>2</v>
      </c>
      <c r="G34">
        <v>2</v>
      </c>
      <c r="H34">
        <v>4</v>
      </c>
      <c r="I34">
        <v>82</v>
      </c>
      <c r="J34">
        <v>95</v>
      </c>
      <c r="K34">
        <v>8</v>
      </c>
      <c r="L34">
        <v>46</v>
      </c>
      <c r="M34">
        <v>76</v>
      </c>
    </row>
    <row r="35" spans="1:13" x14ac:dyDescent="0.25">
      <c r="A35" s="1" t="s">
        <v>71</v>
      </c>
      <c r="B35" s="1" t="s">
        <v>72</v>
      </c>
      <c r="C35">
        <v>7</v>
      </c>
      <c r="D35">
        <v>3</v>
      </c>
      <c r="E35">
        <v>2</v>
      </c>
      <c r="F35">
        <v>4</v>
      </c>
      <c r="G35">
        <v>4</v>
      </c>
      <c r="H35">
        <v>2</v>
      </c>
      <c r="I35">
        <v>67</v>
      </c>
      <c r="J35">
        <v>26</v>
      </c>
      <c r="K35">
        <v>50</v>
      </c>
      <c r="L35">
        <v>90</v>
      </c>
      <c r="M35">
        <v>34</v>
      </c>
    </row>
    <row r="36" spans="1:13" x14ac:dyDescent="0.25">
      <c r="A36" s="1" t="s">
        <v>73</v>
      </c>
      <c r="B36" s="1" t="s">
        <v>74</v>
      </c>
      <c r="C36">
        <v>2</v>
      </c>
      <c r="D36">
        <v>2</v>
      </c>
      <c r="E36">
        <v>6</v>
      </c>
      <c r="F36">
        <v>5</v>
      </c>
      <c r="G36">
        <v>4</v>
      </c>
      <c r="H36">
        <v>5</v>
      </c>
      <c r="I36">
        <v>34</v>
      </c>
      <c r="J36">
        <v>59</v>
      </c>
      <c r="K36">
        <v>59</v>
      </c>
      <c r="L36">
        <v>7</v>
      </c>
      <c r="M36">
        <v>1</v>
      </c>
    </row>
    <row r="37" spans="1:13" x14ac:dyDescent="0.25">
      <c r="A37" s="1" t="s">
        <v>75</v>
      </c>
      <c r="B37" s="1" t="s">
        <v>76</v>
      </c>
      <c r="C37">
        <v>4</v>
      </c>
      <c r="D37">
        <v>6</v>
      </c>
      <c r="E37">
        <v>5</v>
      </c>
      <c r="F37">
        <v>5</v>
      </c>
      <c r="G37">
        <v>6</v>
      </c>
      <c r="H37">
        <v>4</v>
      </c>
      <c r="I37">
        <v>56</v>
      </c>
      <c r="J37">
        <v>75</v>
      </c>
      <c r="K37">
        <v>51</v>
      </c>
      <c r="L37">
        <v>47</v>
      </c>
      <c r="M37">
        <v>71</v>
      </c>
    </row>
    <row r="38" spans="1:13" x14ac:dyDescent="0.25">
      <c r="A38" s="1" t="s">
        <v>77</v>
      </c>
      <c r="B38" s="1" t="s">
        <v>78</v>
      </c>
      <c r="C38">
        <v>6</v>
      </c>
      <c r="D38">
        <v>4</v>
      </c>
      <c r="E38">
        <v>5</v>
      </c>
      <c r="F38">
        <v>5</v>
      </c>
      <c r="G38">
        <v>5</v>
      </c>
      <c r="H38">
        <v>4</v>
      </c>
      <c r="I38">
        <v>70</v>
      </c>
      <c r="J38">
        <v>71</v>
      </c>
      <c r="K38">
        <v>27</v>
      </c>
      <c r="L38">
        <v>77</v>
      </c>
      <c r="M38">
        <v>13</v>
      </c>
    </row>
    <row r="39" spans="1:13" x14ac:dyDescent="0.25">
      <c r="A39" s="1" t="s">
        <v>79</v>
      </c>
      <c r="B39" s="1" t="s">
        <v>80</v>
      </c>
      <c r="C39">
        <v>2</v>
      </c>
      <c r="D39">
        <v>2</v>
      </c>
      <c r="E39">
        <v>4</v>
      </c>
      <c r="F39">
        <v>4</v>
      </c>
      <c r="G39">
        <v>4</v>
      </c>
      <c r="H39">
        <v>6</v>
      </c>
      <c r="I39">
        <v>30</v>
      </c>
      <c r="J39">
        <v>55</v>
      </c>
      <c r="K39">
        <v>59</v>
      </c>
      <c r="L39">
        <v>77</v>
      </c>
      <c r="M39">
        <v>58</v>
      </c>
    </row>
    <row r="40" spans="1:13" x14ac:dyDescent="0.25">
      <c r="A40" s="1" t="s">
        <v>81</v>
      </c>
      <c r="B40" s="1" t="s">
        <v>38</v>
      </c>
      <c r="C40">
        <v>5</v>
      </c>
      <c r="D40">
        <v>6</v>
      </c>
      <c r="E40">
        <v>6</v>
      </c>
      <c r="F40">
        <v>6</v>
      </c>
      <c r="G40">
        <v>5</v>
      </c>
      <c r="H40">
        <v>5</v>
      </c>
      <c r="I40">
        <v>57</v>
      </c>
      <c r="J40">
        <v>22</v>
      </c>
      <c r="K40">
        <v>16</v>
      </c>
      <c r="L40">
        <v>20</v>
      </c>
      <c r="M40">
        <v>67</v>
      </c>
    </row>
    <row r="41" spans="1:13" x14ac:dyDescent="0.25">
      <c r="A41" s="1" t="s">
        <v>82</v>
      </c>
      <c r="B41" s="1" t="s">
        <v>83</v>
      </c>
      <c r="C41">
        <v>6</v>
      </c>
      <c r="D41">
        <v>2</v>
      </c>
      <c r="E41">
        <v>5</v>
      </c>
      <c r="F41">
        <v>3</v>
      </c>
      <c r="G41">
        <v>3</v>
      </c>
      <c r="H41">
        <v>6</v>
      </c>
      <c r="I41">
        <v>67</v>
      </c>
      <c r="J41">
        <v>98</v>
      </c>
      <c r="K41">
        <v>28</v>
      </c>
      <c r="L41">
        <v>6</v>
      </c>
      <c r="M41">
        <v>20</v>
      </c>
    </row>
    <row r="42" spans="1:13" x14ac:dyDescent="0.25">
      <c r="A42" s="1" t="s">
        <v>84</v>
      </c>
      <c r="B42" s="1" t="s">
        <v>38</v>
      </c>
      <c r="C42">
        <v>7</v>
      </c>
      <c r="D42">
        <v>4</v>
      </c>
      <c r="E42">
        <v>6</v>
      </c>
      <c r="F42">
        <v>4</v>
      </c>
      <c r="G42">
        <v>3</v>
      </c>
      <c r="H42">
        <v>3</v>
      </c>
      <c r="I42">
        <v>12</v>
      </c>
      <c r="J42">
        <v>86</v>
      </c>
      <c r="K42">
        <v>61</v>
      </c>
      <c r="L42">
        <v>94</v>
      </c>
      <c r="M42">
        <v>74</v>
      </c>
    </row>
    <row r="43" spans="1:13" x14ac:dyDescent="0.25">
      <c r="A43" s="1" t="s">
        <v>46</v>
      </c>
      <c r="B43" s="1" t="s">
        <v>16</v>
      </c>
      <c r="C43">
        <v>0</v>
      </c>
      <c r="D43">
        <v>3</v>
      </c>
      <c r="E43">
        <v>4</v>
      </c>
      <c r="F43">
        <v>3</v>
      </c>
      <c r="G43">
        <v>5</v>
      </c>
      <c r="H43">
        <v>2</v>
      </c>
      <c r="I43">
        <v>82</v>
      </c>
      <c r="J43">
        <v>70</v>
      </c>
      <c r="K43">
        <v>18</v>
      </c>
      <c r="L43">
        <v>28</v>
      </c>
      <c r="M43">
        <v>34</v>
      </c>
    </row>
    <row r="44" spans="1:13" x14ac:dyDescent="0.25">
      <c r="A44" s="1" t="s">
        <v>85</v>
      </c>
      <c r="B44" s="1" t="s">
        <v>86</v>
      </c>
      <c r="C44">
        <v>8</v>
      </c>
      <c r="D44">
        <v>5</v>
      </c>
      <c r="E44">
        <v>4</v>
      </c>
      <c r="F44">
        <v>6</v>
      </c>
      <c r="G44">
        <v>2</v>
      </c>
      <c r="H44">
        <v>6</v>
      </c>
      <c r="I44">
        <v>32</v>
      </c>
      <c r="J44">
        <v>88</v>
      </c>
      <c r="K44">
        <v>15</v>
      </c>
      <c r="L44">
        <v>45</v>
      </c>
      <c r="M44">
        <v>24</v>
      </c>
    </row>
    <row r="45" spans="1:13" x14ac:dyDescent="0.25">
      <c r="A45" s="1" t="s">
        <v>87</v>
      </c>
      <c r="B45" s="1" t="s">
        <v>55</v>
      </c>
      <c r="C45">
        <v>2</v>
      </c>
      <c r="D45">
        <v>2</v>
      </c>
      <c r="E45">
        <v>5</v>
      </c>
      <c r="F45">
        <v>5</v>
      </c>
      <c r="G45">
        <v>2</v>
      </c>
      <c r="H45">
        <v>2</v>
      </c>
      <c r="I45">
        <v>65</v>
      </c>
      <c r="J45">
        <v>87</v>
      </c>
      <c r="K45">
        <v>53</v>
      </c>
      <c r="L45">
        <v>98</v>
      </c>
      <c r="M45">
        <v>50</v>
      </c>
    </row>
    <row r="46" spans="1:13" x14ac:dyDescent="0.25">
      <c r="A46" s="1" t="s">
        <v>88</v>
      </c>
      <c r="B46" s="1" t="s">
        <v>26</v>
      </c>
      <c r="C46">
        <v>3</v>
      </c>
      <c r="D46">
        <v>2</v>
      </c>
      <c r="E46">
        <v>3</v>
      </c>
      <c r="F46">
        <v>3</v>
      </c>
      <c r="G46">
        <v>6</v>
      </c>
      <c r="H46">
        <v>6</v>
      </c>
      <c r="I46">
        <v>10</v>
      </c>
      <c r="J46">
        <v>21</v>
      </c>
      <c r="K46">
        <v>35</v>
      </c>
      <c r="L46">
        <v>98</v>
      </c>
      <c r="M46">
        <v>21</v>
      </c>
    </row>
    <row r="47" spans="1:13" x14ac:dyDescent="0.25">
      <c r="A47" s="1" t="s">
        <v>89</v>
      </c>
      <c r="B47" s="1" t="s">
        <v>90</v>
      </c>
      <c r="C47">
        <v>2</v>
      </c>
      <c r="D47">
        <v>3</v>
      </c>
      <c r="E47">
        <v>6</v>
      </c>
      <c r="F47">
        <v>3</v>
      </c>
      <c r="G47">
        <v>6</v>
      </c>
      <c r="H47">
        <v>3</v>
      </c>
      <c r="I47">
        <v>53</v>
      </c>
      <c r="J47">
        <v>50</v>
      </c>
      <c r="K47">
        <v>16</v>
      </c>
      <c r="L47">
        <v>44</v>
      </c>
      <c r="M47">
        <v>8</v>
      </c>
    </row>
    <row r="48" spans="1:13" x14ac:dyDescent="0.25">
      <c r="A48" s="1" t="s">
        <v>91</v>
      </c>
      <c r="B48" s="1" t="s">
        <v>70</v>
      </c>
      <c r="C48">
        <v>1</v>
      </c>
      <c r="D48">
        <v>5</v>
      </c>
      <c r="E48">
        <v>3</v>
      </c>
      <c r="F48">
        <v>6</v>
      </c>
      <c r="G48">
        <v>4</v>
      </c>
      <c r="H48">
        <v>4</v>
      </c>
      <c r="I48">
        <v>38</v>
      </c>
      <c r="J48">
        <v>43</v>
      </c>
      <c r="K48">
        <v>49</v>
      </c>
      <c r="L48">
        <v>89</v>
      </c>
      <c r="M48">
        <v>16</v>
      </c>
    </row>
    <row r="49" spans="1:13" x14ac:dyDescent="0.25">
      <c r="A49" s="1" t="s">
        <v>92</v>
      </c>
      <c r="B49" s="1" t="s">
        <v>45</v>
      </c>
      <c r="C49">
        <v>6</v>
      </c>
      <c r="D49">
        <v>6</v>
      </c>
      <c r="E49">
        <v>4</v>
      </c>
      <c r="F49">
        <v>6</v>
      </c>
      <c r="G49">
        <v>5</v>
      </c>
      <c r="H49">
        <v>3</v>
      </c>
      <c r="I49">
        <v>99</v>
      </c>
      <c r="J49">
        <v>95</v>
      </c>
      <c r="K49">
        <v>48</v>
      </c>
      <c r="L49">
        <v>16</v>
      </c>
      <c r="M49">
        <v>11</v>
      </c>
    </row>
    <row r="50" spans="1:13" x14ac:dyDescent="0.25">
      <c r="A50" s="1" t="s">
        <v>93</v>
      </c>
      <c r="B50" s="1" t="s">
        <v>32</v>
      </c>
      <c r="C50">
        <v>6</v>
      </c>
      <c r="D50">
        <v>5</v>
      </c>
      <c r="E50">
        <v>6</v>
      </c>
      <c r="F50">
        <v>5</v>
      </c>
      <c r="G50">
        <v>6</v>
      </c>
      <c r="H50">
        <v>3</v>
      </c>
      <c r="I50">
        <v>78</v>
      </c>
      <c r="J50">
        <v>22</v>
      </c>
      <c r="K50">
        <v>95</v>
      </c>
      <c r="L50">
        <v>18</v>
      </c>
      <c r="M50">
        <v>15</v>
      </c>
    </row>
    <row r="51" spans="1:13" x14ac:dyDescent="0.25">
      <c r="A51" s="1" t="s">
        <v>94</v>
      </c>
      <c r="B51" s="1" t="s">
        <v>48</v>
      </c>
      <c r="C51">
        <v>6</v>
      </c>
      <c r="D51">
        <v>3</v>
      </c>
      <c r="E51">
        <v>3</v>
      </c>
      <c r="F51">
        <v>6</v>
      </c>
      <c r="G51">
        <v>4</v>
      </c>
      <c r="H51">
        <v>5</v>
      </c>
      <c r="I51">
        <v>25</v>
      </c>
      <c r="J51">
        <v>73</v>
      </c>
      <c r="K51">
        <v>78</v>
      </c>
      <c r="L51">
        <v>61</v>
      </c>
      <c r="M51">
        <v>29</v>
      </c>
    </row>
    <row r="52" spans="1:13" x14ac:dyDescent="0.25">
      <c r="A52" s="1" t="s">
        <v>95</v>
      </c>
      <c r="B52" s="1" t="s">
        <v>96</v>
      </c>
      <c r="C52">
        <v>6</v>
      </c>
      <c r="D52">
        <v>5</v>
      </c>
      <c r="E52">
        <v>5</v>
      </c>
      <c r="F52">
        <v>6</v>
      </c>
      <c r="G52">
        <v>2</v>
      </c>
      <c r="H52">
        <v>4</v>
      </c>
      <c r="I52">
        <v>65</v>
      </c>
      <c r="J52">
        <v>66</v>
      </c>
      <c r="K52">
        <v>87</v>
      </c>
      <c r="L52">
        <v>5</v>
      </c>
      <c r="M52">
        <v>65</v>
      </c>
    </row>
    <row r="53" spans="1:13" x14ac:dyDescent="0.25">
      <c r="A53" s="1" t="s">
        <v>97</v>
      </c>
      <c r="B53" s="1" t="s">
        <v>90</v>
      </c>
      <c r="C53">
        <v>8</v>
      </c>
      <c r="D53">
        <v>2</v>
      </c>
      <c r="E53">
        <v>2</v>
      </c>
      <c r="F53">
        <v>3</v>
      </c>
      <c r="G53">
        <v>4</v>
      </c>
      <c r="H53">
        <v>3</v>
      </c>
      <c r="I53">
        <v>18</v>
      </c>
      <c r="J53">
        <v>83</v>
      </c>
      <c r="K53">
        <v>86</v>
      </c>
      <c r="L53">
        <v>67</v>
      </c>
      <c r="M53">
        <v>90</v>
      </c>
    </row>
    <row r="54" spans="1:13" x14ac:dyDescent="0.25">
      <c r="A54" s="1" t="s">
        <v>98</v>
      </c>
      <c r="B54" s="1" t="s">
        <v>99</v>
      </c>
      <c r="C54">
        <v>0</v>
      </c>
      <c r="D54">
        <v>3</v>
      </c>
      <c r="E54">
        <v>4</v>
      </c>
      <c r="F54">
        <v>6</v>
      </c>
      <c r="G54">
        <v>4</v>
      </c>
      <c r="H54">
        <v>4</v>
      </c>
      <c r="I54">
        <v>41</v>
      </c>
      <c r="J54">
        <v>88</v>
      </c>
      <c r="K54">
        <v>4</v>
      </c>
      <c r="L54">
        <v>24</v>
      </c>
      <c r="M54">
        <v>37</v>
      </c>
    </row>
    <row r="55" spans="1:13" x14ac:dyDescent="0.25">
      <c r="A55" s="1" t="s">
        <v>100</v>
      </c>
      <c r="B55" s="1" t="s">
        <v>101</v>
      </c>
      <c r="C55">
        <v>7</v>
      </c>
      <c r="D55">
        <v>3</v>
      </c>
      <c r="E55">
        <v>4</v>
      </c>
      <c r="F55">
        <v>4</v>
      </c>
      <c r="G55">
        <v>5</v>
      </c>
      <c r="H55">
        <v>6</v>
      </c>
      <c r="I55">
        <v>54</v>
      </c>
      <c r="J55">
        <v>42</v>
      </c>
      <c r="K55">
        <v>82</v>
      </c>
      <c r="L55">
        <v>99</v>
      </c>
      <c r="M55">
        <v>81</v>
      </c>
    </row>
    <row r="56" spans="1:13" x14ac:dyDescent="0.25">
      <c r="A56" s="1" t="s">
        <v>102</v>
      </c>
      <c r="B56" s="1" t="s">
        <v>70</v>
      </c>
      <c r="C56">
        <v>3</v>
      </c>
      <c r="D56">
        <v>6</v>
      </c>
      <c r="E56">
        <v>5</v>
      </c>
      <c r="F56">
        <v>2</v>
      </c>
      <c r="G56">
        <v>4</v>
      </c>
      <c r="H56">
        <v>6</v>
      </c>
      <c r="I56">
        <v>51</v>
      </c>
      <c r="J56">
        <v>96</v>
      </c>
      <c r="K56">
        <v>78</v>
      </c>
      <c r="L56">
        <v>72</v>
      </c>
      <c r="M56">
        <v>39</v>
      </c>
    </row>
    <row r="57" spans="1:13" x14ac:dyDescent="0.25">
      <c r="A57" s="1" t="s">
        <v>103</v>
      </c>
      <c r="B57" s="1" t="s">
        <v>55</v>
      </c>
      <c r="C57">
        <v>8</v>
      </c>
      <c r="D57">
        <v>6</v>
      </c>
      <c r="E57">
        <v>2</v>
      </c>
      <c r="F57">
        <v>2</v>
      </c>
      <c r="G57">
        <v>6</v>
      </c>
      <c r="H57">
        <v>6</v>
      </c>
      <c r="I57">
        <v>86</v>
      </c>
      <c r="J57">
        <v>67</v>
      </c>
      <c r="K57">
        <v>94</v>
      </c>
      <c r="L57">
        <v>38</v>
      </c>
      <c r="M57">
        <v>45</v>
      </c>
    </row>
    <row r="58" spans="1:13" x14ac:dyDescent="0.25">
      <c r="A58" s="1" t="s">
        <v>104</v>
      </c>
      <c r="B58" s="1" t="s">
        <v>32</v>
      </c>
      <c r="C58">
        <v>7</v>
      </c>
      <c r="D58">
        <v>5</v>
      </c>
      <c r="E58">
        <v>6</v>
      </c>
      <c r="F58">
        <v>4</v>
      </c>
      <c r="G58">
        <v>6</v>
      </c>
      <c r="H58">
        <v>5</v>
      </c>
      <c r="I58">
        <v>15</v>
      </c>
      <c r="J58">
        <v>79</v>
      </c>
      <c r="K58">
        <v>11</v>
      </c>
      <c r="L58">
        <v>20</v>
      </c>
      <c r="M58">
        <v>58</v>
      </c>
    </row>
    <row r="59" spans="1:13" x14ac:dyDescent="0.25">
      <c r="A59" s="1" t="s">
        <v>105</v>
      </c>
      <c r="B59" s="1" t="s">
        <v>70</v>
      </c>
      <c r="C59">
        <v>3</v>
      </c>
      <c r="D59">
        <v>6</v>
      </c>
      <c r="E59">
        <v>3</v>
      </c>
      <c r="F59">
        <v>5</v>
      </c>
      <c r="G59">
        <v>5</v>
      </c>
      <c r="H59">
        <v>2</v>
      </c>
      <c r="I59">
        <v>49</v>
      </c>
      <c r="J59">
        <v>99</v>
      </c>
      <c r="K59">
        <v>78</v>
      </c>
      <c r="L59">
        <v>70</v>
      </c>
      <c r="M59">
        <v>60</v>
      </c>
    </row>
    <row r="60" spans="1:13" x14ac:dyDescent="0.25">
      <c r="A60" s="1" t="s">
        <v>106</v>
      </c>
      <c r="B60" s="1" t="s">
        <v>107</v>
      </c>
      <c r="C60">
        <v>3</v>
      </c>
      <c r="D60">
        <v>6</v>
      </c>
      <c r="E60">
        <v>3</v>
      </c>
      <c r="F60">
        <v>5</v>
      </c>
      <c r="G60">
        <v>4</v>
      </c>
      <c r="H60">
        <v>2</v>
      </c>
      <c r="I60">
        <v>94</v>
      </c>
      <c r="J60">
        <v>27</v>
      </c>
      <c r="K60">
        <v>20</v>
      </c>
      <c r="L60">
        <v>13</v>
      </c>
      <c r="M60">
        <v>49</v>
      </c>
    </row>
    <row r="61" spans="1:13" x14ac:dyDescent="0.25">
      <c r="A61" s="1" t="s">
        <v>108</v>
      </c>
      <c r="B61" s="1" t="s">
        <v>83</v>
      </c>
      <c r="C61">
        <v>8</v>
      </c>
      <c r="D61">
        <v>4</v>
      </c>
      <c r="E61">
        <v>5</v>
      </c>
      <c r="F61">
        <v>6</v>
      </c>
      <c r="G61">
        <v>6</v>
      </c>
      <c r="H61">
        <v>2</v>
      </c>
      <c r="I61">
        <v>94</v>
      </c>
      <c r="J61">
        <v>99</v>
      </c>
      <c r="K61">
        <v>87</v>
      </c>
      <c r="L61">
        <v>99</v>
      </c>
      <c r="M61">
        <v>62</v>
      </c>
    </row>
    <row r="62" spans="1:13" x14ac:dyDescent="0.25">
      <c r="A62" s="1" t="s">
        <v>109</v>
      </c>
      <c r="B62" s="1" t="s">
        <v>110</v>
      </c>
      <c r="C62">
        <v>8</v>
      </c>
      <c r="D62">
        <v>2</v>
      </c>
      <c r="E62">
        <v>4</v>
      </c>
      <c r="F62">
        <v>5</v>
      </c>
      <c r="G62">
        <v>2</v>
      </c>
      <c r="H62">
        <v>4</v>
      </c>
      <c r="I62">
        <v>20</v>
      </c>
      <c r="J62">
        <v>78</v>
      </c>
      <c r="K62">
        <v>54</v>
      </c>
      <c r="L62">
        <v>34</v>
      </c>
      <c r="M62">
        <v>95</v>
      </c>
    </row>
    <row r="63" spans="1:13" x14ac:dyDescent="0.25">
      <c r="A63" s="1" t="s">
        <v>111</v>
      </c>
      <c r="B63" s="1" t="s">
        <v>74</v>
      </c>
      <c r="C63">
        <v>5</v>
      </c>
      <c r="D63">
        <v>2</v>
      </c>
      <c r="E63">
        <v>4</v>
      </c>
      <c r="F63">
        <v>5</v>
      </c>
      <c r="G63">
        <v>5</v>
      </c>
      <c r="H63">
        <v>3</v>
      </c>
      <c r="I63">
        <v>39</v>
      </c>
      <c r="J63">
        <v>16</v>
      </c>
      <c r="K63">
        <v>8</v>
      </c>
      <c r="L63">
        <v>66</v>
      </c>
      <c r="M63">
        <v>29</v>
      </c>
    </row>
    <row r="64" spans="1:13" x14ac:dyDescent="0.25">
      <c r="A64" s="1" t="s">
        <v>112</v>
      </c>
      <c r="B64" s="1" t="s">
        <v>113</v>
      </c>
      <c r="C64">
        <v>0</v>
      </c>
      <c r="D64">
        <v>6</v>
      </c>
      <c r="E64">
        <v>3</v>
      </c>
      <c r="F64">
        <v>5</v>
      </c>
      <c r="G64">
        <v>4</v>
      </c>
      <c r="H64">
        <v>2</v>
      </c>
      <c r="I64">
        <v>77</v>
      </c>
      <c r="J64">
        <v>80</v>
      </c>
      <c r="K64">
        <v>92</v>
      </c>
      <c r="L64">
        <v>43</v>
      </c>
      <c r="M64">
        <v>100</v>
      </c>
    </row>
    <row r="65" spans="1:13" x14ac:dyDescent="0.25">
      <c r="A65" s="1" t="s">
        <v>114</v>
      </c>
      <c r="B65" s="1" t="s">
        <v>101</v>
      </c>
      <c r="C65">
        <v>1</v>
      </c>
      <c r="D65">
        <v>4</v>
      </c>
      <c r="E65">
        <v>6</v>
      </c>
      <c r="F65">
        <v>3</v>
      </c>
      <c r="G65">
        <v>4</v>
      </c>
      <c r="H65">
        <v>2</v>
      </c>
      <c r="I65">
        <v>70</v>
      </c>
      <c r="J65">
        <v>39</v>
      </c>
      <c r="K65">
        <v>65</v>
      </c>
      <c r="L65">
        <v>57</v>
      </c>
      <c r="M65">
        <v>90</v>
      </c>
    </row>
    <row r="66" spans="1:13" x14ac:dyDescent="0.25">
      <c r="A66" s="1" t="s">
        <v>115</v>
      </c>
      <c r="B66" s="1" t="s">
        <v>41</v>
      </c>
      <c r="C66">
        <v>0</v>
      </c>
      <c r="D66">
        <v>4</v>
      </c>
      <c r="E66">
        <v>5</v>
      </c>
      <c r="F66">
        <v>4</v>
      </c>
      <c r="G66">
        <v>6</v>
      </c>
      <c r="H66">
        <v>2</v>
      </c>
      <c r="I66">
        <v>4</v>
      </c>
      <c r="J66">
        <v>85</v>
      </c>
      <c r="K66">
        <v>83</v>
      </c>
      <c r="L66">
        <v>10</v>
      </c>
      <c r="M66">
        <v>33</v>
      </c>
    </row>
    <row r="67" spans="1:13" x14ac:dyDescent="0.25">
      <c r="A67" s="1" t="s">
        <v>116</v>
      </c>
      <c r="B67" s="1" t="s">
        <v>117</v>
      </c>
      <c r="C67">
        <v>8</v>
      </c>
      <c r="D67">
        <v>5</v>
      </c>
      <c r="E67">
        <v>5</v>
      </c>
      <c r="F67">
        <v>4</v>
      </c>
      <c r="G67">
        <v>3</v>
      </c>
      <c r="H67">
        <v>3</v>
      </c>
      <c r="I67">
        <v>80</v>
      </c>
      <c r="J67">
        <v>91</v>
      </c>
      <c r="K67">
        <v>16</v>
      </c>
      <c r="L67">
        <v>12</v>
      </c>
      <c r="M67">
        <v>73</v>
      </c>
    </row>
    <row r="68" spans="1:13" x14ac:dyDescent="0.25">
      <c r="A68" s="1" t="s">
        <v>118</v>
      </c>
      <c r="B68" s="1" t="s">
        <v>119</v>
      </c>
      <c r="C68">
        <v>6</v>
      </c>
      <c r="D68">
        <v>6</v>
      </c>
      <c r="E68">
        <v>2</v>
      </c>
      <c r="F68">
        <v>3</v>
      </c>
      <c r="G68">
        <v>6</v>
      </c>
      <c r="H68">
        <v>5</v>
      </c>
      <c r="I68">
        <v>27</v>
      </c>
      <c r="J68">
        <v>6</v>
      </c>
      <c r="K68">
        <v>19</v>
      </c>
      <c r="L68">
        <v>61</v>
      </c>
      <c r="M68">
        <v>63</v>
      </c>
    </row>
    <row r="69" spans="1:13" x14ac:dyDescent="0.25">
      <c r="A69" s="1" t="s">
        <v>120</v>
      </c>
      <c r="B69" s="1" t="s">
        <v>121</v>
      </c>
      <c r="C69">
        <v>0</v>
      </c>
      <c r="D69">
        <v>5</v>
      </c>
      <c r="E69">
        <v>5</v>
      </c>
      <c r="F69">
        <v>3</v>
      </c>
      <c r="G69">
        <v>2</v>
      </c>
      <c r="H69">
        <v>6</v>
      </c>
      <c r="I69">
        <v>26</v>
      </c>
      <c r="J69">
        <v>23</v>
      </c>
      <c r="K69">
        <v>48</v>
      </c>
      <c r="L69">
        <v>73</v>
      </c>
      <c r="M69">
        <v>63</v>
      </c>
    </row>
    <row r="70" spans="1:13" x14ac:dyDescent="0.25">
      <c r="A70" s="1" t="s">
        <v>122</v>
      </c>
      <c r="B70" s="1" t="s">
        <v>121</v>
      </c>
      <c r="C70">
        <v>8</v>
      </c>
      <c r="D70">
        <v>3</v>
      </c>
      <c r="E70">
        <v>5</v>
      </c>
      <c r="F70">
        <v>5</v>
      </c>
      <c r="G70">
        <v>6</v>
      </c>
      <c r="H70">
        <v>3</v>
      </c>
      <c r="I70">
        <v>28</v>
      </c>
      <c r="J70">
        <v>69</v>
      </c>
      <c r="K70">
        <v>99</v>
      </c>
      <c r="L70">
        <v>45</v>
      </c>
      <c r="M70">
        <v>61</v>
      </c>
    </row>
    <row r="71" spans="1:13" x14ac:dyDescent="0.25">
      <c r="A71" s="1" t="s">
        <v>123</v>
      </c>
      <c r="B71" s="1" t="s">
        <v>119</v>
      </c>
      <c r="C71">
        <v>1</v>
      </c>
      <c r="D71">
        <v>2</v>
      </c>
      <c r="E71">
        <v>3</v>
      </c>
      <c r="F71">
        <v>2</v>
      </c>
      <c r="G71">
        <v>3</v>
      </c>
      <c r="H71">
        <v>6</v>
      </c>
      <c r="I71">
        <v>51</v>
      </c>
      <c r="J71">
        <v>14</v>
      </c>
      <c r="K71">
        <v>33</v>
      </c>
      <c r="L71">
        <v>28</v>
      </c>
      <c r="M71">
        <v>43</v>
      </c>
    </row>
    <row r="72" spans="1:13" x14ac:dyDescent="0.25">
      <c r="A72" s="1" t="s">
        <v>124</v>
      </c>
      <c r="B72" s="1" t="s">
        <v>41</v>
      </c>
      <c r="C72">
        <v>3</v>
      </c>
      <c r="D72">
        <v>5</v>
      </c>
      <c r="E72">
        <v>6</v>
      </c>
      <c r="F72">
        <v>5</v>
      </c>
      <c r="G72">
        <v>2</v>
      </c>
      <c r="H72">
        <v>5</v>
      </c>
      <c r="I72">
        <v>73</v>
      </c>
      <c r="J72">
        <v>84</v>
      </c>
      <c r="K72">
        <v>48</v>
      </c>
      <c r="L72">
        <v>36</v>
      </c>
      <c r="M72">
        <v>4</v>
      </c>
    </row>
    <row r="73" spans="1:13" x14ac:dyDescent="0.25">
      <c r="A73" s="1" t="s">
        <v>125</v>
      </c>
      <c r="B73" s="1" t="s">
        <v>126</v>
      </c>
      <c r="C73">
        <v>4</v>
      </c>
      <c r="D73">
        <v>4</v>
      </c>
      <c r="E73">
        <v>5</v>
      </c>
      <c r="F73">
        <v>5</v>
      </c>
      <c r="G73">
        <v>3</v>
      </c>
      <c r="H73">
        <v>6</v>
      </c>
      <c r="I73">
        <v>44</v>
      </c>
      <c r="J73">
        <v>16</v>
      </c>
      <c r="K73">
        <v>68</v>
      </c>
      <c r="L73">
        <v>55</v>
      </c>
      <c r="M73">
        <v>66</v>
      </c>
    </row>
    <row r="74" spans="1:13" x14ac:dyDescent="0.25">
      <c r="A74" s="1" t="s">
        <v>127</v>
      </c>
      <c r="B74" s="1" t="s">
        <v>90</v>
      </c>
      <c r="C74">
        <v>2</v>
      </c>
      <c r="D74">
        <v>6</v>
      </c>
      <c r="E74">
        <v>6</v>
      </c>
      <c r="F74">
        <v>3</v>
      </c>
      <c r="G74">
        <v>6</v>
      </c>
      <c r="H74">
        <v>2</v>
      </c>
      <c r="I74">
        <v>71</v>
      </c>
      <c r="J74">
        <v>95</v>
      </c>
      <c r="K74">
        <v>90</v>
      </c>
      <c r="L74">
        <v>50</v>
      </c>
      <c r="M74">
        <v>91</v>
      </c>
    </row>
    <row r="75" spans="1:13" x14ac:dyDescent="0.25">
      <c r="A75" s="1" t="s">
        <v>128</v>
      </c>
      <c r="B75" s="1" t="s">
        <v>45</v>
      </c>
      <c r="C75">
        <v>5</v>
      </c>
      <c r="D75">
        <v>5</v>
      </c>
      <c r="E75">
        <v>2</v>
      </c>
      <c r="F75">
        <v>6</v>
      </c>
      <c r="G75">
        <v>2</v>
      </c>
      <c r="H75">
        <v>2</v>
      </c>
      <c r="I75">
        <v>90</v>
      </c>
      <c r="J75">
        <v>88</v>
      </c>
      <c r="K75">
        <v>73</v>
      </c>
      <c r="L75">
        <v>83</v>
      </c>
      <c r="M75">
        <v>51</v>
      </c>
    </row>
    <row r="76" spans="1:13" x14ac:dyDescent="0.25">
      <c r="A76" s="1" t="s">
        <v>129</v>
      </c>
      <c r="B76" s="1" t="s">
        <v>130</v>
      </c>
      <c r="C76">
        <v>1</v>
      </c>
      <c r="D76">
        <v>5</v>
      </c>
      <c r="E76">
        <v>2</v>
      </c>
      <c r="F76">
        <v>2</v>
      </c>
      <c r="G76">
        <v>3</v>
      </c>
      <c r="H76">
        <v>5</v>
      </c>
      <c r="I76">
        <v>11</v>
      </c>
      <c r="J76">
        <v>24</v>
      </c>
      <c r="K76">
        <v>35</v>
      </c>
      <c r="L76">
        <v>70</v>
      </c>
      <c r="M76">
        <v>6</v>
      </c>
    </row>
    <row r="77" spans="1:13" x14ac:dyDescent="0.25">
      <c r="A77" s="1" t="s">
        <v>131</v>
      </c>
      <c r="B77" s="1" t="s">
        <v>70</v>
      </c>
      <c r="C77">
        <v>5</v>
      </c>
      <c r="D77">
        <v>2</v>
      </c>
      <c r="E77">
        <v>2</v>
      </c>
      <c r="F77">
        <v>6</v>
      </c>
      <c r="G77">
        <v>5</v>
      </c>
      <c r="H77">
        <v>6</v>
      </c>
      <c r="I77">
        <v>44</v>
      </c>
      <c r="J77">
        <v>43</v>
      </c>
      <c r="K77">
        <v>19</v>
      </c>
      <c r="L77">
        <v>86</v>
      </c>
      <c r="M77">
        <v>18</v>
      </c>
    </row>
    <row r="78" spans="1:13" x14ac:dyDescent="0.25">
      <c r="A78" s="1" t="s">
        <v>132</v>
      </c>
      <c r="B78" s="1" t="s">
        <v>133</v>
      </c>
      <c r="C78">
        <v>2</v>
      </c>
      <c r="D78">
        <v>5</v>
      </c>
      <c r="E78">
        <v>4</v>
      </c>
      <c r="F78">
        <v>3</v>
      </c>
      <c r="G78">
        <v>6</v>
      </c>
      <c r="H78">
        <v>6</v>
      </c>
      <c r="I78">
        <v>15</v>
      </c>
      <c r="J78">
        <v>69</v>
      </c>
      <c r="K78">
        <v>48</v>
      </c>
      <c r="L78">
        <v>14</v>
      </c>
      <c r="M78">
        <v>32</v>
      </c>
    </row>
    <row r="79" spans="1:13" x14ac:dyDescent="0.25">
      <c r="A79" s="1" t="s">
        <v>134</v>
      </c>
      <c r="B79" s="1" t="s">
        <v>45</v>
      </c>
      <c r="C79">
        <v>6</v>
      </c>
      <c r="D79">
        <v>3</v>
      </c>
      <c r="E79">
        <v>4</v>
      </c>
      <c r="F79">
        <v>5</v>
      </c>
      <c r="G79">
        <v>3</v>
      </c>
      <c r="H79">
        <v>4</v>
      </c>
      <c r="I79">
        <v>38</v>
      </c>
      <c r="J79">
        <v>48</v>
      </c>
      <c r="K79">
        <v>3</v>
      </c>
      <c r="L79">
        <v>38</v>
      </c>
      <c r="M79">
        <v>91</v>
      </c>
    </row>
    <row r="80" spans="1:13" x14ac:dyDescent="0.25">
      <c r="A80" s="1" t="s">
        <v>135</v>
      </c>
      <c r="B80" s="1" t="s">
        <v>38</v>
      </c>
      <c r="C80">
        <v>3</v>
      </c>
      <c r="D80">
        <v>6</v>
      </c>
      <c r="E80">
        <v>3</v>
      </c>
      <c r="F80">
        <v>6</v>
      </c>
      <c r="G80">
        <v>3</v>
      </c>
      <c r="H80">
        <v>5</v>
      </c>
      <c r="I80">
        <v>66</v>
      </c>
      <c r="J80">
        <v>42</v>
      </c>
      <c r="K80">
        <v>40</v>
      </c>
      <c r="L80">
        <v>91</v>
      </c>
      <c r="M80">
        <v>74</v>
      </c>
    </row>
    <row r="81" spans="1:13" x14ac:dyDescent="0.25">
      <c r="A81" s="1" t="s">
        <v>136</v>
      </c>
      <c r="B81" s="1" t="s">
        <v>137</v>
      </c>
      <c r="C81">
        <v>7</v>
      </c>
      <c r="D81">
        <v>4</v>
      </c>
      <c r="E81">
        <v>2</v>
      </c>
      <c r="F81">
        <v>4</v>
      </c>
      <c r="G81">
        <v>6</v>
      </c>
      <c r="H81">
        <v>5</v>
      </c>
      <c r="I81">
        <v>28</v>
      </c>
      <c r="J81">
        <v>1</v>
      </c>
      <c r="K81">
        <v>36</v>
      </c>
      <c r="L81">
        <v>63</v>
      </c>
      <c r="M81">
        <v>49</v>
      </c>
    </row>
    <row r="82" spans="1:13" x14ac:dyDescent="0.25">
      <c r="A82" s="1" t="s">
        <v>138</v>
      </c>
      <c r="B82" s="1" t="s">
        <v>139</v>
      </c>
      <c r="C82">
        <v>0</v>
      </c>
      <c r="D82">
        <v>6</v>
      </c>
      <c r="E82">
        <v>5</v>
      </c>
      <c r="F82">
        <v>6</v>
      </c>
      <c r="G82">
        <v>5</v>
      </c>
      <c r="H82">
        <v>6</v>
      </c>
      <c r="I82">
        <v>12</v>
      </c>
      <c r="J82">
        <v>20</v>
      </c>
      <c r="K82">
        <v>10</v>
      </c>
      <c r="L82">
        <v>73</v>
      </c>
      <c r="M82">
        <v>68</v>
      </c>
    </row>
    <row r="83" spans="1:13" x14ac:dyDescent="0.25">
      <c r="A83" s="1" t="s">
        <v>140</v>
      </c>
      <c r="B83" s="1" t="s">
        <v>45</v>
      </c>
      <c r="C83">
        <v>4</v>
      </c>
      <c r="D83">
        <v>5</v>
      </c>
      <c r="E83">
        <v>4</v>
      </c>
      <c r="F83">
        <v>2</v>
      </c>
      <c r="G83">
        <v>3</v>
      </c>
      <c r="H83">
        <v>4</v>
      </c>
      <c r="I83">
        <v>21</v>
      </c>
      <c r="J83">
        <v>58</v>
      </c>
      <c r="K83">
        <v>66</v>
      </c>
      <c r="L83">
        <v>93</v>
      </c>
      <c r="M83">
        <v>89</v>
      </c>
    </row>
    <row r="84" spans="1:13" x14ac:dyDescent="0.25">
      <c r="A84" s="1" t="s">
        <v>141</v>
      </c>
      <c r="B84" s="1" t="s">
        <v>99</v>
      </c>
      <c r="C84">
        <v>0</v>
      </c>
      <c r="D84">
        <v>2</v>
      </c>
      <c r="E84">
        <v>2</v>
      </c>
      <c r="F84">
        <v>4</v>
      </c>
      <c r="G84">
        <v>3</v>
      </c>
      <c r="H84">
        <v>3</v>
      </c>
      <c r="I84">
        <v>3</v>
      </c>
      <c r="J84">
        <v>25</v>
      </c>
      <c r="K84">
        <v>93</v>
      </c>
      <c r="L84">
        <v>92</v>
      </c>
      <c r="M84">
        <v>73</v>
      </c>
    </row>
    <row r="85" spans="1:13" x14ac:dyDescent="0.25">
      <c r="A85" s="1" t="s">
        <v>142</v>
      </c>
      <c r="B85" s="1" t="s">
        <v>130</v>
      </c>
      <c r="C85">
        <v>4</v>
      </c>
      <c r="D85">
        <v>4</v>
      </c>
      <c r="E85">
        <v>2</v>
      </c>
      <c r="F85">
        <v>6</v>
      </c>
      <c r="G85">
        <v>5</v>
      </c>
      <c r="H85">
        <v>2</v>
      </c>
      <c r="I85">
        <v>81</v>
      </c>
      <c r="J85">
        <v>5</v>
      </c>
      <c r="K85">
        <v>60</v>
      </c>
      <c r="L85">
        <v>2</v>
      </c>
      <c r="M85">
        <v>91</v>
      </c>
    </row>
    <row r="86" spans="1:13" x14ac:dyDescent="0.25">
      <c r="A86" s="1" t="s">
        <v>143</v>
      </c>
      <c r="B86" s="1" t="s">
        <v>70</v>
      </c>
      <c r="C86">
        <v>1</v>
      </c>
      <c r="D86">
        <v>4</v>
      </c>
      <c r="E86">
        <v>6</v>
      </c>
      <c r="F86">
        <v>4</v>
      </c>
      <c r="G86">
        <v>3</v>
      </c>
      <c r="H86">
        <v>6</v>
      </c>
      <c r="I86">
        <v>100</v>
      </c>
      <c r="J86">
        <v>100</v>
      </c>
      <c r="K86">
        <v>100</v>
      </c>
      <c r="L86">
        <v>36</v>
      </c>
      <c r="M86">
        <v>10</v>
      </c>
    </row>
    <row r="87" spans="1:13" x14ac:dyDescent="0.25">
      <c r="A87" s="1" t="s">
        <v>144</v>
      </c>
      <c r="B87" s="1" t="s">
        <v>145</v>
      </c>
      <c r="C87">
        <v>2</v>
      </c>
      <c r="D87">
        <v>3</v>
      </c>
      <c r="E87">
        <v>3</v>
      </c>
      <c r="F87">
        <v>5</v>
      </c>
      <c r="G87">
        <v>6</v>
      </c>
      <c r="H87">
        <v>6</v>
      </c>
      <c r="I87">
        <v>32</v>
      </c>
      <c r="J87">
        <v>27</v>
      </c>
      <c r="K87">
        <v>15</v>
      </c>
      <c r="L87">
        <v>59</v>
      </c>
      <c r="M87">
        <v>26</v>
      </c>
    </row>
    <row r="88" spans="1:13" x14ac:dyDescent="0.25">
      <c r="A88" s="1" t="s">
        <v>146</v>
      </c>
      <c r="B88" s="1" t="s">
        <v>147</v>
      </c>
      <c r="C88">
        <v>3</v>
      </c>
      <c r="D88">
        <v>5</v>
      </c>
      <c r="E88">
        <v>2</v>
      </c>
      <c r="F88">
        <v>6</v>
      </c>
      <c r="G88">
        <v>3</v>
      </c>
      <c r="H88">
        <v>3</v>
      </c>
      <c r="I88">
        <v>95</v>
      </c>
      <c r="J88">
        <v>15</v>
      </c>
      <c r="K88">
        <v>44</v>
      </c>
      <c r="L88">
        <v>29</v>
      </c>
      <c r="M88">
        <v>14</v>
      </c>
    </row>
    <row r="89" spans="1:13" x14ac:dyDescent="0.25">
      <c r="A89" s="1" t="s">
        <v>148</v>
      </c>
      <c r="B89" s="1" t="s">
        <v>28</v>
      </c>
      <c r="C89">
        <v>2</v>
      </c>
      <c r="D89">
        <v>4</v>
      </c>
      <c r="E89">
        <v>2</v>
      </c>
      <c r="F89">
        <v>6</v>
      </c>
      <c r="G89">
        <v>4</v>
      </c>
      <c r="H89">
        <v>4</v>
      </c>
      <c r="I89">
        <v>84</v>
      </c>
      <c r="J89">
        <v>95</v>
      </c>
      <c r="K89">
        <v>31</v>
      </c>
      <c r="L89">
        <v>8</v>
      </c>
      <c r="M89">
        <v>54</v>
      </c>
    </row>
    <row r="90" spans="1:13" x14ac:dyDescent="0.25">
      <c r="A90" s="1" t="s">
        <v>149</v>
      </c>
      <c r="B90" s="1" t="s">
        <v>150</v>
      </c>
      <c r="C90">
        <v>5</v>
      </c>
      <c r="D90">
        <v>2</v>
      </c>
      <c r="E90">
        <v>3</v>
      </c>
      <c r="F90">
        <v>4</v>
      </c>
      <c r="G90">
        <v>3</v>
      </c>
      <c r="H90">
        <v>6</v>
      </c>
      <c r="I90">
        <v>30</v>
      </c>
      <c r="J90">
        <v>24</v>
      </c>
      <c r="K90">
        <v>66</v>
      </c>
      <c r="L90">
        <v>41</v>
      </c>
      <c r="M90">
        <v>82</v>
      </c>
    </row>
    <row r="91" spans="1:13" x14ac:dyDescent="0.25">
      <c r="A91" s="1" t="s">
        <v>151</v>
      </c>
      <c r="B91" s="1" t="s">
        <v>70</v>
      </c>
      <c r="C91">
        <v>1</v>
      </c>
      <c r="D91">
        <v>3</v>
      </c>
      <c r="E91">
        <v>6</v>
      </c>
      <c r="F91">
        <v>4</v>
      </c>
      <c r="G91">
        <v>6</v>
      </c>
      <c r="H91">
        <v>2</v>
      </c>
      <c r="I91">
        <v>30</v>
      </c>
      <c r="J91">
        <v>35</v>
      </c>
      <c r="K91">
        <v>100</v>
      </c>
      <c r="L91">
        <v>100</v>
      </c>
      <c r="M91">
        <v>100</v>
      </c>
    </row>
    <row r="92" spans="1:13" x14ac:dyDescent="0.25">
      <c r="A92" s="1" t="s">
        <v>152</v>
      </c>
      <c r="B92" s="1" t="s">
        <v>153</v>
      </c>
      <c r="C92">
        <v>1</v>
      </c>
      <c r="D92">
        <v>5</v>
      </c>
      <c r="E92">
        <v>4</v>
      </c>
      <c r="F92">
        <v>2</v>
      </c>
      <c r="G92">
        <v>5</v>
      </c>
      <c r="H92">
        <v>6</v>
      </c>
      <c r="I92">
        <v>54</v>
      </c>
      <c r="J92">
        <v>50</v>
      </c>
      <c r="K92">
        <v>9</v>
      </c>
      <c r="L92">
        <v>59</v>
      </c>
      <c r="M92">
        <v>54</v>
      </c>
    </row>
    <row r="93" spans="1:13" x14ac:dyDescent="0.25">
      <c r="A93" s="1" t="s">
        <v>154</v>
      </c>
      <c r="B93" s="1" t="s">
        <v>155</v>
      </c>
      <c r="C93">
        <v>6</v>
      </c>
      <c r="D93">
        <v>2</v>
      </c>
      <c r="E93">
        <v>3</v>
      </c>
      <c r="F93">
        <v>5</v>
      </c>
      <c r="G93">
        <v>4</v>
      </c>
      <c r="H93">
        <v>4</v>
      </c>
      <c r="I93">
        <v>50</v>
      </c>
      <c r="J93">
        <v>30</v>
      </c>
      <c r="K93">
        <v>14</v>
      </c>
      <c r="L93">
        <v>20</v>
      </c>
      <c r="M93">
        <v>88</v>
      </c>
    </row>
    <row r="94" spans="1:13" x14ac:dyDescent="0.25">
      <c r="A94" s="1" t="s">
        <v>156</v>
      </c>
      <c r="B94" s="1" t="s">
        <v>157</v>
      </c>
      <c r="C94">
        <v>6</v>
      </c>
      <c r="D94">
        <v>3</v>
      </c>
      <c r="E94">
        <v>6</v>
      </c>
      <c r="F94">
        <v>5</v>
      </c>
      <c r="G94">
        <v>4</v>
      </c>
      <c r="H94">
        <v>5</v>
      </c>
      <c r="I94">
        <v>62</v>
      </c>
      <c r="J94">
        <v>47</v>
      </c>
      <c r="K94">
        <v>19</v>
      </c>
      <c r="L94">
        <v>10</v>
      </c>
      <c r="M94">
        <v>40</v>
      </c>
    </row>
    <row r="95" spans="1:13" x14ac:dyDescent="0.25">
      <c r="A95" s="1" t="s">
        <v>158</v>
      </c>
      <c r="B95" s="1" t="s">
        <v>159</v>
      </c>
      <c r="C95">
        <v>0</v>
      </c>
      <c r="D95">
        <v>3</v>
      </c>
      <c r="E95">
        <v>6</v>
      </c>
      <c r="F95">
        <v>3</v>
      </c>
      <c r="G95">
        <v>5</v>
      </c>
      <c r="H95">
        <v>6</v>
      </c>
      <c r="I95">
        <v>12</v>
      </c>
      <c r="J95">
        <v>60</v>
      </c>
      <c r="K95">
        <v>63</v>
      </c>
      <c r="L95">
        <v>37</v>
      </c>
      <c r="M95">
        <v>71</v>
      </c>
    </row>
    <row r="96" spans="1:13" x14ac:dyDescent="0.25">
      <c r="A96" s="1" t="s">
        <v>160</v>
      </c>
      <c r="B96" s="1" t="s">
        <v>161</v>
      </c>
      <c r="C96">
        <v>2</v>
      </c>
      <c r="D96">
        <v>3</v>
      </c>
      <c r="E96">
        <v>2</v>
      </c>
      <c r="F96">
        <v>2</v>
      </c>
      <c r="G96">
        <v>3</v>
      </c>
      <c r="H96">
        <v>2</v>
      </c>
      <c r="I96">
        <v>56</v>
      </c>
      <c r="J96">
        <v>63</v>
      </c>
      <c r="K96">
        <v>26</v>
      </c>
      <c r="L96">
        <v>92</v>
      </c>
      <c r="M96">
        <v>13</v>
      </c>
    </row>
    <row r="97" spans="1:13" x14ac:dyDescent="0.25">
      <c r="A97" s="1" t="s">
        <v>162</v>
      </c>
      <c r="B97" s="1" t="s">
        <v>30</v>
      </c>
      <c r="C97">
        <v>5</v>
      </c>
      <c r="D97">
        <v>5</v>
      </c>
      <c r="E97">
        <v>6</v>
      </c>
      <c r="F97">
        <v>6</v>
      </c>
      <c r="G97">
        <v>5</v>
      </c>
      <c r="H97">
        <v>6</v>
      </c>
      <c r="I97">
        <v>45</v>
      </c>
      <c r="J97">
        <v>97</v>
      </c>
      <c r="K97">
        <v>5</v>
      </c>
      <c r="L97">
        <v>73</v>
      </c>
      <c r="M97">
        <v>12</v>
      </c>
    </row>
    <row r="98" spans="1:13" x14ac:dyDescent="0.25">
      <c r="A98" s="1" t="s">
        <v>163</v>
      </c>
      <c r="B98" s="1" t="s">
        <v>164</v>
      </c>
      <c r="C98">
        <v>2</v>
      </c>
      <c r="D98">
        <v>4</v>
      </c>
      <c r="E98">
        <v>5</v>
      </c>
      <c r="F98">
        <v>2</v>
      </c>
      <c r="G98">
        <v>4</v>
      </c>
      <c r="H98">
        <v>6</v>
      </c>
      <c r="I98">
        <v>96</v>
      </c>
      <c r="J98">
        <v>60</v>
      </c>
      <c r="K98">
        <v>4</v>
      </c>
      <c r="L98">
        <v>45</v>
      </c>
      <c r="M98">
        <v>21</v>
      </c>
    </row>
    <row r="99" spans="1:13" x14ac:dyDescent="0.25">
      <c r="A99" s="1" t="s">
        <v>165</v>
      </c>
      <c r="B99" s="1" t="s">
        <v>166</v>
      </c>
      <c r="C99">
        <v>7</v>
      </c>
      <c r="D99">
        <v>3</v>
      </c>
      <c r="E99">
        <v>3</v>
      </c>
      <c r="F99">
        <v>6</v>
      </c>
      <c r="G99">
        <v>5</v>
      </c>
      <c r="H99">
        <v>5</v>
      </c>
      <c r="I99">
        <v>57</v>
      </c>
      <c r="J99">
        <v>31</v>
      </c>
      <c r="K99">
        <v>22</v>
      </c>
      <c r="L99">
        <v>59</v>
      </c>
      <c r="M99">
        <v>61</v>
      </c>
    </row>
    <row r="100" spans="1:13" x14ac:dyDescent="0.25">
      <c r="A100" s="1" t="s">
        <v>167</v>
      </c>
      <c r="B100" s="1" t="s">
        <v>18</v>
      </c>
      <c r="C100">
        <v>5</v>
      </c>
      <c r="D100">
        <v>6</v>
      </c>
      <c r="E100">
        <v>4</v>
      </c>
      <c r="F100">
        <v>2</v>
      </c>
      <c r="G100">
        <v>5</v>
      </c>
      <c r="H100">
        <v>5</v>
      </c>
      <c r="I100">
        <v>18</v>
      </c>
      <c r="J100">
        <v>86</v>
      </c>
      <c r="K100">
        <v>25</v>
      </c>
      <c r="L100">
        <v>29</v>
      </c>
      <c r="M100">
        <v>9</v>
      </c>
    </row>
    <row r="101" spans="1:13" x14ac:dyDescent="0.25">
      <c r="A101" s="1" t="s">
        <v>168</v>
      </c>
      <c r="B101" s="1" t="s">
        <v>169</v>
      </c>
      <c r="C101">
        <v>5</v>
      </c>
      <c r="D101">
        <v>4</v>
      </c>
      <c r="E101">
        <v>6</v>
      </c>
      <c r="F101">
        <v>2</v>
      </c>
      <c r="G101">
        <v>5</v>
      </c>
      <c r="H101">
        <v>4</v>
      </c>
      <c r="I101">
        <v>93</v>
      </c>
      <c r="J101">
        <v>47</v>
      </c>
      <c r="K101">
        <v>47</v>
      </c>
      <c r="L101">
        <v>34</v>
      </c>
      <c r="M101">
        <v>39</v>
      </c>
    </row>
    <row r="102" spans="1:13" x14ac:dyDescent="0.25">
      <c r="A102" s="1" t="s">
        <v>170</v>
      </c>
      <c r="B102" s="1" t="s">
        <v>171</v>
      </c>
      <c r="C102">
        <v>3</v>
      </c>
      <c r="D102">
        <v>6</v>
      </c>
      <c r="E102">
        <v>2</v>
      </c>
      <c r="F102">
        <v>3</v>
      </c>
      <c r="G102">
        <v>2</v>
      </c>
      <c r="H102">
        <v>6</v>
      </c>
      <c r="I102">
        <v>89</v>
      </c>
      <c r="J102">
        <v>30</v>
      </c>
      <c r="K102">
        <v>43</v>
      </c>
      <c r="L102">
        <v>25</v>
      </c>
      <c r="M102">
        <v>1</v>
      </c>
    </row>
    <row r="103" spans="1:13" x14ac:dyDescent="0.25">
      <c r="A103" s="1" t="s">
        <v>172</v>
      </c>
      <c r="B103" s="1" t="s">
        <v>130</v>
      </c>
      <c r="C103">
        <v>6</v>
      </c>
      <c r="D103">
        <v>2</v>
      </c>
      <c r="E103">
        <v>3</v>
      </c>
      <c r="F103">
        <v>2</v>
      </c>
      <c r="G103">
        <v>3</v>
      </c>
      <c r="H103">
        <v>6</v>
      </c>
      <c r="I103">
        <v>67</v>
      </c>
      <c r="J103">
        <v>74</v>
      </c>
      <c r="K103">
        <v>49</v>
      </c>
      <c r="L103">
        <v>43</v>
      </c>
      <c r="M103">
        <v>52</v>
      </c>
    </row>
    <row r="104" spans="1:13" x14ac:dyDescent="0.25">
      <c r="A104" s="1" t="s">
        <v>173</v>
      </c>
      <c r="B104" s="1" t="s">
        <v>174</v>
      </c>
      <c r="C104">
        <v>8</v>
      </c>
      <c r="D104">
        <v>3</v>
      </c>
      <c r="E104">
        <v>2</v>
      </c>
      <c r="F104">
        <v>6</v>
      </c>
      <c r="G104">
        <v>5</v>
      </c>
      <c r="H104">
        <v>3</v>
      </c>
      <c r="I104">
        <v>41</v>
      </c>
      <c r="J104">
        <v>29</v>
      </c>
      <c r="K104">
        <v>52</v>
      </c>
      <c r="L104">
        <v>81</v>
      </c>
      <c r="M104">
        <v>26</v>
      </c>
    </row>
    <row r="105" spans="1:13" x14ac:dyDescent="0.25">
      <c r="A105" s="1" t="s">
        <v>175</v>
      </c>
      <c r="B105" s="1" t="s">
        <v>45</v>
      </c>
      <c r="C105">
        <v>8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32</v>
      </c>
      <c r="J105">
        <v>83</v>
      </c>
      <c r="K105">
        <v>14</v>
      </c>
      <c r="L105">
        <v>77</v>
      </c>
      <c r="M105">
        <v>71</v>
      </c>
    </row>
    <row r="106" spans="1:13" x14ac:dyDescent="0.25">
      <c r="A106" s="1" t="s">
        <v>176</v>
      </c>
      <c r="B106" s="1" t="s">
        <v>177</v>
      </c>
      <c r="C106">
        <v>6</v>
      </c>
      <c r="D106">
        <v>5</v>
      </c>
      <c r="E106">
        <v>2</v>
      </c>
      <c r="F106">
        <v>6</v>
      </c>
      <c r="G106">
        <v>6</v>
      </c>
      <c r="H106">
        <v>4</v>
      </c>
      <c r="I106">
        <v>48</v>
      </c>
      <c r="J106">
        <v>39</v>
      </c>
      <c r="K106">
        <v>45</v>
      </c>
      <c r="L106">
        <v>39</v>
      </c>
      <c r="M106">
        <v>59</v>
      </c>
    </row>
    <row r="107" spans="1:13" x14ac:dyDescent="0.25">
      <c r="A107" s="1" t="s">
        <v>178</v>
      </c>
      <c r="B107" s="1" t="s">
        <v>119</v>
      </c>
      <c r="C107">
        <v>1</v>
      </c>
      <c r="D107">
        <v>3</v>
      </c>
      <c r="E107">
        <v>2</v>
      </c>
      <c r="F107">
        <v>3</v>
      </c>
      <c r="G107">
        <v>5</v>
      </c>
      <c r="H107">
        <v>2</v>
      </c>
      <c r="I107">
        <v>11</v>
      </c>
      <c r="J107">
        <v>23</v>
      </c>
      <c r="K107">
        <v>92</v>
      </c>
      <c r="L107">
        <v>50</v>
      </c>
      <c r="M107">
        <v>36</v>
      </c>
    </row>
    <row r="108" spans="1:13" x14ac:dyDescent="0.25">
      <c r="A108" s="1" t="s">
        <v>179</v>
      </c>
      <c r="B108" s="1" t="s">
        <v>180</v>
      </c>
      <c r="C108">
        <v>0</v>
      </c>
      <c r="D108">
        <v>5</v>
      </c>
      <c r="E108">
        <v>3</v>
      </c>
      <c r="F108">
        <v>5</v>
      </c>
      <c r="G108">
        <v>2</v>
      </c>
      <c r="H108">
        <v>5</v>
      </c>
      <c r="I108">
        <v>20</v>
      </c>
      <c r="J108">
        <v>51</v>
      </c>
      <c r="K108">
        <v>64</v>
      </c>
      <c r="L108">
        <v>67</v>
      </c>
      <c r="M108">
        <v>72</v>
      </c>
    </row>
    <row r="109" spans="1:13" x14ac:dyDescent="0.25">
      <c r="A109" s="1" t="s">
        <v>181</v>
      </c>
      <c r="B109" s="1" t="s">
        <v>182</v>
      </c>
      <c r="C109">
        <v>7</v>
      </c>
      <c r="D109">
        <v>4</v>
      </c>
      <c r="E109">
        <v>6</v>
      </c>
      <c r="F109">
        <v>2</v>
      </c>
      <c r="G109">
        <v>5</v>
      </c>
      <c r="H109">
        <v>5</v>
      </c>
      <c r="I109">
        <v>90</v>
      </c>
      <c r="J109">
        <v>9</v>
      </c>
      <c r="K109">
        <v>61</v>
      </c>
      <c r="L109">
        <v>28</v>
      </c>
      <c r="M109">
        <v>92</v>
      </c>
    </row>
    <row r="110" spans="1:13" x14ac:dyDescent="0.25">
      <c r="A110" s="1" t="s">
        <v>183</v>
      </c>
      <c r="B110" s="1" t="s">
        <v>155</v>
      </c>
      <c r="C110">
        <v>4</v>
      </c>
      <c r="D110">
        <v>2</v>
      </c>
      <c r="E110">
        <v>6</v>
      </c>
      <c r="F110">
        <v>6</v>
      </c>
      <c r="G110">
        <v>6</v>
      </c>
      <c r="H110">
        <v>4</v>
      </c>
      <c r="I110">
        <v>91</v>
      </c>
      <c r="J110">
        <v>63</v>
      </c>
      <c r="K110">
        <v>88</v>
      </c>
      <c r="L110">
        <v>68</v>
      </c>
      <c r="M110">
        <v>75</v>
      </c>
    </row>
    <row r="111" spans="1:13" x14ac:dyDescent="0.25">
      <c r="A111" s="1" t="s">
        <v>184</v>
      </c>
      <c r="B111" s="1" t="s">
        <v>185</v>
      </c>
      <c r="C111">
        <v>3</v>
      </c>
      <c r="D111">
        <v>3</v>
      </c>
      <c r="E111">
        <v>4</v>
      </c>
      <c r="F111">
        <v>5</v>
      </c>
      <c r="G111">
        <v>6</v>
      </c>
      <c r="H111">
        <v>3</v>
      </c>
      <c r="I111">
        <v>59</v>
      </c>
      <c r="J111">
        <v>13</v>
      </c>
      <c r="K111">
        <v>14</v>
      </c>
      <c r="L111">
        <v>22</v>
      </c>
      <c r="M111">
        <v>96</v>
      </c>
    </row>
    <row r="112" spans="1:13" x14ac:dyDescent="0.25">
      <c r="A112" s="1" t="s">
        <v>186</v>
      </c>
      <c r="B112" s="1" t="s">
        <v>70</v>
      </c>
      <c r="C112">
        <v>1</v>
      </c>
      <c r="D112">
        <v>3</v>
      </c>
      <c r="E112">
        <v>3</v>
      </c>
      <c r="F112">
        <v>4</v>
      </c>
      <c r="G112">
        <v>3</v>
      </c>
      <c r="H112">
        <v>4</v>
      </c>
      <c r="I112">
        <v>7</v>
      </c>
      <c r="J112">
        <v>13</v>
      </c>
      <c r="K112">
        <v>73</v>
      </c>
      <c r="L112">
        <v>73</v>
      </c>
      <c r="M112">
        <v>78</v>
      </c>
    </row>
    <row r="113" spans="1:13" x14ac:dyDescent="0.25">
      <c r="A113" s="1" t="s">
        <v>187</v>
      </c>
      <c r="B113" s="1" t="s">
        <v>188</v>
      </c>
      <c r="C113">
        <v>7</v>
      </c>
      <c r="D113">
        <v>3</v>
      </c>
      <c r="E113">
        <v>6</v>
      </c>
      <c r="F113">
        <v>2</v>
      </c>
      <c r="G113">
        <v>4</v>
      </c>
      <c r="H113">
        <v>6</v>
      </c>
      <c r="I113">
        <v>39</v>
      </c>
      <c r="J113">
        <v>69</v>
      </c>
      <c r="K113">
        <v>10</v>
      </c>
      <c r="L113">
        <v>10</v>
      </c>
      <c r="M113">
        <v>91</v>
      </c>
    </row>
    <row r="114" spans="1:13" x14ac:dyDescent="0.25">
      <c r="A114" s="1" t="s">
        <v>189</v>
      </c>
      <c r="B114" s="1" t="s">
        <v>70</v>
      </c>
      <c r="C114">
        <v>5</v>
      </c>
      <c r="D114">
        <v>6</v>
      </c>
      <c r="E114">
        <v>4</v>
      </c>
      <c r="F114">
        <v>3</v>
      </c>
      <c r="G114">
        <v>5</v>
      </c>
      <c r="H114">
        <v>2</v>
      </c>
      <c r="I114">
        <v>18</v>
      </c>
      <c r="J114">
        <v>29</v>
      </c>
      <c r="K114">
        <v>18</v>
      </c>
      <c r="L114">
        <v>5</v>
      </c>
      <c r="M114">
        <v>64</v>
      </c>
    </row>
    <row r="115" spans="1:13" x14ac:dyDescent="0.25">
      <c r="A115" s="1" t="s">
        <v>190</v>
      </c>
      <c r="B115" s="1" t="s">
        <v>101</v>
      </c>
      <c r="C115">
        <v>3</v>
      </c>
      <c r="D115">
        <v>3</v>
      </c>
      <c r="E115">
        <v>3</v>
      </c>
      <c r="F115">
        <v>6</v>
      </c>
      <c r="G115">
        <v>2</v>
      </c>
      <c r="H115">
        <v>2</v>
      </c>
      <c r="I115">
        <v>80</v>
      </c>
      <c r="J115">
        <v>5</v>
      </c>
      <c r="K115">
        <v>4</v>
      </c>
      <c r="L115">
        <v>59</v>
      </c>
      <c r="M115">
        <v>5</v>
      </c>
    </row>
    <row r="116" spans="1:13" x14ac:dyDescent="0.25">
      <c r="A116" s="1" t="s">
        <v>191</v>
      </c>
      <c r="B116" s="1" t="s">
        <v>16</v>
      </c>
      <c r="C116">
        <v>2</v>
      </c>
      <c r="D116">
        <v>4</v>
      </c>
      <c r="E116">
        <v>6</v>
      </c>
      <c r="F116">
        <v>3</v>
      </c>
      <c r="G116">
        <v>6</v>
      </c>
      <c r="H116">
        <v>6</v>
      </c>
      <c r="I116">
        <v>72</v>
      </c>
      <c r="J116">
        <v>51</v>
      </c>
      <c r="K116">
        <v>1</v>
      </c>
      <c r="L116">
        <v>33</v>
      </c>
      <c r="M116">
        <v>91</v>
      </c>
    </row>
    <row r="117" spans="1:13" x14ac:dyDescent="0.25">
      <c r="A117" s="1" t="s">
        <v>192</v>
      </c>
      <c r="B117" s="1" t="s">
        <v>30</v>
      </c>
      <c r="C117">
        <v>1</v>
      </c>
      <c r="D117">
        <v>4</v>
      </c>
      <c r="E117">
        <v>4</v>
      </c>
      <c r="F117">
        <v>3</v>
      </c>
      <c r="G117">
        <v>3</v>
      </c>
      <c r="H117">
        <v>6</v>
      </c>
      <c r="I117">
        <v>25</v>
      </c>
      <c r="J117">
        <v>23</v>
      </c>
      <c r="K117">
        <v>20</v>
      </c>
      <c r="L117">
        <v>93</v>
      </c>
      <c r="M117">
        <v>78</v>
      </c>
    </row>
    <row r="118" spans="1:13" x14ac:dyDescent="0.25">
      <c r="A118" s="1" t="s">
        <v>148</v>
      </c>
      <c r="B118" s="1" t="s">
        <v>193</v>
      </c>
      <c r="C118">
        <v>4</v>
      </c>
      <c r="D118">
        <v>5</v>
      </c>
      <c r="E118">
        <v>5</v>
      </c>
      <c r="F118">
        <v>3</v>
      </c>
      <c r="G118">
        <v>5</v>
      </c>
      <c r="H118">
        <v>2</v>
      </c>
      <c r="I118">
        <v>79</v>
      </c>
      <c r="J118">
        <v>53</v>
      </c>
      <c r="K118">
        <v>97</v>
      </c>
      <c r="L118">
        <v>34</v>
      </c>
      <c r="M118">
        <v>92</v>
      </c>
    </row>
    <row r="119" spans="1:13" x14ac:dyDescent="0.25">
      <c r="A119" s="1" t="s">
        <v>194</v>
      </c>
      <c r="B119" s="1" t="s">
        <v>86</v>
      </c>
      <c r="C119">
        <v>4</v>
      </c>
      <c r="D119">
        <v>2</v>
      </c>
      <c r="E119">
        <v>6</v>
      </c>
      <c r="F119">
        <v>4</v>
      </c>
      <c r="G119">
        <v>3</v>
      </c>
      <c r="H119">
        <v>2</v>
      </c>
      <c r="I119">
        <v>13</v>
      </c>
      <c r="J119">
        <v>81</v>
      </c>
      <c r="K119">
        <v>58</v>
      </c>
      <c r="L119">
        <v>45</v>
      </c>
      <c r="M119">
        <v>11</v>
      </c>
    </row>
    <row r="120" spans="1:13" x14ac:dyDescent="0.25">
      <c r="A120" s="1" t="s">
        <v>195</v>
      </c>
      <c r="B120" s="1" t="s">
        <v>155</v>
      </c>
      <c r="C120">
        <v>5</v>
      </c>
      <c r="D120">
        <v>2</v>
      </c>
      <c r="E120">
        <v>3</v>
      </c>
      <c r="F120">
        <v>3</v>
      </c>
      <c r="G120">
        <v>2</v>
      </c>
      <c r="H120">
        <v>6</v>
      </c>
      <c r="I120">
        <v>93</v>
      </c>
      <c r="J120">
        <v>31</v>
      </c>
      <c r="K120">
        <v>9</v>
      </c>
      <c r="L120">
        <v>50</v>
      </c>
      <c r="M120">
        <v>41</v>
      </c>
    </row>
    <row r="121" spans="1:13" x14ac:dyDescent="0.25">
      <c r="A121" s="1" t="s">
        <v>196</v>
      </c>
      <c r="B121" s="1" t="s">
        <v>197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10</v>
      </c>
      <c r="J121">
        <v>93</v>
      </c>
      <c r="K121">
        <v>88</v>
      </c>
      <c r="L121">
        <v>23</v>
      </c>
      <c r="M121">
        <v>43</v>
      </c>
    </row>
    <row r="122" spans="1:13" x14ac:dyDescent="0.25">
      <c r="A122" s="1" t="s">
        <v>198</v>
      </c>
      <c r="B122" s="1" t="s">
        <v>199</v>
      </c>
      <c r="C122">
        <v>0</v>
      </c>
      <c r="D122">
        <v>3</v>
      </c>
      <c r="E122">
        <v>3</v>
      </c>
      <c r="F122">
        <v>2</v>
      </c>
      <c r="G122">
        <v>3</v>
      </c>
      <c r="H122">
        <v>6</v>
      </c>
      <c r="I122">
        <v>7</v>
      </c>
      <c r="J122">
        <v>69</v>
      </c>
      <c r="K122">
        <v>31</v>
      </c>
      <c r="L122">
        <v>13</v>
      </c>
      <c r="M122">
        <v>61</v>
      </c>
    </row>
    <row r="123" spans="1:13" x14ac:dyDescent="0.25">
      <c r="A123" s="1" t="s">
        <v>200</v>
      </c>
      <c r="B123" s="1" t="s">
        <v>201</v>
      </c>
      <c r="C123">
        <v>5</v>
      </c>
      <c r="D123">
        <v>3</v>
      </c>
      <c r="E123">
        <v>2</v>
      </c>
      <c r="F123">
        <v>2</v>
      </c>
      <c r="G123">
        <v>4</v>
      </c>
      <c r="H123">
        <v>6</v>
      </c>
      <c r="I123">
        <v>24</v>
      </c>
      <c r="J123">
        <v>79</v>
      </c>
      <c r="K123">
        <v>99</v>
      </c>
      <c r="L123">
        <v>6</v>
      </c>
      <c r="M123">
        <v>89</v>
      </c>
    </row>
    <row r="124" spans="1:13" x14ac:dyDescent="0.25">
      <c r="A124" s="1" t="s">
        <v>202</v>
      </c>
      <c r="B124" s="1" t="s">
        <v>203</v>
      </c>
      <c r="C124">
        <v>7</v>
      </c>
      <c r="D124">
        <v>2</v>
      </c>
      <c r="E124">
        <v>2</v>
      </c>
      <c r="F124">
        <v>4</v>
      </c>
      <c r="G124">
        <v>4</v>
      </c>
      <c r="H124">
        <v>6</v>
      </c>
      <c r="I124">
        <v>57</v>
      </c>
      <c r="J124">
        <v>11</v>
      </c>
      <c r="K124">
        <v>80</v>
      </c>
      <c r="L124">
        <v>27</v>
      </c>
      <c r="M124">
        <v>21</v>
      </c>
    </row>
    <row r="125" spans="1:13" x14ac:dyDescent="0.25">
      <c r="A125" s="1" t="s">
        <v>204</v>
      </c>
      <c r="B125" s="1" t="s">
        <v>205</v>
      </c>
      <c r="C125">
        <v>7</v>
      </c>
      <c r="D125">
        <v>6</v>
      </c>
      <c r="E125">
        <v>6</v>
      </c>
      <c r="F125">
        <v>2</v>
      </c>
      <c r="G125">
        <v>2</v>
      </c>
      <c r="H125">
        <v>4</v>
      </c>
      <c r="I125">
        <v>2</v>
      </c>
      <c r="J125">
        <v>65</v>
      </c>
      <c r="K125">
        <v>47</v>
      </c>
      <c r="L125">
        <v>64</v>
      </c>
      <c r="M125">
        <v>89</v>
      </c>
    </row>
    <row r="126" spans="1:13" x14ac:dyDescent="0.25">
      <c r="A126" s="1" t="s">
        <v>206</v>
      </c>
      <c r="B126" s="1" t="s">
        <v>155</v>
      </c>
      <c r="C126">
        <v>6</v>
      </c>
      <c r="D126">
        <v>4</v>
      </c>
      <c r="E126">
        <v>5</v>
      </c>
      <c r="F126">
        <v>3</v>
      </c>
      <c r="G126">
        <v>6</v>
      </c>
      <c r="H126">
        <v>2</v>
      </c>
      <c r="I126">
        <v>46</v>
      </c>
      <c r="J126">
        <v>75</v>
      </c>
      <c r="K126">
        <v>6</v>
      </c>
      <c r="L126">
        <v>45</v>
      </c>
      <c r="M126">
        <v>9</v>
      </c>
    </row>
    <row r="127" spans="1:13" x14ac:dyDescent="0.25">
      <c r="A127" s="1" t="s">
        <v>207</v>
      </c>
      <c r="B127" s="1" t="s">
        <v>51</v>
      </c>
      <c r="C127">
        <v>8</v>
      </c>
      <c r="D127">
        <v>3</v>
      </c>
      <c r="E127">
        <v>6</v>
      </c>
      <c r="F127">
        <v>4</v>
      </c>
      <c r="G127">
        <v>5</v>
      </c>
      <c r="H127">
        <v>2</v>
      </c>
      <c r="I127">
        <v>8</v>
      </c>
      <c r="J127">
        <v>35</v>
      </c>
      <c r="K127">
        <v>65</v>
      </c>
      <c r="L127">
        <v>30</v>
      </c>
      <c r="M127">
        <v>5</v>
      </c>
    </row>
    <row r="128" spans="1:13" x14ac:dyDescent="0.25">
      <c r="A128" s="1" t="s">
        <v>208</v>
      </c>
      <c r="B128" s="1" t="s">
        <v>30</v>
      </c>
      <c r="C128">
        <v>3</v>
      </c>
      <c r="D128">
        <v>6</v>
      </c>
      <c r="E128">
        <v>6</v>
      </c>
      <c r="F128">
        <v>3</v>
      </c>
      <c r="G128">
        <v>4</v>
      </c>
      <c r="H128">
        <v>5</v>
      </c>
      <c r="I128">
        <v>35</v>
      </c>
      <c r="J128">
        <v>1</v>
      </c>
      <c r="K128">
        <v>100</v>
      </c>
      <c r="L128">
        <v>65</v>
      </c>
      <c r="M128">
        <v>86</v>
      </c>
    </row>
    <row r="129" spans="1:13" x14ac:dyDescent="0.25">
      <c r="A129" s="1" t="s">
        <v>209</v>
      </c>
      <c r="B129" s="1" t="s">
        <v>210</v>
      </c>
      <c r="C129">
        <v>8</v>
      </c>
      <c r="D129">
        <v>3</v>
      </c>
      <c r="E129">
        <v>2</v>
      </c>
      <c r="F129">
        <v>3</v>
      </c>
      <c r="G129">
        <v>5</v>
      </c>
      <c r="H129">
        <v>5</v>
      </c>
      <c r="I129">
        <v>31</v>
      </c>
      <c r="J129">
        <v>75</v>
      </c>
      <c r="K129">
        <v>10</v>
      </c>
      <c r="L129">
        <v>37</v>
      </c>
      <c r="M129">
        <v>48</v>
      </c>
    </row>
    <row r="130" spans="1:13" x14ac:dyDescent="0.25">
      <c r="A130" s="1" t="s">
        <v>211</v>
      </c>
      <c r="B130" s="1" t="s">
        <v>78</v>
      </c>
      <c r="C130">
        <v>4</v>
      </c>
      <c r="D130">
        <v>3</v>
      </c>
      <c r="E130">
        <v>4</v>
      </c>
      <c r="F130">
        <v>2</v>
      </c>
      <c r="G130">
        <v>5</v>
      </c>
      <c r="H130">
        <v>6</v>
      </c>
      <c r="I130">
        <v>53</v>
      </c>
      <c r="J130">
        <v>74</v>
      </c>
      <c r="K130">
        <v>66</v>
      </c>
      <c r="L130">
        <v>37</v>
      </c>
      <c r="M130">
        <v>55</v>
      </c>
    </row>
    <row r="131" spans="1:13" x14ac:dyDescent="0.25">
      <c r="A131" s="1" t="s">
        <v>212</v>
      </c>
      <c r="B131" s="1" t="s">
        <v>101</v>
      </c>
      <c r="C131">
        <v>4</v>
      </c>
      <c r="D131">
        <v>6</v>
      </c>
      <c r="E131">
        <v>5</v>
      </c>
      <c r="F131">
        <v>3</v>
      </c>
      <c r="G131">
        <v>4</v>
      </c>
      <c r="H131">
        <v>4</v>
      </c>
      <c r="I131">
        <v>43</v>
      </c>
      <c r="J131">
        <v>49</v>
      </c>
      <c r="K131">
        <v>12</v>
      </c>
      <c r="L131">
        <v>36</v>
      </c>
      <c r="M131">
        <v>87</v>
      </c>
    </row>
    <row r="132" spans="1:13" x14ac:dyDescent="0.25">
      <c r="A132" s="1" t="s">
        <v>213</v>
      </c>
      <c r="B132" s="1" t="s">
        <v>72</v>
      </c>
      <c r="C132">
        <v>4</v>
      </c>
      <c r="D132">
        <v>4</v>
      </c>
      <c r="E132">
        <v>6</v>
      </c>
      <c r="F132">
        <v>2</v>
      </c>
      <c r="G132">
        <v>5</v>
      </c>
      <c r="H132">
        <v>2</v>
      </c>
      <c r="I132">
        <v>60</v>
      </c>
      <c r="J132">
        <v>75</v>
      </c>
      <c r="K132">
        <v>10</v>
      </c>
      <c r="L132">
        <v>59</v>
      </c>
      <c r="M132">
        <v>5</v>
      </c>
    </row>
    <row r="133" spans="1:13" x14ac:dyDescent="0.25">
      <c r="A133" s="1" t="s">
        <v>214</v>
      </c>
      <c r="B133" s="1" t="s">
        <v>197</v>
      </c>
      <c r="C133">
        <v>7</v>
      </c>
      <c r="D133">
        <v>6</v>
      </c>
      <c r="E133">
        <v>4</v>
      </c>
      <c r="F133">
        <v>2</v>
      </c>
      <c r="G133">
        <v>2</v>
      </c>
      <c r="H133">
        <v>3</v>
      </c>
      <c r="I133">
        <v>89</v>
      </c>
      <c r="J133">
        <v>29</v>
      </c>
      <c r="K133">
        <v>58</v>
      </c>
      <c r="L133">
        <v>19</v>
      </c>
      <c r="M133">
        <v>97</v>
      </c>
    </row>
    <row r="134" spans="1:13" x14ac:dyDescent="0.25">
      <c r="A134" s="1" t="s">
        <v>215</v>
      </c>
      <c r="B134" s="1" t="s">
        <v>216</v>
      </c>
      <c r="C134">
        <v>5</v>
      </c>
      <c r="D134">
        <v>6</v>
      </c>
      <c r="E134">
        <v>5</v>
      </c>
      <c r="F134">
        <v>3</v>
      </c>
      <c r="G134">
        <v>5</v>
      </c>
      <c r="H134">
        <v>3</v>
      </c>
      <c r="I134">
        <v>61</v>
      </c>
      <c r="J134">
        <v>95</v>
      </c>
      <c r="K134">
        <v>36</v>
      </c>
      <c r="L134">
        <v>86</v>
      </c>
      <c r="M134">
        <v>36</v>
      </c>
    </row>
    <row r="135" spans="1:13" x14ac:dyDescent="0.25">
      <c r="A135" s="1" t="s">
        <v>217</v>
      </c>
      <c r="B135" s="1" t="s">
        <v>218</v>
      </c>
      <c r="C135">
        <v>7</v>
      </c>
      <c r="D135">
        <v>6</v>
      </c>
      <c r="E135">
        <v>2</v>
      </c>
      <c r="F135">
        <v>3</v>
      </c>
      <c r="G135">
        <v>3</v>
      </c>
      <c r="H135">
        <v>2</v>
      </c>
      <c r="I135">
        <v>2</v>
      </c>
      <c r="J135">
        <v>9</v>
      </c>
      <c r="K135">
        <v>56</v>
      </c>
      <c r="L135">
        <v>86</v>
      </c>
      <c r="M135">
        <v>71</v>
      </c>
    </row>
    <row r="136" spans="1:13" x14ac:dyDescent="0.25">
      <c r="A136" s="1" t="s">
        <v>219</v>
      </c>
      <c r="B136" s="1" t="s">
        <v>16</v>
      </c>
      <c r="C136">
        <v>6</v>
      </c>
      <c r="D136">
        <v>2</v>
      </c>
      <c r="E136">
        <v>4</v>
      </c>
      <c r="F136">
        <v>5</v>
      </c>
      <c r="G136">
        <v>6</v>
      </c>
      <c r="H136">
        <v>4</v>
      </c>
      <c r="I136">
        <v>21</v>
      </c>
      <c r="J136">
        <v>73</v>
      </c>
      <c r="K136">
        <v>39</v>
      </c>
      <c r="L136">
        <v>28</v>
      </c>
      <c r="M136">
        <v>25</v>
      </c>
    </row>
    <row r="137" spans="1:13" x14ac:dyDescent="0.25">
      <c r="A137" s="1" t="s">
        <v>220</v>
      </c>
      <c r="B137" s="1" t="s">
        <v>130</v>
      </c>
      <c r="C137">
        <v>0</v>
      </c>
      <c r="D137">
        <v>5</v>
      </c>
      <c r="E137">
        <v>2</v>
      </c>
      <c r="F137">
        <v>4</v>
      </c>
      <c r="G137">
        <v>3</v>
      </c>
      <c r="H137">
        <v>3</v>
      </c>
      <c r="I137">
        <v>52</v>
      </c>
      <c r="J137">
        <v>74</v>
      </c>
      <c r="K137">
        <v>79</v>
      </c>
      <c r="L137">
        <v>92</v>
      </c>
      <c r="M137">
        <v>69</v>
      </c>
    </row>
    <row r="138" spans="1:13" x14ac:dyDescent="0.25">
      <c r="A138" s="1" t="s">
        <v>221</v>
      </c>
      <c r="B138" s="1" t="s">
        <v>222</v>
      </c>
      <c r="C138">
        <v>1</v>
      </c>
      <c r="D138">
        <v>2</v>
      </c>
      <c r="E138">
        <v>2</v>
      </c>
      <c r="F138">
        <v>4</v>
      </c>
      <c r="G138">
        <v>5</v>
      </c>
      <c r="H138">
        <v>3</v>
      </c>
      <c r="I138">
        <v>97</v>
      </c>
      <c r="J138">
        <v>51</v>
      </c>
      <c r="K138">
        <v>38</v>
      </c>
      <c r="L138">
        <v>17</v>
      </c>
      <c r="M138">
        <v>5</v>
      </c>
    </row>
    <row r="139" spans="1:13" x14ac:dyDescent="0.25">
      <c r="A139" s="1" t="s">
        <v>223</v>
      </c>
      <c r="B139" s="1" t="s">
        <v>145</v>
      </c>
      <c r="C139">
        <v>3</v>
      </c>
      <c r="D139">
        <v>3</v>
      </c>
      <c r="E139">
        <v>2</v>
      </c>
      <c r="F139">
        <v>5</v>
      </c>
      <c r="G139">
        <v>3</v>
      </c>
      <c r="H139">
        <v>5</v>
      </c>
      <c r="I139">
        <v>68</v>
      </c>
      <c r="J139">
        <v>38</v>
      </c>
      <c r="K139">
        <v>31</v>
      </c>
      <c r="L139">
        <v>14</v>
      </c>
      <c r="M139">
        <v>54</v>
      </c>
    </row>
    <row r="140" spans="1:13" x14ac:dyDescent="0.25">
      <c r="A140" s="1" t="s">
        <v>224</v>
      </c>
      <c r="B140" s="1" t="s">
        <v>225</v>
      </c>
      <c r="C140">
        <v>7</v>
      </c>
      <c r="D140">
        <v>6</v>
      </c>
      <c r="E140">
        <v>2</v>
      </c>
      <c r="F140">
        <v>5</v>
      </c>
      <c r="G140">
        <v>6</v>
      </c>
      <c r="H140">
        <v>5</v>
      </c>
      <c r="I140">
        <v>19</v>
      </c>
      <c r="J140">
        <v>56</v>
      </c>
      <c r="K140">
        <v>50</v>
      </c>
      <c r="L140">
        <v>43</v>
      </c>
      <c r="M140">
        <v>66</v>
      </c>
    </row>
    <row r="141" spans="1:13" x14ac:dyDescent="0.25">
      <c r="A141" s="1" t="s">
        <v>226</v>
      </c>
      <c r="B141" s="1" t="s">
        <v>74</v>
      </c>
      <c r="C141">
        <v>6</v>
      </c>
      <c r="D141">
        <v>6</v>
      </c>
      <c r="E141">
        <v>5</v>
      </c>
      <c r="F141">
        <v>3</v>
      </c>
      <c r="G141">
        <v>2</v>
      </c>
      <c r="H141">
        <v>3</v>
      </c>
      <c r="I141">
        <v>16</v>
      </c>
      <c r="J141">
        <v>95</v>
      </c>
      <c r="K141">
        <v>97</v>
      </c>
      <c r="L141">
        <v>62</v>
      </c>
      <c r="M141">
        <v>46</v>
      </c>
    </row>
    <row r="142" spans="1:13" x14ac:dyDescent="0.25">
      <c r="A142" s="1" t="s">
        <v>227</v>
      </c>
      <c r="B142" s="1" t="s">
        <v>78</v>
      </c>
      <c r="C142">
        <v>6</v>
      </c>
      <c r="D142">
        <v>5</v>
      </c>
      <c r="E142">
        <v>3</v>
      </c>
      <c r="F142">
        <v>2</v>
      </c>
      <c r="G142">
        <v>3</v>
      </c>
      <c r="H142">
        <v>5</v>
      </c>
      <c r="I142">
        <v>55</v>
      </c>
      <c r="J142">
        <v>2</v>
      </c>
      <c r="K142">
        <v>64</v>
      </c>
      <c r="L142">
        <v>13</v>
      </c>
      <c r="M142">
        <v>72</v>
      </c>
    </row>
    <row r="143" spans="1:13" x14ac:dyDescent="0.25">
      <c r="A143" s="1" t="s">
        <v>228</v>
      </c>
      <c r="B143" s="1" t="s">
        <v>166</v>
      </c>
      <c r="C143">
        <v>6</v>
      </c>
      <c r="D143">
        <v>2</v>
      </c>
      <c r="E143">
        <v>4</v>
      </c>
      <c r="F143">
        <v>3</v>
      </c>
      <c r="G143">
        <v>3</v>
      </c>
      <c r="H143">
        <v>2</v>
      </c>
      <c r="I143">
        <v>54</v>
      </c>
      <c r="J143">
        <v>83</v>
      </c>
      <c r="K143">
        <v>36</v>
      </c>
      <c r="L143">
        <v>27</v>
      </c>
      <c r="M143">
        <v>21</v>
      </c>
    </row>
    <row r="144" spans="1:13" x14ac:dyDescent="0.25">
      <c r="A144" s="1" t="s">
        <v>229</v>
      </c>
      <c r="B144" s="1" t="s">
        <v>174</v>
      </c>
      <c r="C144">
        <v>1</v>
      </c>
      <c r="D144">
        <v>5</v>
      </c>
      <c r="E144">
        <v>2</v>
      </c>
      <c r="F144">
        <v>2</v>
      </c>
      <c r="G144">
        <v>4</v>
      </c>
      <c r="H144">
        <v>5</v>
      </c>
      <c r="I144">
        <v>19</v>
      </c>
      <c r="J144">
        <v>92</v>
      </c>
      <c r="K144">
        <v>24</v>
      </c>
      <c r="L144">
        <v>32</v>
      </c>
      <c r="M144">
        <v>91</v>
      </c>
    </row>
    <row r="145" spans="1:13" x14ac:dyDescent="0.25">
      <c r="A145" s="1" t="s">
        <v>230</v>
      </c>
      <c r="B145" s="1" t="s">
        <v>137</v>
      </c>
      <c r="C145">
        <v>7</v>
      </c>
      <c r="D145">
        <v>3</v>
      </c>
      <c r="E145">
        <v>2</v>
      </c>
      <c r="F145">
        <v>3</v>
      </c>
      <c r="G145">
        <v>5</v>
      </c>
      <c r="H145">
        <v>6</v>
      </c>
      <c r="I145">
        <v>25</v>
      </c>
      <c r="J145">
        <v>14</v>
      </c>
      <c r="K145">
        <v>19</v>
      </c>
      <c r="L145">
        <v>95</v>
      </c>
      <c r="M145">
        <v>91</v>
      </c>
    </row>
    <row r="146" spans="1:13" x14ac:dyDescent="0.25">
      <c r="A146" s="1" t="s">
        <v>231</v>
      </c>
      <c r="B146" s="1" t="s">
        <v>232</v>
      </c>
      <c r="C146">
        <v>8</v>
      </c>
      <c r="D146">
        <v>4</v>
      </c>
      <c r="E146">
        <v>3</v>
      </c>
      <c r="F146">
        <v>2</v>
      </c>
      <c r="G146">
        <v>3</v>
      </c>
      <c r="H146">
        <v>4</v>
      </c>
      <c r="I146">
        <v>37</v>
      </c>
      <c r="J146">
        <v>69</v>
      </c>
      <c r="K146">
        <v>12</v>
      </c>
      <c r="L146">
        <v>17</v>
      </c>
      <c r="M146">
        <v>48</v>
      </c>
    </row>
    <row r="147" spans="1:13" x14ac:dyDescent="0.25">
      <c r="A147" s="1" t="s">
        <v>233</v>
      </c>
      <c r="B147" s="1" t="s">
        <v>145</v>
      </c>
      <c r="C147">
        <v>3</v>
      </c>
      <c r="D147">
        <v>6</v>
      </c>
      <c r="E147">
        <v>6</v>
      </c>
      <c r="F147">
        <v>6</v>
      </c>
      <c r="G147">
        <v>3</v>
      </c>
      <c r="H147">
        <v>4</v>
      </c>
      <c r="I147">
        <v>79</v>
      </c>
      <c r="J147">
        <v>23</v>
      </c>
      <c r="K147">
        <v>17</v>
      </c>
      <c r="L147">
        <v>99</v>
      </c>
      <c r="M147">
        <v>29</v>
      </c>
    </row>
    <row r="148" spans="1:13" x14ac:dyDescent="0.25">
      <c r="A148" s="1" t="s">
        <v>234</v>
      </c>
      <c r="B148" s="1" t="s">
        <v>159</v>
      </c>
      <c r="C148">
        <v>4</v>
      </c>
      <c r="D148">
        <v>5</v>
      </c>
      <c r="E148">
        <v>2</v>
      </c>
      <c r="F148">
        <v>5</v>
      </c>
      <c r="G148">
        <v>4</v>
      </c>
      <c r="H148">
        <v>3</v>
      </c>
      <c r="I148">
        <v>41</v>
      </c>
      <c r="J148">
        <v>64</v>
      </c>
      <c r="K148">
        <v>91</v>
      </c>
      <c r="L148">
        <v>82</v>
      </c>
      <c r="M148">
        <v>100</v>
      </c>
    </row>
    <row r="149" spans="1:13" x14ac:dyDescent="0.25">
      <c r="A149" s="1" t="s">
        <v>235</v>
      </c>
      <c r="B149" s="1" t="s">
        <v>101</v>
      </c>
      <c r="C149">
        <v>5</v>
      </c>
      <c r="D149">
        <v>4</v>
      </c>
      <c r="E149">
        <v>5</v>
      </c>
      <c r="F149">
        <v>2</v>
      </c>
      <c r="G149">
        <v>3</v>
      </c>
      <c r="H149">
        <v>2</v>
      </c>
      <c r="I149">
        <v>87</v>
      </c>
      <c r="J149">
        <v>45</v>
      </c>
      <c r="K149">
        <v>47</v>
      </c>
      <c r="L149">
        <v>75</v>
      </c>
      <c r="M149">
        <v>51</v>
      </c>
    </row>
    <row r="150" spans="1:13" x14ac:dyDescent="0.25">
      <c r="A150" s="1" t="s">
        <v>236</v>
      </c>
      <c r="B150" s="1" t="s">
        <v>90</v>
      </c>
      <c r="C150">
        <v>8</v>
      </c>
      <c r="D150">
        <v>3</v>
      </c>
      <c r="E150">
        <v>6</v>
      </c>
      <c r="F150">
        <v>3</v>
      </c>
      <c r="G150">
        <v>6</v>
      </c>
      <c r="H150">
        <v>2</v>
      </c>
      <c r="I150">
        <v>84</v>
      </c>
      <c r="J150">
        <v>77</v>
      </c>
      <c r="K150">
        <v>71</v>
      </c>
      <c r="L150">
        <v>71</v>
      </c>
      <c r="M150">
        <v>9</v>
      </c>
    </row>
    <row r="151" spans="1:13" x14ac:dyDescent="0.25">
      <c r="A151" s="1" t="s">
        <v>237</v>
      </c>
      <c r="B151" s="1" t="s">
        <v>90</v>
      </c>
      <c r="C151">
        <v>1</v>
      </c>
      <c r="D151">
        <v>2</v>
      </c>
      <c r="E151">
        <v>4</v>
      </c>
      <c r="F151">
        <v>4</v>
      </c>
      <c r="G151">
        <v>5</v>
      </c>
      <c r="H151">
        <v>5</v>
      </c>
      <c r="I151">
        <v>20</v>
      </c>
      <c r="J151">
        <v>93</v>
      </c>
      <c r="K151">
        <v>68</v>
      </c>
      <c r="L151">
        <v>58</v>
      </c>
      <c r="M151">
        <v>23</v>
      </c>
    </row>
    <row r="152" spans="1:13" x14ac:dyDescent="0.25">
      <c r="A152" s="1" t="s">
        <v>238</v>
      </c>
      <c r="B152" s="1" t="s">
        <v>239</v>
      </c>
      <c r="C152">
        <v>7</v>
      </c>
      <c r="D152">
        <v>5</v>
      </c>
      <c r="E152">
        <v>6</v>
      </c>
      <c r="F152">
        <v>6</v>
      </c>
      <c r="G152">
        <v>2</v>
      </c>
      <c r="H152">
        <v>5</v>
      </c>
      <c r="I152">
        <v>80</v>
      </c>
      <c r="J152">
        <v>90</v>
      </c>
      <c r="K152">
        <v>62</v>
      </c>
      <c r="L152">
        <v>97</v>
      </c>
      <c r="M152">
        <v>3</v>
      </c>
    </row>
    <row r="153" spans="1:13" x14ac:dyDescent="0.25">
      <c r="A153" s="1" t="s">
        <v>240</v>
      </c>
      <c r="B153" s="1" t="s">
        <v>232</v>
      </c>
      <c r="C153">
        <v>6</v>
      </c>
      <c r="D153">
        <v>6</v>
      </c>
      <c r="E153">
        <v>6</v>
      </c>
      <c r="F153">
        <v>4</v>
      </c>
      <c r="G153">
        <v>4</v>
      </c>
      <c r="H153">
        <v>5</v>
      </c>
      <c r="I153">
        <v>77</v>
      </c>
      <c r="J153">
        <v>40</v>
      </c>
      <c r="K153">
        <v>93</v>
      </c>
      <c r="L153">
        <v>80</v>
      </c>
      <c r="M153">
        <v>71</v>
      </c>
    </row>
    <row r="154" spans="1:13" x14ac:dyDescent="0.25">
      <c r="A154" s="1" t="s">
        <v>241</v>
      </c>
      <c r="B154" s="1" t="s">
        <v>242</v>
      </c>
      <c r="C154">
        <v>4</v>
      </c>
      <c r="D154">
        <v>6</v>
      </c>
      <c r="E154">
        <v>5</v>
      </c>
      <c r="F154">
        <v>3</v>
      </c>
      <c r="G154">
        <v>5</v>
      </c>
      <c r="H154">
        <v>4</v>
      </c>
      <c r="I154">
        <v>65</v>
      </c>
      <c r="J154">
        <v>34</v>
      </c>
      <c r="K154">
        <v>51</v>
      </c>
      <c r="L154">
        <v>38</v>
      </c>
      <c r="M154">
        <v>65</v>
      </c>
    </row>
    <row r="155" spans="1:13" x14ac:dyDescent="0.25">
      <c r="A155" s="1" t="s">
        <v>243</v>
      </c>
      <c r="B155" s="1" t="s">
        <v>244</v>
      </c>
      <c r="C155">
        <v>0</v>
      </c>
      <c r="D155">
        <v>6</v>
      </c>
      <c r="E155">
        <v>4</v>
      </c>
      <c r="F155">
        <v>3</v>
      </c>
      <c r="G155">
        <v>3</v>
      </c>
      <c r="H155">
        <v>2</v>
      </c>
      <c r="I155">
        <v>62</v>
      </c>
      <c r="J155">
        <v>62</v>
      </c>
      <c r="K155">
        <v>86</v>
      </c>
      <c r="L155">
        <v>10</v>
      </c>
      <c r="M155">
        <v>2</v>
      </c>
    </row>
    <row r="156" spans="1:13" x14ac:dyDescent="0.25">
      <c r="A156" s="1" t="s">
        <v>245</v>
      </c>
      <c r="B156" s="1" t="s">
        <v>246</v>
      </c>
      <c r="C156">
        <v>8</v>
      </c>
      <c r="D156">
        <v>5</v>
      </c>
      <c r="E156">
        <v>4</v>
      </c>
      <c r="F156">
        <v>2</v>
      </c>
      <c r="G156">
        <v>4</v>
      </c>
      <c r="H156">
        <v>2</v>
      </c>
      <c r="I156">
        <v>70</v>
      </c>
      <c r="J156">
        <v>4</v>
      </c>
      <c r="K156">
        <v>92</v>
      </c>
      <c r="L156">
        <v>91</v>
      </c>
      <c r="M156">
        <v>21</v>
      </c>
    </row>
    <row r="157" spans="1:13" x14ac:dyDescent="0.25">
      <c r="A157" s="1" t="s">
        <v>247</v>
      </c>
      <c r="B157" s="1" t="s">
        <v>164</v>
      </c>
      <c r="C157">
        <v>1</v>
      </c>
      <c r="D157">
        <v>2</v>
      </c>
      <c r="E157">
        <v>6</v>
      </c>
      <c r="F157">
        <v>5</v>
      </c>
      <c r="G157">
        <v>6</v>
      </c>
      <c r="H157">
        <v>4</v>
      </c>
      <c r="I157">
        <v>66</v>
      </c>
      <c r="J157">
        <v>78</v>
      </c>
      <c r="K157">
        <v>26</v>
      </c>
      <c r="L157">
        <v>98</v>
      </c>
      <c r="M157">
        <v>56</v>
      </c>
    </row>
    <row r="158" spans="1:13" x14ac:dyDescent="0.25">
      <c r="A158" s="1" t="s">
        <v>248</v>
      </c>
      <c r="B158" s="1" t="s">
        <v>249</v>
      </c>
      <c r="C158">
        <v>3</v>
      </c>
      <c r="D158">
        <v>4</v>
      </c>
      <c r="E158">
        <v>6</v>
      </c>
      <c r="F158">
        <v>2</v>
      </c>
      <c r="G158">
        <v>2</v>
      </c>
      <c r="H158">
        <v>5</v>
      </c>
      <c r="I158">
        <v>54</v>
      </c>
      <c r="J158">
        <v>12</v>
      </c>
      <c r="K158">
        <v>13</v>
      </c>
      <c r="L158">
        <v>21</v>
      </c>
      <c r="M158">
        <v>24</v>
      </c>
    </row>
    <row r="159" spans="1:13" x14ac:dyDescent="0.25">
      <c r="A159" s="1" t="s">
        <v>250</v>
      </c>
      <c r="B159" s="1" t="s">
        <v>251</v>
      </c>
      <c r="C159">
        <v>6</v>
      </c>
      <c r="D159">
        <v>2</v>
      </c>
      <c r="E159">
        <v>3</v>
      </c>
      <c r="F159">
        <v>3</v>
      </c>
      <c r="G159">
        <v>3</v>
      </c>
      <c r="H159">
        <v>6</v>
      </c>
      <c r="I159">
        <v>27</v>
      </c>
      <c r="J159">
        <v>2</v>
      </c>
      <c r="K159">
        <v>84</v>
      </c>
      <c r="L159">
        <v>100</v>
      </c>
      <c r="M159">
        <v>27</v>
      </c>
    </row>
    <row r="160" spans="1:13" x14ac:dyDescent="0.25">
      <c r="A160" s="1" t="s">
        <v>252</v>
      </c>
      <c r="B160" s="1" t="s">
        <v>253</v>
      </c>
      <c r="C160">
        <v>1</v>
      </c>
      <c r="D160">
        <v>4</v>
      </c>
      <c r="E160">
        <v>6</v>
      </c>
      <c r="F160">
        <v>6</v>
      </c>
      <c r="G160">
        <v>2</v>
      </c>
      <c r="H160">
        <v>3</v>
      </c>
      <c r="I160">
        <v>43</v>
      </c>
      <c r="J160">
        <v>77</v>
      </c>
      <c r="K160">
        <v>31</v>
      </c>
      <c r="L160">
        <v>88</v>
      </c>
      <c r="M160">
        <v>67</v>
      </c>
    </row>
    <row r="161" spans="1:13" x14ac:dyDescent="0.25">
      <c r="A161" s="1" t="s">
        <v>254</v>
      </c>
      <c r="B161" s="1" t="s">
        <v>28</v>
      </c>
      <c r="C161">
        <v>3</v>
      </c>
      <c r="D161">
        <v>6</v>
      </c>
      <c r="E161">
        <v>6</v>
      </c>
      <c r="F161">
        <v>4</v>
      </c>
      <c r="G161">
        <v>3</v>
      </c>
      <c r="H161">
        <v>6</v>
      </c>
      <c r="I161">
        <v>63</v>
      </c>
      <c r="J161">
        <v>36</v>
      </c>
      <c r="K161">
        <v>68</v>
      </c>
      <c r="L161">
        <v>19</v>
      </c>
      <c r="M161">
        <v>39</v>
      </c>
    </row>
    <row r="162" spans="1:13" x14ac:dyDescent="0.25">
      <c r="A162" s="1" t="s">
        <v>255</v>
      </c>
      <c r="B162" s="1" t="s">
        <v>222</v>
      </c>
      <c r="C162">
        <v>1</v>
      </c>
      <c r="D162">
        <v>2</v>
      </c>
      <c r="E162">
        <v>6</v>
      </c>
      <c r="F162">
        <v>4</v>
      </c>
      <c r="G162">
        <v>2</v>
      </c>
      <c r="H162">
        <v>2</v>
      </c>
      <c r="I162">
        <v>32</v>
      </c>
      <c r="J162">
        <v>18</v>
      </c>
      <c r="K162">
        <v>1</v>
      </c>
      <c r="L162">
        <v>56</v>
      </c>
      <c r="M162">
        <v>7</v>
      </c>
    </row>
    <row r="163" spans="1:13" x14ac:dyDescent="0.25">
      <c r="A163" s="1" t="s">
        <v>256</v>
      </c>
      <c r="B163" s="1" t="s">
        <v>78</v>
      </c>
      <c r="C163">
        <v>4</v>
      </c>
      <c r="D163">
        <v>3</v>
      </c>
      <c r="E163">
        <v>3</v>
      </c>
      <c r="F163">
        <v>2</v>
      </c>
      <c r="G163">
        <v>6</v>
      </c>
      <c r="H163">
        <v>2</v>
      </c>
      <c r="I163">
        <v>60</v>
      </c>
      <c r="J163">
        <v>64</v>
      </c>
      <c r="K163">
        <v>100</v>
      </c>
      <c r="L163">
        <v>38</v>
      </c>
      <c r="M163">
        <v>70</v>
      </c>
    </row>
    <row r="164" spans="1:13" x14ac:dyDescent="0.25">
      <c r="A164" s="1" t="s">
        <v>257</v>
      </c>
      <c r="B164" s="1" t="s">
        <v>20</v>
      </c>
      <c r="C164">
        <v>0</v>
      </c>
      <c r="D164">
        <v>6</v>
      </c>
      <c r="E164">
        <v>6</v>
      </c>
      <c r="F164">
        <v>5</v>
      </c>
      <c r="G164">
        <v>3</v>
      </c>
      <c r="H164">
        <v>2</v>
      </c>
      <c r="I164">
        <v>39</v>
      </c>
      <c r="J164">
        <v>66</v>
      </c>
      <c r="K164">
        <v>84</v>
      </c>
      <c r="L164">
        <v>47</v>
      </c>
      <c r="M164">
        <v>21</v>
      </c>
    </row>
    <row r="165" spans="1:13" x14ac:dyDescent="0.25">
      <c r="A165" s="1" t="s">
        <v>258</v>
      </c>
      <c r="B165" s="1" t="s">
        <v>180</v>
      </c>
      <c r="C165">
        <v>2</v>
      </c>
      <c r="D165">
        <v>2</v>
      </c>
      <c r="E165">
        <v>5</v>
      </c>
      <c r="F165">
        <v>2</v>
      </c>
      <c r="G165">
        <v>3</v>
      </c>
      <c r="H165">
        <v>3</v>
      </c>
      <c r="I165">
        <v>11</v>
      </c>
      <c r="J165">
        <v>88</v>
      </c>
      <c r="K165">
        <v>90</v>
      </c>
      <c r="L165">
        <v>20</v>
      </c>
      <c r="M165">
        <v>65</v>
      </c>
    </row>
    <row r="166" spans="1:13" x14ac:dyDescent="0.25">
      <c r="A166" s="1" t="s">
        <v>259</v>
      </c>
      <c r="B166" s="1" t="s">
        <v>260</v>
      </c>
      <c r="C166">
        <v>2</v>
      </c>
      <c r="D166">
        <v>5</v>
      </c>
      <c r="E166">
        <v>5</v>
      </c>
      <c r="F166">
        <v>2</v>
      </c>
      <c r="G166">
        <v>6</v>
      </c>
      <c r="H166">
        <v>2</v>
      </c>
      <c r="I166">
        <v>79</v>
      </c>
      <c r="J166">
        <v>66</v>
      </c>
      <c r="K166">
        <v>91</v>
      </c>
      <c r="L166">
        <v>30</v>
      </c>
      <c r="M166">
        <v>90</v>
      </c>
    </row>
    <row r="167" spans="1:13" x14ac:dyDescent="0.25">
      <c r="A167" s="1" t="s">
        <v>261</v>
      </c>
      <c r="B167" s="1" t="s">
        <v>218</v>
      </c>
      <c r="C167">
        <v>5</v>
      </c>
      <c r="D167">
        <v>3</v>
      </c>
      <c r="E167">
        <v>6</v>
      </c>
      <c r="F167">
        <v>3</v>
      </c>
      <c r="G167">
        <v>3</v>
      </c>
      <c r="H167">
        <v>5</v>
      </c>
      <c r="I167">
        <v>15</v>
      </c>
      <c r="J167">
        <v>21</v>
      </c>
      <c r="K167">
        <v>66</v>
      </c>
      <c r="L167">
        <v>55</v>
      </c>
      <c r="M167">
        <v>90</v>
      </c>
    </row>
    <row r="168" spans="1:13" x14ac:dyDescent="0.25">
      <c r="A168" s="1" t="s">
        <v>262</v>
      </c>
      <c r="B168" s="1" t="s">
        <v>41</v>
      </c>
      <c r="C168">
        <v>4</v>
      </c>
      <c r="D168">
        <v>3</v>
      </c>
      <c r="E168">
        <v>6</v>
      </c>
      <c r="F168">
        <v>6</v>
      </c>
      <c r="G168">
        <v>4</v>
      </c>
      <c r="H168">
        <v>4</v>
      </c>
      <c r="I168">
        <v>15</v>
      </c>
      <c r="J168">
        <v>36</v>
      </c>
      <c r="K168">
        <v>51</v>
      </c>
      <c r="L168">
        <v>10</v>
      </c>
      <c r="M168">
        <v>68</v>
      </c>
    </row>
    <row r="169" spans="1:13" x14ac:dyDescent="0.25">
      <c r="A169" s="1" t="s">
        <v>263</v>
      </c>
      <c r="B169" s="1" t="s">
        <v>78</v>
      </c>
      <c r="C169">
        <v>5</v>
      </c>
      <c r="D169">
        <v>5</v>
      </c>
      <c r="E169">
        <v>6</v>
      </c>
      <c r="F169">
        <v>6</v>
      </c>
      <c r="G169">
        <v>6</v>
      </c>
      <c r="H169">
        <v>6</v>
      </c>
      <c r="I169">
        <v>63</v>
      </c>
      <c r="J169">
        <v>88</v>
      </c>
      <c r="K169">
        <v>72</v>
      </c>
      <c r="L169">
        <v>90</v>
      </c>
      <c r="M169">
        <v>83</v>
      </c>
    </row>
    <row r="170" spans="1:13" x14ac:dyDescent="0.25">
      <c r="A170" s="1" t="s">
        <v>264</v>
      </c>
      <c r="B170" s="1" t="s">
        <v>246</v>
      </c>
      <c r="C170">
        <v>8</v>
      </c>
      <c r="D170">
        <v>3</v>
      </c>
      <c r="E170">
        <v>5</v>
      </c>
      <c r="F170">
        <v>5</v>
      </c>
      <c r="G170">
        <v>5</v>
      </c>
      <c r="H170">
        <v>6</v>
      </c>
      <c r="I170">
        <v>55</v>
      </c>
      <c r="J170">
        <v>10</v>
      </c>
      <c r="K170">
        <v>80</v>
      </c>
      <c r="L170">
        <v>8</v>
      </c>
      <c r="M170">
        <v>78</v>
      </c>
    </row>
    <row r="171" spans="1:13" x14ac:dyDescent="0.25">
      <c r="A171" s="1" t="s">
        <v>265</v>
      </c>
      <c r="B171" s="1" t="s">
        <v>16</v>
      </c>
      <c r="C171">
        <v>7</v>
      </c>
      <c r="D171">
        <v>3</v>
      </c>
      <c r="E171">
        <v>5</v>
      </c>
      <c r="F171">
        <v>4</v>
      </c>
      <c r="G171">
        <v>5</v>
      </c>
      <c r="H171">
        <v>6</v>
      </c>
      <c r="I171">
        <v>24</v>
      </c>
      <c r="J171">
        <v>82</v>
      </c>
      <c r="K171">
        <v>37</v>
      </c>
      <c r="L171">
        <v>7</v>
      </c>
      <c r="M171">
        <v>12</v>
      </c>
    </row>
    <row r="172" spans="1:13" x14ac:dyDescent="0.25">
      <c r="A172" s="1" t="s">
        <v>266</v>
      </c>
      <c r="B172" s="1" t="s">
        <v>199</v>
      </c>
      <c r="C172">
        <v>0</v>
      </c>
      <c r="D172">
        <v>2</v>
      </c>
      <c r="E172">
        <v>3</v>
      </c>
      <c r="F172">
        <v>4</v>
      </c>
      <c r="G172">
        <v>6</v>
      </c>
      <c r="H172">
        <v>6</v>
      </c>
      <c r="I172">
        <v>19</v>
      </c>
      <c r="J172">
        <v>82</v>
      </c>
      <c r="K172">
        <v>75</v>
      </c>
      <c r="L172">
        <v>35</v>
      </c>
      <c r="M172">
        <v>75</v>
      </c>
    </row>
    <row r="173" spans="1:13" x14ac:dyDescent="0.25">
      <c r="A173" s="1" t="s">
        <v>267</v>
      </c>
      <c r="B173" s="1" t="s">
        <v>239</v>
      </c>
      <c r="C173">
        <v>5</v>
      </c>
      <c r="D173">
        <v>3</v>
      </c>
      <c r="E173">
        <v>5</v>
      </c>
      <c r="F173">
        <v>3</v>
      </c>
      <c r="G173">
        <v>3</v>
      </c>
      <c r="H173">
        <v>2</v>
      </c>
      <c r="I173">
        <v>33</v>
      </c>
      <c r="J173">
        <v>10</v>
      </c>
      <c r="K173">
        <v>92</v>
      </c>
      <c r="L173">
        <v>74</v>
      </c>
      <c r="M173">
        <v>79</v>
      </c>
    </row>
    <row r="174" spans="1:13" x14ac:dyDescent="0.25">
      <c r="A174" s="1" t="s">
        <v>268</v>
      </c>
      <c r="B174" s="1" t="s">
        <v>101</v>
      </c>
      <c r="C174">
        <v>4</v>
      </c>
      <c r="D174">
        <v>5</v>
      </c>
      <c r="E174">
        <v>5</v>
      </c>
      <c r="F174">
        <v>3</v>
      </c>
      <c r="G174">
        <v>4</v>
      </c>
      <c r="H174">
        <v>4</v>
      </c>
      <c r="I174">
        <v>94</v>
      </c>
      <c r="J174">
        <v>21</v>
      </c>
      <c r="K174">
        <v>58</v>
      </c>
      <c r="L174">
        <v>60</v>
      </c>
      <c r="M174">
        <v>36</v>
      </c>
    </row>
    <row r="175" spans="1:13" x14ac:dyDescent="0.25">
      <c r="A175" s="1" t="s">
        <v>269</v>
      </c>
      <c r="B175" s="1" t="s">
        <v>205</v>
      </c>
      <c r="C175">
        <v>1</v>
      </c>
      <c r="D175">
        <v>2</v>
      </c>
      <c r="E175">
        <v>6</v>
      </c>
      <c r="F175">
        <v>4</v>
      </c>
      <c r="G175">
        <v>6</v>
      </c>
      <c r="H175">
        <v>5</v>
      </c>
      <c r="I175">
        <v>5</v>
      </c>
      <c r="J175">
        <v>79</v>
      </c>
      <c r="K175">
        <v>31</v>
      </c>
      <c r="L175">
        <v>60</v>
      </c>
      <c r="M175">
        <v>44</v>
      </c>
    </row>
    <row r="176" spans="1:13" x14ac:dyDescent="0.25">
      <c r="A176" s="1" t="s">
        <v>270</v>
      </c>
      <c r="B176" s="1" t="s">
        <v>210</v>
      </c>
      <c r="C176">
        <v>0</v>
      </c>
      <c r="D176">
        <v>4</v>
      </c>
      <c r="E176">
        <v>4</v>
      </c>
      <c r="F176">
        <v>6</v>
      </c>
      <c r="G176">
        <v>4</v>
      </c>
      <c r="H176">
        <v>4</v>
      </c>
      <c r="I176">
        <v>60</v>
      </c>
      <c r="J176">
        <v>36</v>
      </c>
      <c r="K176">
        <v>6</v>
      </c>
      <c r="L176">
        <v>48</v>
      </c>
      <c r="M176">
        <v>31</v>
      </c>
    </row>
    <row r="177" spans="1:13" x14ac:dyDescent="0.25">
      <c r="A177" s="1" t="s">
        <v>271</v>
      </c>
      <c r="B177" s="1" t="s">
        <v>30</v>
      </c>
      <c r="C177">
        <v>6</v>
      </c>
      <c r="D177">
        <v>3</v>
      </c>
      <c r="E177">
        <v>2</v>
      </c>
      <c r="F177">
        <v>2</v>
      </c>
      <c r="G177">
        <v>6</v>
      </c>
      <c r="H177">
        <v>6</v>
      </c>
      <c r="I177">
        <v>47</v>
      </c>
      <c r="J177">
        <v>36</v>
      </c>
      <c r="K177">
        <v>64</v>
      </c>
      <c r="L177">
        <v>67</v>
      </c>
      <c r="M177">
        <v>13</v>
      </c>
    </row>
    <row r="178" spans="1:13" x14ac:dyDescent="0.25">
      <c r="A178" s="1" t="s">
        <v>272</v>
      </c>
      <c r="B178" s="1" t="s">
        <v>273</v>
      </c>
      <c r="C178">
        <v>0</v>
      </c>
      <c r="D178">
        <v>5</v>
      </c>
      <c r="E178">
        <v>5</v>
      </c>
      <c r="F178">
        <v>3</v>
      </c>
      <c r="G178">
        <v>3</v>
      </c>
      <c r="H178">
        <v>4</v>
      </c>
      <c r="I178">
        <v>92</v>
      </c>
      <c r="J178">
        <v>58</v>
      </c>
      <c r="K178">
        <v>73</v>
      </c>
      <c r="L178">
        <v>53</v>
      </c>
      <c r="M178">
        <v>68</v>
      </c>
    </row>
    <row r="179" spans="1:13" x14ac:dyDescent="0.25">
      <c r="A179" s="1" t="s">
        <v>274</v>
      </c>
      <c r="B179" s="1" t="s">
        <v>16</v>
      </c>
      <c r="C179">
        <v>3</v>
      </c>
      <c r="D179">
        <v>5</v>
      </c>
      <c r="E179">
        <v>4</v>
      </c>
      <c r="F179">
        <v>6</v>
      </c>
      <c r="G179">
        <v>6</v>
      </c>
      <c r="H179">
        <v>4</v>
      </c>
      <c r="I179">
        <v>70</v>
      </c>
      <c r="J179">
        <v>3</v>
      </c>
      <c r="K179">
        <v>92</v>
      </c>
      <c r="L179">
        <v>40</v>
      </c>
      <c r="M179">
        <v>41</v>
      </c>
    </row>
    <row r="180" spans="1:13" x14ac:dyDescent="0.25">
      <c r="A180" s="1" t="s">
        <v>275</v>
      </c>
      <c r="B180" s="1" t="s">
        <v>126</v>
      </c>
      <c r="C180">
        <v>5</v>
      </c>
      <c r="D180">
        <v>2</v>
      </c>
      <c r="E180">
        <v>4</v>
      </c>
      <c r="F180">
        <v>6</v>
      </c>
      <c r="G180">
        <v>5</v>
      </c>
      <c r="H180">
        <v>3</v>
      </c>
      <c r="I180">
        <v>78</v>
      </c>
      <c r="J180">
        <v>78</v>
      </c>
      <c r="K180">
        <v>90</v>
      </c>
      <c r="L180">
        <v>83</v>
      </c>
      <c r="M180">
        <v>63</v>
      </c>
    </row>
    <row r="181" spans="1:13" x14ac:dyDescent="0.25">
      <c r="A181" s="1" t="s">
        <v>276</v>
      </c>
      <c r="B181" s="1" t="s">
        <v>180</v>
      </c>
      <c r="C181">
        <v>0</v>
      </c>
      <c r="D181">
        <v>6</v>
      </c>
      <c r="E181">
        <v>5</v>
      </c>
      <c r="F181">
        <v>6</v>
      </c>
      <c r="G181">
        <v>6</v>
      </c>
      <c r="H181">
        <v>6</v>
      </c>
      <c r="I181">
        <v>43</v>
      </c>
      <c r="J181">
        <v>3</v>
      </c>
      <c r="K181">
        <v>56</v>
      </c>
      <c r="L181">
        <v>52</v>
      </c>
      <c r="M181">
        <v>41</v>
      </c>
    </row>
    <row r="182" spans="1:13" x14ac:dyDescent="0.25">
      <c r="A182" s="1" t="s">
        <v>277</v>
      </c>
      <c r="B182" s="1" t="s">
        <v>161</v>
      </c>
      <c r="C182">
        <v>1</v>
      </c>
      <c r="D182">
        <v>4</v>
      </c>
      <c r="E182">
        <v>4</v>
      </c>
      <c r="F182">
        <v>3</v>
      </c>
      <c r="G182">
        <v>6</v>
      </c>
      <c r="H182">
        <v>6</v>
      </c>
      <c r="I182">
        <v>33</v>
      </c>
      <c r="J182">
        <v>38</v>
      </c>
      <c r="K182">
        <v>27</v>
      </c>
      <c r="L182">
        <v>60</v>
      </c>
      <c r="M182">
        <v>80</v>
      </c>
    </row>
    <row r="183" spans="1:13" x14ac:dyDescent="0.25">
      <c r="A183" s="1" t="s">
        <v>278</v>
      </c>
      <c r="B183" s="1" t="s">
        <v>279</v>
      </c>
      <c r="C183">
        <v>5</v>
      </c>
      <c r="D183">
        <v>6</v>
      </c>
      <c r="E183">
        <v>2</v>
      </c>
      <c r="F183">
        <v>5</v>
      </c>
      <c r="G183">
        <v>5</v>
      </c>
      <c r="H183">
        <v>5</v>
      </c>
      <c r="I183">
        <v>80</v>
      </c>
      <c r="J183">
        <v>54</v>
      </c>
      <c r="K183">
        <v>22</v>
      </c>
      <c r="L183">
        <v>26</v>
      </c>
      <c r="M183">
        <v>62</v>
      </c>
    </row>
    <row r="184" spans="1:13" x14ac:dyDescent="0.25">
      <c r="A184" s="1" t="s">
        <v>280</v>
      </c>
      <c r="B184" s="1" t="s">
        <v>159</v>
      </c>
      <c r="C184">
        <v>6</v>
      </c>
      <c r="D184">
        <v>6</v>
      </c>
      <c r="E184">
        <v>2</v>
      </c>
      <c r="F184">
        <v>4</v>
      </c>
      <c r="G184">
        <v>5</v>
      </c>
      <c r="H184">
        <v>2</v>
      </c>
      <c r="I184">
        <v>34</v>
      </c>
      <c r="J184">
        <v>92</v>
      </c>
      <c r="K184">
        <v>51</v>
      </c>
      <c r="L184">
        <v>32</v>
      </c>
      <c r="M184">
        <v>80</v>
      </c>
    </row>
    <row r="185" spans="1:13" x14ac:dyDescent="0.25">
      <c r="A185" s="1" t="s">
        <v>281</v>
      </c>
      <c r="B185" s="1" t="s">
        <v>41</v>
      </c>
      <c r="C185">
        <v>8</v>
      </c>
      <c r="D185">
        <v>2</v>
      </c>
      <c r="E185">
        <v>4</v>
      </c>
      <c r="F185">
        <v>2</v>
      </c>
      <c r="G185">
        <v>6</v>
      </c>
      <c r="H185">
        <v>5</v>
      </c>
      <c r="I185">
        <v>17</v>
      </c>
      <c r="J185">
        <v>29</v>
      </c>
      <c r="K185">
        <v>83</v>
      </c>
      <c r="L185">
        <v>9</v>
      </c>
      <c r="M185">
        <v>54</v>
      </c>
    </row>
    <row r="186" spans="1:13" x14ac:dyDescent="0.25">
      <c r="A186" s="1" t="s">
        <v>282</v>
      </c>
      <c r="B186" s="1" t="s">
        <v>41</v>
      </c>
      <c r="C186">
        <v>1</v>
      </c>
      <c r="D186">
        <v>5</v>
      </c>
      <c r="E186">
        <v>6</v>
      </c>
      <c r="F186">
        <v>4</v>
      </c>
      <c r="G186">
        <v>3</v>
      </c>
      <c r="H186">
        <v>2</v>
      </c>
      <c r="I186">
        <v>14</v>
      </c>
      <c r="J186">
        <v>49</v>
      </c>
      <c r="K186">
        <v>64</v>
      </c>
      <c r="L186">
        <v>36</v>
      </c>
      <c r="M186">
        <v>2</v>
      </c>
    </row>
    <row r="187" spans="1:13" x14ac:dyDescent="0.25">
      <c r="A187" s="1" t="s">
        <v>283</v>
      </c>
      <c r="B187" s="1" t="s">
        <v>242</v>
      </c>
      <c r="C187">
        <v>6</v>
      </c>
      <c r="D187">
        <v>6</v>
      </c>
      <c r="E187">
        <v>3</v>
      </c>
      <c r="F187">
        <v>6</v>
      </c>
      <c r="G187">
        <v>2</v>
      </c>
      <c r="H187">
        <v>3</v>
      </c>
      <c r="I187">
        <v>27</v>
      </c>
      <c r="J187">
        <v>64</v>
      </c>
      <c r="K187">
        <v>47</v>
      </c>
      <c r="L187">
        <v>11</v>
      </c>
      <c r="M187">
        <v>24</v>
      </c>
    </row>
    <row r="188" spans="1:13" x14ac:dyDescent="0.25">
      <c r="A188" s="1" t="s">
        <v>284</v>
      </c>
      <c r="B188" s="1" t="s">
        <v>166</v>
      </c>
      <c r="C188">
        <v>3</v>
      </c>
      <c r="D188">
        <v>5</v>
      </c>
      <c r="E188">
        <v>3</v>
      </c>
      <c r="F188">
        <v>2</v>
      </c>
      <c r="G188">
        <v>6</v>
      </c>
      <c r="H188">
        <v>6</v>
      </c>
      <c r="I188">
        <v>77</v>
      </c>
      <c r="J188">
        <v>9</v>
      </c>
      <c r="K188">
        <v>73</v>
      </c>
      <c r="L188">
        <v>35</v>
      </c>
      <c r="M188">
        <v>96</v>
      </c>
    </row>
    <row r="189" spans="1:13" x14ac:dyDescent="0.25">
      <c r="A189" s="1" t="s">
        <v>285</v>
      </c>
      <c r="B189" s="1" t="s">
        <v>286</v>
      </c>
      <c r="C189">
        <v>2</v>
      </c>
      <c r="D189">
        <v>5</v>
      </c>
      <c r="E189">
        <v>4</v>
      </c>
      <c r="F189">
        <v>4</v>
      </c>
      <c r="G189">
        <v>2</v>
      </c>
      <c r="H189">
        <v>5</v>
      </c>
      <c r="I189">
        <v>46</v>
      </c>
      <c r="J189">
        <v>15</v>
      </c>
      <c r="K189">
        <v>67</v>
      </c>
      <c r="L189">
        <v>56</v>
      </c>
      <c r="M189">
        <v>9</v>
      </c>
    </row>
    <row r="190" spans="1:13" x14ac:dyDescent="0.25">
      <c r="A190" s="1" t="s">
        <v>287</v>
      </c>
      <c r="B190" s="1" t="s">
        <v>288</v>
      </c>
      <c r="C190">
        <v>3</v>
      </c>
      <c r="D190">
        <v>4</v>
      </c>
      <c r="E190">
        <v>6</v>
      </c>
      <c r="F190">
        <v>3</v>
      </c>
      <c r="G190">
        <v>2</v>
      </c>
      <c r="H190">
        <v>2</v>
      </c>
      <c r="I190">
        <v>79</v>
      </c>
      <c r="J190">
        <v>70</v>
      </c>
      <c r="K190">
        <v>42</v>
      </c>
      <c r="L190">
        <v>36</v>
      </c>
      <c r="M190">
        <v>76</v>
      </c>
    </row>
    <row r="191" spans="1:13" x14ac:dyDescent="0.25">
      <c r="A191" s="1" t="s">
        <v>289</v>
      </c>
      <c r="B191" s="1" t="s">
        <v>30</v>
      </c>
      <c r="C191">
        <v>3</v>
      </c>
      <c r="D191">
        <v>6</v>
      </c>
      <c r="E191">
        <v>3</v>
      </c>
      <c r="F191">
        <v>6</v>
      </c>
      <c r="G191">
        <v>2</v>
      </c>
      <c r="H191">
        <v>5</v>
      </c>
      <c r="I191">
        <v>25</v>
      </c>
      <c r="J191">
        <v>78</v>
      </c>
      <c r="K191">
        <v>36</v>
      </c>
      <c r="L191">
        <v>67</v>
      </c>
      <c r="M191">
        <v>37</v>
      </c>
    </row>
    <row r="192" spans="1:13" x14ac:dyDescent="0.25">
      <c r="A192" s="1" t="s">
        <v>290</v>
      </c>
      <c r="B192" s="1" t="s">
        <v>78</v>
      </c>
      <c r="C192">
        <v>4</v>
      </c>
      <c r="D192">
        <v>5</v>
      </c>
      <c r="E192">
        <v>4</v>
      </c>
      <c r="F192">
        <v>6</v>
      </c>
      <c r="G192">
        <v>5</v>
      </c>
      <c r="H192">
        <v>2</v>
      </c>
      <c r="I192">
        <v>53</v>
      </c>
      <c r="J192">
        <v>61</v>
      </c>
      <c r="K192">
        <v>85</v>
      </c>
      <c r="L192">
        <v>8</v>
      </c>
      <c r="M192">
        <v>76</v>
      </c>
    </row>
    <row r="193" spans="1:13" x14ac:dyDescent="0.25">
      <c r="A193" s="1" t="s">
        <v>264</v>
      </c>
      <c r="B193" s="1" t="s">
        <v>246</v>
      </c>
      <c r="C193">
        <v>7</v>
      </c>
      <c r="D193">
        <v>2</v>
      </c>
      <c r="E193">
        <v>4</v>
      </c>
      <c r="F193">
        <v>3</v>
      </c>
      <c r="G193">
        <v>6</v>
      </c>
      <c r="H193">
        <v>3</v>
      </c>
      <c r="I193">
        <v>13</v>
      </c>
      <c r="J193">
        <v>89</v>
      </c>
      <c r="K193">
        <v>20</v>
      </c>
      <c r="L193">
        <v>2</v>
      </c>
      <c r="M193">
        <v>36</v>
      </c>
    </row>
    <row r="194" spans="1:13" x14ac:dyDescent="0.25">
      <c r="A194" s="1" t="s">
        <v>291</v>
      </c>
      <c r="B194" s="1" t="s">
        <v>222</v>
      </c>
      <c r="C194">
        <v>3</v>
      </c>
      <c r="D194">
        <v>5</v>
      </c>
      <c r="E194">
        <v>5</v>
      </c>
      <c r="F194">
        <v>2</v>
      </c>
      <c r="G194">
        <v>5</v>
      </c>
      <c r="H194">
        <v>2</v>
      </c>
      <c r="I194">
        <v>25</v>
      </c>
      <c r="J194">
        <v>46</v>
      </c>
      <c r="K194">
        <v>91</v>
      </c>
      <c r="L194">
        <v>75</v>
      </c>
      <c r="M194">
        <v>91</v>
      </c>
    </row>
    <row r="195" spans="1:13" x14ac:dyDescent="0.25">
      <c r="A195" s="1" t="s">
        <v>292</v>
      </c>
      <c r="B195" s="1" t="s">
        <v>225</v>
      </c>
      <c r="C195">
        <v>7</v>
      </c>
      <c r="D195">
        <v>6</v>
      </c>
      <c r="E195">
        <v>4</v>
      </c>
      <c r="F195">
        <v>5</v>
      </c>
      <c r="G195">
        <v>4</v>
      </c>
      <c r="H195">
        <v>6</v>
      </c>
      <c r="I195">
        <v>52</v>
      </c>
      <c r="J195">
        <v>32</v>
      </c>
      <c r="K195">
        <v>57</v>
      </c>
      <c r="L195">
        <v>58</v>
      </c>
      <c r="M195">
        <v>67</v>
      </c>
    </row>
    <row r="196" spans="1:13" x14ac:dyDescent="0.25">
      <c r="A196" s="1" t="s">
        <v>293</v>
      </c>
      <c r="B196" s="1" t="s">
        <v>239</v>
      </c>
      <c r="C196">
        <v>7</v>
      </c>
      <c r="D196">
        <v>6</v>
      </c>
      <c r="E196">
        <v>4</v>
      </c>
      <c r="F196">
        <v>6</v>
      </c>
      <c r="G196">
        <v>6</v>
      </c>
      <c r="H196">
        <v>5</v>
      </c>
      <c r="I196">
        <v>85</v>
      </c>
      <c r="J196">
        <v>37</v>
      </c>
      <c r="K196">
        <v>73</v>
      </c>
      <c r="L196">
        <v>73</v>
      </c>
      <c r="M196">
        <v>19</v>
      </c>
    </row>
    <row r="197" spans="1:13" x14ac:dyDescent="0.25">
      <c r="A197" s="1" t="s">
        <v>294</v>
      </c>
      <c r="B197" s="1" t="s">
        <v>28</v>
      </c>
      <c r="C197">
        <v>8</v>
      </c>
      <c r="D197">
        <v>3</v>
      </c>
      <c r="E197">
        <v>3</v>
      </c>
      <c r="F197">
        <v>4</v>
      </c>
      <c r="G197">
        <v>3</v>
      </c>
      <c r="H197">
        <v>5</v>
      </c>
      <c r="I197">
        <v>96</v>
      </c>
      <c r="J197">
        <v>17</v>
      </c>
      <c r="K197">
        <v>94</v>
      </c>
      <c r="L197">
        <v>90</v>
      </c>
      <c r="M197">
        <v>1</v>
      </c>
    </row>
    <row r="198" spans="1:13" x14ac:dyDescent="0.25">
      <c r="A198" s="1" t="s">
        <v>295</v>
      </c>
      <c r="B198" s="1" t="s">
        <v>180</v>
      </c>
      <c r="C198">
        <v>2</v>
      </c>
      <c r="D198">
        <v>3</v>
      </c>
      <c r="E198">
        <v>6</v>
      </c>
      <c r="F198">
        <v>4</v>
      </c>
      <c r="G198">
        <v>5</v>
      </c>
      <c r="H198">
        <v>6</v>
      </c>
      <c r="I198">
        <v>68</v>
      </c>
      <c r="J198">
        <v>10</v>
      </c>
      <c r="K198">
        <v>64</v>
      </c>
      <c r="L198">
        <v>85</v>
      </c>
      <c r="M198">
        <v>26</v>
      </c>
    </row>
    <row r="199" spans="1:13" x14ac:dyDescent="0.25">
      <c r="A199" s="1" t="s">
        <v>296</v>
      </c>
      <c r="B199" s="1" t="s">
        <v>222</v>
      </c>
      <c r="C199">
        <v>7</v>
      </c>
      <c r="D199">
        <v>2</v>
      </c>
      <c r="E199">
        <v>2</v>
      </c>
      <c r="F199">
        <v>6</v>
      </c>
      <c r="G199">
        <v>5</v>
      </c>
      <c r="H199">
        <v>3</v>
      </c>
      <c r="I199">
        <v>45</v>
      </c>
      <c r="J199">
        <v>81</v>
      </c>
      <c r="K199">
        <v>28</v>
      </c>
      <c r="L199">
        <v>11</v>
      </c>
      <c r="M199">
        <v>25</v>
      </c>
    </row>
    <row r="200" spans="1:13" x14ac:dyDescent="0.25">
      <c r="A200" s="1" t="s">
        <v>297</v>
      </c>
      <c r="B200" s="1" t="s">
        <v>161</v>
      </c>
      <c r="C200">
        <v>3</v>
      </c>
      <c r="D200">
        <v>2</v>
      </c>
      <c r="E200">
        <v>3</v>
      </c>
      <c r="F200">
        <v>2</v>
      </c>
      <c r="G200">
        <v>5</v>
      </c>
      <c r="H200">
        <v>4</v>
      </c>
      <c r="I200">
        <v>85</v>
      </c>
      <c r="J200">
        <v>28</v>
      </c>
      <c r="K200">
        <v>36</v>
      </c>
      <c r="L200">
        <v>9</v>
      </c>
      <c r="M200">
        <v>95</v>
      </c>
    </row>
    <row r="201" spans="1:13" x14ac:dyDescent="0.25">
      <c r="A201" s="1" t="s">
        <v>298</v>
      </c>
      <c r="B201" s="1" t="s">
        <v>299</v>
      </c>
      <c r="C201">
        <v>4</v>
      </c>
      <c r="D201">
        <v>3</v>
      </c>
      <c r="E201">
        <v>6</v>
      </c>
      <c r="F201">
        <v>4</v>
      </c>
      <c r="G201">
        <v>4</v>
      </c>
      <c r="H201">
        <v>3</v>
      </c>
      <c r="I201">
        <v>48</v>
      </c>
      <c r="J201">
        <v>71</v>
      </c>
      <c r="K201">
        <v>40</v>
      </c>
      <c r="L201">
        <v>67</v>
      </c>
      <c r="M201">
        <v>83</v>
      </c>
    </row>
    <row r="202" spans="1:13" x14ac:dyDescent="0.25">
      <c r="A202" s="1" t="s">
        <v>300</v>
      </c>
      <c r="B202" s="1" t="s">
        <v>242</v>
      </c>
      <c r="C202">
        <v>0</v>
      </c>
      <c r="D202">
        <v>5</v>
      </c>
      <c r="E202">
        <v>6</v>
      </c>
      <c r="F202">
        <v>4</v>
      </c>
      <c r="G202">
        <v>4</v>
      </c>
      <c r="H202">
        <v>5</v>
      </c>
      <c r="I202">
        <v>70</v>
      </c>
      <c r="J202">
        <v>42</v>
      </c>
      <c r="K202">
        <v>47</v>
      </c>
      <c r="L202">
        <v>24</v>
      </c>
      <c r="M202">
        <v>40</v>
      </c>
    </row>
    <row r="203" spans="1:13" x14ac:dyDescent="0.25">
      <c r="A203" s="1" t="s">
        <v>301</v>
      </c>
      <c r="B203" s="1" t="s">
        <v>302</v>
      </c>
      <c r="C203">
        <v>8</v>
      </c>
      <c r="D203">
        <v>4</v>
      </c>
      <c r="E203">
        <v>5</v>
      </c>
      <c r="F203">
        <v>4</v>
      </c>
      <c r="G203">
        <v>4</v>
      </c>
      <c r="H203">
        <v>5</v>
      </c>
      <c r="I203">
        <v>83</v>
      </c>
      <c r="J203">
        <v>18</v>
      </c>
      <c r="K203">
        <v>29</v>
      </c>
      <c r="L203">
        <v>17</v>
      </c>
      <c r="M203">
        <v>9</v>
      </c>
    </row>
    <row r="204" spans="1:13" x14ac:dyDescent="0.25">
      <c r="A204" s="1" t="s">
        <v>303</v>
      </c>
      <c r="B204" s="1" t="s">
        <v>90</v>
      </c>
      <c r="C204">
        <v>1</v>
      </c>
      <c r="D204">
        <v>6</v>
      </c>
      <c r="E204">
        <v>4</v>
      </c>
      <c r="F204">
        <v>6</v>
      </c>
      <c r="G204">
        <v>3</v>
      </c>
      <c r="H204">
        <v>2</v>
      </c>
      <c r="I204">
        <v>48</v>
      </c>
      <c r="J204">
        <v>65</v>
      </c>
      <c r="K204">
        <v>86</v>
      </c>
      <c r="L204">
        <v>18</v>
      </c>
      <c r="M204">
        <v>88</v>
      </c>
    </row>
    <row r="205" spans="1:13" x14ac:dyDescent="0.25">
      <c r="A205" s="1" t="s">
        <v>304</v>
      </c>
      <c r="B205" s="1" t="s">
        <v>70</v>
      </c>
      <c r="C205">
        <v>4</v>
      </c>
      <c r="D205">
        <v>5</v>
      </c>
      <c r="E205">
        <v>3</v>
      </c>
      <c r="F205">
        <v>5</v>
      </c>
      <c r="G205">
        <v>5</v>
      </c>
      <c r="H205">
        <v>2</v>
      </c>
      <c r="I205">
        <v>70</v>
      </c>
      <c r="J205">
        <v>20</v>
      </c>
      <c r="K205">
        <v>38</v>
      </c>
      <c r="L205">
        <v>18</v>
      </c>
      <c r="M205">
        <v>65</v>
      </c>
    </row>
    <row r="206" spans="1:13" x14ac:dyDescent="0.25">
      <c r="A206" s="1" t="s">
        <v>305</v>
      </c>
      <c r="B206" s="1" t="s">
        <v>306</v>
      </c>
      <c r="C206">
        <v>2</v>
      </c>
      <c r="D206">
        <v>2</v>
      </c>
      <c r="E206">
        <v>6</v>
      </c>
      <c r="F206">
        <v>5</v>
      </c>
      <c r="G206">
        <v>2</v>
      </c>
      <c r="H206">
        <v>6</v>
      </c>
      <c r="I206">
        <v>74</v>
      </c>
      <c r="J206">
        <v>61</v>
      </c>
      <c r="K206">
        <v>24</v>
      </c>
      <c r="L206">
        <v>72</v>
      </c>
      <c r="M206">
        <v>41</v>
      </c>
    </row>
    <row r="207" spans="1:13" x14ac:dyDescent="0.25">
      <c r="A207" s="1" t="s">
        <v>125</v>
      </c>
      <c r="B207" s="1" t="s">
        <v>307</v>
      </c>
      <c r="C207">
        <v>2</v>
      </c>
      <c r="D207">
        <v>2</v>
      </c>
      <c r="E207">
        <v>4</v>
      </c>
      <c r="F207">
        <v>4</v>
      </c>
      <c r="G207">
        <v>4</v>
      </c>
      <c r="H207">
        <v>3</v>
      </c>
      <c r="I207">
        <v>18</v>
      </c>
      <c r="J207">
        <v>50</v>
      </c>
      <c r="K207">
        <v>99</v>
      </c>
      <c r="L207">
        <v>35</v>
      </c>
      <c r="M207">
        <v>8</v>
      </c>
    </row>
    <row r="208" spans="1:13" x14ac:dyDescent="0.25">
      <c r="A208" s="1" t="s">
        <v>308</v>
      </c>
      <c r="B208" s="1" t="s">
        <v>166</v>
      </c>
      <c r="C208">
        <v>6</v>
      </c>
      <c r="D208">
        <v>6</v>
      </c>
      <c r="E208">
        <v>4</v>
      </c>
      <c r="F208">
        <v>3</v>
      </c>
      <c r="G208">
        <v>6</v>
      </c>
      <c r="H208">
        <v>2</v>
      </c>
      <c r="I208">
        <v>68</v>
      </c>
      <c r="J208">
        <v>82</v>
      </c>
      <c r="K208">
        <v>74</v>
      </c>
      <c r="L208">
        <v>4</v>
      </c>
      <c r="M208">
        <v>9</v>
      </c>
    </row>
    <row r="209" spans="1:13" x14ac:dyDescent="0.25">
      <c r="A209" s="1" t="s">
        <v>309</v>
      </c>
      <c r="B209" s="1" t="s">
        <v>239</v>
      </c>
      <c r="C209">
        <v>3</v>
      </c>
      <c r="D209">
        <v>4</v>
      </c>
      <c r="E209">
        <v>2</v>
      </c>
      <c r="F209">
        <v>2</v>
      </c>
      <c r="G209">
        <v>6</v>
      </c>
      <c r="H209">
        <v>4</v>
      </c>
      <c r="I209">
        <v>48</v>
      </c>
      <c r="J209">
        <v>56</v>
      </c>
      <c r="K209">
        <v>97</v>
      </c>
      <c r="L209">
        <v>34</v>
      </c>
      <c r="M209">
        <v>50</v>
      </c>
    </row>
    <row r="210" spans="1:13" x14ac:dyDescent="0.25">
      <c r="A210" s="1" t="s">
        <v>310</v>
      </c>
      <c r="B210" s="1" t="s">
        <v>311</v>
      </c>
      <c r="C210">
        <v>2</v>
      </c>
      <c r="D210">
        <v>5</v>
      </c>
      <c r="E210">
        <v>5</v>
      </c>
      <c r="F210">
        <v>5</v>
      </c>
      <c r="G210">
        <v>3</v>
      </c>
      <c r="H210">
        <v>2</v>
      </c>
      <c r="I210">
        <v>69</v>
      </c>
      <c r="J210">
        <v>49</v>
      </c>
      <c r="K210">
        <v>67</v>
      </c>
      <c r="L210">
        <v>20</v>
      </c>
      <c r="M210">
        <v>3</v>
      </c>
    </row>
    <row r="211" spans="1:13" x14ac:dyDescent="0.25">
      <c r="A211" s="1" t="s">
        <v>312</v>
      </c>
      <c r="B211" s="1" t="s">
        <v>313</v>
      </c>
      <c r="C211">
        <v>5</v>
      </c>
      <c r="D211">
        <v>2</v>
      </c>
      <c r="E211">
        <v>4</v>
      </c>
      <c r="F211">
        <v>5</v>
      </c>
      <c r="G211">
        <v>6</v>
      </c>
      <c r="H211">
        <v>4</v>
      </c>
      <c r="I211">
        <v>68</v>
      </c>
      <c r="J211">
        <v>37</v>
      </c>
      <c r="K211">
        <v>91</v>
      </c>
      <c r="L211">
        <v>56</v>
      </c>
      <c r="M211">
        <v>46</v>
      </c>
    </row>
    <row r="212" spans="1:13" x14ac:dyDescent="0.25">
      <c r="A212" s="1" t="s">
        <v>314</v>
      </c>
      <c r="B212" s="1" t="s">
        <v>249</v>
      </c>
      <c r="C212">
        <v>7</v>
      </c>
      <c r="D212">
        <v>2</v>
      </c>
      <c r="E212">
        <v>2</v>
      </c>
      <c r="F212">
        <v>3</v>
      </c>
      <c r="G212">
        <v>6</v>
      </c>
      <c r="H212">
        <v>5</v>
      </c>
      <c r="I212">
        <v>11</v>
      </c>
      <c r="J212">
        <v>6</v>
      </c>
      <c r="K212">
        <v>24</v>
      </c>
      <c r="L212">
        <v>72</v>
      </c>
      <c r="M212">
        <v>17</v>
      </c>
    </row>
    <row r="213" spans="1:13" x14ac:dyDescent="0.25">
      <c r="A213" s="1" t="s">
        <v>315</v>
      </c>
      <c r="B213" s="1" t="s">
        <v>316</v>
      </c>
      <c r="C213">
        <v>2</v>
      </c>
      <c r="D213">
        <v>2</v>
      </c>
      <c r="E213">
        <v>6</v>
      </c>
      <c r="F213">
        <v>2</v>
      </c>
      <c r="G213">
        <v>2</v>
      </c>
      <c r="H213">
        <v>4</v>
      </c>
      <c r="I213">
        <v>13</v>
      </c>
      <c r="J213">
        <v>7</v>
      </c>
      <c r="K213">
        <v>71</v>
      </c>
      <c r="L213">
        <v>64</v>
      </c>
      <c r="M213">
        <v>96</v>
      </c>
    </row>
    <row r="214" spans="1:13" x14ac:dyDescent="0.25">
      <c r="A214" s="1" t="s">
        <v>317</v>
      </c>
      <c r="B214" s="1" t="s">
        <v>232</v>
      </c>
      <c r="C214">
        <v>8</v>
      </c>
      <c r="D214">
        <v>4</v>
      </c>
      <c r="E214">
        <v>5</v>
      </c>
      <c r="F214">
        <v>5</v>
      </c>
      <c r="G214">
        <v>3</v>
      </c>
      <c r="H214">
        <v>4</v>
      </c>
      <c r="I214">
        <v>92</v>
      </c>
      <c r="J214">
        <v>71</v>
      </c>
      <c r="K214">
        <v>26</v>
      </c>
      <c r="L214">
        <v>42</v>
      </c>
      <c r="M214">
        <v>46</v>
      </c>
    </row>
    <row r="215" spans="1:13" x14ac:dyDescent="0.25">
      <c r="A215" s="1" t="s">
        <v>318</v>
      </c>
      <c r="B215" s="1" t="s">
        <v>279</v>
      </c>
      <c r="C215">
        <v>5</v>
      </c>
      <c r="D215">
        <v>6</v>
      </c>
      <c r="E215">
        <v>2</v>
      </c>
      <c r="F215">
        <v>6</v>
      </c>
      <c r="G215">
        <v>6</v>
      </c>
      <c r="H215">
        <v>5</v>
      </c>
      <c r="I215">
        <v>79</v>
      </c>
      <c r="J215">
        <v>19</v>
      </c>
      <c r="K215">
        <v>23</v>
      </c>
      <c r="L215">
        <v>18</v>
      </c>
      <c r="M215">
        <v>13</v>
      </c>
    </row>
    <row r="216" spans="1:13" x14ac:dyDescent="0.25">
      <c r="A216" s="1" t="s">
        <v>319</v>
      </c>
      <c r="B216" s="1" t="s">
        <v>197</v>
      </c>
      <c r="C216">
        <v>3</v>
      </c>
      <c r="D216">
        <v>2</v>
      </c>
      <c r="E216">
        <v>5</v>
      </c>
      <c r="F216">
        <v>3</v>
      </c>
      <c r="G216">
        <v>5</v>
      </c>
      <c r="H216">
        <v>2</v>
      </c>
      <c r="I216">
        <v>47</v>
      </c>
      <c r="J216">
        <v>7</v>
      </c>
      <c r="K216">
        <v>72</v>
      </c>
      <c r="L216">
        <v>74</v>
      </c>
      <c r="M216">
        <v>85</v>
      </c>
    </row>
    <row r="217" spans="1:13" x14ac:dyDescent="0.25">
      <c r="A217" s="1" t="s">
        <v>320</v>
      </c>
      <c r="B217" s="1" t="s">
        <v>145</v>
      </c>
      <c r="C217">
        <v>1</v>
      </c>
      <c r="D217">
        <v>6</v>
      </c>
      <c r="E217">
        <v>2</v>
      </c>
      <c r="F217">
        <v>5</v>
      </c>
      <c r="G217">
        <v>6</v>
      </c>
      <c r="H217">
        <v>3</v>
      </c>
      <c r="I217">
        <v>74</v>
      </c>
      <c r="J217">
        <v>64</v>
      </c>
      <c r="K217">
        <v>17</v>
      </c>
      <c r="L217">
        <v>76</v>
      </c>
      <c r="M217">
        <v>23</v>
      </c>
    </row>
    <row r="218" spans="1:13" x14ac:dyDescent="0.25">
      <c r="A218" s="1" t="s">
        <v>321</v>
      </c>
      <c r="B218" s="1" t="s">
        <v>322</v>
      </c>
      <c r="C218">
        <v>3</v>
      </c>
      <c r="D218">
        <v>4</v>
      </c>
      <c r="E218">
        <v>2</v>
      </c>
      <c r="F218">
        <v>4</v>
      </c>
      <c r="G218">
        <v>5</v>
      </c>
      <c r="H218">
        <v>6</v>
      </c>
      <c r="I218">
        <v>47</v>
      </c>
      <c r="J218">
        <v>80</v>
      </c>
      <c r="K218">
        <v>34</v>
      </c>
      <c r="L218">
        <v>4</v>
      </c>
      <c r="M218">
        <v>81</v>
      </c>
    </row>
    <row r="219" spans="1:13" x14ac:dyDescent="0.25">
      <c r="A219" s="1" t="s">
        <v>323</v>
      </c>
      <c r="B219" s="1" t="s">
        <v>324</v>
      </c>
      <c r="C219">
        <v>3</v>
      </c>
      <c r="D219">
        <v>4</v>
      </c>
      <c r="E219">
        <v>3</v>
      </c>
      <c r="F219">
        <v>2</v>
      </c>
      <c r="G219">
        <v>4</v>
      </c>
      <c r="H219">
        <v>4</v>
      </c>
      <c r="I219">
        <v>14</v>
      </c>
      <c r="J219">
        <v>35</v>
      </c>
      <c r="K219">
        <v>43</v>
      </c>
      <c r="L219">
        <v>57</v>
      </c>
      <c r="M219">
        <v>34</v>
      </c>
    </row>
    <row r="220" spans="1:13" x14ac:dyDescent="0.25">
      <c r="A220" s="1" t="s">
        <v>325</v>
      </c>
      <c r="B220" s="1" t="s">
        <v>326</v>
      </c>
      <c r="C220">
        <v>7</v>
      </c>
      <c r="D220">
        <v>3</v>
      </c>
      <c r="E220">
        <v>3</v>
      </c>
      <c r="F220">
        <v>2</v>
      </c>
      <c r="G220">
        <v>6</v>
      </c>
      <c r="H220">
        <v>5</v>
      </c>
      <c r="I220">
        <v>84</v>
      </c>
      <c r="J220">
        <v>70</v>
      </c>
      <c r="K220">
        <v>57</v>
      </c>
      <c r="L220">
        <v>62</v>
      </c>
      <c r="M220">
        <v>1</v>
      </c>
    </row>
    <row r="221" spans="1:13" x14ac:dyDescent="0.25">
      <c r="A221" s="1" t="s">
        <v>108</v>
      </c>
      <c r="B221" s="1" t="s">
        <v>327</v>
      </c>
      <c r="C221">
        <v>1</v>
      </c>
      <c r="D221">
        <v>5</v>
      </c>
      <c r="E221">
        <v>3</v>
      </c>
      <c r="F221">
        <v>5</v>
      </c>
      <c r="G221">
        <v>2</v>
      </c>
      <c r="H221">
        <v>4</v>
      </c>
      <c r="I221">
        <v>42</v>
      </c>
      <c r="J221">
        <v>82</v>
      </c>
      <c r="K221">
        <v>89</v>
      </c>
      <c r="L221">
        <v>2</v>
      </c>
      <c r="M221">
        <v>41</v>
      </c>
    </row>
    <row r="222" spans="1:13" x14ac:dyDescent="0.25">
      <c r="A222" s="1" t="s">
        <v>328</v>
      </c>
      <c r="B222" s="1" t="s">
        <v>68</v>
      </c>
      <c r="C222">
        <v>0</v>
      </c>
      <c r="D222">
        <v>6</v>
      </c>
      <c r="E222">
        <v>6</v>
      </c>
      <c r="F222">
        <v>4</v>
      </c>
      <c r="G222">
        <v>4</v>
      </c>
      <c r="H222">
        <v>3</v>
      </c>
      <c r="I222">
        <v>25</v>
      </c>
      <c r="J222">
        <v>40</v>
      </c>
      <c r="K222">
        <v>61</v>
      </c>
      <c r="L222">
        <v>59</v>
      </c>
      <c r="M222">
        <v>88</v>
      </c>
    </row>
    <row r="223" spans="1:13" x14ac:dyDescent="0.25">
      <c r="A223" s="1" t="s">
        <v>329</v>
      </c>
      <c r="B223" s="1" t="s">
        <v>188</v>
      </c>
      <c r="C223">
        <v>2</v>
      </c>
      <c r="D223">
        <v>4</v>
      </c>
      <c r="E223">
        <v>3</v>
      </c>
      <c r="F223">
        <v>3</v>
      </c>
      <c r="G223">
        <v>3</v>
      </c>
      <c r="H223">
        <v>2</v>
      </c>
      <c r="I223">
        <v>76</v>
      </c>
      <c r="J223">
        <v>21</v>
      </c>
      <c r="K223">
        <v>59</v>
      </c>
      <c r="L223">
        <v>79</v>
      </c>
      <c r="M223">
        <v>33</v>
      </c>
    </row>
    <row r="224" spans="1:13" x14ac:dyDescent="0.25">
      <c r="A224" s="1" t="s">
        <v>330</v>
      </c>
      <c r="B224" s="1" t="s">
        <v>30</v>
      </c>
      <c r="C224">
        <v>3</v>
      </c>
      <c r="D224">
        <v>6</v>
      </c>
      <c r="E224">
        <v>5</v>
      </c>
      <c r="F224">
        <v>2</v>
      </c>
      <c r="G224">
        <v>5</v>
      </c>
      <c r="H224">
        <v>4</v>
      </c>
      <c r="I224">
        <v>18</v>
      </c>
      <c r="J224">
        <v>33</v>
      </c>
      <c r="K224">
        <v>57</v>
      </c>
      <c r="L224">
        <v>34</v>
      </c>
      <c r="M224">
        <v>74</v>
      </c>
    </row>
    <row r="225" spans="1:13" x14ac:dyDescent="0.25">
      <c r="A225" s="1" t="s">
        <v>131</v>
      </c>
      <c r="B225" s="1" t="s">
        <v>171</v>
      </c>
      <c r="C225">
        <v>8</v>
      </c>
      <c r="D225">
        <v>4</v>
      </c>
      <c r="E225">
        <v>3</v>
      </c>
      <c r="F225">
        <v>2</v>
      </c>
      <c r="G225">
        <v>6</v>
      </c>
      <c r="H225">
        <v>5</v>
      </c>
      <c r="I225">
        <v>67</v>
      </c>
      <c r="J225">
        <v>34</v>
      </c>
      <c r="K225">
        <v>96</v>
      </c>
      <c r="L225">
        <v>61</v>
      </c>
      <c r="M225">
        <v>40</v>
      </c>
    </row>
    <row r="226" spans="1:13" x14ac:dyDescent="0.25">
      <c r="A226" s="1" t="s">
        <v>265</v>
      </c>
      <c r="B226" s="1" t="s">
        <v>16</v>
      </c>
      <c r="C226">
        <v>5</v>
      </c>
      <c r="D226">
        <v>4</v>
      </c>
      <c r="E226">
        <v>4</v>
      </c>
      <c r="F226">
        <v>6</v>
      </c>
      <c r="G226">
        <v>4</v>
      </c>
      <c r="H226">
        <v>5</v>
      </c>
      <c r="I226">
        <v>39</v>
      </c>
      <c r="J226">
        <v>12</v>
      </c>
      <c r="K226">
        <v>100</v>
      </c>
      <c r="L226">
        <v>47</v>
      </c>
      <c r="M226">
        <v>42</v>
      </c>
    </row>
    <row r="227" spans="1:13" x14ac:dyDescent="0.25">
      <c r="A227" s="1" t="s">
        <v>331</v>
      </c>
      <c r="B227" s="1" t="s">
        <v>155</v>
      </c>
      <c r="C227">
        <v>0</v>
      </c>
      <c r="D227">
        <v>3</v>
      </c>
      <c r="E227">
        <v>2</v>
      </c>
      <c r="F227">
        <v>4</v>
      </c>
      <c r="G227">
        <v>4</v>
      </c>
      <c r="H227">
        <v>2</v>
      </c>
      <c r="I227">
        <v>88</v>
      </c>
      <c r="J227">
        <v>79</v>
      </c>
      <c r="K227">
        <v>26</v>
      </c>
      <c r="L227">
        <v>8</v>
      </c>
      <c r="M227">
        <v>70</v>
      </c>
    </row>
    <row r="228" spans="1:13" x14ac:dyDescent="0.25">
      <c r="A228" s="1" t="s">
        <v>332</v>
      </c>
      <c r="B228" s="1" t="s">
        <v>117</v>
      </c>
      <c r="C228">
        <v>1</v>
      </c>
      <c r="D228">
        <v>2</v>
      </c>
      <c r="E228">
        <v>2</v>
      </c>
      <c r="F228">
        <v>6</v>
      </c>
      <c r="G228">
        <v>6</v>
      </c>
      <c r="H228">
        <v>3</v>
      </c>
      <c r="I228">
        <v>83</v>
      </c>
      <c r="J228">
        <v>76</v>
      </c>
      <c r="K228">
        <v>52</v>
      </c>
      <c r="L228">
        <v>43</v>
      </c>
      <c r="M228">
        <v>64</v>
      </c>
    </row>
    <row r="229" spans="1:13" x14ac:dyDescent="0.25">
      <c r="A229" s="1" t="s">
        <v>333</v>
      </c>
      <c r="B229" s="1" t="s">
        <v>216</v>
      </c>
      <c r="C229">
        <v>1</v>
      </c>
      <c r="D229">
        <v>6</v>
      </c>
      <c r="E229">
        <v>6</v>
      </c>
      <c r="F229">
        <v>3</v>
      </c>
      <c r="G229">
        <v>6</v>
      </c>
      <c r="H229">
        <v>4</v>
      </c>
      <c r="I229">
        <v>54</v>
      </c>
      <c r="J229">
        <v>50</v>
      </c>
      <c r="K229">
        <v>36</v>
      </c>
      <c r="L229">
        <v>23</v>
      </c>
      <c r="M229">
        <v>9</v>
      </c>
    </row>
    <row r="230" spans="1:13" x14ac:dyDescent="0.25">
      <c r="A230" s="1" t="s">
        <v>334</v>
      </c>
      <c r="B230" s="1" t="s">
        <v>242</v>
      </c>
      <c r="C230">
        <v>0</v>
      </c>
      <c r="D230">
        <v>3</v>
      </c>
      <c r="E230">
        <v>4</v>
      </c>
      <c r="F230">
        <v>6</v>
      </c>
      <c r="G230">
        <v>3</v>
      </c>
      <c r="H230">
        <v>5</v>
      </c>
      <c r="I230">
        <v>49</v>
      </c>
      <c r="J230">
        <v>31</v>
      </c>
      <c r="K230">
        <v>34</v>
      </c>
      <c r="L230">
        <v>22</v>
      </c>
      <c r="M230">
        <v>76</v>
      </c>
    </row>
    <row r="231" spans="1:13" x14ac:dyDescent="0.25">
      <c r="A231" s="1" t="s">
        <v>335</v>
      </c>
      <c r="B231" s="1" t="s">
        <v>177</v>
      </c>
      <c r="C231">
        <v>1</v>
      </c>
      <c r="D231">
        <v>3</v>
      </c>
      <c r="E231">
        <v>2</v>
      </c>
      <c r="F231">
        <v>2</v>
      </c>
      <c r="G231">
        <v>2</v>
      </c>
      <c r="H231">
        <v>3</v>
      </c>
      <c r="I231">
        <v>71</v>
      </c>
      <c r="J231">
        <v>20</v>
      </c>
      <c r="K231">
        <v>46</v>
      </c>
      <c r="L231">
        <v>6</v>
      </c>
      <c r="M231">
        <v>22</v>
      </c>
    </row>
    <row r="232" spans="1:13" x14ac:dyDescent="0.25">
      <c r="A232" s="1" t="s">
        <v>336</v>
      </c>
      <c r="B232" s="1" t="s">
        <v>210</v>
      </c>
      <c r="C232">
        <v>8</v>
      </c>
      <c r="D232">
        <v>5</v>
      </c>
      <c r="E232">
        <v>6</v>
      </c>
      <c r="F232">
        <v>4</v>
      </c>
      <c r="G232">
        <v>5</v>
      </c>
      <c r="H232">
        <v>4</v>
      </c>
      <c r="I232">
        <v>5</v>
      </c>
      <c r="J232">
        <v>48</v>
      </c>
      <c r="K232">
        <v>2</v>
      </c>
      <c r="L232">
        <v>12</v>
      </c>
      <c r="M232">
        <v>15</v>
      </c>
    </row>
    <row r="233" spans="1:13" x14ac:dyDescent="0.25">
      <c r="A233" s="1" t="s">
        <v>337</v>
      </c>
      <c r="B233" s="1" t="s">
        <v>338</v>
      </c>
      <c r="C233">
        <v>7</v>
      </c>
      <c r="D233">
        <v>4</v>
      </c>
      <c r="E233">
        <v>3</v>
      </c>
      <c r="F233">
        <v>4</v>
      </c>
      <c r="G233">
        <v>6</v>
      </c>
      <c r="H233">
        <v>6</v>
      </c>
      <c r="I233">
        <v>27</v>
      </c>
      <c r="J233">
        <v>12</v>
      </c>
      <c r="K233">
        <v>19</v>
      </c>
      <c r="L233">
        <v>10</v>
      </c>
      <c r="M233">
        <v>66</v>
      </c>
    </row>
    <row r="234" spans="1:13" x14ac:dyDescent="0.25">
      <c r="A234" s="1" t="s">
        <v>339</v>
      </c>
      <c r="B234" s="1" t="s">
        <v>340</v>
      </c>
      <c r="C234">
        <v>6</v>
      </c>
      <c r="D234">
        <v>2</v>
      </c>
      <c r="E234">
        <v>5</v>
      </c>
      <c r="F234">
        <v>3</v>
      </c>
      <c r="G234">
        <v>5</v>
      </c>
      <c r="H234">
        <v>3</v>
      </c>
      <c r="I234">
        <v>95</v>
      </c>
      <c r="J234">
        <v>12</v>
      </c>
      <c r="K234">
        <v>76</v>
      </c>
      <c r="L234">
        <v>52</v>
      </c>
      <c r="M234">
        <v>36</v>
      </c>
    </row>
    <row r="235" spans="1:13" x14ac:dyDescent="0.25">
      <c r="A235" s="1" t="s">
        <v>341</v>
      </c>
      <c r="B235" s="1" t="s">
        <v>177</v>
      </c>
      <c r="C235">
        <v>4</v>
      </c>
      <c r="D235">
        <v>6</v>
      </c>
      <c r="E235">
        <v>4</v>
      </c>
      <c r="F235">
        <v>5</v>
      </c>
      <c r="G235">
        <v>5</v>
      </c>
      <c r="H235">
        <v>2</v>
      </c>
      <c r="I235">
        <v>48</v>
      </c>
      <c r="J235">
        <v>9</v>
      </c>
      <c r="K235">
        <v>45</v>
      </c>
      <c r="L235">
        <v>10</v>
      </c>
      <c r="M235">
        <v>3</v>
      </c>
    </row>
    <row r="236" spans="1:13" x14ac:dyDescent="0.25">
      <c r="A236" s="1" t="s">
        <v>342</v>
      </c>
      <c r="B236" s="1" t="s">
        <v>343</v>
      </c>
      <c r="C236">
        <v>2</v>
      </c>
      <c r="D236">
        <v>5</v>
      </c>
      <c r="E236">
        <v>2</v>
      </c>
      <c r="F236">
        <v>4</v>
      </c>
      <c r="G236">
        <v>4</v>
      </c>
      <c r="H236">
        <v>4</v>
      </c>
      <c r="I236">
        <v>46</v>
      </c>
      <c r="J236">
        <v>58</v>
      </c>
      <c r="K236">
        <v>72</v>
      </c>
      <c r="L236">
        <v>83</v>
      </c>
      <c r="M236">
        <v>48</v>
      </c>
    </row>
    <row r="237" spans="1:13" x14ac:dyDescent="0.25">
      <c r="A237" s="1" t="s">
        <v>344</v>
      </c>
      <c r="B237" s="1" t="s">
        <v>345</v>
      </c>
      <c r="C237">
        <v>7</v>
      </c>
      <c r="D237">
        <v>3</v>
      </c>
      <c r="E237">
        <v>3</v>
      </c>
      <c r="F237">
        <v>3</v>
      </c>
      <c r="G237">
        <v>3</v>
      </c>
      <c r="H237">
        <v>6</v>
      </c>
      <c r="I237">
        <v>72</v>
      </c>
      <c r="J237">
        <v>40</v>
      </c>
      <c r="K237">
        <v>54</v>
      </c>
      <c r="L237">
        <v>44</v>
      </c>
      <c r="M237">
        <v>78</v>
      </c>
    </row>
    <row r="238" spans="1:13" x14ac:dyDescent="0.25">
      <c r="A238" s="1" t="s">
        <v>346</v>
      </c>
      <c r="B238" s="1" t="s">
        <v>347</v>
      </c>
      <c r="C238">
        <v>4</v>
      </c>
      <c r="D238">
        <v>4</v>
      </c>
      <c r="E238">
        <v>5</v>
      </c>
      <c r="F238">
        <v>2</v>
      </c>
      <c r="G238">
        <v>3</v>
      </c>
      <c r="H238">
        <v>5</v>
      </c>
      <c r="I238">
        <v>80</v>
      </c>
      <c r="J238">
        <v>63</v>
      </c>
      <c r="K238">
        <v>36</v>
      </c>
      <c r="L238">
        <v>13</v>
      </c>
      <c r="M238">
        <v>38</v>
      </c>
    </row>
    <row r="239" spans="1:13" x14ac:dyDescent="0.25">
      <c r="A239" s="1" t="s">
        <v>348</v>
      </c>
      <c r="B239" s="1" t="s">
        <v>210</v>
      </c>
      <c r="C239">
        <v>7</v>
      </c>
      <c r="D239">
        <v>5</v>
      </c>
      <c r="E239">
        <v>3</v>
      </c>
      <c r="F239">
        <v>2</v>
      </c>
      <c r="G239">
        <v>5</v>
      </c>
      <c r="H239">
        <v>3</v>
      </c>
      <c r="I239">
        <v>89</v>
      </c>
      <c r="J239">
        <v>97</v>
      </c>
      <c r="K239">
        <v>66</v>
      </c>
      <c r="L239">
        <v>5</v>
      </c>
      <c r="M239">
        <v>68</v>
      </c>
    </row>
    <row r="240" spans="1:13" x14ac:dyDescent="0.25">
      <c r="A240" s="1" t="s">
        <v>349</v>
      </c>
      <c r="B240" s="1" t="s">
        <v>350</v>
      </c>
      <c r="C240">
        <v>8</v>
      </c>
      <c r="D240">
        <v>3</v>
      </c>
      <c r="E240">
        <v>5</v>
      </c>
      <c r="F240">
        <v>3</v>
      </c>
      <c r="G240">
        <v>6</v>
      </c>
      <c r="H240">
        <v>6</v>
      </c>
      <c r="I240">
        <v>98</v>
      </c>
      <c r="J240">
        <v>27</v>
      </c>
      <c r="K240">
        <v>75</v>
      </c>
      <c r="L240">
        <v>69</v>
      </c>
      <c r="M240">
        <v>29</v>
      </c>
    </row>
    <row r="241" spans="1:13" x14ac:dyDescent="0.25">
      <c r="A241" s="1" t="s">
        <v>351</v>
      </c>
      <c r="B241" s="1" t="s">
        <v>45</v>
      </c>
      <c r="C241">
        <v>2</v>
      </c>
      <c r="D241">
        <v>2</v>
      </c>
      <c r="E241">
        <v>3</v>
      </c>
      <c r="F241">
        <v>4</v>
      </c>
      <c r="G241">
        <v>2</v>
      </c>
      <c r="H241">
        <v>6</v>
      </c>
      <c r="I241">
        <v>43</v>
      </c>
      <c r="J241">
        <v>45</v>
      </c>
      <c r="K241">
        <v>16</v>
      </c>
      <c r="L241">
        <v>56</v>
      </c>
      <c r="M241">
        <v>7</v>
      </c>
    </row>
    <row r="242" spans="1:13" x14ac:dyDescent="0.25">
      <c r="A242" s="1" t="s">
        <v>352</v>
      </c>
      <c r="B242" s="1" t="s">
        <v>193</v>
      </c>
      <c r="C242">
        <v>7</v>
      </c>
      <c r="D242">
        <v>6</v>
      </c>
      <c r="E242">
        <v>6</v>
      </c>
      <c r="F242">
        <v>2</v>
      </c>
      <c r="G242">
        <v>3</v>
      </c>
      <c r="H242">
        <v>6</v>
      </c>
      <c r="I242">
        <v>19</v>
      </c>
      <c r="J242">
        <v>5</v>
      </c>
      <c r="K242">
        <v>76</v>
      </c>
      <c r="L242">
        <v>74</v>
      </c>
      <c r="M242">
        <v>16</v>
      </c>
    </row>
    <row r="243" spans="1:13" x14ac:dyDescent="0.25">
      <c r="A243" s="1" t="s">
        <v>353</v>
      </c>
      <c r="B243" s="1" t="s">
        <v>86</v>
      </c>
      <c r="C243">
        <v>2</v>
      </c>
      <c r="D243">
        <v>3</v>
      </c>
      <c r="E243">
        <v>2</v>
      </c>
      <c r="F243">
        <v>5</v>
      </c>
      <c r="G243">
        <v>5</v>
      </c>
      <c r="H243">
        <v>4</v>
      </c>
      <c r="I243">
        <v>60</v>
      </c>
      <c r="J243">
        <v>48</v>
      </c>
      <c r="K243">
        <v>73</v>
      </c>
      <c r="L243">
        <v>93</v>
      </c>
      <c r="M243">
        <v>51</v>
      </c>
    </row>
    <row r="244" spans="1:13" x14ac:dyDescent="0.25">
      <c r="A244" s="1" t="s">
        <v>354</v>
      </c>
      <c r="B244" s="1" t="s">
        <v>355</v>
      </c>
      <c r="C244">
        <v>4</v>
      </c>
      <c r="D244">
        <v>6</v>
      </c>
      <c r="E244">
        <v>3</v>
      </c>
      <c r="F244">
        <v>6</v>
      </c>
      <c r="G244">
        <v>5</v>
      </c>
      <c r="H244">
        <v>6</v>
      </c>
      <c r="I244">
        <v>82</v>
      </c>
      <c r="J244">
        <v>21</v>
      </c>
      <c r="K244">
        <v>64</v>
      </c>
      <c r="L244">
        <v>61</v>
      </c>
      <c r="M244">
        <v>93</v>
      </c>
    </row>
    <row r="245" spans="1:13" x14ac:dyDescent="0.25">
      <c r="A245" s="1" t="s">
        <v>356</v>
      </c>
      <c r="B245" s="1" t="s">
        <v>357</v>
      </c>
      <c r="C245">
        <v>2</v>
      </c>
      <c r="D245">
        <v>4</v>
      </c>
      <c r="E245">
        <v>2</v>
      </c>
      <c r="F245">
        <v>4</v>
      </c>
      <c r="G245">
        <v>3</v>
      </c>
      <c r="H245">
        <v>4</v>
      </c>
      <c r="I245">
        <v>65</v>
      </c>
      <c r="J245">
        <v>50</v>
      </c>
      <c r="K245">
        <v>15</v>
      </c>
      <c r="L245">
        <v>67</v>
      </c>
      <c r="M245">
        <v>88</v>
      </c>
    </row>
    <row r="246" spans="1:13" x14ac:dyDescent="0.25">
      <c r="A246" s="1" t="s">
        <v>358</v>
      </c>
      <c r="B246" s="1" t="s">
        <v>174</v>
      </c>
      <c r="C246">
        <v>8</v>
      </c>
      <c r="D246">
        <v>3</v>
      </c>
      <c r="E246">
        <v>6</v>
      </c>
      <c r="F246">
        <v>3</v>
      </c>
      <c r="G246">
        <v>6</v>
      </c>
      <c r="H246">
        <v>3</v>
      </c>
      <c r="I246">
        <v>85</v>
      </c>
      <c r="J246">
        <v>68</v>
      </c>
      <c r="K246">
        <v>59</v>
      </c>
      <c r="L246">
        <v>5</v>
      </c>
      <c r="M246">
        <v>29</v>
      </c>
    </row>
    <row r="247" spans="1:13" x14ac:dyDescent="0.25">
      <c r="A247" s="1" t="s">
        <v>359</v>
      </c>
      <c r="B247" s="1" t="s">
        <v>360</v>
      </c>
      <c r="C247">
        <v>7</v>
      </c>
      <c r="D247">
        <v>6</v>
      </c>
      <c r="E247">
        <v>2</v>
      </c>
      <c r="F247">
        <v>3</v>
      </c>
      <c r="G247">
        <v>2</v>
      </c>
      <c r="H247">
        <v>2</v>
      </c>
      <c r="I247">
        <v>91</v>
      </c>
      <c r="J247">
        <v>65</v>
      </c>
      <c r="K247">
        <v>12</v>
      </c>
      <c r="L247">
        <v>78</v>
      </c>
      <c r="M247">
        <v>87</v>
      </c>
    </row>
    <row r="248" spans="1:13" x14ac:dyDescent="0.25">
      <c r="A248" s="1" t="s">
        <v>361</v>
      </c>
      <c r="B248" s="1" t="s">
        <v>362</v>
      </c>
      <c r="C248">
        <v>2</v>
      </c>
      <c r="D248">
        <v>6</v>
      </c>
      <c r="E248">
        <v>6</v>
      </c>
      <c r="F248">
        <v>6</v>
      </c>
      <c r="G248">
        <v>2</v>
      </c>
      <c r="H248">
        <v>3</v>
      </c>
      <c r="I248">
        <v>65</v>
      </c>
      <c r="J248">
        <v>28</v>
      </c>
      <c r="K248">
        <v>80</v>
      </c>
      <c r="L248">
        <v>55</v>
      </c>
      <c r="M248">
        <v>60</v>
      </c>
    </row>
    <row r="249" spans="1:13" x14ac:dyDescent="0.25">
      <c r="A249" s="1" t="s">
        <v>363</v>
      </c>
      <c r="B249" s="1" t="s">
        <v>139</v>
      </c>
      <c r="C249">
        <v>4</v>
      </c>
      <c r="D249">
        <v>4</v>
      </c>
      <c r="E249">
        <v>2</v>
      </c>
      <c r="F249">
        <v>3</v>
      </c>
      <c r="G249">
        <v>3</v>
      </c>
      <c r="H249">
        <v>5</v>
      </c>
      <c r="I249">
        <v>14</v>
      </c>
      <c r="J249">
        <v>4</v>
      </c>
      <c r="K249">
        <v>93</v>
      </c>
      <c r="L249">
        <v>36</v>
      </c>
      <c r="M249">
        <v>26</v>
      </c>
    </row>
    <row r="250" spans="1:13" x14ac:dyDescent="0.25">
      <c r="A250" s="1" t="s">
        <v>364</v>
      </c>
      <c r="B250" s="1" t="s">
        <v>203</v>
      </c>
      <c r="C250">
        <v>0</v>
      </c>
      <c r="D250">
        <v>6</v>
      </c>
      <c r="E250">
        <v>2</v>
      </c>
      <c r="F250">
        <v>6</v>
      </c>
      <c r="G250">
        <v>5</v>
      </c>
      <c r="H250">
        <v>6</v>
      </c>
      <c r="I250">
        <v>15</v>
      </c>
      <c r="J250">
        <v>42</v>
      </c>
      <c r="K250">
        <v>90</v>
      </c>
      <c r="L250">
        <v>14</v>
      </c>
      <c r="M250">
        <v>88</v>
      </c>
    </row>
    <row r="251" spans="1:13" x14ac:dyDescent="0.25">
      <c r="A251" s="1" t="s">
        <v>365</v>
      </c>
      <c r="B251" s="1" t="s">
        <v>16</v>
      </c>
      <c r="C251">
        <v>8</v>
      </c>
      <c r="D251">
        <v>5</v>
      </c>
      <c r="E251">
        <v>4</v>
      </c>
      <c r="F251">
        <v>4</v>
      </c>
      <c r="G251">
        <v>4</v>
      </c>
      <c r="H251">
        <v>3</v>
      </c>
      <c r="I251">
        <v>39</v>
      </c>
      <c r="J251">
        <v>45</v>
      </c>
      <c r="K251">
        <v>68</v>
      </c>
      <c r="L251">
        <v>26</v>
      </c>
      <c r="M251">
        <v>30</v>
      </c>
    </row>
    <row r="252" spans="1:13" x14ac:dyDescent="0.25">
      <c r="A252" s="1" t="s">
        <v>366</v>
      </c>
      <c r="B252" s="1" t="s">
        <v>367</v>
      </c>
      <c r="C252">
        <v>3</v>
      </c>
      <c r="D252">
        <v>6</v>
      </c>
      <c r="E252">
        <v>3</v>
      </c>
      <c r="F252">
        <v>4</v>
      </c>
      <c r="G252">
        <v>3</v>
      </c>
      <c r="H252">
        <v>5</v>
      </c>
      <c r="I252">
        <v>86</v>
      </c>
      <c r="J252">
        <v>46</v>
      </c>
      <c r="K252">
        <v>9</v>
      </c>
      <c r="L252">
        <v>68</v>
      </c>
      <c r="M252">
        <v>39</v>
      </c>
    </row>
    <row r="253" spans="1:13" x14ac:dyDescent="0.25">
      <c r="A253" s="1" t="s">
        <v>368</v>
      </c>
      <c r="B253" s="1" t="s">
        <v>369</v>
      </c>
      <c r="C253">
        <v>7</v>
      </c>
      <c r="D253">
        <v>4</v>
      </c>
      <c r="E253">
        <v>6</v>
      </c>
      <c r="F253">
        <v>6</v>
      </c>
      <c r="G253">
        <v>6</v>
      </c>
      <c r="H253">
        <v>2</v>
      </c>
      <c r="I253">
        <v>17</v>
      </c>
      <c r="J253">
        <v>16</v>
      </c>
      <c r="K253">
        <v>12</v>
      </c>
      <c r="L253">
        <v>54</v>
      </c>
      <c r="M253">
        <v>91</v>
      </c>
    </row>
    <row r="254" spans="1:13" x14ac:dyDescent="0.25">
      <c r="A254" s="1" t="s">
        <v>370</v>
      </c>
      <c r="B254" s="1" t="s">
        <v>371</v>
      </c>
      <c r="C254">
        <v>4</v>
      </c>
      <c r="D254">
        <v>2</v>
      </c>
      <c r="E254">
        <v>4</v>
      </c>
      <c r="F254">
        <v>3</v>
      </c>
      <c r="G254">
        <v>5</v>
      </c>
      <c r="H254">
        <v>2</v>
      </c>
      <c r="I254">
        <v>68</v>
      </c>
      <c r="J254">
        <v>87</v>
      </c>
      <c r="K254">
        <v>48</v>
      </c>
      <c r="L254">
        <v>54</v>
      </c>
      <c r="M254">
        <v>39</v>
      </c>
    </row>
    <row r="255" spans="1:13" x14ac:dyDescent="0.25">
      <c r="A255" s="1" t="s">
        <v>372</v>
      </c>
      <c r="B255" s="1" t="s">
        <v>180</v>
      </c>
      <c r="C255">
        <v>8</v>
      </c>
      <c r="D255">
        <v>3</v>
      </c>
      <c r="E255">
        <v>5</v>
      </c>
      <c r="F255">
        <v>2</v>
      </c>
      <c r="G255">
        <v>5</v>
      </c>
      <c r="H255">
        <v>3</v>
      </c>
      <c r="I255">
        <v>99</v>
      </c>
      <c r="J255">
        <v>90</v>
      </c>
      <c r="K255">
        <v>59</v>
      </c>
      <c r="L255">
        <v>78</v>
      </c>
      <c r="M255">
        <v>93</v>
      </c>
    </row>
    <row r="256" spans="1:13" x14ac:dyDescent="0.25">
      <c r="A256" s="1" t="s">
        <v>373</v>
      </c>
      <c r="B256" s="1" t="s">
        <v>357</v>
      </c>
      <c r="C256">
        <v>1</v>
      </c>
      <c r="D256">
        <v>6</v>
      </c>
      <c r="E256">
        <v>6</v>
      </c>
      <c r="F256">
        <v>5</v>
      </c>
      <c r="G256">
        <v>3</v>
      </c>
      <c r="H256">
        <v>6</v>
      </c>
      <c r="I256">
        <v>58</v>
      </c>
      <c r="J256">
        <v>93</v>
      </c>
      <c r="K256">
        <v>93</v>
      </c>
      <c r="L256">
        <v>82</v>
      </c>
      <c r="M256">
        <v>17</v>
      </c>
    </row>
    <row r="257" spans="1:13" x14ac:dyDescent="0.25">
      <c r="A257" s="1" t="s">
        <v>374</v>
      </c>
      <c r="B257" s="1" t="s">
        <v>327</v>
      </c>
      <c r="C257">
        <v>6</v>
      </c>
      <c r="D257">
        <v>4</v>
      </c>
      <c r="E257">
        <v>5</v>
      </c>
      <c r="F257">
        <v>3</v>
      </c>
      <c r="G257">
        <v>2</v>
      </c>
      <c r="H257">
        <v>2</v>
      </c>
      <c r="I257">
        <v>38</v>
      </c>
      <c r="J257">
        <v>13</v>
      </c>
      <c r="K257">
        <v>62</v>
      </c>
      <c r="L257">
        <v>22</v>
      </c>
      <c r="M257">
        <v>14</v>
      </c>
    </row>
    <row r="258" spans="1:13" x14ac:dyDescent="0.25">
      <c r="A258" s="1" t="s">
        <v>375</v>
      </c>
      <c r="B258" s="1" t="s">
        <v>205</v>
      </c>
      <c r="C258">
        <v>6</v>
      </c>
      <c r="D258">
        <v>6</v>
      </c>
      <c r="E258">
        <v>3</v>
      </c>
      <c r="F258">
        <v>6</v>
      </c>
      <c r="G258">
        <v>6</v>
      </c>
      <c r="H258">
        <v>2</v>
      </c>
      <c r="I258">
        <v>1</v>
      </c>
      <c r="J258">
        <v>34</v>
      </c>
      <c r="K258">
        <v>76</v>
      </c>
      <c r="L258">
        <v>39</v>
      </c>
      <c r="M258">
        <v>56</v>
      </c>
    </row>
    <row r="259" spans="1:13" x14ac:dyDescent="0.25">
      <c r="A259" s="1" t="s">
        <v>376</v>
      </c>
      <c r="B259" s="1" t="s">
        <v>38</v>
      </c>
      <c r="C259">
        <v>3</v>
      </c>
      <c r="D259">
        <v>5</v>
      </c>
      <c r="E259">
        <v>3</v>
      </c>
      <c r="F259">
        <v>6</v>
      </c>
      <c r="G259">
        <v>2</v>
      </c>
      <c r="H259">
        <v>4</v>
      </c>
      <c r="I259">
        <v>91</v>
      </c>
      <c r="J259">
        <v>99</v>
      </c>
      <c r="K259">
        <v>61</v>
      </c>
      <c r="L259">
        <v>2</v>
      </c>
      <c r="M259">
        <v>52</v>
      </c>
    </row>
    <row r="260" spans="1:13" x14ac:dyDescent="0.25">
      <c r="A260" s="1" t="s">
        <v>377</v>
      </c>
      <c r="B260" s="1" t="s">
        <v>180</v>
      </c>
      <c r="C260">
        <v>3</v>
      </c>
      <c r="D260">
        <v>4</v>
      </c>
      <c r="E260">
        <v>6</v>
      </c>
      <c r="F260">
        <v>2</v>
      </c>
      <c r="G260">
        <v>2</v>
      </c>
      <c r="H260">
        <v>4</v>
      </c>
      <c r="I260">
        <v>2</v>
      </c>
      <c r="J260">
        <v>85</v>
      </c>
      <c r="K260">
        <v>51</v>
      </c>
      <c r="L260">
        <v>87</v>
      </c>
      <c r="M260">
        <v>27</v>
      </c>
    </row>
    <row r="261" spans="1:13" x14ac:dyDescent="0.25">
      <c r="A261" s="1" t="s">
        <v>378</v>
      </c>
      <c r="B261" s="1" t="s">
        <v>30</v>
      </c>
      <c r="C261">
        <v>6</v>
      </c>
      <c r="D261">
        <v>3</v>
      </c>
      <c r="E261">
        <v>3</v>
      </c>
      <c r="F261">
        <v>6</v>
      </c>
      <c r="G261">
        <v>6</v>
      </c>
      <c r="H261">
        <v>3</v>
      </c>
      <c r="I261">
        <v>78</v>
      </c>
      <c r="J261">
        <v>57</v>
      </c>
      <c r="K261">
        <v>69</v>
      </c>
      <c r="L261">
        <v>18</v>
      </c>
      <c r="M261">
        <v>87</v>
      </c>
    </row>
    <row r="262" spans="1:13" x14ac:dyDescent="0.25">
      <c r="A262" s="1" t="s">
        <v>379</v>
      </c>
      <c r="B262" s="1" t="s">
        <v>180</v>
      </c>
      <c r="C262">
        <v>3</v>
      </c>
      <c r="D262">
        <v>5</v>
      </c>
      <c r="E262">
        <v>4</v>
      </c>
      <c r="F262">
        <v>5</v>
      </c>
      <c r="G262">
        <v>6</v>
      </c>
      <c r="H262">
        <v>4</v>
      </c>
      <c r="I262">
        <v>64</v>
      </c>
      <c r="J262">
        <v>35</v>
      </c>
      <c r="K262">
        <v>42</v>
      </c>
      <c r="L262">
        <v>54</v>
      </c>
      <c r="M262">
        <v>15</v>
      </c>
    </row>
    <row r="263" spans="1:13" x14ac:dyDescent="0.25">
      <c r="A263" s="1" t="s">
        <v>380</v>
      </c>
      <c r="B263" s="1" t="s">
        <v>381</v>
      </c>
      <c r="C263">
        <v>3</v>
      </c>
      <c r="D263">
        <v>2</v>
      </c>
      <c r="E263">
        <v>2</v>
      </c>
      <c r="F263">
        <v>4</v>
      </c>
      <c r="G263">
        <v>3</v>
      </c>
      <c r="H263">
        <v>5</v>
      </c>
      <c r="I263">
        <v>40</v>
      </c>
      <c r="J263">
        <v>28</v>
      </c>
      <c r="K263">
        <v>88</v>
      </c>
      <c r="L263">
        <v>11</v>
      </c>
      <c r="M263">
        <v>9</v>
      </c>
    </row>
    <row r="264" spans="1:13" x14ac:dyDescent="0.25">
      <c r="A264" s="1" t="s">
        <v>382</v>
      </c>
      <c r="B264" s="1" t="s">
        <v>45</v>
      </c>
      <c r="C264">
        <v>2</v>
      </c>
      <c r="D264">
        <v>5</v>
      </c>
      <c r="E264">
        <v>3</v>
      </c>
      <c r="F264">
        <v>4</v>
      </c>
      <c r="G264">
        <v>6</v>
      </c>
      <c r="H264">
        <v>3</v>
      </c>
      <c r="I264">
        <v>8</v>
      </c>
      <c r="J264">
        <v>46</v>
      </c>
      <c r="K264">
        <v>55</v>
      </c>
      <c r="L264">
        <v>39</v>
      </c>
      <c r="M264">
        <v>21</v>
      </c>
    </row>
    <row r="265" spans="1:13" x14ac:dyDescent="0.25">
      <c r="A265" s="1" t="s">
        <v>383</v>
      </c>
      <c r="B265" s="1" t="s">
        <v>384</v>
      </c>
      <c r="C265">
        <v>2</v>
      </c>
      <c r="D265">
        <v>5</v>
      </c>
      <c r="E265">
        <v>3</v>
      </c>
      <c r="F265">
        <v>6</v>
      </c>
      <c r="G265">
        <v>3</v>
      </c>
      <c r="H265">
        <v>3</v>
      </c>
      <c r="I265">
        <v>86</v>
      </c>
      <c r="J265">
        <v>36</v>
      </c>
      <c r="K265">
        <v>76</v>
      </c>
      <c r="L265">
        <v>91</v>
      </c>
      <c r="M265">
        <v>19</v>
      </c>
    </row>
    <row r="266" spans="1:13" x14ac:dyDescent="0.25">
      <c r="A266" s="1" t="s">
        <v>385</v>
      </c>
      <c r="B266" s="1" t="s">
        <v>288</v>
      </c>
      <c r="C266">
        <v>0</v>
      </c>
      <c r="D266">
        <v>4</v>
      </c>
      <c r="E266">
        <v>3</v>
      </c>
      <c r="F266">
        <v>5</v>
      </c>
      <c r="G266">
        <v>2</v>
      </c>
      <c r="H266">
        <v>6</v>
      </c>
      <c r="I266">
        <v>86</v>
      </c>
      <c r="J266">
        <v>76</v>
      </c>
      <c r="K266">
        <v>17</v>
      </c>
      <c r="L266">
        <v>68</v>
      </c>
      <c r="M266">
        <v>39</v>
      </c>
    </row>
    <row r="267" spans="1:13" x14ac:dyDescent="0.25">
      <c r="A267" s="1" t="s">
        <v>386</v>
      </c>
      <c r="B267" s="1" t="s">
        <v>311</v>
      </c>
      <c r="C267">
        <v>8</v>
      </c>
      <c r="D267">
        <v>4</v>
      </c>
      <c r="E267">
        <v>5</v>
      </c>
      <c r="F267">
        <v>5</v>
      </c>
      <c r="G267">
        <v>4</v>
      </c>
      <c r="H267">
        <v>5</v>
      </c>
      <c r="I267">
        <v>7</v>
      </c>
      <c r="J267">
        <v>8</v>
      </c>
      <c r="K267">
        <v>77</v>
      </c>
      <c r="L267">
        <v>77</v>
      </c>
      <c r="M267">
        <v>21</v>
      </c>
    </row>
    <row r="268" spans="1:13" x14ac:dyDescent="0.25">
      <c r="A268" s="1" t="s">
        <v>387</v>
      </c>
      <c r="B268" s="1" t="s">
        <v>388</v>
      </c>
      <c r="C268">
        <v>8</v>
      </c>
      <c r="D268">
        <v>2</v>
      </c>
      <c r="E268">
        <v>6</v>
      </c>
      <c r="F268">
        <v>4</v>
      </c>
      <c r="G268">
        <v>3</v>
      </c>
      <c r="H268">
        <v>2</v>
      </c>
      <c r="I268">
        <v>77</v>
      </c>
      <c r="J268">
        <v>98</v>
      </c>
      <c r="K268">
        <v>4</v>
      </c>
      <c r="L268">
        <v>85</v>
      </c>
      <c r="M268">
        <v>63</v>
      </c>
    </row>
    <row r="269" spans="1:13" x14ac:dyDescent="0.25">
      <c r="A269" s="1" t="s">
        <v>389</v>
      </c>
      <c r="B269" s="1" t="s">
        <v>324</v>
      </c>
      <c r="C269">
        <v>6</v>
      </c>
      <c r="D269">
        <v>4</v>
      </c>
      <c r="E269">
        <v>6</v>
      </c>
      <c r="F269">
        <v>3</v>
      </c>
      <c r="G269">
        <v>3</v>
      </c>
      <c r="H269">
        <v>3</v>
      </c>
      <c r="I269">
        <v>9</v>
      </c>
      <c r="J269">
        <v>15</v>
      </c>
      <c r="K269">
        <v>6</v>
      </c>
      <c r="L269">
        <v>65</v>
      </c>
      <c r="M269">
        <v>75</v>
      </c>
    </row>
    <row r="270" spans="1:13" x14ac:dyDescent="0.25">
      <c r="A270" s="1" t="s">
        <v>390</v>
      </c>
      <c r="B270" s="1" t="s">
        <v>391</v>
      </c>
      <c r="C270">
        <v>0</v>
      </c>
      <c r="D270">
        <v>5</v>
      </c>
      <c r="E270">
        <v>3</v>
      </c>
      <c r="F270">
        <v>3</v>
      </c>
      <c r="G270">
        <v>3</v>
      </c>
      <c r="H270">
        <v>5</v>
      </c>
      <c r="I270">
        <v>27</v>
      </c>
      <c r="J270">
        <v>30</v>
      </c>
      <c r="K270">
        <v>23</v>
      </c>
      <c r="L270">
        <v>16</v>
      </c>
      <c r="M270">
        <v>21</v>
      </c>
    </row>
    <row r="271" spans="1:13" x14ac:dyDescent="0.25">
      <c r="A271" s="1" t="s">
        <v>392</v>
      </c>
      <c r="B271" s="1" t="s">
        <v>16</v>
      </c>
      <c r="C271">
        <v>5</v>
      </c>
      <c r="D271">
        <v>2</v>
      </c>
      <c r="E271">
        <v>5</v>
      </c>
      <c r="F271">
        <v>5</v>
      </c>
      <c r="G271">
        <v>6</v>
      </c>
      <c r="H271">
        <v>5</v>
      </c>
      <c r="I271">
        <v>17</v>
      </c>
      <c r="J271">
        <v>23</v>
      </c>
      <c r="K271">
        <v>33</v>
      </c>
      <c r="L271">
        <v>16</v>
      </c>
      <c r="M271">
        <v>62</v>
      </c>
    </row>
    <row r="272" spans="1:13" x14ac:dyDescent="0.25">
      <c r="A272" s="1" t="s">
        <v>393</v>
      </c>
      <c r="B272" s="1" t="s">
        <v>251</v>
      </c>
      <c r="C272">
        <v>2</v>
      </c>
      <c r="D272">
        <v>5</v>
      </c>
      <c r="E272">
        <v>3</v>
      </c>
      <c r="F272">
        <v>6</v>
      </c>
      <c r="G272">
        <v>6</v>
      </c>
      <c r="H272">
        <v>2</v>
      </c>
      <c r="I272">
        <v>87</v>
      </c>
      <c r="J272">
        <v>23</v>
      </c>
      <c r="K272">
        <v>15</v>
      </c>
      <c r="L272">
        <v>44</v>
      </c>
      <c r="M272">
        <v>30</v>
      </c>
    </row>
    <row r="273" spans="1:13" x14ac:dyDescent="0.25">
      <c r="A273" s="1" t="s">
        <v>394</v>
      </c>
      <c r="B273" s="1" t="s">
        <v>395</v>
      </c>
      <c r="C273">
        <v>2</v>
      </c>
      <c r="D273">
        <v>6</v>
      </c>
      <c r="E273">
        <v>3</v>
      </c>
      <c r="F273">
        <v>3</v>
      </c>
      <c r="G273">
        <v>3</v>
      </c>
      <c r="H273">
        <v>6</v>
      </c>
      <c r="I273">
        <v>83</v>
      </c>
      <c r="J273">
        <v>27</v>
      </c>
      <c r="K273">
        <v>18</v>
      </c>
      <c r="L273">
        <v>41</v>
      </c>
      <c r="M273">
        <v>94</v>
      </c>
    </row>
    <row r="274" spans="1:13" x14ac:dyDescent="0.25">
      <c r="A274" s="1" t="s">
        <v>396</v>
      </c>
      <c r="B274" s="1" t="s">
        <v>397</v>
      </c>
      <c r="C274">
        <v>5</v>
      </c>
      <c r="D274">
        <v>5</v>
      </c>
      <c r="E274">
        <v>5</v>
      </c>
      <c r="F274">
        <v>2</v>
      </c>
      <c r="G274">
        <v>4</v>
      </c>
      <c r="H274">
        <v>5</v>
      </c>
      <c r="I274">
        <v>35</v>
      </c>
      <c r="J274">
        <v>16</v>
      </c>
      <c r="K274">
        <v>94</v>
      </c>
      <c r="L274">
        <v>87</v>
      </c>
      <c r="M274">
        <v>38</v>
      </c>
    </row>
    <row r="275" spans="1:13" x14ac:dyDescent="0.25">
      <c r="A275" s="1" t="s">
        <v>398</v>
      </c>
      <c r="B275" s="1" t="s">
        <v>399</v>
      </c>
      <c r="C275">
        <v>0</v>
      </c>
      <c r="D275">
        <v>5</v>
      </c>
      <c r="E275">
        <v>3</v>
      </c>
      <c r="F275">
        <v>3</v>
      </c>
      <c r="G275">
        <v>2</v>
      </c>
      <c r="H275">
        <v>2</v>
      </c>
      <c r="I275">
        <v>92</v>
      </c>
      <c r="J275">
        <v>79</v>
      </c>
      <c r="K275">
        <v>94</v>
      </c>
      <c r="L275">
        <v>42</v>
      </c>
      <c r="M275">
        <v>95</v>
      </c>
    </row>
    <row r="276" spans="1:13" x14ac:dyDescent="0.25">
      <c r="A276" s="1" t="s">
        <v>75</v>
      </c>
      <c r="B276" s="1" t="s">
        <v>76</v>
      </c>
      <c r="C276">
        <v>5</v>
      </c>
      <c r="D276">
        <v>3</v>
      </c>
      <c r="E276">
        <v>5</v>
      </c>
      <c r="F276">
        <v>3</v>
      </c>
      <c r="G276">
        <v>6</v>
      </c>
      <c r="H276">
        <v>6</v>
      </c>
      <c r="I276">
        <v>82</v>
      </c>
      <c r="J276">
        <v>7</v>
      </c>
      <c r="K276">
        <v>24</v>
      </c>
      <c r="L276">
        <v>80</v>
      </c>
      <c r="M276">
        <v>33</v>
      </c>
    </row>
    <row r="277" spans="1:13" x14ac:dyDescent="0.25">
      <c r="A277" s="1" t="s">
        <v>400</v>
      </c>
      <c r="B277" s="1" t="s">
        <v>101</v>
      </c>
      <c r="C277">
        <v>6</v>
      </c>
      <c r="D277">
        <v>4</v>
      </c>
      <c r="E277">
        <v>6</v>
      </c>
      <c r="F277">
        <v>6</v>
      </c>
      <c r="G277">
        <v>4</v>
      </c>
      <c r="H277">
        <v>4</v>
      </c>
      <c r="I277">
        <v>94</v>
      </c>
      <c r="J277">
        <v>44</v>
      </c>
      <c r="K277">
        <v>96</v>
      </c>
      <c r="L277">
        <v>9</v>
      </c>
      <c r="M277">
        <v>97</v>
      </c>
    </row>
    <row r="278" spans="1:13" x14ac:dyDescent="0.25">
      <c r="A278" s="1" t="s">
        <v>401</v>
      </c>
      <c r="B278" s="1" t="s">
        <v>402</v>
      </c>
      <c r="C278">
        <v>3</v>
      </c>
      <c r="D278">
        <v>5</v>
      </c>
      <c r="E278">
        <v>3</v>
      </c>
      <c r="F278">
        <v>6</v>
      </c>
      <c r="G278">
        <v>4</v>
      </c>
      <c r="H278">
        <v>2</v>
      </c>
      <c r="I278">
        <v>32</v>
      </c>
      <c r="J278">
        <v>50</v>
      </c>
      <c r="K278">
        <v>94</v>
      </c>
      <c r="L278">
        <v>52</v>
      </c>
      <c r="M278">
        <v>100</v>
      </c>
    </row>
    <row r="279" spans="1:13" x14ac:dyDescent="0.25">
      <c r="A279" s="1" t="s">
        <v>403</v>
      </c>
      <c r="B279" s="1" t="s">
        <v>64</v>
      </c>
      <c r="C279">
        <v>3</v>
      </c>
      <c r="D279">
        <v>2</v>
      </c>
      <c r="E279">
        <v>3</v>
      </c>
      <c r="F279">
        <v>5</v>
      </c>
      <c r="G279">
        <v>3</v>
      </c>
      <c r="H279">
        <v>6</v>
      </c>
      <c r="I279">
        <v>84</v>
      </c>
      <c r="J279">
        <v>53</v>
      </c>
      <c r="K279">
        <v>73</v>
      </c>
      <c r="L279">
        <v>7</v>
      </c>
      <c r="M279">
        <v>3</v>
      </c>
    </row>
    <row r="280" spans="1:13" x14ac:dyDescent="0.25">
      <c r="A280" s="1" t="s">
        <v>404</v>
      </c>
      <c r="B280" s="1" t="s">
        <v>397</v>
      </c>
      <c r="C280">
        <v>2</v>
      </c>
      <c r="D280">
        <v>2</v>
      </c>
      <c r="E280">
        <v>5</v>
      </c>
      <c r="F280">
        <v>5</v>
      </c>
      <c r="G280">
        <v>5</v>
      </c>
      <c r="H280">
        <v>4</v>
      </c>
      <c r="I280">
        <v>88</v>
      </c>
      <c r="J280">
        <v>37</v>
      </c>
      <c r="K280">
        <v>50</v>
      </c>
      <c r="L280">
        <v>19</v>
      </c>
      <c r="M280">
        <v>28</v>
      </c>
    </row>
    <row r="281" spans="1:13" x14ac:dyDescent="0.25">
      <c r="A281" s="1" t="s">
        <v>405</v>
      </c>
      <c r="B281" s="1" t="s">
        <v>197</v>
      </c>
      <c r="C281">
        <v>7</v>
      </c>
      <c r="D281">
        <v>2</v>
      </c>
      <c r="E281">
        <v>3</v>
      </c>
      <c r="F281">
        <v>5</v>
      </c>
      <c r="G281">
        <v>5</v>
      </c>
      <c r="H281">
        <v>2</v>
      </c>
      <c r="I281">
        <v>26</v>
      </c>
      <c r="J281">
        <v>30</v>
      </c>
      <c r="K281">
        <v>96</v>
      </c>
      <c r="L281">
        <v>59</v>
      </c>
      <c r="M281">
        <v>28</v>
      </c>
    </row>
    <row r="282" spans="1:13" x14ac:dyDescent="0.25">
      <c r="A282" s="1" t="s">
        <v>406</v>
      </c>
      <c r="B282" s="1" t="s">
        <v>38</v>
      </c>
      <c r="C282">
        <v>0</v>
      </c>
      <c r="D282">
        <v>5</v>
      </c>
      <c r="E282">
        <v>6</v>
      </c>
      <c r="F282">
        <v>2</v>
      </c>
      <c r="G282">
        <v>2</v>
      </c>
      <c r="H282">
        <v>3</v>
      </c>
      <c r="I282">
        <v>50</v>
      </c>
      <c r="J282">
        <v>5</v>
      </c>
      <c r="K282">
        <v>14</v>
      </c>
      <c r="L282">
        <v>44</v>
      </c>
      <c r="M282">
        <v>45</v>
      </c>
    </row>
    <row r="283" spans="1:13" x14ac:dyDescent="0.25">
      <c r="A283" s="1" t="s">
        <v>407</v>
      </c>
      <c r="B283" s="1" t="s">
        <v>395</v>
      </c>
      <c r="C283">
        <v>5</v>
      </c>
      <c r="D283">
        <v>5</v>
      </c>
      <c r="E283">
        <v>5</v>
      </c>
      <c r="F283">
        <v>4</v>
      </c>
      <c r="G283">
        <v>6</v>
      </c>
      <c r="H283">
        <v>5</v>
      </c>
      <c r="I283">
        <v>73</v>
      </c>
      <c r="J283">
        <v>49</v>
      </c>
      <c r="K283">
        <v>54</v>
      </c>
      <c r="L283">
        <v>67</v>
      </c>
      <c r="M283">
        <v>5</v>
      </c>
    </row>
    <row r="284" spans="1:13" x14ac:dyDescent="0.25">
      <c r="A284" s="1" t="s">
        <v>408</v>
      </c>
      <c r="B284" s="1" t="s">
        <v>316</v>
      </c>
      <c r="C284">
        <v>2</v>
      </c>
      <c r="D284">
        <v>3</v>
      </c>
      <c r="E284">
        <v>4</v>
      </c>
      <c r="F284">
        <v>2</v>
      </c>
      <c r="G284">
        <v>5</v>
      </c>
      <c r="H284">
        <v>6</v>
      </c>
      <c r="I284">
        <v>100</v>
      </c>
      <c r="J284">
        <v>13</v>
      </c>
      <c r="K284">
        <v>93</v>
      </c>
      <c r="L284">
        <v>32</v>
      </c>
      <c r="M284">
        <v>23</v>
      </c>
    </row>
    <row r="285" spans="1:13" x14ac:dyDescent="0.25">
      <c r="A285" s="1" t="s">
        <v>408</v>
      </c>
      <c r="B285" s="1" t="s">
        <v>409</v>
      </c>
      <c r="C285">
        <v>6</v>
      </c>
      <c r="D285">
        <v>4</v>
      </c>
      <c r="E285">
        <v>4</v>
      </c>
      <c r="F285">
        <v>3</v>
      </c>
      <c r="G285">
        <v>2</v>
      </c>
      <c r="H285">
        <v>5</v>
      </c>
      <c r="I285">
        <v>52</v>
      </c>
      <c r="J285">
        <v>46</v>
      </c>
      <c r="K285">
        <v>54</v>
      </c>
      <c r="L285">
        <v>22</v>
      </c>
      <c r="M285">
        <v>42</v>
      </c>
    </row>
    <row r="286" spans="1:13" x14ac:dyDescent="0.25">
      <c r="A286" s="1" t="s">
        <v>410</v>
      </c>
      <c r="B286" s="1" t="s">
        <v>70</v>
      </c>
      <c r="C286">
        <v>2</v>
      </c>
      <c r="D286">
        <v>5</v>
      </c>
      <c r="E286">
        <v>6</v>
      </c>
      <c r="F286">
        <v>4</v>
      </c>
      <c r="G286">
        <v>6</v>
      </c>
      <c r="H286">
        <v>3</v>
      </c>
      <c r="I286">
        <v>88</v>
      </c>
      <c r="J286">
        <v>14</v>
      </c>
      <c r="K286">
        <v>98</v>
      </c>
      <c r="L286">
        <v>46</v>
      </c>
      <c r="M286">
        <v>66</v>
      </c>
    </row>
    <row r="287" spans="1:13" x14ac:dyDescent="0.25">
      <c r="A287" s="1" t="s">
        <v>411</v>
      </c>
      <c r="B287" s="1" t="s">
        <v>412</v>
      </c>
      <c r="C287">
        <v>3</v>
      </c>
      <c r="D287">
        <v>2</v>
      </c>
      <c r="E287">
        <v>4</v>
      </c>
      <c r="F287">
        <v>2</v>
      </c>
      <c r="G287">
        <v>6</v>
      </c>
      <c r="H287">
        <v>6</v>
      </c>
      <c r="I287">
        <v>85</v>
      </c>
      <c r="J287">
        <v>91</v>
      </c>
      <c r="K287">
        <v>9</v>
      </c>
      <c r="L287">
        <v>9</v>
      </c>
      <c r="M287">
        <v>53</v>
      </c>
    </row>
    <row r="288" spans="1:13" x14ac:dyDescent="0.25">
      <c r="A288" s="1" t="s">
        <v>413</v>
      </c>
      <c r="B288" s="1" t="s">
        <v>414</v>
      </c>
      <c r="C288">
        <v>3</v>
      </c>
      <c r="D288">
        <v>4</v>
      </c>
      <c r="E288">
        <v>4</v>
      </c>
      <c r="F288">
        <v>4</v>
      </c>
      <c r="G288">
        <v>3</v>
      </c>
      <c r="H288">
        <v>3</v>
      </c>
      <c r="I288">
        <v>93</v>
      </c>
      <c r="J288">
        <v>12</v>
      </c>
      <c r="K288">
        <v>63</v>
      </c>
      <c r="L288">
        <v>3</v>
      </c>
      <c r="M288">
        <v>60</v>
      </c>
    </row>
    <row r="289" spans="1:13" x14ac:dyDescent="0.25">
      <c r="A289" s="1" t="s">
        <v>40</v>
      </c>
      <c r="B289" s="1" t="s">
        <v>43</v>
      </c>
      <c r="C289">
        <v>0</v>
      </c>
      <c r="D289">
        <v>6</v>
      </c>
      <c r="E289">
        <v>3</v>
      </c>
      <c r="F289">
        <v>5</v>
      </c>
      <c r="G289">
        <v>6</v>
      </c>
      <c r="H289">
        <v>3</v>
      </c>
      <c r="I289">
        <v>67</v>
      </c>
      <c r="J289">
        <v>66</v>
      </c>
      <c r="K289">
        <v>56</v>
      </c>
      <c r="L289">
        <v>41</v>
      </c>
      <c r="M289">
        <v>26</v>
      </c>
    </row>
    <row r="290" spans="1:13" x14ac:dyDescent="0.25">
      <c r="A290" s="1" t="s">
        <v>415</v>
      </c>
      <c r="B290" s="1" t="s">
        <v>416</v>
      </c>
      <c r="C290">
        <v>4</v>
      </c>
      <c r="D290">
        <v>5</v>
      </c>
      <c r="E290">
        <v>6</v>
      </c>
      <c r="F290">
        <v>5</v>
      </c>
      <c r="G290">
        <v>2</v>
      </c>
      <c r="H290">
        <v>4</v>
      </c>
      <c r="I290">
        <v>65</v>
      </c>
      <c r="J290">
        <v>75</v>
      </c>
      <c r="K290">
        <v>95</v>
      </c>
      <c r="L290">
        <v>100</v>
      </c>
      <c r="M290">
        <v>89</v>
      </c>
    </row>
    <row r="291" spans="1:13" x14ac:dyDescent="0.25">
      <c r="A291" s="1" t="s">
        <v>417</v>
      </c>
      <c r="B291" s="1" t="s">
        <v>110</v>
      </c>
      <c r="C291">
        <v>1</v>
      </c>
      <c r="D291">
        <v>3</v>
      </c>
      <c r="E291">
        <v>5</v>
      </c>
      <c r="F291">
        <v>2</v>
      </c>
      <c r="G291">
        <v>2</v>
      </c>
      <c r="H291">
        <v>5</v>
      </c>
      <c r="I291">
        <v>45</v>
      </c>
      <c r="J291">
        <v>30</v>
      </c>
      <c r="K291">
        <v>64</v>
      </c>
      <c r="L291">
        <v>95</v>
      </c>
      <c r="M291">
        <v>83</v>
      </c>
    </row>
    <row r="292" spans="1:13" x14ac:dyDescent="0.25">
      <c r="A292" s="1" t="s">
        <v>418</v>
      </c>
      <c r="B292" s="1" t="s">
        <v>171</v>
      </c>
      <c r="C292">
        <v>4</v>
      </c>
      <c r="D292">
        <v>6</v>
      </c>
      <c r="E292">
        <v>4</v>
      </c>
      <c r="F292">
        <v>2</v>
      </c>
      <c r="G292">
        <v>3</v>
      </c>
      <c r="H292">
        <v>5</v>
      </c>
      <c r="I292">
        <v>40</v>
      </c>
      <c r="J292">
        <v>80</v>
      </c>
      <c r="K292">
        <v>8</v>
      </c>
      <c r="L292">
        <v>99</v>
      </c>
      <c r="M292">
        <v>20</v>
      </c>
    </row>
    <row r="293" spans="1:13" x14ac:dyDescent="0.25">
      <c r="A293" s="1" t="s">
        <v>419</v>
      </c>
      <c r="B293" s="1" t="s">
        <v>260</v>
      </c>
      <c r="C293">
        <v>6</v>
      </c>
      <c r="D293">
        <v>3</v>
      </c>
      <c r="E293">
        <v>6</v>
      </c>
      <c r="F293">
        <v>2</v>
      </c>
      <c r="G293">
        <v>4</v>
      </c>
      <c r="H293">
        <v>6</v>
      </c>
      <c r="I293">
        <v>47</v>
      </c>
      <c r="J293">
        <v>54</v>
      </c>
      <c r="K293">
        <v>40</v>
      </c>
      <c r="L293">
        <v>83</v>
      </c>
      <c r="M293">
        <v>16</v>
      </c>
    </row>
    <row r="294" spans="1:13" x14ac:dyDescent="0.25">
      <c r="A294" s="1" t="s">
        <v>420</v>
      </c>
      <c r="B294" s="1" t="s">
        <v>188</v>
      </c>
      <c r="C294">
        <v>3</v>
      </c>
      <c r="D294">
        <v>2</v>
      </c>
      <c r="E294">
        <v>4</v>
      </c>
      <c r="F294">
        <v>5</v>
      </c>
      <c r="G294">
        <v>4</v>
      </c>
      <c r="H294">
        <v>6</v>
      </c>
      <c r="I294">
        <v>99</v>
      </c>
      <c r="J294">
        <v>60</v>
      </c>
      <c r="K294">
        <v>96</v>
      </c>
      <c r="L294">
        <v>89</v>
      </c>
      <c r="M294">
        <v>29</v>
      </c>
    </row>
    <row r="295" spans="1:13" x14ac:dyDescent="0.25">
      <c r="A295" s="1" t="s">
        <v>421</v>
      </c>
      <c r="B295" s="1" t="s">
        <v>249</v>
      </c>
      <c r="C295">
        <v>8</v>
      </c>
      <c r="D295">
        <v>2</v>
      </c>
      <c r="E295">
        <v>2</v>
      </c>
      <c r="F295">
        <v>4</v>
      </c>
      <c r="G295">
        <v>3</v>
      </c>
      <c r="H295">
        <v>5</v>
      </c>
      <c r="I295">
        <v>83</v>
      </c>
      <c r="J295">
        <v>29</v>
      </c>
      <c r="K295">
        <v>91</v>
      </c>
      <c r="L295">
        <v>26</v>
      </c>
      <c r="M295">
        <v>21</v>
      </c>
    </row>
    <row r="296" spans="1:13" x14ac:dyDescent="0.25">
      <c r="A296" s="1" t="s">
        <v>422</v>
      </c>
      <c r="B296" s="1" t="s">
        <v>340</v>
      </c>
      <c r="C296">
        <v>0</v>
      </c>
      <c r="D296">
        <v>4</v>
      </c>
      <c r="E296">
        <v>3</v>
      </c>
      <c r="F296">
        <v>6</v>
      </c>
      <c r="G296">
        <v>5</v>
      </c>
      <c r="H296">
        <v>5</v>
      </c>
      <c r="I296">
        <v>5</v>
      </c>
      <c r="J296">
        <v>26</v>
      </c>
      <c r="K296">
        <v>6</v>
      </c>
      <c r="L296">
        <v>82</v>
      </c>
      <c r="M296">
        <v>94</v>
      </c>
    </row>
    <row r="297" spans="1:13" x14ac:dyDescent="0.25">
      <c r="A297" s="1" t="s">
        <v>423</v>
      </c>
      <c r="B297" s="1" t="s">
        <v>76</v>
      </c>
      <c r="C297">
        <v>5</v>
      </c>
      <c r="D297">
        <v>3</v>
      </c>
      <c r="E297">
        <v>3</v>
      </c>
      <c r="F297">
        <v>3</v>
      </c>
      <c r="G297">
        <v>4</v>
      </c>
      <c r="H297">
        <v>3</v>
      </c>
      <c r="I297">
        <v>97</v>
      </c>
      <c r="J297">
        <v>83</v>
      </c>
      <c r="K297">
        <v>27</v>
      </c>
      <c r="L297">
        <v>61</v>
      </c>
      <c r="M297">
        <v>34</v>
      </c>
    </row>
    <row r="298" spans="1:13" x14ac:dyDescent="0.25">
      <c r="A298" s="1" t="s">
        <v>424</v>
      </c>
      <c r="B298" s="1" t="s">
        <v>425</v>
      </c>
      <c r="C298">
        <v>8</v>
      </c>
      <c r="D298">
        <v>5</v>
      </c>
      <c r="E298">
        <v>4</v>
      </c>
      <c r="F298">
        <v>6</v>
      </c>
      <c r="G298">
        <v>6</v>
      </c>
      <c r="H298">
        <v>5</v>
      </c>
      <c r="I298">
        <v>37</v>
      </c>
      <c r="J298">
        <v>52</v>
      </c>
      <c r="K298">
        <v>6</v>
      </c>
      <c r="L298">
        <v>34</v>
      </c>
      <c r="M298">
        <v>84</v>
      </c>
    </row>
    <row r="299" spans="1:13" x14ac:dyDescent="0.25">
      <c r="A299" s="1" t="s">
        <v>426</v>
      </c>
      <c r="B299" s="1" t="s">
        <v>427</v>
      </c>
      <c r="C299">
        <v>5</v>
      </c>
      <c r="D299">
        <v>2</v>
      </c>
      <c r="E299">
        <v>5</v>
      </c>
      <c r="F299">
        <v>3</v>
      </c>
      <c r="G299">
        <v>5</v>
      </c>
      <c r="H299">
        <v>5</v>
      </c>
      <c r="I299">
        <v>30</v>
      </c>
      <c r="J299">
        <v>42</v>
      </c>
      <c r="K299">
        <v>80</v>
      </c>
      <c r="L299">
        <v>74</v>
      </c>
      <c r="M299">
        <v>75</v>
      </c>
    </row>
    <row r="300" spans="1:13" x14ac:dyDescent="0.25">
      <c r="A300" s="1" t="s">
        <v>428</v>
      </c>
      <c r="B300" s="1" t="s">
        <v>429</v>
      </c>
      <c r="C300">
        <v>3</v>
      </c>
      <c r="D300">
        <v>2</v>
      </c>
      <c r="E300">
        <v>5</v>
      </c>
      <c r="F300">
        <v>5</v>
      </c>
      <c r="G300">
        <v>2</v>
      </c>
      <c r="H300">
        <v>2</v>
      </c>
      <c r="I300">
        <v>81</v>
      </c>
      <c r="J300">
        <v>88</v>
      </c>
      <c r="K300">
        <v>99</v>
      </c>
      <c r="L300">
        <v>75</v>
      </c>
      <c r="M300">
        <v>60</v>
      </c>
    </row>
    <row r="301" spans="1:13" x14ac:dyDescent="0.25">
      <c r="A301" s="1" t="s">
        <v>428</v>
      </c>
      <c r="B301" s="1" t="s">
        <v>430</v>
      </c>
      <c r="C301">
        <v>3</v>
      </c>
      <c r="D301">
        <v>6</v>
      </c>
      <c r="E301">
        <v>2</v>
      </c>
      <c r="F301">
        <v>5</v>
      </c>
      <c r="G301">
        <v>6</v>
      </c>
      <c r="H301">
        <v>4</v>
      </c>
      <c r="I301">
        <v>36</v>
      </c>
      <c r="J301">
        <v>63</v>
      </c>
      <c r="K301">
        <v>40</v>
      </c>
      <c r="L301">
        <v>82</v>
      </c>
      <c r="M301">
        <v>89</v>
      </c>
    </row>
    <row r="302" spans="1:13" x14ac:dyDescent="0.25">
      <c r="A302" s="1" t="s">
        <v>431</v>
      </c>
      <c r="B302" s="1" t="s">
        <v>242</v>
      </c>
      <c r="C302">
        <v>0</v>
      </c>
      <c r="D302">
        <v>6</v>
      </c>
      <c r="E302">
        <v>3</v>
      </c>
      <c r="F302">
        <v>2</v>
      </c>
      <c r="G302">
        <v>3</v>
      </c>
      <c r="H302">
        <v>5</v>
      </c>
      <c r="I302">
        <v>27</v>
      </c>
      <c r="J302">
        <v>62</v>
      </c>
      <c r="K302">
        <v>56</v>
      </c>
      <c r="L302">
        <v>66</v>
      </c>
      <c r="M302">
        <v>92</v>
      </c>
    </row>
    <row r="303" spans="1:13" x14ac:dyDescent="0.25">
      <c r="A303" s="1" t="s">
        <v>432</v>
      </c>
      <c r="B303" s="1" t="s">
        <v>429</v>
      </c>
      <c r="C303">
        <v>8</v>
      </c>
      <c r="D303">
        <v>5</v>
      </c>
      <c r="E303">
        <v>5</v>
      </c>
      <c r="F303">
        <v>5</v>
      </c>
      <c r="G303">
        <v>4</v>
      </c>
      <c r="H303">
        <v>6</v>
      </c>
      <c r="I303">
        <v>65</v>
      </c>
      <c r="J303">
        <v>57</v>
      </c>
      <c r="K303">
        <v>24</v>
      </c>
      <c r="L303">
        <v>97</v>
      </c>
      <c r="M303">
        <v>47</v>
      </c>
    </row>
    <row r="304" spans="1:13" x14ac:dyDescent="0.25">
      <c r="A304" s="1" t="s">
        <v>433</v>
      </c>
      <c r="B304" s="1" t="s">
        <v>434</v>
      </c>
      <c r="C304">
        <v>5</v>
      </c>
      <c r="D304">
        <v>2</v>
      </c>
      <c r="E304">
        <v>6</v>
      </c>
      <c r="F304">
        <v>4</v>
      </c>
      <c r="G304">
        <v>5</v>
      </c>
      <c r="H304">
        <v>6</v>
      </c>
      <c r="I304">
        <v>35</v>
      </c>
      <c r="J304">
        <v>77</v>
      </c>
      <c r="K304">
        <v>82</v>
      </c>
      <c r="L304">
        <v>42</v>
      </c>
      <c r="M304">
        <v>17</v>
      </c>
    </row>
    <row r="305" spans="1:13" x14ac:dyDescent="0.25">
      <c r="A305" s="1" t="s">
        <v>435</v>
      </c>
      <c r="B305" s="1" t="s">
        <v>436</v>
      </c>
      <c r="C305">
        <v>3</v>
      </c>
      <c r="D305">
        <v>5</v>
      </c>
      <c r="E305">
        <v>5</v>
      </c>
      <c r="F305">
        <v>2</v>
      </c>
      <c r="G305">
        <v>3</v>
      </c>
      <c r="H305">
        <v>6</v>
      </c>
      <c r="I305">
        <v>47</v>
      </c>
      <c r="J305">
        <v>52</v>
      </c>
      <c r="K305">
        <v>43</v>
      </c>
      <c r="L305">
        <v>47</v>
      </c>
      <c r="M305">
        <v>3</v>
      </c>
    </row>
    <row r="306" spans="1:13" x14ac:dyDescent="0.25">
      <c r="A306" s="1" t="s">
        <v>437</v>
      </c>
      <c r="B306" s="1" t="s">
        <v>438</v>
      </c>
      <c r="C306">
        <v>5</v>
      </c>
      <c r="D306">
        <v>2</v>
      </c>
      <c r="E306">
        <v>6</v>
      </c>
      <c r="F306">
        <v>3</v>
      </c>
      <c r="G306">
        <v>3</v>
      </c>
      <c r="H306">
        <v>5</v>
      </c>
      <c r="I306">
        <v>69</v>
      </c>
      <c r="J306">
        <v>15</v>
      </c>
      <c r="K306">
        <v>39</v>
      </c>
      <c r="L306">
        <v>69</v>
      </c>
      <c r="M306">
        <v>39</v>
      </c>
    </row>
    <row r="307" spans="1:13" x14ac:dyDescent="0.25">
      <c r="A307" s="1" t="s">
        <v>439</v>
      </c>
      <c r="B307" s="1" t="s">
        <v>395</v>
      </c>
      <c r="C307">
        <v>0</v>
      </c>
      <c r="D307">
        <v>3</v>
      </c>
      <c r="E307">
        <v>6</v>
      </c>
      <c r="F307">
        <v>4</v>
      </c>
      <c r="G307">
        <v>3</v>
      </c>
      <c r="H307">
        <v>6</v>
      </c>
      <c r="I307">
        <v>35</v>
      </c>
      <c r="J307">
        <v>41</v>
      </c>
      <c r="K307">
        <v>92</v>
      </c>
      <c r="L307">
        <v>96</v>
      </c>
      <c r="M307">
        <v>19</v>
      </c>
    </row>
    <row r="308" spans="1:13" x14ac:dyDescent="0.25">
      <c r="A308" s="1" t="s">
        <v>440</v>
      </c>
      <c r="B308" s="1" t="s">
        <v>251</v>
      </c>
      <c r="C308">
        <v>1</v>
      </c>
      <c r="D308">
        <v>6</v>
      </c>
      <c r="E308">
        <v>6</v>
      </c>
      <c r="F308">
        <v>5</v>
      </c>
      <c r="G308">
        <v>3</v>
      </c>
      <c r="H308">
        <v>6</v>
      </c>
      <c r="I308">
        <v>8</v>
      </c>
      <c r="J308">
        <v>17</v>
      </c>
      <c r="K308">
        <v>37</v>
      </c>
      <c r="L308">
        <v>10</v>
      </c>
      <c r="M308">
        <v>56</v>
      </c>
    </row>
    <row r="309" spans="1:13" x14ac:dyDescent="0.25">
      <c r="A309" s="1" t="s">
        <v>441</v>
      </c>
      <c r="B309" s="1" t="s">
        <v>177</v>
      </c>
      <c r="C309">
        <v>2</v>
      </c>
      <c r="D309">
        <v>5</v>
      </c>
      <c r="E309">
        <v>6</v>
      </c>
      <c r="F309">
        <v>2</v>
      </c>
      <c r="G309">
        <v>5</v>
      </c>
      <c r="H309">
        <v>3</v>
      </c>
      <c r="I309">
        <v>44</v>
      </c>
      <c r="J309">
        <v>32</v>
      </c>
      <c r="K309">
        <v>4</v>
      </c>
      <c r="L309">
        <v>95</v>
      </c>
      <c r="M309">
        <v>55</v>
      </c>
    </row>
    <row r="310" spans="1:13" x14ac:dyDescent="0.25">
      <c r="A310" s="1" t="s">
        <v>442</v>
      </c>
      <c r="B310" s="1" t="s">
        <v>70</v>
      </c>
      <c r="C310">
        <v>0</v>
      </c>
      <c r="D310">
        <v>6</v>
      </c>
      <c r="E310">
        <v>4</v>
      </c>
      <c r="F310">
        <v>2</v>
      </c>
      <c r="G310">
        <v>4</v>
      </c>
      <c r="H310">
        <v>5</v>
      </c>
      <c r="I310">
        <v>72</v>
      </c>
      <c r="J310">
        <v>100</v>
      </c>
      <c r="K310">
        <v>96</v>
      </c>
      <c r="L310">
        <v>5</v>
      </c>
      <c r="M310">
        <v>41</v>
      </c>
    </row>
    <row r="311" spans="1:13" x14ac:dyDescent="0.25">
      <c r="A311" s="1" t="s">
        <v>443</v>
      </c>
      <c r="B311" s="1" t="s">
        <v>357</v>
      </c>
      <c r="C311">
        <v>2</v>
      </c>
      <c r="D311">
        <v>6</v>
      </c>
      <c r="E311">
        <v>6</v>
      </c>
      <c r="F311">
        <v>4</v>
      </c>
      <c r="G311">
        <v>6</v>
      </c>
      <c r="H311">
        <v>2</v>
      </c>
      <c r="I311">
        <v>68</v>
      </c>
      <c r="J311">
        <v>15</v>
      </c>
      <c r="K311">
        <v>53</v>
      </c>
      <c r="L311">
        <v>47</v>
      </c>
      <c r="M311">
        <v>8</v>
      </c>
    </row>
    <row r="312" spans="1:13" x14ac:dyDescent="0.25">
      <c r="A312" s="1" t="s">
        <v>444</v>
      </c>
      <c r="B312" s="1" t="s">
        <v>445</v>
      </c>
      <c r="C312">
        <v>0</v>
      </c>
      <c r="D312">
        <v>3</v>
      </c>
      <c r="E312">
        <v>5</v>
      </c>
      <c r="F312">
        <v>2</v>
      </c>
      <c r="G312">
        <v>3</v>
      </c>
      <c r="H312">
        <v>6</v>
      </c>
      <c r="I312">
        <v>33</v>
      </c>
      <c r="J312">
        <v>86</v>
      </c>
      <c r="K312">
        <v>90</v>
      </c>
      <c r="L312">
        <v>78</v>
      </c>
      <c r="M312">
        <v>15</v>
      </c>
    </row>
    <row r="313" spans="1:13" x14ac:dyDescent="0.25">
      <c r="A313" s="1" t="s">
        <v>446</v>
      </c>
      <c r="B313" s="1" t="s">
        <v>30</v>
      </c>
      <c r="C313">
        <v>3</v>
      </c>
      <c r="D313">
        <v>2</v>
      </c>
      <c r="E313">
        <v>5</v>
      </c>
      <c r="F313">
        <v>3</v>
      </c>
      <c r="G313">
        <v>3</v>
      </c>
      <c r="H313">
        <v>4</v>
      </c>
      <c r="I313">
        <v>95</v>
      </c>
      <c r="J313">
        <v>25</v>
      </c>
      <c r="K313">
        <v>48</v>
      </c>
      <c r="L313">
        <v>27</v>
      </c>
      <c r="M313">
        <v>23</v>
      </c>
    </row>
    <row r="314" spans="1:13" x14ac:dyDescent="0.25">
      <c r="A314" s="1" t="s">
        <v>400</v>
      </c>
      <c r="B314" s="1" t="s">
        <v>409</v>
      </c>
      <c r="C314">
        <v>0</v>
      </c>
      <c r="D314">
        <v>4</v>
      </c>
      <c r="E314">
        <v>5</v>
      </c>
      <c r="F314">
        <v>6</v>
      </c>
      <c r="G314">
        <v>3</v>
      </c>
      <c r="H314">
        <v>5</v>
      </c>
      <c r="I314">
        <v>66</v>
      </c>
      <c r="J314">
        <v>31</v>
      </c>
      <c r="K314">
        <v>5</v>
      </c>
      <c r="L314">
        <v>9</v>
      </c>
      <c r="M314">
        <v>38</v>
      </c>
    </row>
    <row r="315" spans="1:13" x14ac:dyDescent="0.25">
      <c r="A315" s="1" t="s">
        <v>447</v>
      </c>
      <c r="B315" s="1" t="s">
        <v>448</v>
      </c>
      <c r="C315">
        <v>0</v>
      </c>
      <c r="D315">
        <v>4</v>
      </c>
      <c r="E315">
        <v>4</v>
      </c>
      <c r="F315">
        <v>5</v>
      </c>
      <c r="G315">
        <v>4</v>
      </c>
      <c r="H315">
        <v>3</v>
      </c>
      <c r="I315">
        <v>82</v>
      </c>
      <c r="J315">
        <v>31</v>
      </c>
      <c r="K315">
        <v>77</v>
      </c>
      <c r="L315">
        <v>49</v>
      </c>
      <c r="M315">
        <v>81</v>
      </c>
    </row>
    <row r="316" spans="1:13" x14ac:dyDescent="0.25">
      <c r="A316" s="1" t="s">
        <v>449</v>
      </c>
      <c r="B316" s="1" t="s">
        <v>34</v>
      </c>
      <c r="C316">
        <v>5</v>
      </c>
      <c r="D316">
        <v>2</v>
      </c>
      <c r="E316">
        <v>3</v>
      </c>
      <c r="F316">
        <v>2</v>
      </c>
      <c r="G316">
        <v>4</v>
      </c>
      <c r="H316">
        <v>3</v>
      </c>
      <c r="I316">
        <v>53</v>
      </c>
      <c r="J316">
        <v>95</v>
      </c>
      <c r="K316">
        <v>23</v>
      </c>
      <c r="L316">
        <v>16</v>
      </c>
      <c r="M316">
        <v>90</v>
      </c>
    </row>
    <row r="317" spans="1:13" x14ac:dyDescent="0.25">
      <c r="A317" s="1" t="s">
        <v>450</v>
      </c>
      <c r="B317" s="1" t="s">
        <v>395</v>
      </c>
      <c r="C317">
        <v>7</v>
      </c>
      <c r="D317">
        <v>2</v>
      </c>
      <c r="E317">
        <v>4</v>
      </c>
      <c r="F317">
        <v>3</v>
      </c>
      <c r="G317">
        <v>4</v>
      </c>
      <c r="H317">
        <v>2</v>
      </c>
      <c r="I317">
        <v>58</v>
      </c>
      <c r="J317">
        <v>56</v>
      </c>
      <c r="K317">
        <v>47</v>
      </c>
      <c r="L317">
        <v>61</v>
      </c>
      <c r="M317">
        <v>69</v>
      </c>
    </row>
    <row r="318" spans="1:13" x14ac:dyDescent="0.25">
      <c r="A318" s="1" t="s">
        <v>163</v>
      </c>
      <c r="B318" s="1" t="s">
        <v>164</v>
      </c>
      <c r="C318">
        <v>6</v>
      </c>
      <c r="D318">
        <v>6</v>
      </c>
      <c r="E318">
        <v>4</v>
      </c>
      <c r="F318">
        <v>3</v>
      </c>
      <c r="G318">
        <v>2</v>
      </c>
      <c r="H318">
        <v>3</v>
      </c>
      <c r="I318">
        <v>88</v>
      </c>
      <c r="J318">
        <v>10</v>
      </c>
      <c r="K318">
        <v>92</v>
      </c>
      <c r="L318">
        <v>82</v>
      </c>
      <c r="M318">
        <v>2</v>
      </c>
    </row>
    <row r="319" spans="1:13" x14ac:dyDescent="0.25">
      <c r="A319" s="1" t="s">
        <v>451</v>
      </c>
      <c r="B319" s="1" t="s">
        <v>23</v>
      </c>
      <c r="C319">
        <v>6</v>
      </c>
      <c r="D319">
        <v>4</v>
      </c>
      <c r="E319">
        <v>2</v>
      </c>
      <c r="F319">
        <v>3</v>
      </c>
      <c r="G319">
        <v>5</v>
      </c>
      <c r="H319">
        <v>4</v>
      </c>
      <c r="I319">
        <v>50</v>
      </c>
      <c r="J319">
        <v>3</v>
      </c>
      <c r="K319">
        <v>27</v>
      </c>
      <c r="L319">
        <v>70</v>
      </c>
      <c r="M319">
        <v>25</v>
      </c>
    </row>
    <row r="320" spans="1:13" x14ac:dyDescent="0.25">
      <c r="A320" s="1" t="s">
        <v>283</v>
      </c>
      <c r="B320" s="1" t="s">
        <v>452</v>
      </c>
      <c r="C320">
        <v>8</v>
      </c>
      <c r="D320">
        <v>2</v>
      </c>
      <c r="E320">
        <v>5</v>
      </c>
      <c r="F320">
        <v>3</v>
      </c>
      <c r="G320">
        <v>2</v>
      </c>
      <c r="H320">
        <v>3</v>
      </c>
      <c r="I320">
        <v>93</v>
      </c>
      <c r="J320">
        <v>98</v>
      </c>
      <c r="K320">
        <v>43</v>
      </c>
      <c r="L320">
        <v>97</v>
      </c>
      <c r="M320">
        <v>90</v>
      </c>
    </row>
    <row r="321" spans="1:13" x14ac:dyDescent="0.25">
      <c r="A321" s="1" t="s">
        <v>453</v>
      </c>
      <c r="B321" s="1" t="s">
        <v>130</v>
      </c>
      <c r="C321">
        <v>6</v>
      </c>
      <c r="D321">
        <v>4</v>
      </c>
      <c r="E321">
        <v>4</v>
      </c>
      <c r="F321">
        <v>5</v>
      </c>
      <c r="G321">
        <v>2</v>
      </c>
      <c r="H321">
        <v>4</v>
      </c>
      <c r="I321">
        <v>41</v>
      </c>
      <c r="J321">
        <v>62</v>
      </c>
      <c r="K321">
        <v>60</v>
      </c>
      <c r="L321">
        <v>18</v>
      </c>
      <c r="M321">
        <v>83</v>
      </c>
    </row>
    <row r="322" spans="1:13" x14ac:dyDescent="0.25">
      <c r="A322" s="1" t="s">
        <v>454</v>
      </c>
      <c r="B322" s="1" t="s">
        <v>369</v>
      </c>
      <c r="C322">
        <v>3</v>
      </c>
      <c r="D322">
        <v>2</v>
      </c>
      <c r="E322">
        <v>3</v>
      </c>
      <c r="F322">
        <v>4</v>
      </c>
      <c r="G322">
        <v>2</v>
      </c>
      <c r="H322">
        <v>4</v>
      </c>
      <c r="I322">
        <v>90</v>
      </c>
      <c r="J322">
        <v>26</v>
      </c>
      <c r="K322">
        <v>50</v>
      </c>
      <c r="L322">
        <v>74</v>
      </c>
      <c r="M322">
        <v>53</v>
      </c>
    </row>
    <row r="323" spans="1:13" x14ac:dyDescent="0.25">
      <c r="A323" s="1" t="s">
        <v>455</v>
      </c>
      <c r="B323" s="1" t="s">
        <v>369</v>
      </c>
      <c r="C323">
        <v>4</v>
      </c>
      <c r="D323">
        <v>4</v>
      </c>
      <c r="E323">
        <v>3</v>
      </c>
      <c r="F323">
        <v>2</v>
      </c>
      <c r="G323">
        <v>3</v>
      </c>
      <c r="H323">
        <v>2</v>
      </c>
      <c r="I323">
        <v>31</v>
      </c>
      <c r="J323">
        <v>59</v>
      </c>
      <c r="K323">
        <v>7</v>
      </c>
      <c r="L323">
        <v>38</v>
      </c>
      <c r="M323">
        <v>24</v>
      </c>
    </row>
    <row r="324" spans="1:13" x14ac:dyDescent="0.25">
      <c r="A324" s="1" t="s">
        <v>456</v>
      </c>
      <c r="B324" s="1" t="s">
        <v>159</v>
      </c>
      <c r="C324">
        <v>6</v>
      </c>
      <c r="D324">
        <v>6</v>
      </c>
      <c r="E324">
        <v>6</v>
      </c>
      <c r="F324">
        <v>2</v>
      </c>
      <c r="G324">
        <v>3</v>
      </c>
      <c r="H324">
        <v>2</v>
      </c>
      <c r="I324">
        <v>56</v>
      </c>
      <c r="J324">
        <v>34</v>
      </c>
      <c r="K324">
        <v>52</v>
      </c>
      <c r="L324">
        <v>30</v>
      </c>
      <c r="M324">
        <v>94</v>
      </c>
    </row>
    <row r="325" spans="1:13" x14ac:dyDescent="0.25">
      <c r="A325" s="1" t="s">
        <v>457</v>
      </c>
      <c r="B325" s="1" t="s">
        <v>409</v>
      </c>
      <c r="C325">
        <v>0</v>
      </c>
      <c r="D325">
        <v>3</v>
      </c>
      <c r="E325">
        <v>6</v>
      </c>
      <c r="F325">
        <v>4</v>
      </c>
      <c r="G325">
        <v>6</v>
      </c>
      <c r="H325">
        <v>3</v>
      </c>
      <c r="I325">
        <v>13</v>
      </c>
      <c r="J325">
        <v>42</v>
      </c>
      <c r="K325">
        <v>23</v>
      </c>
      <c r="L325">
        <v>14</v>
      </c>
      <c r="M325">
        <v>73</v>
      </c>
    </row>
    <row r="326" spans="1:13" x14ac:dyDescent="0.25">
      <c r="A326" s="1" t="s">
        <v>458</v>
      </c>
      <c r="B326" s="1" t="s">
        <v>74</v>
      </c>
      <c r="C326">
        <v>2</v>
      </c>
      <c r="D326">
        <v>3</v>
      </c>
      <c r="E326">
        <v>6</v>
      </c>
      <c r="F326">
        <v>6</v>
      </c>
      <c r="G326">
        <v>4</v>
      </c>
      <c r="H326">
        <v>4</v>
      </c>
      <c r="I326">
        <v>61</v>
      </c>
      <c r="J326">
        <v>3</v>
      </c>
      <c r="K326">
        <v>88</v>
      </c>
      <c r="L326">
        <v>72</v>
      </c>
      <c r="M326">
        <v>84</v>
      </c>
    </row>
    <row r="327" spans="1:13" x14ac:dyDescent="0.25">
      <c r="A327" s="1" t="s">
        <v>459</v>
      </c>
      <c r="B327" s="1" t="s">
        <v>130</v>
      </c>
      <c r="C327">
        <v>6</v>
      </c>
      <c r="D327">
        <v>4</v>
      </c>
      <c r="E327">
        <v>4</v>
      </c>
      <c r="F327">
        <v>2</v>
      </c>
      <c r="G327">
        <v>4</v>
      </c>
      <c r="H327">
        <v>2</v>
      </c>
      <c r="I327">
        <v>30</v>
      </c>
      <c r="J327">
        <v>28</v>
      </c>
      <c r="K327">
        <v>30</v>
      </c>
      <c r="L327">
        <v>66</v>
      </c>
      <c r="M327">
        <v>98</v>
      </c>
    </row>
    <row r="328" spans="1:13" x14ac:dyDescent="0.25">
      <c r="A328" s="1" t="s">
        <v>460</v>
      </c>
      <c r="B328" s="1" t="s">
        <v>130</v>
      </c>
      <c r="C328">
        <v>4</v>
      </c>
      <c r="D328">
        <v>4</v>
      </c>
      <c r="E328">
        <v>4</v>
      </c>
      <c r="F328">
        <v>6</v>
      </c>
      <c r="G328">
        <v>6</v>
      </c>
      <c r="H328">
        <v>2</v>
      </c>
      <c r="I328">
        <v>80</v>
      </c>
      <c r="J328">
        <v>75</v>
      </c>
      <c r="K328">
        <v>57</v>
      </c>
      <c r="L328">
        <v>43</v>
      </c>
      <c r="M328">
        <v>92</v>
      </c>
    </row>
    <row r="329" spans="1:13" x14ac:dyDescent="0.25">
      <c r="A329" s="1" t="s">
        <v>461</v>
      </c>
      <c r="B329" s="1" t="s">
        <v>28</v>
      </c>
      <c r="C329">
        <v>2</v>
      </c>
      <c r="D329">
        <v>4</v>
      </c>
      <c r="E329">
        <v>5</v>
      </c>
      <c r="F329">
        <v>2</v>
      </c>
      <c r="G329">
        <v>5</v>
      </c>
      <c r="H329">
        <v>2</v>
      </c>
      <c r="I329">
        <v>26</v>
      </c>
      <c r="J329">
        <v>69</v>
      </c>
      <c r="K329">
        <v>46</v>
      </c>
      <c r="L329">
        <v>57</v>
      </c>
      <c r="M329">
        <v>91</v>
      </c>
    </row>
    <row r="330" spans="1:13" x14ac:dyDescent="0.25">
      <c r="A330" s="1" t="s">
        <v>462</v>
      </c>
      <c r="B330" s="1" t="s">
        <v>463</v>
      </c>
      <c r="C330">
        <v>4</v>
      </c>
      <c r="D330">
        <v>3</v>
      </c>
      <c r="E330">
        <v>5</v>
      </c>
      <c r="F330">
        <v>5</v>
      </c>
      <c r="G330">
        <v>3</v>
      </c>
      <c r="H330">
        <v>3</v>
      </c>
      <c r="I330">
        <v>5</v>
      </c>
      <c r="J330">
        <v>44</v>
      </c>
      <c r="K330">
        <v>37</v>
      </c>
      <c r="L330">
        <v>5</v>
      </c>
      <c r="M330">
        <v>62</v>
      </c>
    </row>
    <row r="331" spans="1:13" x14ac:dyDescent="0.25">
      <c r="A331" s="1" t="s">
        <v>464</v>
      </c>
      <c r="B331" s="1" t="s">
        <v>445</v>
      </c>
      <c r="C331">
        <v>6</v>
      </c>
      <c r="D331">
        <v>3</v>
      </c>
      <c r="E331">
        <v>5</v>
      </c>
      <c r="F331">
        <v>5</v>
      </c>
      <c r="G331">
        <v>2</v>
      </c>
      <c r="H331">
        <v>6</v>
      </c>
      <c r="I331">
        <v>56</v>
      </c>
      <c r="J331">
        <v>90</v>
      </c>
      <c r="K331">
        <v>35</v>
      </c>
      <c r="L331">
        <v>68</v>
      </c>
      <c r="M331">
        <v>48</v>
      </c>
    </row>
    <row r="332" spans="1:13" x14ac:dyDescent="0.25">
      <c r="A332" s="1" t="s">
        <v>465</v>
      </c>
      <c r="B332" s="1" t="s">
        <v>239</v>
      </c>
      <c r="C332">
        <v>4</v>
      </c>
      <c r="D332">
        <v>3</v>
      </c>
      <c r="E332">
        <v>6</v>
      </c>
      <c r="F332">
        <v>2</v>
      </c>
      <c r="G332">
        <v>3</v>
      </c>
      <c r="H332">
        <v>3</v>
      </c>
      <c r="I332">
        <v>7</v>
      </c>
      <c r="J332">
        <v>15</v>
      </c>
      <c r="K332">
        <v>62</v>
      </c>
      <c r="L332">
        <v>9</v>
      </c>
      <c r="M332">
        <v>43</v>
      </c>
    </row>
    <row r="333" spans="1:13" x14ac:dyDescent="0.25">
      <c r="A333" s="1" t="s">
        <v>466</v>
      </c>
      <c r="B333" s="1" t="s">
        <v>16</v>
      </c>
      <c r="C333">
        <v>3</v>
      </c>
      <c r="D333">
        <v>6</v>
      </c>
      <c r="E333">
        <v>6</v>
      </c>
      <c r="F333">
        <v>6</v>
      </c>
      <c r="G333">
        <v>4</v>
      </c>
      <c r="H333">
        <v>5</v>
      </c>
      <c r="I333">
        <v>27</v>
      </c>
      <c r="J333">
        <v>73</v>
      </c>
      <c r="K333">
        <v>63</v>
      </c>
      <c r="L333">
        <v>14</v>
      </c>
      <c r="M333">
        <v>72</v>
      </c>
    </row>
    <row r="334" spans="1:13" x14ac:dyDescent="0.25">
      <c r="A334" s="1" t="s">
        <v>467</v>
      </c>
      <c r="B334" s="1" t="s">
        <v>395</v>
      </c>
      <c r="C334">
        <v>1</v>
      </c>
      <c r="D334">
        <v>6</v>
      </c>
      <c r="E334">
        <v>5</v>
      </c>
      <c r="F334">
        <v>2</v>
      </c>
      <c r="G334">
        <v>2</v>
      </c>
      <c r="H334">
        <v>3</v>
      </c>
      <c r="I334">
        <v>70</v>
      </c>
      <c r="J334">
        <v>59</v>
      </c>
      <c r="K334">
        <v>15</v>
      </c>
      <c r="L334">
        <v>13</v>
      </c>
      <c r="M334">
        <v>66</v>
      </c>
    </row>
    <row r="335" spans="1:13" x14ac:dyDescent="0.25">
      <c r="A335" s="1" t="s">
        <v>468</v>
      </c>
      <c r="B335" s="1" t="s">
        <v>164</v>
      </c>
      <c r="C335">
        <v>5</v>
      </c>
      <c r="D335">
        <v>3</v>
      </c>
      <c r="E335">
        <v>5</v>
      </c>
      <c r="F335">
        <v>3</v>
      </c>
      <c r="G335">
        <v>5</v>
      </c>
      <c r="H335">
        <v>3</v>
      </c>
      <c r="I335">
        <v>52</v>
      </c>
      <c r="J335">
        <v>65</v>
      </c>
      <c r="K335">
        <v>48</v>
      </c>
      <c r="L335">
        <v>58</v>
      </c>
      <c r="M335">
        <v>48</v>
      </c>
    </row>
    <row r="336" spans="1:13" x14ac:dyDescent="0.25">
      <c r="A336" s="1" t="s">
        <v>469</v>
      </c>
      <c r="B336" s="1" t="s">
        <v>130</v>
      </c>
      <c r="C336">
        <v>5</v>
      </c>
      <c r="D336">
        <v>2</v>
      </c>
      <c r="E336">
        <v>2</v>
      </c>
      <c r="F336">
        <v>2</v>
      </c>
      <c r="G336">
        <v>4</v>
      </c>
      <c r="H336">
        <v>2</v>
      </c>
      <c r="I336">
        <v>27</v>
      </c>
      <c r="J336">
        <v>64</v>
      </c>
      <c r="K336">
        <v>22</v>
      </c>
      <c r="L336">
        <v>32</v>
      </c>
      <c r="M336">
        <v>91</v>
      </c>
    </row>
    <row r="337" spans="1:13" x14ac:dyDescent="0.25">
      <c r="A337" s="1" t="s">
        <v>470</v>
      </c>
      <c r="B337" s="1" t="s">
        <v>32</v>
      </c>
      <c r="C337">
        <v>1</v>
      </c>
      <c r="D337">
        <v>3</v>
      </c>
      <c r="E337">
        <v>3</v>
      </c>
      <c r="F337">
        <v>2</v>
      </c>
      <c r="G337">
        <v>5</v>
      </c>
      <c r="H337">
        <v>2</v>
      </c>
      <c r="I337">
        <v>84</v>
      </c>
      <c r="J337">
        <v>92</v>
      </c>
      <c r="K337">
        <v>92</v>
      </c>
      <c r="L337">
        <v>81</v>
      </c>
      <c r="M337">
        <v>68</v>
      </c>
    </row>
    <row r="338" spans="1:13" x14ac:dyDescent="0.25">
      <c r="A338" s="1" t="s">
        <v>471</v>
      </c>
      <c r="B338" s="1" t="s">
        <v>340</v>
      </c>
      <c r="C338">
        <v>4</v>
      </c>
      <c r="D338">
        <v>5</v>
      </c>
      <c r="E338">
        <v>4</v>
      </c>
      <c r="F338">
        <v>4</v>
      </c>
      <c r="G338">
        <v>2</v>
      </c>
      <c r="H338">
        <v>6</v>
      </c>
      <c r="I338">
        <v>75</v>
      </c>
      <c r="J338">
        <v>22</v>
      </c>
      <c r="K338">
        <v>91</v>
      </c>
      <c r="L338">
        <v>31</v>
      </c>
      <c r="M338">
        <v>93</v>
      </c>
    </row>
    <row r="339" spans="1:13" x14ac:dyDescent="0.25">
      <c r="A339" s="1" t="s">
        <v>472</v>
      </c>
      <c r="B339" s="1" t="s">
        <v>70</v>
      </c>
      <c r="C339">
        <v>2</v>
      </c>
      <c r="D339">
        <v>4</v>
      </c>
      <c r="E339">
        <v>4</v>
      </c>
      <c r="F339">
        <v>6</v>
      </c>
      <c r="G339">
        <v>5</v>
      </c>
      <c r="H339">
        <v>4</v>
      </c>
      <c r="I339">
        <v>35</v>
      </c>
      <c r="J339">
        <v>77</v>
      </c>
      <c r="K339">
        <v>81</v>
      </c>
      <c r="L339">
        <v>17</v>
      </c>
      <c r="M339">
        <v>27</v>
      </c>
    </row>
    <row r="340" spans="1:13" x14ac:dyDescent="0.25">
      <c r="A340" s="1" t="s">
        <v>473</v>
      </c>
      <c r="B340" s="1" t="s">
        <v>55</v>
      </c>
      <c r="C340">
        <v>7</v>
      </c>
      <c r="D340">
        <v>5</v>
      </c>
      <c r="E340">
        <v>4</v>
      </c>
      <c r="F340">
        <v>3</v>
      </c>
      <c r="G340">
        <v>3</v>
      </c>
      <c r="H340">
        <v>2</v>
      </c>
      <c r="I340">
        <v>2</v>
      </c>
      <c r="J340">
        <v>88</v>
      </c>
      <c r="K340">
        <v>61</v>
      </c>
      <c r="L340">
        <v>2</v>
      </c>
      <c r="M340">
        <v>49</v>
      </c>
    </row>
    <row r="341" spans="1:13" x14ac:dyDescent="0.25">
      <c r="A341" s="1" t="s">
        <v>474</v>
      </c>
      <c r="B341" s="1" t="s">
        <v>197</v>
      </c>
      <c r="C341">
        <v>7</v>
      </c>
      <c r="D341">
        <v>6</v>
      </c>
      <c r="E341">
        <v>5</v>
      </c>
      <c r="F341">
        <v>3</v>
      </c>
      <c r="G341">
        <v>3</v>
      </c>
      <c r="H341">
        <v>3</v>
      </c>
      <c r="I341">
        <v>71</v>
      </c>
      <c r="J341">
        <v>55</v>
      </c>
      <c r="K341">
        <v>33</v>
      </c>
      <c r="L341">
        <v>97</v>
      </c>
      <c r="M341">
        <v>73</v>
      </c>
    </row>
    <row r="342" spans="1:13" x14ac:dyDescent="0.25">
      <c r="A342" s="1" t="s">
        <v>475</v>
      </c>
      <c r="B342" s="1" t="s">
        <v>232</v>
      </c>
      <c r="C342">
        <v>5</v>
      </c>
      <c r="D342">
        <v>5</v>
      </c>
      <c r="E342">
        <v>6</v>
      </c>
      <c r="F342">
        <v>4</v>
      </c>
      <c r="G342">
        <v>5</v>
      </c>
      <c r="H342">
        <v>5</v>
      </c>
      <c r="I342">
        <v>53</v>
      </c>
      <c r="J342">
        <v>97</v>
      </c>
      <c r="K342">
        <v>28</v>
      </c>
      <c r="L342">
        <v>88</v>
      </c>
      <c r="M342">
        <v>87</v>
      </c>
    </row>
    <row r="343" spans="1:13" x14ac:dyDescent="0.25">
      <c r="A343" s="1" t="s">
        <v>476</v>
      </c>
      <c r="B343" s="1" t="s">
        <v>477</v>
      </c>
      <c r="C343">
        <v>0</v>
      </c>
      <c r="D343">
        <v>5</v>
      </c>
      <c r="E343">
        <v>5</v>
      </c>
      <c r="F343">
        <v>3</v>
      </c>
      <c r="G343">
        <v>4</v>
      </c>
      <c r="H343">
        <v>4</v>
      </c>
      <c r="I343">
        <v>73</v>
      </c>
      <c r="J343">
        <v>67</v>
      </c>
      <c r="K343">
        <v>18</v>
      </c>
      <c r="L343">
        <v>84</v>
      </c>
      <c r="M343">
        <v>75</v>
      </c>
    </row>
    <row r="344" spans="1:13" x14ac:dyDescent="0.25">
      <c r="A344" s="1" t="s">
        <v>478</v>
      </c>
      <c r="B344" s="1" t="s">
        <v>101</v>
      </c>
      <c r="C344">
        <v>3</v>
      </c>
      <c r="D344">
        <v>6</v>
      </c>
      <c r="E344">
        <v>2</v>
      </c>
      <c r="F344">
        <v>2</v>
      </c>
      <c r="G344">
        <v>5</v>
      </c>
      <c r="H344">
        <v>2</v>
      </c>
      <c r="I344">
        <v>97</v>
      </c>
      <c r="J344">
        <v>40</v>
      </c>
      <c r="K344">
        <v>41</v>
      </c>
      <c r="L344">
        <v>46</v>
      </c>
      <c r="M344">
        <v>59</v>
      </c>
    </row>
    <row r="345" spans="1:13" x14ac:dyDescent="0.25">
      <c r="A345" s="1" t="s">
        <v>479</v>
      </c>
      <c r="B345" s="1" t="s">
        <v>30</v>
      </c>
      <c r="C345">
        <v>7</v>
      </c>
      <c r="D345">
        <v>4</v>
      </c>
      <c r="E345">
        <v>4</v>
      </c>
      <c r="F345">
        <v>6</v>
      </c>
      <c r="G345">
        <v>5</v>
      </c>
      <c r="H345">
        <v>5</v>
      </c>
      <c r="I345">
        <v>10</v>
      </c>
      <c r="J345">
        <v>32</v>
      </c>
      <c r="K345">
        <v>73</v>
      </c>
      <c r="L345">
        <v>96</v>
      </c>
      <c r="M345">
        <v>29</v>
      </c>
    </row>
    <row r="346" spans="1:13" x14ac:dyDescent="0.25">
      <c r="A346" s="1" t="s">
        <v>480</v>
      </c>
      <c r="B346" s="1" t="s">
        <v>477</v>
      </c>
      <c r="C346">
        <v>3</v>
      </c>
      <c r="D346">
        <v>2</v>
      </c>
      <c r="E346">
        <v>5</v>
      </c>
      <c r="F346">
        <v>5</v>
      </c>
      <c r="G346">
        <v>4</v>
      </c>
      <c r="H346">
        <v>5</v>
      </c>
      <c r="I346">
        <v>91</v>
      </c>
      <c r="J346">
        <v>53</v>
      </c>
      <c r="K346">
        <v>13</v>
      </c>
      <c r="L346">
        <v>58</v>
      </c>
      <c r="M346">
        <v>75</v>
      </c>
    </row>
    <row r="347" spans="1:13" x14ac:dyDescent="0.25">
      <c r="A347" s="1" t="s">
        <v>481</v>
      </c>
      <c r="B347" s="1" t="s">
        <v>61</v>
      </c>
      <c r="C347">
        <v>5</v>
      </c>
      <c r="D347">
        <v>4</v>
      </c>
      <c r="E347">
        <v>6</v>
      </c>
      <c r="F347">
        <v>5</v>
      </c>
      <c r="G347">
        <v>2</v>
      </c>
      <c r="H347">
        <v>3</v>
      </c>
      <c r="I347">
        <v>21</v>
      </c>
      <c r="J347">
        <v>48</v>
      </c>
      <c r="K347">
        <v>45</v>
      </c>
      <c r="L347">
        <v>1</v>
      </c>
      <c r="M347">
        <v>51</v>
      </c>
    </row>
    <row r="348" spans="1:13" x14ac:dyDescent="0.25">
      <c r="A348" s="1" t="s">
        <v>482</v>
      </c>
      <c r="B348" s="1" t="s">
        <v>311</v>
      </c>
      <c r="C348">
        <v>2</v>
      </c>
      <c r="D348">
        <v>2</v>
      </c>
      <c r="E348">
        <v>5</v>
      </c>
      <c r="F348">
        <v>2</v>
      </c>
      <c r="G348">
        <v>4</v>
      </c>
      <c r="H348">
        <v>4</v>
      </c>
      <c r="I348">
        <v>83</v>
      </c>
      <c r="J348">
        <v>28</v>
      </c>
      <c r="K348">
        <v>43</v>
      </c>
      <c r="L348">
        <v>19</v>
      </c>
      <c r="M348">
        <v>83</v>
      </c>
    </row>
    <row r="349" spans="1:13" x14ac:dyDescent="0.25">
      <c r="A349" s="1" t="s">
        <v>483</v>
      </c>
      <c r="B349" s="1" t="s">
        <v>133</v>
      </c>
      <c r="C349">
        <v>2</v>
      </c>
      <c r="D349">
        <v>4</v>
      </c>
      <c r="E349">
        <v>4</v>
      </c>
      <c r="F349">
        <v>3</v>
      </c>
      <c r="G349">
        <v>3</v>
      </c>
      <c r="H349">
        <v>6</v>
      </c>
      <c r="I349">
        <v>97</v>
      </c>
      <c r="J349">
        <v>80</v>
      </c>
      <c r="K349">
        <v>54</v>
      </c>
      <c r="L349">
        <v>78</v>
      </c>
      <c r="M349">
        <v>43</v>
      </c>
    </row>
    <row r="350" spans="1:13" x14ac:dyDescent="0.25">
      <c r="A350" s="1" t="s">
        <v>484</v>
      </c>
      <c r="B350" s="1" t="s">
        <v>101</v>
      </c>
      <c r="C350">
        <v>2</v>
      </c>
      <c r="D350">
        <v>5</v>
      </c>
      <c r="E350">
        <v>2</v>
      </c>
      <c r="F350">
        <v>3</v>
      </c>
      <c r="G350">
        <v>5</v>
      </c>
      <c r="H350">
        <v>2</v>
      </c>
      <c r="I350">
        <v>26</v>
      </c>
      <c r="J350">
        <v>31</v>
      </c>
      <c r="K350">
        <v>88</v>
      </c>
      <c r="L350">
        <v>98</v>
      </c>
      <c r="M350">
        <v>45</v>
      </c>
    </row>
    <row r="351" spans="1:13" x14ac:dyDescent="0.25">
      <c r="A351" s="1" t="s">
        <v>485</v>
      </c>
      <c r="B351" s="1" t="s">
        <v>58</v>
      </c>
      <c r="C351">
        <v>7</v>
      </c>
      <c r="D351">
        <v>6</v>
      </c>
      <c r="E351">
        <v>4</v>
      </c>
      <c r="F351">
        <v>5</v>
      </c>
      <c r="G351">
        <v>4</v>
      </c>
      <c r="H351">
        <v>3</v>
      </c>
      <c r="I351">
        <v>17</v>
      </c>
      <c r="J351">
        <v>54</v>
      </c>
      <c r="K351">
        <v>78</v>
      </c>
      <c r="L351">
        <v>68</v>
      </c>
      <c r="M351">
        <v>41</v>
      </c>
    </row>
    <row r="352" spans="1:13" x14ac:dyDescent="0.25">
      <c r="A352" s="1" t="s">
        <v>486</v>
      </c>
      <c r="B352" s="1" t="s">
        <v>70</v>
      </c>
      <c r="C352">
        <v>0</v>
      </c>
      <c r="D352">
        <v>2</v>
      </c>
      <c r="E352">
        <v>5</v>
      </c>
      <c r="F352">
        <v>3</v>
      </c>
      <c r="G352">
        <v>6</v>
      </c>
      <c r="H352">
        <v>6</v>
      </c>
      <c r="I352">
        <v>5</v>
      </c>
      <c r="J352">
        <v>93</v>
      </c>
      <c r="K352">
        <v>4</v>
      </c>
      <c r="L352">
        <v>59</v>
      </c>
      <c r="M352">
        <v>71</v>
      </c>
    </row>
    <row r="353" spans="1:13" x14ac:dyDescent="0.25">
      <c r="A353" s="1" t="s">
        <v>487</v>
      </c>
      <c r="B353" s="1" t="s">
        <v>76</v>
      </c>
      <c r="C353">
        <v>3</v>
      </c>
      <c r="D353">
        <v>5</v>
      </c>
      <c r="E353">
        <v>3</v>
      </c>
      <c r="F353">
        <v>3</v>
      </c>
      <c r="G353">
        <v>6</v>
      </c>
      <c r="H353">
        <v>4</v>
      </c>
      <c r="I353">
        <v>78</v>
      </c>
      <c r="J353">
        <v>80</v>
      </c>
      <c r="K353">
        <v>56</v>
      </c>
      <c r="L353">
        <v>31</v>
      </c>
      <c r="M353">
        <v>81</v>
      </c>
    </row>
    <row r="354" spans="1:13" x14ac:dyDescent="0.25">
      <c r="A354" s="1" t="s">
        <v>488</v>
      </c>
      <c r="B354" s="1" t="s">
        <v>489</v>
      </c>
      <c r="C354">
        <v>6</v>
      </c>
      <c r="D354">
        <v>6</v>
      </c>
      <c r="E354">
        <v>6</v>
      </c>
      <c r="F354">
        <v>4</v>
      </c>
      <c r="G354">
        <v>6</v>
      </c>
      <c r="H354">
        <v>4</v>
      </c>
      <c r="I354">
        <v>64</v>
      </c>
      <c r="J354">
        <v>18</v>
      </c>
      <c r="K354">
        <v>23</v>
      </c>
      <c r="L354">
        <v>81</v>
      </c>
      <c r="M354">
        <v>18</v>
      </c>
    </row>
    <row r="355" spans="1:13" x14ac:dyDescent="0.25">
      <c r="A355" s="1" t="s">
        <v>490</v>
      </c>
      <c r="B355" s="1" t="s">
        <v>38</v>
      </c>
      <c r="C355">
        <v>2</v>
      </c>
      <c r="D355">
        <v>4</v>
      </c>
      <c r="E355">
        <v>3</v>
      </c>
      <c r="F355">
        <v>5</v>
      </c>
      <c r="G355">
        <v>2</v>
      </c>
      <c r="H355">
        <v>3</v>
      </c>
      <c r="I355">
        <v>96</v>
      </c>
      <c r="J355">
        <v>32</v>
      </c>
      <c r="K355">
        <v>73</v>
      </c>
      <c r="L355">
        <v>7</v>
      </c>
      <c r="M355">
        <v>74</v>
      </c>
    </row>
    <row r="356" spans="1:13" x14ac:dyDescent="0.25">
      <c r="A356" s="1" t="s">
        <v>491</v>
      </c>
      <c r="B356" s="1" t="s">
        <v>340</v>
      </c>
      <c r="C356">
        <v>6</v>
      </c>
      <c r="D356">
        <v>6</v>
      </c>
      <c r="E356">
        <v>5</v>
      </c>
      <c r="F356">
        <v>5</v>
      </c>
      <c r="G356">
        <v>3</v>
      </c>
      <c r="H356">
        <v>6</v>
      </c>
      <c r="I356">
        <v>85</v>
      </c>
      <c r="J356">
        <v>35</v>
      </c>
      <c r="K356">
        <v>70</v>
      </c>
      <c r="L356">
        <v>99</v>
      </c>
      <c r="M356">
        <v>85</v>
      </c>
    </row>
    <row r="357" spans="1:13" x14ac:dyDescent="0.25">
      <c r="A357" s="1" t="s">
        <v>492</v>
      </c>
      <c r="B357" s="1" t="s">
        <v>90</v>
      </c>
      <c r="C357">
        <v>4</v>
      </c>
      <c r="D357">
        <v>2</v>
      </c>
      <c r="E357">
        <v>4</v>
      </c>
      <c r="F357">
        <v>5</v>
      </c>
      <c r="G357">
        <v>4</v>
      </c>
      <c r="H357">
        <v>2</v>
      </c>
      <c r="I357">
        <v>17</v>
      </c>
      <c r="J357">
        <v>17</v>
      </c>
      <c r="K357">
        <v>92</v>
      </c>
      <c r="L357">
        <v>6</v>
      </c>
      <c r="M357">
        <v>64</v>
      </c>
    </row>
    <row r="358" spans="1:13" x14ac:dyDescent="0.25">
      <c r="A358" s="1" t="s">
        <v>493</v>
      </c>
      <c r="B358" s="1" t="s">
        <v>180</v>
      </c>
      <c r="C358">
        <v>4</v>
      </c>
      <c r="D358">
        <v>2</v>
      </c>
      <c r="E358">
        <v>4</v>
      </c>
      <c r="F358">
        <v>2</v>
      </c>
      <c r="G358">
        <v>5</v>
      </c>
      <c r="H358">
        <v>4</v>
      </c>
      <c r="I358">
        <v>62</v>
      </c>
      <c r="J358">
        <v>3</v>
      </c>
      <c r="K358">
        <v>84</v>
      </c>
      <c r="L358">
        <v>48</v>
      </c>
      <c r="M358">
        <v>94</v>
      </c>
    </row>
    <row r="359" spans="1:13" x14ac:dyDescent="0.25">
      <c r="A359" s="1" t="s">
        <v>494</v>
      </c>
      <c r="B359" s="1" t="s">
        <v>495</v>
      </c>
      <c r="C359">
        <v>4</v>
      </c>
      <c r="D359">
        <v>5</v>
      </c>
      <c r="E359">
        <v>5</v>
      </c>
      <c r="F359">
        <v>6</v>
      </c>
      <c r="G359">
        <v>2</v>
      </c>
      <c r="H359">
        <v>3</v>
      </c>
      <c r="I359">
        <v>35</v>
      </c>
      <c r="J359">
        <v>49</v>
      </c>
      <c r="K359">
        <v>59</v>
      </c>
      <c r="L359">
        <v>44</v>
      </c>
      <c r="M359">
        <v>68</v>
      </c>
    </row>
    <row r="360" spans="1:13" x14ac:dyDescent="0.25">
      <c r="A360" s="1" t="s">
        <v>496</v>
      </c>
      <c r="B360" s="1" t="s">
        <v>369</v>
      </c>
      <c r="C360">
        <v>7</v>
      </c>
      <c r="D360">
        <v>3</v>
      </c>
      <c r="E360">
        <v>6</v>
      </c>
      <c r="F360">
        <v>2</v>
      </c>
      <c r="G360">
        <v>6</v>
      </c>
      <c r="H360">
        <v>5</v>
      </c>
      <c r="I360">
        <v>20</v>
      </c>
      <c r="J360">
        <v>58</v>
      </c>
      <c r="K360">
        <v>93</v>
      </c>
      <c r="L360">
        <v>53</v>
      </c>
      <c r="M360">
        <v>35</v>
      </c>
    </row>
    <row r="361" spans="1:13" x14ac:dyDescent="0.25">
      <c r="A361" s="1" t="s">
        <v>497</v>
      </c>
      <c r="B361" s="1" t="s">
        <v>498</v>
      </c>
      <c r="C361">
        <v>5</v>
      </c>
      <c r="D361">
        <v>6</v>
      </c>
      <c r="E361">
        <v>2</v>
      </c>
      <c r="F361">
        <v>3</v>
      </c>
      <c r="G361">
        <v>4</v>
      </c>
      <c r="H361">
        <v>3</v>
      </c>
      <c r="I361">
        <v>2</v>
      </c>
      <c r="J361">
        <v>97</v>
      </c>
      <c r="K361">
        <v>14</v>
      </c>
      <c r="L361">
        <v>81</v>
      </c>
      <c r="M361">
        <v>38</v>
      </c>
    </row>
    <row r="362" spans="1:13" x14ac:dyDescent="0.25">
      <c r="A362" s="1" t="s">
        <v>499</v>
      </c>
      <c r="B362" s="1" t="s">
        <v>498</v>
      </c>
      <c r="C362">
        <v>4</v>
      </c>
      <c r="D362">
        <v>6</v>
      </c>
      <c r="E362">
        <v>2</v>
      </c>
      <c r="F362">
        <v>6</v>
      </c>
      <c r="G362">
        <v>4</v>
      </c>
      <c r="H362">
        <v>5</v>
      </c>
      <c r="I362">
        <v>98</v>
      </c>
      <c r="J362">
        <v>42</v>
      </c>
      <c r="K362">
        <v>49</v>
      </c>
      <c r="L362">
        <v>83</v>
      </c>
      <c r="M362">
        <v>32</v>
      </c>
    </row>
    <row r="363" spans="1:13" x14ac:dyDescent="0.25">
      <c r="A363" s="1" t="s">
        <v>500</v>
      </c>
      <c r="B363" s="1" t="s">
        <v>121</v>
      </c>
      <c r="C363">
        <v>7</v>
      </c>
      <c r="D363">
        <v>5</v>
      </c>
      <c r="E363">
        <v>5</v>
      </c>
      <c r="F363">
        <v>4</v>
      </c>
      <c r="G363">
        <v>5</v>
      </c>
      <c r="H363">
        <v>6</v>
      </c>
      <c r="I363">
        <v>97</v>
      </c>
      <c r="J363">
        <v>45</v>
      </c>
      <c r="K363">
        <v>42</v>
      </c>
      <c r="L363">
        <v>25</v>
      </c>
      <c r="M363">
        <v>51</v>
      </c>
    </row>
    <row r="364" spans="1:13" x14ac:dyDescent="0.25">
      <c r="A364" s="1" t="s">
        <v>501</v>
      </c>
      <c r="B364" s="1" t="s">
        <v>18</v>
      </c>
      <c r="C364">
        <v>8</v>
      </c>
      <c r="D364">
        <v>3</v>
      </c>
      <c r="E364">
        <v>2</v>
      </c>
      <c r="F364">
        <v>2</v>
      </c>
      <c r="G364">
        <v>4</v>
      </c>
      <c r="H364">
        <v>2</v>
      </c>
      <c r="I364">
        <v>54</v>
      </c>
      <c r="J364">
        <v>48</v>
      </c>
      <c r="K364">
        <v>35</v>
      </c>
      <c r="L364">
        <v>28</v>
      </c>
      <c r="M364">
        <v>35</v>
      </c>
    </row>
    <row r="365" spans="1:13" x14ac:dyDescent="0.25">
      <c r="A365" s="1" t="s">
        <v>502</v>
      </c>
      <c r="B365" s="1" t="s">
        <v>503</v>
      </c>
      <c r="C365">
        <v>5</v>
      </c>
      <c r="D365">
        <v>2</v>
      </c>
      <c r="E365">
        <v>6</v>
      </c>
      <c r="F365">
        <v>3</v>
      </c>
      <c r="G365">
        <v>2</v>
      </c>
      <c r="H365">
        <v>5</v>
      </c>
      <c r="I365">
        <v>35</v>
      </c>
      <c r="J365">
        <v>56</v>
      </c>
      <c r="K365">
        <v>6</v>
      </c>
      <c r="L365">
        <v>84</v>
      </c>
      <c r="M365">
        <v>54</v>
      </c>
    </row>
    <row r="366" spans="1:13" x14ac:dyDescent="0.25">
      <c r="A366" s="1" t="s">
        <v>504</v>
      </c>
      <c r="B366" s="1" t="s">
        <v>367</v>
      </c>
      <c r="C366">
        <v>0</v>
      </c>
      <c r="D366">
        <v>2</v>
      </c>
      <c r="E366">
        <v>5</v>
      </c>
      <c r="F366">
        <v>6</v>
      </c>
      <c r="G366">
        <v>6</v>
      </c>
      <c r="H366">
        <v>3</v>
      </c>
      <c r="I366">
        <v>36</v>
      </c>
      <c r="J366">
        <v>94</v>
      </c>
      <c r="K366">
        <v>52</v>
      </c>
      <c r="L366">
        <v>50</v>
      </c>
      <c r="M366">
        <v>57</v>
      </c>
    </row>
    <row r="367" spans="1:13" x14ac:dyDescent="0.25">
      <c r="A367" s="1" t="s">
        <v>505</v>
      </c>
      <c r="B367" s="1" t="s">
        <v>506</v>
      </c>
      <c r="C367">
        <v>2</v>
      </c>
      <c r="D367">
        <v>3</v>
      </c>
      <c r="E367">
        <v>2</v>
      </c>
      <c r="F367">
        <v>2</v>
      </c>
      <c r="G367">
        <v>5</v>
      </c>
      <c r="H367">
        <v>6</v>
      </c>
      <c r="I367">
        <v>100</v>
      </c>
      <c r="J367">
        <v>48</v>
      </c>
      <c r="K367">
        <v>88</v>
      </c>
      <c r="L367">
        <v>48</v>
      </c>
      <c r="M367">
        <v>8</v>
      </c>
    </row>
    <row r="368" spans="1:13" x14ac:dyDescent="0.25">
      <c r="A368" s="1" t="s">
        <v>507</v>
      </c>
      <c r="B368" s="1" t="s">
        <v>508</v>
      </c>
      <c r="C368">
        <v>1</v>
      </c>
      <c r="D368">
        <v>3</v>
      </c>
      <c r="E368">
        <v>4</v>
      </c>
      <c r="F368">
        <v>3</v>
      </c>
      <c r="G368">
        <v>5</v>
      </c>
      <c r="H368">
        <v>6</v>
      </c>
      <c r="I368">
        <v>89</v>
      </c>
      <c r="J368">
        <v>70</v>
      </c>
      <c r="K368">
        <v>58</v>
      </c>
      <c r="L368">
        <v>39</v>
      </c>
      <c r="M368">
        <v>43</v>
      </c>
    </row>
    <row r="369" spans="1:13" x14ac:dyDescent="0.25">
      <c r="A369" s="1" t="s">
        <v>509</v>
      </c>
      <c r="B369" s="1" t="s">
        <v>188</v>
      </c>
      <c r="C369">
        <v>0</v>
      </c>
      <c r="D369">
        <v>6</v>
      </c>
      <c r="E369">
        <v>2</v>
      </c>
      <c r="F369">
        <v>2</v>
      </c>
      <c r="G369">
        <v>6</v>
      </c>
      <c r="H369">
        <v>2</v>
      </c>
      <c r="I369">
        <v>21</v>
      </c>
      <c r="J369">
        <v>80</v>
      </c>
      <c r="K369">
        <v>59</v>
      </c>
      <c r="L369">
        <v>35</v>
      </c>
      <c r="M369">
        <v>12</v>
      </c>
    </row>
    <row r="370" spans="1:13" x14ac:dyDescent="0.25">
      <c r="A370" s="1" t="s">
        <v>510</v>
      </c>
      <c r="B370" s="1" t="s">
        <v>188</v>
      </c>
      <c r="C370">
        <v>1</v>
      </c>
      <c r="D370">
        <v>3</v>
      </c>
      <c r="E370">
        <v>2</v>
      </c>
      <c r="F370">
        <v>5</v>
      </c>
      <c r="G370">
        <v>4</v>
      </c>
      <c r="H370">
        <v>4</v>
      </c>
      <c r="I370">
        <v>38</v>
      </c>
      <c r="J370">
        <v>5</v>
      </c>
      <c r="K370">
        <v>69</v>
      </c>
      <c r="L370">
        <v>94</v>
      </c>
      <c r="M370">
        <v>25</v>
      </c>
    </row>
    <row r="371" spans="1:13" x14ac:dyDescent="0.25">
      <c r="A371" s="1" t="s">
        <v>511</v>
      </c>
      <c r="B371" s="1" t="s">
        <v>311</v>
      </c>
      <c r="C371">
        <v>8</v>
      </c>
      <c r="D371">
        <v>4</v>
      </c>
      <c r="E371">
        <v>5</v>
      </c>
      <c r="F371">
        <v>4</v>
      </c>
      <c r="G371">
        <v>5</v>
      </c>
      <c r="H371">
        <v>3</v>
      </c>
      <c r="I371">
        <v>24</v>
      </c>
      <c r="J371">
        <v>47</v>
      </c>
      <c r="K371">
        <v>99</v>
      </c>
      <c r="L371">
        <v>64</v>
      </c>
      <c r="M371">
        <v>11</v>
      </c>
    </row>
    <row r="372" spans="1:13" x14ac:dyDescent="0.25">
      <c r="A372" s="1" t="s">
        <v>512</v>
      </c>
      <c r="B372" s="1" t="s">
        <v>311</v>
      </c>
      <c r="C372">
        <v>3</v>
      </c>
      <c r="D372">
        <v>5</v>
      </c>
      <c r="E372">
        <v>2</v>
      </c>
      <c r="F372">
        <v>4</v>
      </c>
      <c r="G372">
        <v>5</v>
      </c>
      <c r="H372">
        <v>4</v>
      </c>
      <c r="I372">
        <v>48</v>
      </c>
      <c r="J372">
        <v>100</v>
      </c>
      <c r="K372">
        <v>7</v>
      </c>
      <c r="L372">
        <v>64</v>
      </c>
      <c r="M372">
        <v>74</v>
      </c>
    </row>
    <row r="373" spans="1:13" x14ac:dyDescent="0.25">
      <c r="A373" s="1" t="s">
        <v>308</v>
      </c>
      <c r="B373" s="1" t="s">
        <v>30</v>
      </c>
      <c r="C373">
        <v>8</v>
      </c>
      <c r="D373">
        <v>3</v>
      </c>
      <c r="E373">
        <v>5</v>
      </c>
      <c r="F373">
        <v>2</v>
      </c>
      <c r="G373">
        <v>4</v>
      </c>
      <c r="H373">
        <v>6</v>
      </c>
      <c r="I373">
        <v>46</v>
      </c>
      <c r="J373">
        <v>88</v>
      </c>
      <c r="K373">
        <v>1</v>
      </c>
      <c r="L373">
        <v>49</v>
      </c>
      <c r="M373">
        <v>84</v>
      </c>
    </row>
    <row r="374" spans="1:13" x14ac:dyDescent="0.25">
      <c r="A374" s="1" t="s">
        <v>69</v>
      </c>
      <c r="B374" s="1" t="s">
        <v>70</v>
      </c>
      <c r="C374">
        <v>3</v>
      </c>
      <c r="D374">
        <v>5</v>
      </c>
      <c r="E374">
        <v>4</v>
      </c>
      <c r="F374">
        <v>4</v>
      </c>
      <c r="G374">
        <v>6</v>
      </c>
      <c r="H374">
        <v>4</v>
      </c>
      <c r="I374">
        <v>77</v>
      </c>
      <c r="J374">
        <v>80</v>
      </c>
      <c r="K374">
        <v>44</v>
      </c>
      <c r="L374">
        <v>96</v>
      </c>
      <c r="M374">
        <v>10</v>
      </c>
    </row>
    <row r="375" spans="1:13" x14ac:dyDescent="0.25">
      <c r="A375" s="1" t="s">
        <v>513</v>
      </c>
      <c r="B375" s="1" t="s">
        <v>48</v>
      </c>
      <c r="C375">
        <v>8</v>
      </c>
      <c r="D375">
        <v>3</v>
      </c>
      <c r="E375">
        <v>5</v>
      </c>
      <c r="F375">
        <v>3</v>
      </c>
      <c r="G375">
        <v>5</v>
      </c>
      <c r="H375">
        <v>3</v>
      </c>
      <c r="I375">
        <v>28</v>
      </c>
      <c r="J375">
        <v>5</v>
      </c>
      <c r="K375">
        <v>29</v>
      </c>
      <c r="L375">
        <v>7</v>
      </c>
      <c r="M375">
        <v>19</v>
      </c>
    </row>
    <row r="376" spans="1:13" x14ac:dyDescent="0.25">
      <c r="A376" s="1" t="s">
        <v>514</v>
      </c>
      <c r="B376" s="1" t="s">
        <v>38</v>
      </c>
      <c r="C376">
        <v>0</v>
      </c>
      <c r="D376">
        <v>5</v>
      </c>
      <c r="E376">
        <v>5</v>
      </c>
      <c r="F376">
        <v>4</v>
      </c>
      <c r="G376">
        <v>5</v>
      </c>
      <c r="H376">
        <v>5</v>
      </c>
      <c r="I376">
        <v>100</v>
      </c>
      <c r="J376">
        <v>100</v>
      </c>
      <c r="K376">
        <v>68</v>
      </c>
      <c r="L376">
        <v>69</v>
      </c>
      <c r="M376">
        <v>46</v>
      </c>
    </row>
    <row r="377" spans="1:13" x14ac:dyDescent="0.25">
      <c r="A377" s="1" t="s">
        <v>411</v>
      </c>
      <c r="B377" s="1" t="s">
        <v>515</v>
      </c>
      <c r="C377">
        <v>0</v>
      </c>
      <c r="D377">
        <v>6</v>
      </c>
      <c r="E377">
        <v>6</v>
      </c>
      <c r="F377">
        <v>3</v>
      </c>
      <c r="G377">
        <v>4</v>
      </c>
      <c r="H377">
        <v>3</v>
      </c>
      <c r="I377">
        <v>86</v>
      </c>
      <c r="J377">
        <v>20</v>
      </c>
      <c r="K377">
        <v>40</v>
      </c>
      <c r="L377">
        <v>37</v>
      </c>
      <c r="M377">
        <v>24</v>
      </c>
    </row>
    <row r="378" spans="1:13" x14ac:dyDescent="0.25">
      <c r="A378" s="1" t="s">
        <v>516</v>
      </c>
      <c r="B378" s="1" t="s">
        <v>16</v>
      </c>
      <c r="C378">
        <v>8</v>
      </c>
      <c r="D378">
        <v>2</v>
      </c>
      <c r="E378">
        <v>4</v>
      </c>
      <c r="F378">
        <v>3</v>
      </c>
      <c r="G378">
        <v>2</v>
      </c>
      <c r="H378">
        <v>4</v>
      </c>
      <c r="I378">
        <v>37</v>
      </c>
      <c r="J378">
        <v>45</v>
      </c>
      <c r="K378">
        <v>53</v>
      </c>
      <c r="L378">
        <v>100</v>
      </c>
      <c r="M378">
        <v>63</v>
      </c>
    </row>
    <row r="379" spans="1:13" x14ac:dyDescent="0.25">
      <c r="A379" s="1" t="s">
        <v>517</v>
      </c>
      <c r="B379" s="1" t="s">
        <v>518</v>
      </c>
      <c r="C379">
        <v>5</v>
      </c>
      <c r="D379">
        <v>2</v>
      </c>
      <c r="E379">
        <v>4</v>
      </c>
      <c r="F379">
        <v>5</v>
      </c>
      <c r="G379">
        <v>2</v>
      </c>
      <c r="H379">
        <v>4</v>
      </c>
      <c r="I379">
        <v>63</v>
      </c>
      <c r="J379">
        <v>100</v>
      </c>
      <c r="K379">
        <v>26</v>
      </c>
      <c r="L379">
        <v>46</v>
      </c>
      <c r="M379">
        <v>85</v>
      </c>
    </row>
    <row r="380" spans="1:13" x14ac:dyDescent="0.25">
      <c r="A380" s="1" t="s">
        <v>519</v>
      </c>
      <c r="B380" s="1" t="s">
        <v>520</v>
      </c>
      <c r="C380">
        <v>3</v>
      </c>
      <c r="D380">
        <v>3</v>
      </c>
      <c r="E380">
        <v>3</v>
      </c>
      <c r="F380">
        <v>6</v>
      </c>
      <c r="G380">
        <v>3</v>
      </c>
      <c r="H380">
        <v>2</v>
      </c>
      <c r="I380">
        <v>62</v>
      </c>
      <c r="J380">
        <v>92</v>
      </c>
      <c r="K380">
        <v>75</v>
      </c>
      <c r="L380">
        <v>30</v>
      </c>
      <c r="M380">
        <v>86</v>
      </c>
    </row>
    <row r="381" spans="1:13" x14ac:dyDescent="0.25">
      <c r="A381" s="1" t="s">
        <v>521</v>
      </c>
      <c r="B381" s="1" t="s">
        <v>43</v>
      </c>
      <c r="C381">
        <v>6</v>
      </c>
      <c r="D381">
        <v>4</v>
      </c>
      <c r="E381">
        <v>2</v>
      </c>
      <c r="F381">
        <v>4</v>
      </c>
      <c r="G381">
        <v>4</v>
      </c>
      <c r="H381">
        <v>6</v>
      </c>
      <c r="I381">
        <v>16</v>
      </c>
      <c r="J381">
        <v>19</v>
      </c>
      <c r="K381">
        <v>66</v>
      </c>
      <c r="L381">
        <v>96</v>
      </c>
      <c r="M381">
        <v>61</v>
      </c>
    </row>
    <row r="382" spans="1:13" x14ac:dyDescent="0.25">
      <c r="A382" s="1" t="s">
        <v>237</v>
      </c>
      <c r="B382" s="1" t="s">
        <v>166</v>
      </c>
      <c r="C382">
        <v>4</v>
      </c>
      <c r="D382">
        <v>5</v>
      </c>
      <c r="E382">
        <v>4</v>
      </c>
      <c r="F382">
        <v>4</v>
      </c>
      <c r="G382">
        <v>2</v>
      </c>
      <c r="H382">
        <v>2</v>
      </c>
      <c r="I382">
        <v>71</v>
      </c>
      <c r="J382">
        <v>99</v>
      </c>
      <c r="K382">
        <v>56</v>
      </c>
      <c r="L382">
        <v>2</v>
      </c>
      <c r="M382">
        <v>43</v>
      </c>
    </row>
    <row r="383" spans="1:13" x14ac:dyDescent="0.25">
      <c r="A383" s="1" t="s">
        <v>522</v>
      </c>
      <c r="B383" s="1" t="s">
        <v>288</v>
      </c>
      <c r="C383">
        <v>8</v>
      </c>
      <c r="D383">
        <v>2</v>
      </c>
      <c r="E383">
        <v>6</v>
      </c>
      <c r="F383">
        <v>2</v>
      </c>
      <c r="G383">
        <v>6</v>
      </c>
      <c r="H383">
        <v>5</v>
      </c>
      <c r="I383">
        <v>62</v>
      </c>
      <c r="J383">
        <v>49</v>
      </c>
      <c r="K383">
        <v>45</v>
      </c>
      <c r="L383">
        <v>42</v>
      </c>
      <c r="M383">
        <v>53</v>
      </c>
    </row>
    <row r="384" spans="1:13" x14ac:dyDescent="0.25">
      <c r="A384" s="1" t="s">
        <v>523</v>
      </c>
      <c r="B384" s="1" t="s">
        <v>279</v>
      </c>
      <c r="C384">
        <v>2</v>
      </c>
      <c r="D384">
        <v>3</v>
      </c>
      <c r="E384">
        <v>2</v>
      </c>
      <c r="F384">
        <v>5</v>
      </c>
      <c r="G384">
        <v>5</v>
      </c>
      <c r="H384">
        <v>2</v>
      </c>
      <c r="I384">
        <v>44</v>
      </c>
      <c r="J384">
        <v>30</v>
      </c>
      <c r="K384">
        <v>61</v>
      </c>
      <c r="L384">
        <v>13</v>
      </c>
      <c r="M384">
        <v>30</v>
      </c>
    </row>
    <row r="385" spans="1:13" x14ac:dyDescent="0.25">
      <c r="A385" s="1" t="s">
        <v>524</v>
      </c>
      <c r="B385" s="1" t="s">
        <v>99</v>
      </c>
      <c r="C385">
        <v>5</v>
      </c>
      <c r="D385">
        <v>6</v>
      </c>
      <c r="E385">
        <v>5</v>
      </c>
      <c r="F385">
        <v>3</v>
      </c>
      <c r="G385">
        <v>2</v>
      </c>
      <c r="H385">
        <v>4</v>
      </c>
      <c r="I385">
        <v>55</v>
      </c>
      <c r="J385">
        <v>18</v>
      </c>
      <c r="K385">
        <v>46</v>
      </c>
      <c r="L385">
        <v>82</v>
      </c>
      <c r="M385">
        <v>71</v>
      </c>
    </row>
    <row r="386" spans="1:13" x14ac:dyDescent="0.25">
      <c r="A386" s="1" t="s">
        <v>525</v>
      </c>
      <c r="B386" s="1" t="s">
        <v>526</v>
      </c>
      <c r="C386">
        <v>5</v>
      </c>
      <c r="D386">
        <v>2</v>
      </c>
      <c r="E386">
        <v>5</v>
      </c>
      <c r="F386">
        <v>6</v>
      </c>
      <c r="G386">
        <v>3</v>
      </c>
      <c r="H386">
        <v>3</v>
      </c>
      <c r="I386">
        <v>23</v>
      </c>
      <c r="J386">
        <v>10</v>
      </c>
      <c r="K386">
        <v>99</v>
      </c>
      <c r="L386">
        <v>23</v>
      </c>
      <c r="M386">
        <v>4</v>
      </c>
    </row>
    <row r="387" spans="1:13" x14ac:dyDescent="0.25">
      <c r="A387" s="1" t="s">
        <v>527</v>
      </c>
      <c r="B387" s="1" t="s">
        <v>340</v>
      </c>
      <c r="C387">
        <v>5</v>
      </c>
      <c r="D387">
        <v>4</v>
      </c>
      <c r="E387">
        <v>3</v>
      </c>
      <c r="F387">
        <v>5</v>
      </c>
      <c r="G387">
        <v>6</v>
      </c>
      <c r="H387">
        <v>2</v>
      </c>
      <c r="I387">
        <v>72</v>
      </c>
      <c r="J387">
        <v>22</v>
      </c>
      <c r="K387">
        <v>90</v>
      </c>
      <c r="L387">
        <v>8</v>
      </c>
      <c r="M387">
        <v>61</v>
      </c>
    </row>
    <row r="388" spans="1:13" x14ac:dyDescent="0.25">
      <c r="A388" s="1" t="s">
        <v>528</v>
      </c>
      <c r="B388" s="1" t="s">
        <v>126</v>
      </c>
      <c r="C388">
        <v>3</v>
      </c>
      <c r="D388">
        <v>3</v>
      </c>
      <c r="E388">
        <v>6</v>
      </c>
      <c r="F388">
        <v>2</v>
      </c>
      <c r="G388">
        <v>4</v>
      </c>
      <c r="H388">
        <v>6</v>
      </c>
      <c r="I388">
        <v>95</v>
      </c>
      <c r="J388">
        <v>18</v>
      </c>
      <c r="K388">
        <v>32</v>
      </c>
      <c r="L388">
        <v>67</v>
      </c>
      <c r="M388">
        <v>36</v>
      </c>
    </row>
    <row r="389" spans="1:13" x14ac:dyDescent="0.25">
      <c r="A389" s="1" t="s">
        <v>529</v>
      </c>
      <c r="B389" s="1" t="s">
        <v>530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3</v>
      </c>
      <c r="I389">
        <v>99</v>
      </c>
      <c r="J389">
        <v>47</v>
      </c>
      <c r="K389">
        <v>3</v>
      </c>
      <c r="L389">
        <v>6</v>
      </c>
      <c r="M389">
        <v>59</v>
      </c>
    </row>
    <row r="390" spans="1:13" x14ac:dyDescent="0.25">
      <c r="A390" s="1" t="s">
        <v>531</v>
      </c>
      <c r="B390" s="1" t="s">
        <v>532</v>
      </c>
      <c r="C390">
        <v>5</v>
      </c>
      <c r="D390">
        <v>5</v>
      </c>
      <c r="E390">
        <v>3</v>
      </c>
      <c r="F390">
        <v>4</v>
      </c>
      <c r="G390">
        <v>5</v>
      </c>
      <c r="H390">
        <v>2</v>
      </c>
      <c r="I390">
        <v>97</v>
      </c>
      <c r="J390">
        <v>87</v>
      </c>
      <c r="K390">
        <v>7</v>
      </c>
      <c r="L390">
        <v>93</v>
      </c>
      <c r="M390">
        <v>19</v>
      </c>
    </row>
    <row r="391" spans="1:13" x14ac:dyDescent="0.25">
      <c r="A391" s="1" t="s">
        <v>533</v>
      </c>
      <c r="B391" s="1" t="s">
        <v>45</v>
      </c>
      <c r="C391">
        <v>3</v>
      </c>
      <c r="D391">
        <v>6</v>
      </c>
      <c r="E391">
        <v>6</v>
      </c>
      <c r="F391">
        <v>6</v>
      </c>
      <c r="G391">
        <v>2</v>
      </c>
      <c r="H391">
        <v>5</v>
      </c>
      <c r="I391">
        <v>57</v>
      </c>
      <c r="J391">
        <v>44</v>
      </c>
      <c r="K391">
        <v>90</v>
      </c>
      <c r="L391">
        <v>33</v>
      </c>
      <c r="M391">
        <v>78</v>
      </c>
    </row>
    <row r="392" spans="1:13" x14ac:dyDescent="0.25">
      <c r="A392" s="1" t="s">
        <v>534</v>
      </c>
      <c r="B392" s="1" t="s">
        <v>90</v>
      </c>
      <c r="C392">
        <v>2</v>
      </c>
      <c r="D392">
        <v>4</v>
      </c>
      <c r="E392">
        <v>5</v>
      </c>
      <c r="F392">
        <v>3</v>
      </c>
      <c r="G392">
        <v>2</v>
      </c>
      <c r="H392">
        <v>2</v>
      </c>
      <c r="I392">
        <v>35</v>
      </c>
      <c r="J392">
        <v>82</v>
      </c>
      <c r="K392">
        <v>52</v>
      </c>
      <c r="L392">
        <v>15</v>
      </c>
      <c r="M392">
        <v>51</v>
      </c>
    </row>
    <row r="393" spans="1:13" x14ac:dyDescent="0.25">
      <c r="A393" s="1" t="s">
        <v>535</v>
      </c>
      <c r="B393" s="1" t="s">
        <v>536</v>
      </c>
      <c r="C393">
        <v>1</v>
      </c>
      <c r="D393">
        <v>5</v>
      </c>
      <c r="E393">
        <v>5</v>
      </c>
      <c r="F393">
        <v>6</v>
      </c>
      <c r="G393">
        <v>4</v>
      </c>
      <c r="H393">
        <v>6</v>
      </c>
      <c r="I393">
        <v>19</v>
      </c>
      <c r="J393">
        <v>32</v>
      </c>
      <c r="K393">
        <v>74</v>
      </c>
      <c r="L393">
        <v>31</v>
      </c>
      <c r="M393">
        <v>58</v>
      </c>
    </row>
    <row r="394" spans="1:13" x14ac:dyDescent="0.25">
      <c r="A394" s="1" t="s">
        <v>537</v>
      </c>
      <c r="B394" s="1" t="s">
        <v>538</v>
      </c>
      <c r="C394">
        <v>0</v>
      </c>
      <c r="D394">
        <v>5</v>
      </c>
      <c r="E394">
        <v>2</v>
      </c>
      <c r="F394">
        <v>2</v>
      </c>
      <c r="G394">
        <v>5</v>
      </c>
      <c r="H394">
        <v>3</v>
      </c>
      <c r="I394">
        <v>45</v>
      </c>
      <c r="J394">
        <v>52</v>
      </c>
      <c r="K394">
        <v>32</v>
      </c>
      <c r="L394">
        <v>42</v>
      </c>
      <c r="M394">
        <v>33</v>
      </c>
    </row>
    <row r="395" spans="1:13" x14ac:dyDescent="0.25">
      <c r="A395" s="1" t="s">
        <v>539</v>
      </c>
      <c r="B395" s="1" t="s">
        <v>540</v>
      </c>
      <c r="C395">
        <v>8</v>
      </c>
      <c r="D395">
        <v>5</v>
      </c>
      <c r="E395">
        <v>6</v>
      </c>
      <c r="F395">
        <v>2</v>
      </c>
      <c r="G395">
        <v>4</v>
      </c>
      <c r="H395">
        <v>3</v>
      </c>
      <c r="I395">
        <v>78</v>
      </c>
      <c r="J395">
        <v>38</v>
      </c>
      <c r="K395">
        <v>62</v>
      </c>
      <c r="L395">
        <v>45</v>
      </c>
      <c r="M395">
        <v>55</v>
      </c>
    </row>
    <row r="396" spans="1:13" x14ac:dyDescent="0.25">
      <c r="A396" s="1" t="s">
        <v>541</v>
      </c>
      <c r="B396" s="1" t="s">
        <v>503</v>
      </c>
      <c r="C396">
        <v>6</v>
      </c>
      <c r="D396">
        <v>4</v>
      </c>
      <c r="E396">
        <v>2</v>
      </c>
      <c r="F396">
        <v>6</v>
      </c>
      <c r="G396">
        <v>2</v>
      </c>
      <c r="H396">
        <v>6</v>
      </c>
      <c r="I396">
        <v>20</v>
      </c>
      <c r="J396">
        <v>92</v>
      </c>
      <c r="K396">
        <v>44</v>
      </c>
      <c r="L396">
        <v>89</v>
      </c>
      <c r="M396">
        <v>79</v>
      </c>
    </row>
    <row r="397" spans="1:13" x14ac:dyDescent="0.25">
      <c r="A397" s="1" t="s">
        <v>542</v>
      </c>
      <c r="B397" s="1" t="s">
        <v>117</v>
      </c>
      <c r="C397">
        <v>4</v>
      </c>
      <c r="D397">
        <v>2</v>
      </c>
      <c r="E397">
        <v>2</v>
      </c>
      <c r="F397">
        <v>4</v>
      </c>
      <c r="G397">
        <v>3</v>
      </c>
      <c r="H397">
        <v>3</v>
      </c>
      <c r="I397">
        <v>36</v>
      </c>
      <c r="J397">
        <v>79</v>
      </c>
      <c r="K397">
        <v>62</v>
      </c>
      <c r="L397">
        <v>8</v>
      </c>
      <c r="M397">
        <v>47</v>
      </c>
    </row>
    <row r="398" spans="1:13" x14ac:dyDescent="0.25">
      <c r="A398" s="1" t="s">
        <v>543</v>
      </c>
      <c r="B398" s="1" t="s">
        <v>41</v>
      </c>
      <c r="C398">
        <v>0</v>
      </c>
      <c r="D398">
        <v>2</v>
      </c>
      <c r="E398">
        <v>2</v>
      </c>
      <c r="F398">
        <v>4</v>
      </c>
      <c r="G398">
        <v>2</v>
      </c>
      <c r="H398">
        <v>4</v>
      </c>
      <c r="I398">
        <v>24</v>
      </c>
      <c r="J398">
        <v>81</v>
      </c>
      <c r="K398">
        <v>74</v>
      </c>
      <c r="L398">
        <v>4</v>
      </c>
      <c r="M398">
        <v>92</v>
      </c>
    </row>
    <row r="399" spans="1:13" x14ac:dyDescent="0.25">
      <c r="A399" s="1" t="s">
        <v>544</v>
      </c>
      <c r="B399" s="1" t="s">
        <v>324</v>
      </c>
      <c r="C399">
        <v>3</v>
      </c>
      <c r="D399">
        <v>3</v>
      </c>
      <c r="E399">
        <v>5</v>
      </c>
      <c r="F399">
        <v>6</v>
      </c>
      <c r="G399">
        <v>4</v>
      </c>
      <c r="H399">
        <v>3</v>
      </c>
      <c r="I399">
        <v>68</v>
      </c>
      <c r="J399">
        <v>76</v>
      </c>
      <c r="K399">
        <v>21</v>
      </c>
      <c r="L399">
        <v>59</v>
      </c>
      <c r="M399">
        <v>66</v>
      </c>
    </row>
    <row r="400" spans="1:13" x14ac:dyDescent="0.25">
      <c r="A400" s="1" t="s">
        <v>545</v>
      </c>
      <c r="B400" s="1" t="s">
        <v>253</v>
      </c>
      <c r="C400">
        <v>4</v>
      </c>
      <c r="D400">
        <v>3</v>
      </c>
      <c r="E400">
        <v>2</v>
      </c>
      <c r="F400">
        <v>4</v>
      </c>
      <c r="G400">
        <v>4</v>
      </c>
      <c r="H400">
        <v>5</v>
      </c>
      <c r="I400">
        <v>70</v>
      </c>
      <c r="J400">
        <v>34</v>
      </c>
      <c r="K400">
        <v>18</v>
      </c>
      <c r="L400">
        <v>27</v>
      </c>
      <c r="M400">
        <v>70</v>
      </c>
    </row>
    <row r="401" spans="1:13" x14ac:dyDescent="0.25">
      <c r="A401" s="1" t="s">
        <v>546</v>
      </c>
      <c r="B401" s="1" t="s">
        <v>249</v>
      </c>
      <c r="C401">
        <v>2</v>
      </c>
      <c r="D401">
        <v>4</v>
      </c>
      <c r="E401">
        <v>2</v>
      </c>
      <c r="F401">
        <v>4</v>
      </c>
      <c r="G401">
        <v>5</v>
      </c>
      <c r="H401">
        <v>2</v>
      </c>
      <c r="I401">
        <v>9</v>
      </c>
      <c r="J401">
        <v>76</v>
      </c>
      <c r="K401">
        <v>35</v>
      </c>
      <c r="L401">
        <v>83</v>
      </c>
      <c r="M401">
        <v>13</v>
      </c>
    </row>
    <row r="402" spans="1:13" x14ac:dyDescent="0.25">
      <c r="A402" s="1" t="s">
        <v>547</v>
      </c>
      <c r="B402" s="1" t="s">
        <v>526</v>
      </c>
      <c r="C402">
        <v>6</v>
      </c>
      <c r="D402">
        <v>2</v>
      </c>
      <c r="E402">
        <v>4</v>
      </c>
      <c r="F402">
        <v>2</v>
      </c>
      <c r="G402">
        <v>3</v>
      </c>
      <c r="H402">
        <v>2</v>
      </c>
      <c r="I402">
        <v>63</v>
      </c>
      <c r="J402">
        <v>31</v>
      </c>
      <c r="K402">
        <v>2</v>
      </c>
      <c r="L402">
        <v>74</v>
      </c>
      <c r="M402">
        <v>15</v>
      </c>
    </row>
    <row r="403" spans="1:13" x14ac:dyDescent="0.25">
      <c r="A403" s="1" t="s">
        <v>548</v>
      </c>
      <c r="B403" s="1" t="s">
        <v>126</v>
      </c>
      <c r="C403">
        <v>4</v>
      </c>
      <c r="D403">
        <v>6</v>
      </c>
      <c r="E403">
        <v>3</v>
      </c>
      <c r="F403">
        <v>5</v>
      </c>
      <c r="G403">
        <v>4</v>
      </c>
      <c r="H403">
        <v>4</v>
      </c>
      <c r="I403">
        <v>15</v>
      </c>
      <c r="J403">
        <v>57</v>
      </c>
      <c r="K403">
        <v>64</v>
      </c>
      <c r="L403">
        <v>60</v>
      </c>
      <c r="M403">
        <v>60</v>
      </c>
    </row>
    <row r="404" spans="1:13" x14ac:dyDescent="0.25">
      <c r="A404" s="1" t="s">
        <v>549</v>
      </c>
      <c r="B404" s="1" t="s">
        <v>355</v>
      </c>
      <c r="C404">
        <v>6</v>
      </c>
      <c r="D404">
        <v>4</v>
      </c>
      <c r="E404">
        <v>4</v>
      </c>
      <c r="F404">
        <v>2</v>
      </c>
      <c r="G404">
        <v>2</v>
      </c>
      <c r="H404">
        <v>2</v>
      </c>
      <c r="I404">
        <v>26</v>
      </c>
      <c r="J404">
        <v>6</v>
      </c>
      <c r="K404">
        <v>12</v>
      </c>
      <c r="L404">
        <v>71</v>
      </c>
      <c r="M404">
        <v>85</v>
      </c>
    </row>
    <row r="405" spans="1:13" x14ac:dyDescent="0.25">
      <c r="A405" s="1" t="s">
        <v>550</v>
      </c>
      <c r="B405" s="1" t="s">
        <v>551</v>
      </c>
      <c r="C405">
        <v>5</v>
      </c>
      <c r="D405">
        <v>6</v>
      </c>
      <c r="E405">
        <v>2</v>
      </c>
      <c r="F405">
        <v>4</v>
      </c>
      <c r="G405">
        <v>4</v>
      </c>
      <c r="H405">
        <v>3</v>
      </c>
      <c r="I405">
        <v>3</v>
      </c>
      <c r="J405">
        <v>8</v>
      </c>
      <c r="K405">
        <v>22</v>
      </c>
      <c r="L405">
        <v>75</v>
      </c>
      <c r="M405">
        <v>52</v>
      </c>
    </row>
    <row r="406" spans="1:13" x14ac:dyDescent="0.25">
      <c r="A406" s="1" t="s">
        <v>552</v>
      </c>
      <c r="B406" s="1" t="s">
        <v>553</v>
      </c>
      <c r="C406">
        <v>0</v>
      </c>
      <c r="D406">
        <v>5</v>
      </c>
      <c r="E406">
        <v>2</v>
      </c>
      <c r="F406">
        <v>4</v>
      </c>
      <c r="G406">
        <v>4</v>
      </c>
      <c r="H406">
        <v>4</v>
      </c>
      <c r="I406">
        <v>68</v>
      </c>
      <c r="J406">
        <v>77</v>
      </c>
      <c r="K406">
        <v>39</v>
      </c>
      <c r="L406">
        <v>95</v>
      </c>
      <c r="M406">
        <v>42</v>
      </c>
    </row>
    <row r="407" spans="1:13" x14ac:dyDescent="0.25">
      <c r="A407" s="1" t="s">
        <v>554</v>
      </c>
      <c r="B407" s="1" t="s">
        <v>16</v>
      </c>
      <c r="C407">
        <v>4</v>
      </c>
      <c r="D407">
        <v>4</v>
      </c>
      <c r="E407">
        <v>3</v>
      </c>
      <c r="F407">
        <v>2</v>
      </c>
      <c r="G407">
        <v>5</v>
      </c>
      <c r="H407">
        <v>4</v>
      </c>
      <c r="I407">
        <v>65</v>
      </c>
      <c r="J407">
        <v>42</v>
      </c>
      <c r="K407">
        <v>95</v>
      </c>
      <c r="L407">
        <v>95</v>
      </c>
      <c r="M407">
        <v>95</v>
      </c>
    </row>
    <row r="408" spans="1:13" x14ac:dyDescent="0.25">
      <c r="A408" s="1" t="s">
        <v>555</v>
      </c>
      <c r="B408" s="1" t="s">
        <v>64</v>
      </c>
      <c r="C408">
        <v>6</v>
      </c>
      <c r="D408">
        <v>2</v>
      </c>
      <c r="E408">
        <v>2</v>
      </c>
      <c r="F408">
        <v>2</v>
      </c>
      <c r="G408">
        <v>2</v>
      </c>
      <c r="H408">
        <v>4</v>
      </c>
      <c r="I408">
        <v>32</v>
      </c>
      <c r="J408">
        <v>39</v>
      </c>
      <c r="K408">
        <v>61</v>
      </c>
      <c r="L408">
        <v>67</v>
      </c>
      <c r="M408">
        <v>14</v>
      </c>
    </row>
    <row r="409" spans="1:13" x14ac:dyDescent="0.25">
      <c r="A409" s="1" t="s">
        <v>466</v>
      </c>
      <c r="B409" s="1" t="s">
        <v>16</v>
      </c>
      <c r="C409">
        <v>8</v>
      </c>
      <c r="D409">
        <v>3</v>
      </c>
      <c r="E409">
        <v>5</v>
      </c>
      <c r="F409">
        <v>6</v>
      </c>
      <c r="G409">
        <v>3</v>
      </c>
      <c r="H409">
        <v>5</v>
      </c>
      <c r="I409">
        <v>7</v>
      </c>
      <c r="J409">
        <v>96</v>
      </c>
      <c r="K409">
        <v>85</v>
      </c>
      <c r="L409">
        <v>8</v>
      </c>
      <c r="M409">
        <v>46</v>
      </c>
    </row>
    <row r="410" spans="1:13" x14ac:dyDescent="0.25">
      <c r="A410" s="1" t="s">
        <v>556</v>
      </c>
      <c r="B410" s="1" t="s">
        <v>367</v>
      </c>
      <c r="C410">
        <v>7</v>
      </c>
      <c r="D410">
        <v>5</v>
      </c>
      <c r="E410">
        <v>5</v>
      </c>
      <c r="F410">
        <v>5</v>
      </c>
      <c r="G410">
        <v>2</v>
      </c>
      <c r="H410">
        <v>2</v>
      </c>
      <c r="I410">
        <v>35</v>
      </c>
      <c r="J410">
        <v>95</v>
      </c>
      <c r="K410">
        <v>11</v>
      </c>
      <c r="L410">
        <v>36</v>
      </c>
      <c r="M410">
        <v>19</v>
      </c>
    </row>
    <row r="411" spans="1:13" x14ac:dyDescent="0.25">
      <c r="A411" s="1" t="s">
        <v>557</v>
      </c>
      <c r="B411" s="1" t="s">
        <v>558</v>
      </c>
      <c r="C411">
        <v>1</v>
      </c>
      <c r="D411">
        <v>4</v>
      </c>
      <c r="E411">
        <v>4</v>
      </c>
      <c r="F411">
        <v>6</v>
      </c>
      <c r="G411">
        <v>3</v>
      </c>
      <c r="H411">
        <v>4</v>
      </c>
      <c r="I411">
        <v>73</v>
      </c>
      <c r="J411">
        <v>61</v>
      </c>
      <c r="K411">
        <v>49</v>
      </c>
      <c r="L411">
        <v>70</v>
      </c>
      <c r="M411">
        <v>52</v>
      </c>
    </row>
    <row r="412" spans="1:13" x14ac:dyDescent="0.25">
      <c r="A412" s="1" t="s">
        <v>559</v>
      </c>
      <c r="B412" s="1" t="s">
        <v>145</v>
      </c>
      <c r="C412">
        <v>8</v>
      </c>
      <c r="D412">
        <v>2</v>
      </c>
      <c r="E412">
        <v>5</v>
      </c>
      <c r="F412">
        <v>2</v>
      </c>
      <c r="G412">
        <v>2</v>
      </c>
      <c r="H412">
        <v>6</v>
      </c>
      <c r="I412">
        <v>52</v>
      </c>
      <c r="J412">
        <v>90</v>
      </c>
      <c r="K412">
        <v>95</v>
      </c>
      <c r="L412">
        <v>83</v>
      </c>
      <c r="M412">
        <v>23</v>
      </c>
    </row>
    <row r="413" spans="1:13" x14ac:dyDescent="0.25">
      <c r="A413" s="1" t="s">
        <v>418</v>
      </c>
      <c r="B413" s="1" t="s">
        <v>32</v>
      </c>
      <c r="C413">
        <v>8</v>
      </c>
      <c r="D413">
        <v>5</v>
      </c>
      <c r="E413">
        <v>6</v>
      </c>
      <c r="F413">
        <v>5</v>
      </c>
      <c r="G413">
        <v>6</v>
      </c>
      <c r="H413">
        <v>5</v>
      </c>
      <c r="I413">
        <v>5</v>
      </c>
      <c r="J413">
        <v>84</v>
      </c>
      <c r="K413">
        <v>88</v>
      </c>
      <c r="L413">
        <v>35</v>
      </c>
      <c r="M413">
        <v>40</v>
      </c>
    </row>
    <row r="414" spans="1:13" x14ac:dyDescent="0.25">
      <c r="A414" s="1" t="s">
        <v>123</v>
      </c>
      <c r="B414" s="1" t="s">
        <v>273</v>
      </c>
      <c r="C414">
        <v>5</v>
      </c>
      <c r="D414">
        <v>4</v>
      </c>
      <c r="E414">
        <v>6</v>
      </c>
      <c r="F414">
        <v>2</v>
      </c>
      <c r="G414">
        <v>3</v>
      </c>
      <c r="H414">
        <v>4</v>
      </c>
      <c r="I414">
        <v>53</v>
      </c>
      <c r="J414">
        <v>57</v>
      </c>
      <c r="K414">
        <v>30</v>
      </c>
      <c r="L414">
        <v>7</v>
      </c>
      <c r="M414">
        <v>52</v>
      </c>
    </row>
    <row r="415" spans="1:13" x14ac:dyDescent="0.25">
      <c r="A415" s="1" t="s">
        <v>560</v>
      </c>
      <c r="B415" s="1" t="s">
        <v>145</v>
      </c>
      <c r="C415">
        <v>4</v>
      </c>
      <c r="D415">
        <v>2</v>
      </c>
      <c r="E415">
        <v>4</v>
      </c>
      <c r="F415">
        <v>5</v>
      </c>
      <c r="G415">
        <v>5</v>
      </c>
      <c r="H415">
        <v>4</v>
      </c>
      <c r="I415">
        <v>52</v>
      </c>
      <c r="J415">
        <v>73</v>
      </c>
      <c r="K415">
        <v>12</v>
      </c>
      <c r="L415">
        <v>3</v>
      </c>
      <c r="M415">
        <v>7</v>
      </c>
    </row>
    <row r="416" spans="1:13" x14ac:dyDescent="0.25">
      <c r="A416" s="1" t="s">
        <v>561</v>
      </c>
      <c r="B416" s="1" t="s">
        <v>133</v>
      </c>
      <c r="C416">
        <v>7</v>
      </c>
      <c r="D416">
        <v>4</v>
      </c>
      <c r="E416">
        <v>3</v>
      </c>
      <c r="F416">
        <v>2</v>
      </c>
      <c r="G416">
        <v>5</v>
      </c>
      <c r="H416">
        <v>5</v>
      </c>
      <c r="I416">
        <v>41</v>
      </c>
      <c r="J416">
        <v>23</v>
      </c>
      <c r="K416">
        <v>84</v>
      </c>
      <c r="L416">
        <v>93</v>
      </c>
      <c r="M416">
        <v>6</v>
      </c>
    </row>
    <row r="417" spans="1:13" x14ac:dyDescent="0.25">
      <c r="A417" s="1" t="s">
        <v>562</v>
      </c>
      <c r="B417" s="1" t="s">
        <v>369</v>
      </c>
      <c r="C417">
        <v>3</v>
      </c>
      <c r="D417">
        <v>3</v>
      </c>
      <c r="E417">
        <v>4</v>
      </c>
      <c r="F417">
        <v>4</v>
      </c>
      <c r="G417">
        <v>5</v>
      </c>
      <c r="H417">
        <v>5</v>
      </c>
      <c r="I417">
        <v>44</v>
      </c>
      <c r="J417">
        <v>90</v>
      </c>
      <c r="K417">
        <v>71</v>
      </c>
      <c r="L417">
        <v>41</v>
      </c>
      <c r="M417">
        <v>60</v>
      </c>
    </row>
    <row r="418" spans="1:13" x14ac:dyDescent="0.25">
      <c r="A418" s="1" t="s">
        <v>563</v>
      </c>
      <c r="B418" s="1" t="s">
        <v>101</v>
      </c>
      <c r="C418">
        <v>0</v>
      </c>
      <c r="D418">
        <v>5</v>
      </c>
      <c r="E418">
        <v>2</v>
      </c>
      <c r="F418">
        <v>4</v>
      </c>
      <c r="G418">
        <v>2</v>
      </c>
      <c r="H418">
        <v>6</v>
      </c>
      <c r="I418">
        <v>27</v>
      </c>
      <c r="J418">
        <v>56</v>
      </c>
      <c r="K418">
        <v>54</v>
      </c>
      <c r="L418">
        <v>99</v>
      </c>
      <c r="M418">
        <v>27</v>
      </c>
    </row>
    <row r="419" spans="1:13" x14ac:dyDescent="0.25">
      <c r="A419" s="1" t="s">
        <v>564</v>
      </c>
      <c r="B419" s="1" t="s">
        <v>145</v>
      </c>
      <c r="C419">
        <v>6</v>
      </c>
      <c r="D419">
        <v>4</v>
      </c>
      <c r="E419">
        <v>5</v>
      </c>
      <c r="F419">
        <v>6</v>
      </c>
      <c r="G419">
        <v>2</v>
      </c>
      <c r="H419">
        <v>5</v>
      </c>
      <c r="I419">
        <v>56</v>
      </c>
      <c r="J419">
        <v>47</v>
      </c>
      <c r="K419">
        <v>34</v>
      </c>
      <c r="L419">
        <v>65</v>
      </c>
      <c r="M419">
        <v>87</v>
      </c>
    </row>
    <row r="420" spans="1:13" x14ac:dyDescent="0.25">
      <c r="A420" s="1" t="s">
        <v>565</v>
      </c>
      <c r="B420" s="1" t="s">
        <v>302</v>
      </c>
      <c r="C420">
        <v>3</v>
      </c>
      <c r="D420">
        <v>5</v>
      </c>
      <c r="E420">
        <v>6</v>
      </c>
      <c r="F420">
        <v>4</v>
      </c>
      <c r="G420">
        <v>6</v>
      </c>
      <c r="H420">
        <v>6</v>
      </c>
      <c r="I420">
        <v>79</v>
      </c>
      <c r="J420">
        <v>52</v>
      </c>
      <c r="K420">
        <v>11</v>
      </c>
      <c r="L420">
        <v>9</v>
      </c>
      <c r="M420">
        <v>83</v>
      </c>
    </row>
    <row r="421" spans="1:13" x14ac:dyDescent="0.25">
      <c r="A421" s="1" t="s">
        <v>566</v>
      </c>
      <c r="B421" s="1" t="s">
        <v>174</v>
      </c>
      <c r="C421">
        <v>6</v>
      </c>
      <c r="D421">
        <v>5</v>
      </c>
      <c r="E421">
        <v>5</v>
      </c>
      <c r="F421">
        <v>5</v>
      </c>
      <c r="G421">
        <v>4</v>
      </c>
      <c r="H421">
        <v>4</v>
      </c>
      <c r="I421">
        <v>34</v>
      </c>
      <c r="J421">
        <v>15</v>
      </c>
      <c r="K421">
        <v>40</v>
      </c>
      <c r="L421">
        <v>85</v>
      </c>
      <c r="M421">
        <v>52</v>
      </c>
    </row>
    <row r="422" spans="1:13" x14ac:dyDescent="0.25">
      <c r="A422" s="1" t="s">
        <v>567</v>
      </c>
      <c r="B422" s="1" t="s">
        <v>568</v>
      </c>
      <c r="C422">
        <v>1</v>
      </c>
      <c r="D422">
        <v>3</v>
      </c>
      <c r="E422">
        <v>4</v>
      </c>
      <c r="F422">
        <v>6</v>
      </c>
      <c r="G422">
        <v>6</v>
      </c>
      <c r="H422">
        <v>3</v>
      </c>
      <c r="I422">
        <v>52</v>
      </c>
      <c r="J422">
        <v>36</v>
      </c>
      <c r="K422">
        <v>41</v>
      </c>
      <c r="L422">
        <v>96</v>
      </c>
      <c r="M422">
        <v>66</v>
      </c>
    </row>
    <row r="423" spans="1:13" x14ac:dyDescent="0.25">
      <c r="A423" s="1" t="s">
        <v>569</v>
      </c>
      <c r="B423" s="1" t="s">
        <v>222</v>
      </c>
      <c r="C423">
        <v>5</v>
      </c>
      <c r="D423">
        <v>4</v>
      </c>
      <c r="E423">
        <v>6</v>
      </c>
      <c r="F423">
        <v>5</v>
      </c>
      <c r="G423">
        <v>5</v>
      </c>
      <c r="H423">
        <v>3</v>
      </c>
      <c r="I423">
        <v>41</v>
      </c>
      <c r="J423">
        <v>35</v>
      </c>
      <c r="K423">
        <v>54</v>
      </c>
      <c r="L423">
        <v>14</v>
      </c>
      <c r="M423">
        <v>29</v>
      </c>
    </row>
    <row r="424" spans="1:13" x14ac:dyDescent="0.25">
      <c r="A424" s="1" t="s">
        <v>570</v>
      </c>
      <c r="B424" s="1" t="s">
        <v>571</v>
      </c>
      <c r="C424">
        <v>5</v>
      </c>
      <c r="D424">
        <v>3</v>
      </c>
      <c r="E424">
        <v>5</v>
      </c>
      <c r="F424">
        <v>5</v>
      </c>
      <c r="G424">
        <v>3</v>
      </c>
      <c r="H424">
        <v>2</v>
      </c>
      <c r="I424">
        <v>25</v>
      </c>
      <c r="J424">
        <v>24</v>
      </c>
      <c r="K424">
        <v>28</v>
      </c>
      <c r="L424">
        <v>21</v>
      </c>
      <c r="M424">
        <v>24</v>
      </c>
    </row>
    <row r="425" spans="1:13" x14ac:dyDescent="0.25">
      <c r="A425" s="1" t="s">
        <v>572</v>
      </c>
      <c r="B425" s="1" t="s">
        <v>177</v>
      </c>
      <c r="C425">
        <v>3</v>
      </c>
      <c r="D425">
        <v>4</v>
      </c>
      <c r="E425">
        <v>2</v>
      </c>
      <c r="F425">
        <v>5</v>
      </c>
      <c r="G425">
        <v>2</v>
      </c>
      <c r="H425">
        <v>6</v>
      </c>
      <c r="I425">
        <v>80</v>
      </c>
      <c r="J425">
        <v>86</v>
      </c>
      <c r="K425">
        <v>29</v>
      </c>
      <c r="L425">
        <v>32</v>
      </c>
      <c r="M425">
        <v>85</v>
      </c>
    </row>
    <row r="426" spans="1:13" x14ac:dyDescent="0.25">
      <c r="A426" s="1" t="s">
        <v>573</v>
      </c>
      <c r="B426" s="1" t="s">
        <v>526</v>
      </c>
      <c r="C426">
        <v>4</v>
      </c>
      <c r="D426">
        <v>3</v>
      </c>
      <c r="E426">
        <v>5</v>
      </c>
      <c r="F426">
        <v>6</v>
      </c>
      <c r="G426">
        <v>3</v>
      </c>
      <c r="H426">
        <v>4</v>
      </c>
      <c r="I426">
        <v>68</v>
      </c>
      <c r="J426">
        <v>19</v>
      </c>
      <c r="K426">
        <v>94</v>
      </c>
      <c r="L426">
        <v>92</v>
      </c>
      <c r="M426">
        <v>62</v>
      </c>
    </row>
    <row r="427" spans="1:13" x14ac:dyDescent="0.25">
      <c r="A427" s="1" t="s">
        <v>574</v>
      </c>
      <c r="B427" s="1" t="s">
        <v>575</v>
      </c>
      <c r="C427">
        <v>4</v>
      </c>
      <c r="D427">
        <v>2</v>
      </c>
      <c r="E427">
        <v>5</v>
      </c>
      <c r="F427">
        <v>2</v>
      </c>
      <c r="G427">
        <v>5</v>
      </c>
      <c r="H427">
        <v>4</v>
      </c>
      <c r="I427">
        <v>74</v>
      </c>
      <c r="J427">
        <v>85</v>
      </c>
      <c r="K427">
        <v>21</v>
      </c>
      <c r="L427">
        <v>33</v>
      </c>
      <c r="M427">
        <v>9</v>
      </c>
    </row>
    <row r="428" spans="1:13" x14ac:dyDescent="0.25">
      <c r="A428" s="1" t="s">
        <v>403</v>
      </c>
      <c r="B428" s="1" t="s">
        <v>64</v>
      </c>
      <c r="C428">
        <v>0</v>
      </c>
      <c r="D428">
        <v>2</v>
      </c>
      <c r="E428">
        <v>3</v>
      </c>
      <c r="F428">
        <v>5</v>
      </c>
      <c r="G428">
        <v>4</v>
      </c>
      <c r="H428">
        <v>6</v>
      </c>
      <c r="I428">
        <v>40</v>
      </c>
      <c r="J428">
        <v>46</v>
      </c>
      <c r="K428">
        <v>1</v>
      </c>
      <c r="L428">
        <v>98</v>
      </c>
      <c r="M428">
        <v>39</v>
      </c>
    </row>
    <row r="429" spans="1:13" x14ac:dyDescent="0.25">
      <c r="A429" s="1" t="s">
        <v>576</v>
      </c>
      <c r="B429" s="1" t="s">
        <v>430</v>
      </c>
      <c r="C429">
        <v>7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1</v>
      </c>
      <c r="J429">
        <v>25</v>
      </c>
      <c r="K429">
        <v>33</v>
      </c>
      <c r="L429">
        <v>91</v>
      </c>
      <c r="M429">
        <v>60</v>
      </c>
    </row>
    <row r="430" spans="1:13" x14ac:dyDescent="0.25">
      <c r="A430" s="1" t="s">
        <v>577</v>
      </c>
      <c r="B430" s="1" t="s">
        <v>360</v>
      </c>
      <c r="C430">
        <v>3</v>
      </c>
      <c r="D430">
        <v>3</v>
      </c>
      <c r="E430">
        <v>6</v>
      </c>
      <c r="F430">
        <v>4</v>
      </c>
      <c r="G430">
        <v>4</v>
      </c>
      <c r="H430">
        <v>3</v>
      </c>
      <c r="I430">
        <v>87</v>
      </c>
      <c r="J430">
        <v>50</v>
      </c>
      <c r="K430">
        <v>61</v>
      </c>
      <c r="L430">
        <v>48</v>
      </c>
      <c r="M430">
        <v>86</v>
      </c>
    </row>
    <row r="431" spans="1:13" x14ac:dyDescent="0.25">
      <c r="A431" s="1" t="s">
        <v>578</v>
      </c>
      <c r="B431" s="1" t="s">
        <v>579</v>
      </c>
      <c r="C431">
        <v>5</v>
      </c>
      <c r="D431">
        <v>6</v>
      </c>
      <c r="E431">
        <v>4</v>
      </c>
      <c r="F431">
        <v>2</v>
      </c>
      <c r="G431">
        <v>4</v>
      </c>
      <c r="H431">
        <v>3</v>
      </c>
      <c r="I431">
        <v>100</v>
      </c>
      <c r="J431">
        <v>74</v>
      </c>
      <c r="K431">
        <v>76</v>
      </c>
      <c r="L431">
        <v>47</v>
      </c>
      <c r="M431">
        <v>29</v>
      </c>
    </row>
    <row r="432" spans="1:13" x14ac:dyDescent="0.25">
      <c r="A432" s="1" t="s">
        <v>580</v>
      </c>
      <c r="B432" s="1" t="s">
        <v>14</v>
      </c>
      <c r="C432">
        <v>1</v>
      </c>
      <c r="D432">
        <v>6</v>
      </c>
      <c r="E432">
        <v>5</v>
      </c>
      <c r="F432">
        <v>2</v>
      </c>
      <c r="G432">
        <v>5</v>
      </c>
      <c r="H432">
        <v>5</v>
      </c>
      <c r="I432">
        <v>59</v>
      </c>
      <c r="J432">
        <v>30</v>
      </c>
      <c r="K432">
        <v>96</v>
      </c>
      <c r="L432">
        <v>53</v>
      </c>
      <c r="M432">
        <v>87</v>
      </c>
    </row>
    <row r="433" spans="1:13" x14ac:dyDescent="0.25">
      <c r="A433" s="1" t="s">
        <v>581</v>
      </c>
      <c r="B433" s="1" t="s">
        <v>70</v>
      </c>
      <c r="C433">
        <v>6</v>
      </c>
      <c r="D433">
        <v>2</v>
      </c>
      <c r="E433">
        <v>6</v>
      </c>
      <c r="F433">
        <v>4</v>
      </c>
      <c r="G433">
        <v>4</v>
      </c>
      <c r="H433">
        <v>6</v>
      </c>
      <c r="I433">
        <v>51</v>
      </c>
      <c r="J433">
        <v>98</v>
      </c>
      <c r="K433">
        <v>20</v>
      </c>
      <c r="L433">
        <v>37</v>
      </c>
      <c r="M433">
        <v>54</v>
      </c>
    </row>
    <row r="434" spans="1:13" x14ac:dyDescent="0.25">
      <c r="A434" s="1" t="s">
        <v>380</v>
      </c>
      <c r="B434" s="1" t="s">
        <v>126</v>
      </c>
      <c r="C434">
        <v>7</v>
      </c>
      <c r="D434">
        <v>6</v>
      </c>
      <c r="E434">
        <v>2</v>
      </c>
      <c r="F434">
        <v>6</v>
      </c>
      <c r="G434">
        <v>2</v>
      </c>
      <c r="H434">
        <v>6</v>
      </c>
      <c r="I434">
        <v>75</v>
      </c>
      <c r="J434">
        <v>60</v>
      </c>
      <c r="K434">
        <v>80</v>
      </c>
      <c r="L434">
        <v>86</v>
      </c>
      <c r="M434">
        <v>91</v>
      </c>
    </row>
    <row r="435" spans="1:13" x14ac:dyDescent="0.25">
      <c r="A435" s="1" t="s">
        <v>582</v>
      </c>
      <c r="B435" s="1" t="s">
        <v>367</v>
      </c>
      <c r="C435">
        <v>5</v>
      </c>
      <c r="D435">
        <v>3</v>
      </c>
      <c r="E435">
        <v>2</v>
      </c>
      <c r="F435">
        <v>6</v>
      </c>
      <c r="G435">
        <v>2</v>
      </c>
      <c r="H435">
        <v>2</v>
      </c>
      <c r="I435">
        <v>28</v>
      </c>
      <c r="J435">
        <v>28</v>
      </c>
      <c r="K435">
        <v>14</v>
      </c>
      <c r="L435">
        <v>52</v>
      </c>
      <c r="M435">
        <v>35</v>
      </c>
    </row>
    <row r="436" spans="1:13" x14ac:dyDescent="0.25">
      <c r="A436" s="1" t="s">
        <v>583</v>
      </c>
      <c r="B436" s="1" t="s">
        <v>133</v>
      </c>
      <c r="C436">
        <v>8</v>
      </c>
      <c r="D436">
        <v>3</v>
      </c>
      <c r="E436">
        <v>5</v>
      </c>
      <c r="F436">
        <v>5</v>
      </c>
      <c r="G436">
        <v>5</v>
      </c>
      <c r="H436">
        <v>6</v>
      </c>
      <c r="I436">
        <v>63</v>
      </c>
      <c r="J436">
        <v>66</v>
      </c>
      <c r="K436">
        <v>71</v>
      </c>
      <c r="L436">
        <v>11</v>
      </c>
      <c r="M436">
        <v>57</v>
      </c>
    </row>
    <row r="437" spans="1:13" x14ac:dyDescent="0.25">
      <c r="A437" s="1" t="s">
        <v>584</v>
      </c>
      <c r="B437" s="1" t="s">
        <v>171</v>
      </c>
      <c r="C437">
        <v>5</v>
      </c>
      <c r="D437">
        <v>5</v>
      </c>
      <c r="E437">
        <v>5</v>
      </c>
      <c r="F437">
        <v>5</v>
      </c>
      <c r="G437">
        <v>2</v>
      </c>
      <c r="H437">
        <v>6</v>
      </c>
      <c r="I437">
        <v>45</v>
      </c>
      <c r="J437">
        <v>94</v>
      </c>
      <c r="K437">
        <v>45</v>
      </c>
      <c r="L437">
        <v>100</v>
      </c>
      <c r="M437">
        <v>98</v>
      </c>
    </row>
    <row r="438" spans="1:13" x14ac:dyDescent="0.25">
      <c r="A438" s="1" t="s">
        <v>585</v>
      </c>
      <c r="B438" s="1" t="s">
        <v>586</v>
      </c>
      <c r="C438">
        <v>6</v>
      </c>
      <c r="D438">
        <v>5</v>
      </c>
      <c r="E438">
        <v>4</v>
      </c>
      <c r="F438">
        <v>5</v>
      </c>
      <c r="G438">
        <v>6</v>
      </c>
      <c r="H438">
        <v>3</v>
      </c>
      <c r="I438">
        <v>90</v>
      </c>
      <c r="J438">
        <v>98</v>
      </c>
      <c r="K438">
        <v>10</v>
      </c>
      <c r="L438">
        <v>95</v>
      </c>
      <c r="M438">
        <v>63</v>
      </c>
    </row>
    <row r="439" spans="1:13" x14ac:dyDescent="0.25">
      <c r="A439" s="1" t="s">
        <v>587</v>
      </c>
      <c r="B439" s="1" t="s">
        <v>495</v>
      </c>
      <c r="C439">
        <v>7</v>
      </c>
      <c r="D439">
        <v>4</v>
      </c>
      <c r="E439">
        <v>6</v>
      </c>
      <c r="F439">
        <v>5</v>
      </c>
      <c r="G439">
        <v>4</v>
      </c>
      <c r="H439">
        <v>6</v>
      </c>
      <c r="I439">
        <v>3</v>
      </c>
      <c r="J439">
        <v>73</v>
      </c>
      <c r="K439">
        <v>19</v>
      </c>
      <c r="L439">
        <v>42</v>
      </c>
      <c r="M439">
        <v>88</v>
      </c>
    </row>
    <row r="440" spans="1:13" x14ac:dyDescent="0.25">
      <c r="A440" s="1" t="s">
        <v>588</v>
      </c>
      <c r="B440" s="1" t="s">
        <v>586</v>
      </c>
      <c r="C440">
        <v>0</v>
      </c>
      <c r="D440">
        <v>2</v>
      </c>
      <c r="E440">
        <v>3</v>
      </c>
      <c r="F440">
        <v>3</v>
      </c>
      <c r="G440">
        <v>5</v>
      </c>
      <c r="H440">
        <v>2</v>
      </c>
      <c r="I440">
        <v>82</v>
      </c>
      <c r="J440">
        <v>61</v>
      </c>
      <c r="K440">
        <v>59</v>
      </c>
      <c r="L440">
        <v>51</v>
      </c>
      <c r="M440">
        <v>71</v>
      </c>
    </row>
    <row r="441" spans="1:13" x14ac:dyDescent="0.25">
      <c r="A441" s="1" t="s">
        <v>235</v>
      </c>
      <c r="B441" s="1" t="s">
        <v>110</v>
      </c>
      <c r="C441">
        <v>0</v>
      </c>
      <c r="D441">
        <v>5</v>
      </c>
      <c r="E441">
        <v>6</v>
      </c>
      <c r="F441">
        <v>4</v>
      </c>
      <c r="G441">
        <v>2</v>
      </c>
      <c r="H441">
        <v>6</v>
      </c>
      <c r="I441">
        <v>8</v>
      </c>
      <c r="J441">
        <v>13</v>
      </c>
      <c r="K441">
        <v>38</v>
      </c>
      <c r="L441">
        <v>1</v>
      </c>
      <c r="M441">
        <v>39</v>
      </c>
    </row>
    <row r="442" spans="1:13" x14ac:dyDescent="0.25">
      <c r="A442" s="1" t="s">
        <v>589</v>
      </c>
      <c r="B442" s="1" t="s">
        <v>590</v>
      </c>
      <c r="C442">
        <v>4</v>
      </c>
      <c r="D442">
        <v>2</v>
      </c>
      <c r="E442">
        <v>4</v>
      </c>
      <c r="F442">
        <v>4</v>
      </c>
      <c r="G442">
        <v>4</v>
      </c>
      <c r="H442">
        <v>3</v>
      </c>
      <c r="I442">
        <v>25</v>
      </c>
      <c r="J442">
        <v>86</v>
      </c>
      <c r="K442">
        <v>7</v>
      </c>
      <c r="L442">
        <v>3</v>
      </c>
      <c r="M442">
        <v>94</v>
      </c>
    </row>
    <row r="443" spans="1:13" x14ac:dyDescent="0.25">
      <c r="A443" s="1" t="s">
        <v>591</v>
      </c>
      <c r="B443" s="1" t="s">
        <v>197</v>
      </c>
      <c r="C443">
        <v>6</v>
      </c>
      <c r="D443">
        <v>3</v>
      </c>
      <c r="E443">
        <v>3</v>
      </c>
      <c r="F443">
        <v>3</v>
      </c>
      <c r="G443">
        <v>2</v>
      </c>
      <c r="H443">
        <v>3</v>
      </c>
      <c r="I443">
        <v>53</v>
      </c>
      <c r="J443">
        <v>53</v>
      </c>
      <c r="K443">
        <v>15</v>
      </c>
      <c r="L443">
        <v>53</v>
      </c>
      <c r="M443">
        <v>80</v>
      </c>
    </row>
    <row r="444" spans="1:13" x14ac:dyDescent="0.25">
      <c r="A444" s="1" t="s">
        <v>592</v>
      </c>
      <c r="B444" s="1" t="s">
        <v>593</v>
      </c>
      <c r="C444">
        <v>3</v>
      </c>
      <c r="D444">
        <v>3</v>
      </c>
      <c r="E444">
        <v>4</v>
      </c>
      <c r="F444">
        <v>2</v>
      </c>
      <c r="G444">
        <v>6</v>
      </c>
      <c r="H444">
        <v>4</v>
      </c>
      <c r="I444">
        <v>22</v>
      </c>
      <c r="J444">
        <v>48</v>
      </c>
      <c r="K444">
        <v>26</v>
      </c>
      <c r="L444">
        <v>43</v>
      </c>
      <c r="M444">
        <v>10</v>
      </c>
    </row>
    <row r="445" spans="1:13" x14ac:dyDescent="0.25">
      <c r="A445" s="1" t="s">
        <v>594</v>
      </c>
      <c r="B445" s="1" t="s">
        <v>32</v>
      </c>
      <c r="C445">
        <v>3</v>
      </c>
      <c r="D445">
        <v>2</v>
      </c>
      <c r="E445">
        <v>4</v>
      </c>
      <c r="F445">
        <v>3</v>
      </c>
      <c r="G445">
        <v>2</v>
      </c>
      <c r="H445">
        <v>5</v>
      </c>
      <c r="I445">
        <v>90</v>
      </c>
      <c r="J445">
        <v>97</v>
      </c>
      <c r="K445">
        <v>7</v>
      </c>
      <c r="L445">
        <v>59</v>
      </c>
      <c r="M445">
        <v>100</v>
      </c>
    </row>
    <row r="446" spans="1:13" x14ac:dyDescent="0.25">
      <c r="A446" s="1" t="s">
        <v>595</v>
      </c>
      <c r="B446" s="1" t="s">
        <v>177</v>
      </c>
      <c r="C446">
        <v>4</v>
      </c>
      <c r="D446">
        <v>2</v>
      </c>
      <c r="E446">
        <v>4</v>
      </c>
      <c r="F446">
        <v>5</v>
      </c>
      <c r="G446">
        <v>4</v>
      </c>
      <c r="H446">
        <v>2</v>
      </c>
      <c r="I446">
        <v>9</v>
      </c>
      <c r="J446">
        <v>47</v>
      </c>
      <c r="K446">
        <v>56</v>
      </c>
      <c r="L446">
        <v>89</v>
      </c>
      <c r="M446">
        <v>55</v>
      </c>
    </row>
    <row r="447" spans="1:13" x14ac:dyDescent="0.25">
      <c r="A447" s="1" t="s">
        <v>596</v>
      </c>
      <c r="B447" s="1" t="s">
        <v>180</v>
      </c>
      <c r="C447">
        <v>4</v>
      </c>
      <c r="D447">
        <v>2</v>
      </c>
      <c r="E447">
        <v>2</v>
      </c>
      <c r="F447">
        <v>6</v>
      </c>
      <c r="G447">
        <v>4</v>
      </c>
      <c r="H447">
        <v>3</v>
      </c>
      <c r="I447">
        <v>47</v>
      </c>
      <c r="J447">
        <v>8</v>
      </c>
      <c r="K447">
        <v>77</v>
      </c>
      <c r="L447">
        <v>85</v>
      </c>
      <c r="M447">
        <v>10</v>
      </c>
    </row>
    <row r="448" spans="1:13" x14ac:dyDescent="0.25">
      <c r="A448" s="1" t="s">
        <v>597</v>
      </c>
      <c r="B448" s="1" t="s">
        <v>218</v>
      </c>
      <c r="C448">
        <v>4</v>
      </c>
      <c r="D448">
        <v>5</v>
      </c>
      <c r="E448">
        <v>4</v>
      </c>
      <c r="F448">
        <v>4</v>
      </c>
      <c r="G448">
        <v>5</v>
      </c>
      <c r="H448">
        <v>3</v>
      </c>
      <c r="I448">
        <v>59</v>
      </c>
      <c r="J448">
        <v>89</v>
      </c>
      <c r="K448">
        <v>32</v>
      </c>
      <c r="L448">
        <v>80</v>
      </c>
      <c r="M448">
        <v>38</v>
      </c>
    </row>
    <row r="449" spans="1:13" x14ac:dyDescent="0.25">
      <c r="A449" s="1" t="s">
        <v>598</v>
      </c>
      <c r="B449" s="1" t="s">
        <v>166</v>
      </c>
      <c r="C449">
        <v>8</v>
      </c>
      <c r="D449">
        <v>5</v>
      </c>
      <c r="E449">
        <v>5</v>
      </c>
      <c r="F449">
        <v>4</v>
      </c>
      <c r="G449">
        <v>6</v>
      </c>
      <c r="H449">
        <v>2</v>
      </c>
      <c r="I449">
        <v>60</v>
      </c>
      <c r="J449">
        <v>31</v>
      </c>
      <c r="K449">
        <v>86</v>
      </c>
      <c r="L449">
        <v>76</v>
      </c>
      <c r="M449">
        <v>64</v>
      </c>
    </row>
    <row r="450" spans="1:13" x14ac:dyDescent="0.25">
      <c r="A450" s="1" t="s">
        <v>599</v>
      </c>
      <c r="B450" s="1" t="s">
        <v>600</v>
      </c>
      <c r="C450">
        <v>3</v>
      </c>
      <c r="D450">
        <v>4</v>
      </c>
      <c r="E450">
        <v>3</v>
      </c>
      <c r="F450">
        <v>5</v>
      </c>
      <c r="G450">
        <v>5</v>
      </c>
      <c r="H450">
        <v>5</v>
      </c>
      <c r="I450">
        <v>53</v>
      </c>
      <c r="J450">
        <v>78</v>
      </c>
      <c r="K450">
        <v>73</v>
      </c>
      <c r="L450">
        <v>89</v>
      </c>
      <c r="M450">
        <v>32</v>
      </c>
    </row>
    <row r="451" spans="1:13" x14ac:dyDescent="0.25">
      <c r="A451" s="1" t="s">
        <v>601</v>
      </c>
      <c r="B451" s="1" t="s">
        <v>121</v>
      </c>
      <c r="C451">
        <v>0</v>
      </c>
      <c r="D451">
        <v>4</v>
      </c>
      <c r="E451">
        <v>2</v>
      </c>
      <c r="F451">
        <v>2</v>
      </c>
      <c r="G451">
        <v>2</v>
      </c>
      <c r="H451">
        <v>6</v>
      </c>
      <c r="I451">
        <v>88</v>
      </c>
      <c r="J451">
        <v>43</v>
      </c>
      <c r="K451">
        <v>91</v>
      </c>
      <c r="L451">
        <v>4</v>
      </c>
      <c r="M451">
        <v>78</v>
      </c>
    </row>
    <row r="452" spans="1:13" x14ac:dyDescent="0.25">
      <c r="A452" s="1" t="s">
        <v>602</v>
      </c>
      <c r="B452" s="1" t="s">
        <v>58</v>
      </c>
      <c r="C452">
        <v>1</v>
      </c>
      <c r="D452">
        <v>5</v>
      </c>
      <c r="E452">
        <v>4</v>
      </c>
      <c r="F452">
        <v>6</v>
      </c>
      <c r="G452">
        <v>4</v>
      </c>
      <c r="H452">
        <v>2</v>
      </c>
      <c r="I452">
        <v>4</v>
      </c>
      <c r="J452">
        <v>97</v>
      </c>
      <c r="K452">
        <v>75</v>
      </c>
      <c r="L452">
        <v>86</v>
      </c>
      <c r="M452">
        <v>10</v>
      </c>
    </row>
    <row r="453" spans="1:13" x14ac:dyDescent="0.25">
      <c r="A453" s="1" t="s">
        <v>603</v>
      </c>
      <c r="B453" s="1" t="s">
        <v>604</v>
      </c>
      <c r="C453">
        <v>7</v>
      </c>
      <c r="D453">
        <v>4</v>
      </c>
      <c r="E453">
        <v>3</v>
      </c>
      <c r="F453">
        <v>6</v>
      </c>
      <c r="G453">
        <v>3</v>
      </c>
      <c r="H453">
        <v>2</v>
      </c>
      <c r="I453">
        <v>28</v>
      </c>
      <c r="J453">
        <v>75</v>
      </c>
      <c r="K453">
        <v>15</v>
      </c>
      <c r="L453">
        <v>6</v>
      </c>
      <c r="M453">
        <v>33</v>
      </c>
    </row>
    <row r="454" spans="1:13" x14ac:dyDescent="0.25">
      <c r="A454" s="1" t="s">
        <v>605</v>
      </c>
      <c r="B454" s="1" t="s">
        <v>110</v>
      </c>
      <c r="C454">
        <v>4</v>
      </c>
      <c r="D454">
        <v>2</v>
      </c>
      <c r="E454">
        <v>4</v>
      </c>
      <c r="F454">
        <v>6</v>
      </c>
      <c r="G454">
        <v>5</v>
      </c>
      <c r="H454">
        <v>5</v>
      </c>
      <c r="I454">
        <v>29</v>
      </c>
      <c r="J454">
        <v>92</v>
      </c>
      <c r="K454">
        <v>99</v>
      </c>
      <c r="L454">
        <v>79</v>
      </c>
      <c r="M454">
        <v>8</v>
      </c>
    </row>
    <row r="455" spans="1:13" x14ac:dyDescent="0.25">
      <c r="A455" s="1" t="s">
        <v>606</v>
      </c>
      <c r="B455" s="1" t="s">
        <v>242</v>
      </c>
      <c r="C455">
        <v>2</v>
      </c>
      <c r="D455">
        <v>5</v>
      </c>
      <c r="E455">
        <v>3</v>
      </c>
      <c r="F455">
        <v>2</v>
      </c>
      <c r="G455">
        <v>3</v>
      </c>
      <c r="H455">
        <v>6</v>
      </c>
      <c r="I455">
        <v>59</v>
      </c>
      <c r="J455">
        <v>29</v>
      </c>
      <c r="K455">
        <v>92</v>
      </c>
      <c r="L455">
        <v>96</v>
      </c>
      <c r="M455">
        <v>77</v>
      </c>
    </row>
    <row r="456" spans="1:13" x14ac:dyDescent="0.25">
      <c r="A456" s="1" t="s">
        <v>423</v>
      </c>
      <c r="B456" s="1" t="s">
        <v>76</v>
      </c>
      <c r="C456">
        <v>0</v>
      </c>
      <c r="D456">
        <v>6</v>
      </c>
      <c r="E456">
        <v>6</v>
      </c>
      <c r="F456">
        <v>5</v>
      </c>
      <c r="G456">
        <v>4</v>
      </c>
      <c r="H456">
        <v>3</v>
      </c>
      <c r="I456">
        <v>98</v>
      </c>
      <c r="J456">
        <v>79</v>
      </c>
      <c r="K456">
        <v>65</v>
      </c>
      <c r="L456">
        <v>41</v>
      </c>
      <c r="M456">
        <v>48</v>
      </c>
    </row>
    <row r="457" spans="1:13" x14ac:dyDescent="0.25">
      <c r="A457" s="1" t="s">
        <v>607</v>
      </c>
      <c r="B457" s="1" t="s">
        <v>608</v>
      </c>
      <c r="C457">
        <v>2</v>
      </c>
      <c r="D457">
        <v>2</v>
      </c>
      <c r="E457">
        <v>6</v>
      </c>
      <c r="F457">
        <v>5</v>
      </c>
      <c r="G457">
        <v>6</v>
      </c>
      <c r="H457">
        <v>3</v>
      </c>
      <c r="I457">
        <v>74</v>
      </c>
      <c r="J457">
        <v>25</v>
      </c>
      <c r="K457">
        <v>78</v>
      </c>
      <c r="L457">
        <v>6</v>
      </c>
      <c r="M457">
        <v>69</v>
      </c>
    </row>
    <row r="458" spans="1:13" x14ac:dyDescent="0.25">
      <c r="A458" s="1" t="s">
        <v>609</v>
      </c>
      <c r="B458" s="1" t="s">
        <v>242</v>
      </c>
      <c r="C458">
        <v>3</v>
      </c>
      <c r="D458">
        <v>2</v>
      </c>
      <c r="E458">
        <v>4</v>
      </c>
      <c r="F458">
        <v>5</v>
      </c>
      <c r="G458">
        <v>2</v>
      </c>
      <c r="H458">
        <v>5</v>
      </c>
      <c r="I458">
        <v>12</v>
      </c>
      <c r="J458">
        <v>96</v>
      </c>
      <c r="K458">
        <v>66</v>
      </c>
      <c r="L458">
        <v>17</v>
      </c>
      <c r="M458">
        <v>86</v>
      </c>
    </row>
    <row r="459" spans="1:13" x14ac:dyDescent="0.25">
      <c r="A459" s="1" t="s">
        <v>514</v>
      </c>
      <c r="B459" s="1" t="s">
        <v>316</v>
      </c>
      <c r="C459">
        <v>3</v>
      </c>
      <c r="D459">
        <v>5</v>
      </c>
      <c r="E459">
        <v>5</v>
      </c>
      <c r="F459">
        <v>3</v>
      </c>
      <c r="G459">
        <v>2</v>
      </c>
      <c r="H459">
        <v>2</v>
      </c>
      <c r="I459">
        <v>53</v>
      </c>
      <c r="J459">
        <v>89</v>
      </c>
      <c r="K459">
        <v>16</v>
      </c>
      <c r="L459">
        <v>27</v>
      </c>
      <c r="M459">
        <v>62</v>
      </c>
    </row>
    <row r="460" spans="1:13" x14ac:dyDescent="0.25">
      <c r="A460" s="1" t="s">
        <v>610</v>
      </c>
      <c r="B460" s="1" t="s">
        <v>395</v>
      </c>
      <c r="C460">
        <v>4</v>
      </c>
      <c r="D460">
        <v>3</v>
      </c>
      <c r="E460">
        <v>6</v>
      </c>
      <c r="F460">
        <v>4</v>
      </c>
      <c r="G460">
        <v>6</v>
      </c>
      <c r="H460">
        <v>6</v>
      </c>
      <c r="I460">
        <v>90</v>
      </c>
      <c r="J460">
        <v>31</v>
      </c>
      <c r="K460">
        <v>75</v>
      </c>
      <c r="L460">
        <v>1</v>
      </c>
      <c r="M460">
        <v>58</v>
      </c>
    </row>
    <row r="461" spans="1:13" x14ac:dyDescent="0.25">
      <c r="A461" s="1" t="s">
        <v>611</v>
      </c>
      <c r="B461" s="1" t="s">
        <v>395</v>
      </c>
      <c r="C461">
        <v>0</v>
      </c>
      <c r="D461">
        <v>3</v>
      </c>
      <c r="E461">
        <v>3</v>
      </c>
      <c r="F461">
        <v>4</v>
      </c>
      <c r="G461">
        <v>2</v>
      </c>
      <c r="H461">
        <v>4</v>
      </c>
      <c r="I461">
        <v>92</v>
      </c>
      <c r="J461">
        <v>47</v>
      </c>
      <c r="K461">
        <v>27</v>
      </c>
      <c r="L461">
        <v>40</v>
      </c>
      <c r="M461">
        <v>35</v>
      </c>
    </row>
    <row r="462" spans="1:13" x14ac:dyDescent="0.25">
      <c r="A462" s="1" t="s">
        <v>612</v>
      </c>
      <c r="B462" s="1" t="s">
        <v>164</v>
      </c>
      <c r="C462">
        <v>6</v>
      </c>
      <c r="D462">
        <v>4</v>
      </c>
      <c r="E462">
        <v>3</v>
      </c>
      <c r="F462">
        <v>2</v>
      </c>
      <c r="G462">
        <v>3</v>
      </c>
      <c r="H462">
        <v>5</v>
      </c>
      <c r="I462">
        <v>57</v>
      </c>
      <c r="J462">
        <v>67</v>
      </c>
      <c r="K462">
        <v>51</v>
      </c>
      <c r="L462">
        <v>92</v>
      </c>
      <c r="M462">
        <v>72</v>
      </c>
    </row>
    <row r="463" spans="1:13" x14ac:dyDescent="0.25">
      <c r="A463" s="1" t="s">
        <v>613</v>
      </c>
      <c r="B463" s="1" t="s">
        <v>412</v>
      </c>
      <c r="C463">
        <v>0</v>
      </c>
      <c r="D463">
        <v>6</v>
      </c>
      <c r="E463">
        <v>3</v>
      </c>
      <c r="F463">
        <v>6</v>
      </c>
      <c r="G463">
        <v>6</v>
      </c>
      <c r="H463">
        <v>4</v>
      </c>
      <c r="I463">
        <v>74</v>
      </c>
      <c r="J463">
        <v>60</v>
      </c>
      <c r="K463">
        <v>83</v>
      </c>
      <c r="L463">
        <v>39</v>
      </c>
      <c r="M463">
        <v>97</v>
      </c>
    </row>
    <row r="464" spans="1:13" x14ac:dyDescent="0.25">
      <c r="A464" s="1" t="s">
        <v>614</v>
      </c>
      <c r="B464" s="1" t="s">
        <v>615</v>
      </c>
      <c r="C464">
        <v>7</v>
      </c>
      <c r="D464">
        <v>6</v>
      </c>
      <c r="E464">
        <v>2</v>
      </c>
      <c r="F464">
        <v>3</v>
      </c>
      <c r="G464">
        <v>2</v>
      </c>
      <c r="H464">
        <v>3</v>
      </c>
      <c r="I464">
        <v>21</v>
      </c>
      <c r="J464">
        <v>16</v>
      </c>
      <c r="K464">
        <v>9</v>
      </c>
      <c r="L464">
        <v>49</v>
      </c>
      <c r="M464">
        <v>47</v>
      </c>
    </row>
    <row r="465" spans="1:13" x14ac:dyDescent="0.25">
      <c r="A465" s="1" t="s">
        <v>616</v>
      </c>
      <c r="B465" s="1" t="s">
        <v>249</v>
      </c>
      <c r="C465">
        <v>8</v>
      </c>
      <c r="D465">
        <v>3</v>
      </c>
      <c r="E465">
        <v>5</v>
      </c>
      <c r="F465">
        <v>6</v>
      </c>
      <c r="G465">
        <v>2</v>
      </c>
      <c r="H465">
        <v>4</v>
      </c>
      <c r="I465">
        <v>73</v>
      </c>
      <c r="J465">
        <v>70</v>
      </c>
      <c r="K465">
        <v>71</v>
      </c>
      <c r="L465">
        <v>84</v>
      </c>
      <c r="M465">
        <v>81</v>
      </c>
    </row>
    <row r="466" spans="1:13" x14ac:dyDescent="0.25">
      <c r="A466" s="1" t="s">
        <v>617</v>
      </c>
      <c r="B466" s="1" t="s">
        <v>397</v>
      </c>
      <c r="C466">
        <v>2</v>
      </c>
      <c r="D466">
        <v>4</v>
      </c>
      <c r="E466">
        <v>6</v>
      </c>
      <c r="F466">
        <v>4</v>
      </c>
      <c r="G466">
        <v>5</v>
      </c>
      <c r="H466">
        <v>2</v>
      </c>
      <c r="I466">
        <v>44</v>
      </c>
      <c r="J466">
        <v>8</v>
      </c>
      <c r="K466">
        <v>100</v>
      </c>
      <c r="L466">
        <v>54</v>
      </c>
      <c r="M466">
        <v>77</v>
      </c>
    </row>
    <row r="467" spans="1:13" x14ac:dyDescent="0.25">
      <c r="A467" s="1" t="s">
        <v>618</v>
      </c>
      <c r="B467" s="1" t="s">
        <v>180</v>
      </c>
      <c r="C467">
        <v>6</v>
      </c>
      <c r="D467">
        <v>3</v>
      </c>
      <c r="E467">
        <v>5</v>
      </c>
      <c r="F467">
        <v>4</v>
      </c>
      <c r="G467">
        <v>3</v>
      </c>
      <c r="H467">
        <v>2</v>
      </c>
      <c r="I467">
        <v>78</v>
      </c>
      <c r="J467">
        <v>17</v>
      </c>
      <c r="K467">
        <v>48</v>
      </c>
      <c r="L467">
        <v>42</v>
      </c>
      <c r="M467">
        <v>85</v>
      </c>
    </row>
    <row r="468" spans="1:13" x14ac:dyDescent="0.25">
      <c r="A468" s="1" t="s">
        <v>619</v>
      </c>
      <c r="B468" s="1" t="s">
        <v>620</v>
      </c>
      <c r="C468">
        <v>0</v>
      </c>
      <c r="D468">
        <v>3</v>
      </c>
      <c r="E468">
        <v>6</v>
      </c>
      <c r="F468">
        <v>2</v>
      </c>
      <c r="G468">
        <v>5</v>
      </c>
      <c r="H468">
        <v>2</v>
      </c>
      <c r="I468">
        <v>72</v>
      </c>
      <c r="J468">
        <v>53</v>
      </c>
      <c r="K468">
        <v>43</v>
      </c>
      <c r="L468">
        <v>72</v>
      </c>
      <c r="M468">
        <v>52</v>
      </c>
    </row>
    <row r="469" spans="1:13" x14ac:dyDescent="0.25">
      <c r="A469" s="1" t="s">
        <v>621</v>
      </c>
      <c r="B469" s="1" t="s">
        <v>210</v>
      </c>
      <c r="C469">
        <v>7</v>
      </c>
      <c r="D469">
        <v>5</v>
      </c>
      <c r="E469">
        <v>6</v>
      </c>
      <c r="F469">
        <v>2</v>
      </c>
      <c r="G469">
        <v>5</v>
      </c>
      <c r="H469">
        <v>4</v>
      </c>
      <c r="I469">
        <v>15</v>
      </c>
      <c r="J469">
        <v>64</v>
      </c>
      <c r="K469">
        <v>20</v>
      </c>
      <c r="L469">
        <v>59</v>
      </c>
      <c r="M469">
        <v>52</v>
      </c>
    </row>
    <row r="470" spans="1:13" x14ac:dyDescent="0.25">
      <c r="A470" s="1" t="s">
        <v>622</v>
      </c>
      <c r="B470" s="1" t="s">
        <v>448</v>
      </c>
      <c r="C470">
        <v>1</v>
      </c>
      <c r="D470">
        <v>2</v>
      </c>
      <c r="E470">
        <v>3</v>
      </c>
      <c r="F470">
        <v>3</v>
      </c>
      <c r="G470">
        <v>2</v>
      </c>
      <c r="H470">
        <v>6</v>
      </c>
      <c r="I470">
        <v>35</v>
      </c>
      <c r="J470">
        <v>20</v>
      </c>
      <c r="K470">
        <v>46</v>
      </c>
      <c r="L470">
        <v>84</v>
      </c>
      <c r="M470">
        <v>11</v>
      </c>
    </row>
    <row r="471" spans="1:13" x14ac:dyDescent="0.25">
      <c r="A471" s="1" t="s">
        <v>623</v>
      </c>
      <c r="B471" s="1" t="s">
        <v>239</v>
      </c>
      <c r="C471">
        <v>0</v>
      </c>
      <c r="D471">
        <v>2</v>
      </c>
      <c r="E471">
        <v>2</v>
      </c>
      <c r="F471">
        <v>5</v>
      </c>
      <c r="G471">
        <v>6</v>
      </c>
      <c r="H471">
        <v>2</v>
      </c>
      <c r="I471">
        <v>87</v>
      </c>
      <c r="J471">
        <v>18</v>
      </c>
      <c r="K471">
        <v>93</v>
      </c>
      <c r="L471">
        <v>62</v>
      </c>
      <c r="M471">
        <v>95</v>
      </c>
    </row>
    <row r="472" spans="1:13" x14ac:dyDescent="0.25">
      <c r="A472" s="1" t="s">
        <v>624</v>
      </c>
      <c r="B472" s="1" t="s">
        <v>414</v>
      </c>
      <c r="C472">
        <v>6</v>
      </c>
      <c r="D472">
        <v>2</v>
      </c>
      <c r="E472">
        <v>4</v>
      </c>
      <c r="F472">
        <v>3</v>
      </c>
      <c r="G472">
        <v>3</v>
      </c>
      <c r="H472">
        <v>2</v>
      </c>
      <c r="I472">
        <v>72</v>
      </c>
      <c r="J472">
        <v>79</v>
      </c>
      <c r="K472">
        <v>98</v>
      </c>
      <c r="L472">
        <v>86</v>
      </c>
      <c r="M472">
        <v>31</v>
      </c>
    </row>
    <row r="473" spans="1:13" x14ac:dyDescent="0.25">
      <c r="A473" s="1" t="s">
        <v>625</v>
      </c>
      <c r="B473" s="1" t="s">
        <v>161</v>
      </c>
      <c r="C473">
        <v>3</v>
      </c>
      <c r="D473">
        <v>3</v>
      </c>
      <c r="E473">
        <v>3</v>
      </c>
      <c r="F473">
        <v>3</v>
      </c>
      <c r="G473">
        <v>5</v>
      </c>
      <c r="H473">
        <v>4</v>
      </c>
      <c r="I473">
        <v>71</v>
      </c>
      <c r="J473">
        <v>68</v>
      </c>
      <c r="K473">
        <v>38</v>
      </c>
      <c r="L473">
        <v>8</v>
      </c>
      <c r="M473">
        <v>98</v>
      </c>
    </row>
    <row r="474" spans="1:13" x14ac:dyDescent="0.25">
      <c r="A474" s="1" t="s">
        <v>626</v>
      </c>
      <c r="B474" s="1" t="s">
        <v>38</v>
      </c>
      <c r="C474">
        <v>8</v>
      </c>
      <c r="D474">
        <v>2</v>
      </c>
      <c r="E474">
        <v>2</v>
      </c>
      <c r="F474">
        <v>3</v>
      </c>
      <c r="G474">
        <v>4</v>
      </c>
      <c r="H474">
        <v>4</v>
      </c>
      <c r="I474">
        <v>96</v>
      </c>
      <c r="J474">
        <v>47</v>
      </c>
      <c r="K474">
        <v>90</v>
      </c>
      <c r="L474">
        <v>24</v>
      </c>
      <c r="M474">
        <v>96</v>
      </c>
    </row>
    <row r="475" spans="1:13" x14ac:dyDescent="0.25">
      <c r="A475" s="1" t="s">
        <v>627</v>
      </c>
      <c r="B475" s="1" t="s">
        <v>133</v>
      </c>
      <c r="C475">
        <v>3</v>
      </c>
      <c r="D475">
        <v>3</v>
      </c>
      <c r="E475">
        <v>3</v>
      </c>
      <c r="F475">
        <v>3</v>
      </c>
      <c r="G475">
        <v>4</v>
      </c>
      <c r="H475">
        <v>5</v>
      </c>
      <c r="I475">
        <v>18</v>
      </c>
      <c r="J475">
        <v>94</v>
      </c>
      <c r="K475">
        <v>29</v>
      </c>
      <c r="L475">
        <v>50</v>
      </c>
      <c r="M475">
        <v>54</v>
      </c>
    </row>
    <row r="476" spans="1:13" x14ac:dyDescent="0.25">
      <c r="A476" s="1" t="s">
        <v>628</v>
      </c>
      <c r="B476" s="1" t="s">
        <v>251</v>
      </c>
      <c r="C476">
        <v>0</v>
      </c>
      <c r="D476">
        <v>5</v>
      </c>
      <c r="E476">
        <v>5</v>
      </c>
      <c r="F476">
        <v>6</v>
      </c>
      <c r="G476">
        <v>2</v>
      </c>
      <c r="H476">
        <v>5</v>
      </c>
      <c r="I476">
        <v>47</v>
      </c>
      <c r="J476">
        <v>34</v>
      </c>
      <c r="K476">
        <v>86</v>
      </c>
      <c r="L476">
        <v>56</v>
      </c>
      <c r="M476">
        <v>39</v>
      </c>
    </row>
    <row r="477" spans="1:13" x14ac:dyDescent="0.25">
      <c r="A477" s="1" t="s">
        <v>629</v>
      </c>
      <c r="B477" s="1" t="s">
        <v>430</v>
      </c>
      <c r="C477">
        <v>7</v>
      </c>
      <c r="D477">
        <v>5</v>
      </c>
      <c r="E477">
        <v>5</v>
      </c>
      <c r="F477">
        <v>2</v>
      </c>
      <c r="G477">
        <v>6</v>
      </c>
      <c r="H477">
        <v>6</v>
      </c>
      <c r="I477">
        <v>6</v>
      </c>
      <c r="J477">
        <v>88</v>
      </c>
      <c r="K477">
        <v>24</v>
      </c>
      <c r="L477">
        <v>3</v>
      </c>
      <c r="M477">
        <v>43</v>
      </c>
    </row>
    <row r="478" spans="1:13" x14ac:dyDescent="0.25">
      <c r="A478" s="1" t="s">
        <v>630</v>
      </c>
      <c r="B478" s="1" t="s">
        <v>273</v>
      </c>
      <c r="C478">
        <v>8</v>
      </c>
      <c r="D478">
        <v>4</v>
      </c>
      <c r="E478">
        <v>3</v>
      </c>
      <c r="F478">
        <v>6</v>
      </c>
      <c r="G478">
        <v>2</v>
      </c>
      <c r="H478">
        <v>6</v>
      </c>
      <c r="I478">
        <v>87</v>
      </c>
      <c r="J478">
        <v>54</v>
      </c>
      <c r="K478">
        <v>69</v>
      </c>
      <c r="L478">
        <v>96</v>
      </c>
      <c r="M478">
        <v>7</v>
      </c>
    </row>
    <row r="479" spans="1:13" x14ac:dyDescent="0.25">
      <c r="A479" s="1" t="s">
        <v>631</v>
      </c>
      <c r="B479" s="1" t="s">
        <v>288</v>
      </c>
      <c r="C479">
        <v>8</v>
      </c>
      <c r="D479">
        <v>3</v>
      </c>
      <c r="E479">
        <v>2</v>
      </c>
      <c r="F479">
        <v>4</v>
      </c>
      <c r="G479">
        <v>6</v>
      </c>
      <c r="H479">
        <v>6</v>
      </c>
      <c r="I479">
        <v>99</v>
      </c>
      <c r="J479">
        <v>51</v>
      </c>
      <c r="K479">
        <v>25</v>
      </c>
      <c r="L479">
        <v>89</v>
      </c>
      <c r="M479">
        <v>73</v>
      </c>
    </row>
    <row r="480" spans="1:13" x14ac:dyDescent="0.25">
      <c r="A480" s="1" t="s">
        <v>632</v>
      </c>
      <c r="B480" s="1" t="s">
        <v>633</v>
      </c>
      <c r="C480">
        <v>0</v>
      </c>
      <c r="D480">
        <v>4</v>
      </c>
      <c r="E480">
        <v>6</v>
      </c>
      <c r="F480">
        <v>5</v>
      </c>
      <c r="G480">
        <v>2</v>
      </c>
      <c r="H480">
        <v>4</v>
      </c>
      <c r="I480">
        <v>72</v>
      </c>
      <c r="J480">
        <v>33</v>
      </c>
      <c r="K480">
        <v>40</v>
      </c>
      <c r="L480">
        <v>62</v>
      </c>
      <c r="M480">
        <v>19</v>
      </c>
    </row>
    <row r="481" spans="1:13" x14ac:dyDescent="0.25">
      <c r="A481" s="1" t="s">
        <v>634</v>
      </c>
      <c r="B481" s="1" t="s">
        <v>635</v>
      </c>
      <c r="C481">
        <v>0</v>
      </c>
      <c r="D481">
        <v>4</v>
      </c>
      <c r="E481">
        <v>2</v>
      </c>
      <c r="F481">
        <v>6</v>
      </c>
      <c r="G481">
        <v>2</v>
      </c>
      <c r="H481">
        <v>5</v>
      </c>
      <c r="I481">
        <v>57</v>
      </c>
      <c r="J481">
        <v>88</v>
      </c>
      <c r="K481">
        <v>53</v>
      </c>
      <c r="L481">
        <v>42</v>
      </c>
      <c r="M481">
        <v>49</v>
      </c>
    </row>
    <row r="482" spans="1:13" x14ac:dyDescent="0.25">
      <c r="A482" s="1" t="s">
        <v>636</v>
      </c>
      <c r="B482" s="1" t="s">
        <v>340</v>
      </c>
      <c r="C482">
        <v>1</v>
      </c>
      <c r="D482">
        <v>4</v>
      </c>
      <c r="E482">
        <v>2</v>
      </c>
      <c r="F482">
        <v>2</v>
      </c>
      <c r="G482">
        <v>4</v>
      </c>
      <c r="H482">
        <v>2</v>
      </c>
      <c r="I482">
        <v>68</v>
      </c>
      <c r="J482">
        <v>81</v>
      </c>
      <c r="K482">
        <v>24</v>
      </c>
      <c r="L482">
        <v>15</v>
      </c>
      <c r="M482">
        <v>48</v>
      </c>
    </row>
    <row r="483" spans="1:13" x14ac:dyDescent="0.25">
      <c r="A483" s="1" t="s">
        <v>637</v>
      </c>
      <c r="B483" s="1" t="s">
        <v>86</v>
      </c>
      <c r="C483">
        <v>6</v>
      </c>
      <c r="D483">
        <v>4</v>
      </c>
      <c r="E483">
        <v>3</v>
      </c>
      <c r="F483">
        <v>2</v>
      </c>
      <c r="G483">
        <v>3</v>
      </c>
      <c r="H483">
        <v>3</v>
      </c>
      <c r="I483">
        <v>43</v>
      </c>
      <c r="J483">
        <v>36</v>
      </c>
      <c r="K483">
        <v>9</v>
      </c>
      <c r="L483">
        <v>88</v>
      </c>
      <c r="M483">
        <v>44</v>
      </c>
    </row>
    <row r="484" spans="1:13" x14ac:dyDescent="0.25">
      <c r="A484" s="1" t="s">
        <v>638</v>
      </c>
      <c r="B484" s="1" t="s">
        <v>395</v>
      </c>
      <c r="C484">
        <v>2</v>
      </c>
      <c r="D484">
        <v>6</v>
      </c>
      <c r="E484">
        <v>2</v>
      </c>
      <c r="F484">
        <v>2</v>
      </c>
      <c r="G484">
        <v>3</v>
      </c>
      <c r="H484">
        <v>3</v>
      </c>
      <c r="I484">
        <v>69</v>
      </c>
      <c r="J484">
        <v>17</v>
      </c>
      <c r="K484">
        <v>84</v>
      </c>
      <c r="L484">
        <v>87</v>
      </c>
      <c r="M484">
        <v>56</v>
      </c>
    </row>
    <row r="485" spans="1:13" x14ac:dyDescent="0.25">
      <c r="A485" s="1" t="s">
        <v>639</v>
      </c>
      <c r="B485" s="1" t="s">
        <v>34</v>
      </c>
      <c r="C485">
        <v>0</v>
      </c>
      <c r="D485">
        <v>6</v>
      </c>
      <c r="E485">
        <v>6</v>
      </c>
      <c r="F485">
        <v>3</v>
      </c>
      <c r="G485">
        <v>2</v>
      </c>
      <c r="H485">
        <v>5</v>
      </c>
      <c r="I485">
        <v>25</v>
      </c>
      <c r="J485">
        <v>23</v>
      </c>
      <c r="K485">
        <v>92</v>
      </c>
      <c r="L485">
        <v>37</v>
      </c>
      <c r="M485">
        <v>40</v>
      </c>
    </row>
    <row r="486" spans="1:13" x14ac:dyDescent="0.25">
      <c r="A486" s="1" t="s">
        <v>640</v>
      </c>
      <c r="B486" s="1" t="s">
        <v>249</v>
      </c>
      <c r="C486">
        <v>8</v>
      </c>
      <c r="D486">
        <v>4</v>
      </c>
      <c r="E486">
        <v>6</v>
      </c>
      <c r="F486">
        <v>4</v>
      </c>
      <c r="G486">
        <v>3</v>
      </c>
      <c r="H486">
        <v>2</v>
      </c>
      <c r="I486">
        <v>12</v>
      </c>
      <c r="J486">
        <v>56</v>
      </c>
      <c r="K486">
        <v>75</v>
      </c>
      <c r="L486">
        <v>76</v>
      </c>
      <c r="M486">
        <v>41</v>
      </c>
    </row>
    <row r="487" spans="1:13" x14ac:dyDescent="0.25">
      <c r="A487" s="1" t="s">
        <v>641</v>
      </c>
      <c r="B487" s="1" t="s">
        <v>222</v>
      </c>
      <c r="C487">
        <v>5</v>
      </c>
      <c r="D487">
        <v>2</v>
      </c>
      <c r="E487">
        <v>5</v>
      </c>
      <c r="F487">
        <v>6</v>
      </c>
      <c r="G487">
        <v>2</v>
      </c>
      <c r="H487">
        <v>5</v>
      </c>
      <c r="I487">
        <v>39</v>
      </c>
      <c r="J487">
        <v>77</v>
      </c>
      <c r="K487">
        <v>37</v>
      </c>
      <c r="L487">
        <v>72</v>
      </c>
      <c r="M487">
        <v>32</v>
      </c>
    </row>
    <row r="488" spans="1:13" x14ac:dyDescent="0.25">
      <c r="A488" s="1" t="s">
        <v>642</v>
      </c>
      <c r="B488" s="1" t="s">
        <v>43</v>
      </c>
      <c r="C488">
        <v>1</v>
      </c>
      <c r="D488">
        <v>3</v>
      </c>
      <c r="E488">
        <v>5</v>
      </c>
      <c r="F488">
        <v>6</v>
      </c>
      <c r="G488">
        <v>2</v>
      </c>
      <c r="H488">
        <v>5</v>
      </c>
      <c r="I488">
        <v>53</v>
      </c>
      <c r="J488">
        <v>25</v>
      </c>
      <c r="K488">
        <v>62</v>
      </c>
      <c r="L488">
        <v>74</v>
      </c>
      <c r="M488">
        <v>81</v>
      </c>
    </row>
    <row r="489" spans="1:13" x14ac:dyDescent="0.25">
      <c r="A489" s="1" t="s">
        <v>643</v>
      </c>
      <c r="B489" s="1" t="s">
        <v>72</v>
      </c>
      <c r="C489">
        <v>7</v>
      </c>
      <c r="D489">
        <v>6</v>
      </c>
      <c r="E489">
        <v>3</v>
      </c>
      <c r="F489">
        <v>6</v>
      </c>
      <c r="G489">
        <v>4</v>
      </c>
      <c r="H489">
        <v>2</v>
      </c>
      <c r="I489">
        <v>11</v>
      </c>
      <c r="J489">
        <v>8</v>
      </c>
      <c r="K489">
        <v>29</v>
      </c>
      <c r="L489">
        <v>7</v>
      </c>
      <c r="M489">
        <v>38</v>
      </c>
    </row>
    <row r="490" spans="1:13" x14ac:dyDescent="0.25">
      <c r="A490" s="1" t="s">
        <v>644</v>
      </c>
      <c r="B490" s="1" t="s">
        <v>145</v>
      </c>
      <c r="C490">
        <v>3</v>
      </c>
      <c r="D490">
        <v>4</v>
      </c>
      <c r="E490">
        <v>6</v>
      </c>
      <c r="F490">
        <v>4</v>
      </c>
      <c r="G490">
        <v>6</v>
      </c>
      <c r="H490">
        <v>2</v>
      </c>
      <c r="I490">
        <v>62</v>
      </c>
      <c r="J490">
        <v>31</v>
      </c>
      <c r="K490">
        <v>64</v>
      </c>
      <c r="L490">
        <v>1</v>
      </c>
      <c r="M490">
        <v>25</v>
      </c>
    </row>
    <row r="491" spans="1:13" x14ac:dyDescent="0.25">
      <c r="A491" s="1" t="s">
        <v>645</v>
      </c>
      <c r="B491" s="1" t="s">
        <v>646</v>
      </c>
      <c r="C491">
        <v>4</v>
      </c>
      <c r="D491">
        <v>4</v>
      </c>
      <c r="E491">
        <v>6</v>
      </c>
      <c r="F491">
        <v>3</v>
      </c>
      <c r="G491">
        <v>2</v>
      </c>
      <c r="H491">
        <v>3</v>
      </c>
      <c r="I491">
        <v>24</v>
      </c>
      <c r="J491">
        <v>33</v>
      </c>
      <c r="K491">
        <v>90</v>
      </c>
      <c r="L491">
        <v>28</v>
      </c>
      <c r="M491">
        <v>23</v>
      </c>
    </row>
    <row r="492" spans="1:13" x14ac:dyDescent="0.25">
      <c r="A492" s="1" t="s">
        <v>647</v>
      </c>
      <c r="B492" s="1" t="s">
        <v>32</v>
      </c>
      <c r="C492">
        <v>5</v>
      </c>
      <c r="D492">
        <v>6</v>
      </c>
      <c r="E492">
        <v>5</v>
      </c>
      <c r="F492">
        <v>6</v>
      </c>
      <c r="G492">
        <v>5</v>
      </c>
      <c r="H492">
        <v>4</v>
      </c>
      <c r="I492">
        <v>92</v>
      </c>
      <c r="J492">
        <v>67</v>
      </c>
      <c r="K492">
        <v>92</v>
      </c>
      <c r="L492">
        <v>79</v>
      </c>
      <c r="M492">
        <v>81</v>
      </c>
    </row>
    <row r="493" spans="1:13" x14ac:dyDescent="0.25">
      <c r="A493" s="1" t="s">
        <v>648</v>
      </c>
      <c r="B493" s="1" t="s">
        <v>649</v>
      </c>
      <c r="C493">
        <v>5</v>
      </c>
      <c r="D493">
        <v>3</v>
      </c>
      <c r="E493">
        <v>4</v>
      </c>
      <c r="F493">
        <v>2</v>
      </c>
      <c r="G493">
        <v>6</v>
      </c>
      <c r="H493">
        <v>6</v>
      </c>
      <c r="I493">
        <v>21</v>
      </c>
      <c r="J493">
        <v>40</v>
      </c>
      <c r="K493">
        <v>18</v>
      </c>
      <c r="L493">
        <v>81</v>
      </c>
      <c r="M493">
        <v>88</v>
      </c>
    </row>
    <row r="494" spans="1:13" x14ac:dyDescent="0.25">
      <c r="A494" s="1" t="s">
        <v>650</v>
      </c>
      <c r="B494" s="1" t="s">
        <v>651</v>
      </c>
      <c r="C494">
        <v>6</v>
      </c>
      <c r="D494">
        <v>2</v>
      </c>
      <c r="E494">
        <v>3</v>
      </c>
      <c r="F494">
        <v>6</v>
      </c>
      <c r="G494">
        <v>5</v>
      </c>
      <c r="H494">
        <v>4</v>
      </c>
      <c r="I494">
        <v>78</v>
      </c>
      <c r="J494">
        <v>1</v>
      </c>
      <c r="K494">
        <v>9</v>
      </c>
      <c r="L494">
        <v>33</v>
      </c>
      <c r="M494">
        <v>81</v>
      </c>
    </row>
    <row r="495" spans="1:13" x14ac:dyDescent="0.25">
      <c r="A495" s="1" t="s">
        <v>652</v>
      </c>
      <c r="B495" s="1" t="s">
        <v>239</v>
      </c>
      <c r="C495">
        <v>8</v>
      </c>
      <c r="D495">
        <v>2</v>
      </c>
      <c r="E495">
        <v>3</v>
      </c>
      <c r="F495">
        <v>4</v>
      </c>
      <c r="G495">
        <v>5</v>
      </c>
      <c r="H495">
        <v>4</v>
      </c>
      <c r="I495">
        <v>65</v>
      </c>
      <c r="J495">
        <v>19</v>
      </c>
      <c r="K495">
        <v>19</v>
      </c>
      <c r="L495">
        <v>8</v>
      </c>
      <c r="M495">
        <v>20</v>
      </c>
    </row>
    <row r="496" spans="1:13" x14ac:dyDescent="0.25">
      <c r="A496" s="1" t="s">
        <v>653</v>
      </c>
      <c r="B496" s="1" t="s">
        <v>340</v>
      </c>
      <c r="C496">
        <v>2</v>
      </c>
      <c r="D496">
        <v>2</v>
      </c>
      <c r="E496">
        <v>2</v>
      </c>
      <c r="F496">
        <v>5</v>
      </c>
      <c r="G496">
        <v>5</v>
      </c>
      <c r="H496">
        <v>4</v>
      </c>
      <c r="I496">
        <v>60</v>
      </c>
      <c r="J496">
        <v>79</v>
      </c>
      <c r="K496">
        <v>51</v>
      </c>
      <c r="L496">
        <v>40</v>
      </c>
      <c r="M496">
        <v>16</v>
      </c>
    </row>
    <row r="497" spans="1:13" x14ac:dyDescent="0.25">
      <c r="A497" s="1" t="s">
        <v>654</v>
      </c>
      <c r="B497" s="1" t="s">
        <v>340</v>
      </c>
      <c r="C497">
        <v>5</v>
      </c>
      <c r="D497">
        <v>2</v>
      </c>
      <c r="E497">
        <v>3</v>
      </c>
      <c r="F497">
        <v>3</v>
      </c>
      <c r="G497">
        <v>6</v>
      </c>
      <c r="H497">
        <v>3</v>
      </c>
      <c r="I497">
        <v>79</v>
      </c>
      <c r="J497">
        <v>21</v>
      </c>
      <c r="K497">
        <v>41</v>
      </c>
      <c r="L497">
        <v>39</v>
      </c>
      <c r="M497">
        <v>74</v>
      </c>
    </row>
    <row r="498" spans="1:13" x14ac:dyDescent="0.25">
      <c r="A498" s="1" t="s">
        <v>655</v>
      </c>
      <c r="B498" s="1" t="s">
        <v>38</v>
      </c>
      <c r="C498">
        <v>7</v>
      </c>
      <c r="D498">
        <v>2</v>
      </c>
      <c r="E498">
        <v>6</v>
      </c>
      <c r="F498">
        <v>6</v>
      </c>
      <c r="G498">
        <v>6</v>
      </c>
      <c r="H498">
        <v>5</v>
      </c>
      <c r="I498">
        <v>27</v>
      </c>
      <c r="J498">
        <v>93</v>
      </c>
      <c r="K498">
        <v>10</v>
      </c>
      <c r="L498">
        <v>43</v>
      </c>
      <c r="M498">
        <v>28</v>
      </c>
    </row>
    <row r="499" spans="1:13" x14ac:dyDescent="0.25">
      <c r="A499" s="1" t="s">
        <v>656</v>
      </c>
      <c r="B499" s="1" t="s">
        <v>119</v>
      </c>
      <c r="C499">
        <v>5</v>
      </c>
      <c r="D499">
        <v>4</v>
      </c>
      <c r="E499">
        <v>6</v>
      </c>
      <c r="F499">
        <v>5</v>
      </c>
      <c r="G499">
        <v>4</v>
      </c>
      <c r="H499">
        <v>4</v>
      </c>
      <c r="I499">
        <v>44</v>
      </c>
      <c r="J499">
        <v>95</v>
      </c>
      <c r="K499">
        <v>15</v>
      </c>
      <c r="L499">
        <v>66</v>
      </c>
      <c r="M499">
        <v>82</v>
      </c>
    </row>
    <row r="500" spans="1:13" x14ac:dyDescent="0.25">
      <c r="A500" s="1" t="s">
        <v>657</v>
      </c>
      <c r="B500" s="1" t="s">
        <v>340</v>
      </c>
      <c r="C500">
        <v>0</v>
      </c>
      <c r="D500">
        <v>6</v>
      </c>
      <c r="E500">
        <v>6</v>
      </c>
      <c r="F500">
        <v>2</v>
      </c>
      <c r="G500">
        <v>4</v>
      </c>
      <c r="H500">
        <v>3</v>
      </c>
      <c r="I500">
        <v>15</v>
      </c>
      <c r="J500">
        <v>15</v>
      </c>
      <c r="K500">
        <v>58</v>
      </c>
      <c r="L500">
        <v>15</v>
      </c>
      <c r="M500">
        <v>87</v>
      </c>
    </row>
    <row r="501" spans="1:13" x14ac:dyDescent="0.25">
      <c r="A501" s="1" t="s">
        <v>658</v>
      </c>
      <c r="B501" s="1" t="s">
        <v>16</v>
      </c>
      <c r="C501">
        <v>4</v>
      </c>
      <c r="D501">
        <v>6</v>
      </c>
      <c r="E501">
        <v>6</v>
      </c>
      <c r="F501">
        <v>3</v>
      </c>
      <c r="G501">
        <v>6</v>
      </c>
      <c r="H501">
        <v>2</v>
      </c>
      <c r="I501">
        <v>69</v>
      </c>
      <c r="J501">
        <v>78</v>
      </c>
      <c r="K501">
        <v>32</v>
      </c>
      <c r="L501">
        <v>73</v>
      </c>
      <c r="M501">
        <v>93</v>
      </c>
    </row>
    <row r="502" spans="1:13" x14ac:dyDescent="0.25">
      <c r="A502" s="1" t="s">
        <v>659</v>
      </c>
      <c r="B502" s="1" t="s">
        <v>660</v>
      </c>
      <c r="C502">
        <v>7</v>
      </c>
      <c r="D502">
        <v>3</v>
      </c>
      <c r="E502">
        <v>4</v>
      </c>
      <c r="F502">
        <v>6</v>
      </c>
      <c r="G502">
        <v>3</v>
      </c>
      <c r="H502">
        <v>6</v>
      </c>
      <c r="I502">
        <v>14</v>
      </c>
      <c r="J502">
        <v>42</v>
      </c>
      <c r="K502">
        <v>40</v>
      </c>
      <c r="L502">
        <v>48</v>
      </c>
      <c r="M502">
        <v>35</v>
      </c>
    </row>
    <row r="503" spans="1:13" x14ac:dyDescent="0.25">
      <c r="A503" s="1" t="s">
        <v>661</v>
      </c>
      <c r="B503" s="1" t="s">
        <v>83</v>
      </c>
      <c r="C503">
        <v>5</v>
      </c>
      <c r="D503">
        <v>2</v>
      </c>
      <c r="E503">
        <v>5</v>
      </c>
      <c r="F503">
        <v>6</v>
      </c>
      <c r="G503">
        <v>3</v>
      </c>
      <c r="H503">
        <v>3</v>
      </c>
      <c r="I503">
        <v>90</v>
      </c>
      <c r="J503">
        <v>70</v>
      </c>
      <c r="K503">
        <v>84</v>
      </c>
      <c r="L503">
        <v>62</v>
      </c>
      <c r="M503">
        <v>20</v>
      </c>
    </row>
    <row r="504" spans="1:13" x14ac:dyDescent="0.25">
      <c r="A504" s="1" t="s">
        <v>662</v>
      </c>
      <c r="B504" s="1" t="s">
        <v>355</v>
      </c>
      <c r="C504">
        <v>1</v>
      </c>
      <c r="D504">
        <v>6</v>
      </c>
      <c r="E504">
        <v>4</v>
      </c>
      <c r="F504">
        <v>3</v>
      </c>
      <c r="G504">
        <v>3</v>
      </c>
      <c r="H504">
        <v>6</v>
      </c>
      <c r="I504">
        <v>79</v>
      </c>
      <c r="J504">
        <v>71</v>
      </c>
      <c r="K504">
        <v>89</v>
      </c>
      <c r="L504">
        <v>26</v>
      </c>
      <c r="M504">
        <v>96</v>
      </c>
    </row>
    <row r="505" spans="1:13" x14ac:dyDescent="0.25">
      <c r="A505" s="1" t="s">
        <v>663</v>
      </c>
      <c r="B505" s="1" t="s">
        <v>369</v>
      </c>
      <c r="C505">
        <v>5</v>
      </c>
      <c r="D505">
        <v>5</v>
      </c>
      <c r="E505">
        <v>6</v>
      </c>
      <c r="F505">
        <v>3</v>
      </c>
      <c r="G505">
        <v>4</v>
      </c>
      <c r="H505">
        <v>2</v>
      </c>
      <c r="I505">
        <v>45</v>
      </c>
      <c r="J505">
        <v>46</v>
      </c>
      <c r="K505">
        <v>47</v>
      </c>
      <c r="L505">
        <v>70</v>
      </c>
      <c r="M505">
        <v>56</v>
      </c>
    </row>
    <row r="506" spans="1:13" x14ac:dyDescent="0.25">
      <c r="A506" s="1" t="s">
        <v>235</v>
      </c>
      <c r="B506" s="1" t="s">
        <v>311</v>
      </c>
      <c r="C506">
        <v>6</v>
      </c>
      <c r="D506">
        <v>5</v>
      </c>
      <c r="E506">
        <v>6</v>
      </c>
      <c r="F506">
        <v>6</v>
      </c>
      <c r="G506">
        <v>5</v>
      </c>
      <c r="H506">
        <v>3</v>
      </c>
      <c r="I506">
        <v>100</v>
      </c>
      <c r="J506">
        <v>44</v>
      </c>
      <c r="K506">
        <v>54</v>
      </c>
      <c r="L506">
        <v>75</v>
      </c>
      <c r="M506">
        <v>64</v>
      </c>
    </row>
    <row r="507" spans="1:13" x14ac:dyDescent="0.25">
      <c r="A507" s="1" t="s">
        <v>211</v>
      </c>
      <c r="B507" s="1" t="s">
        <v>78</v>
      </c>
      <c r="C507">
        <v>5</v>
      </c>
      <c r="D507">
        <v>6</v>
      </c>
      <c r="E507">
        <v>5</v>
      </c>
      <c r="F507">
        <v>2</v>
      </c>
      <c r="G507">
        <v>2</v>
      </c>
      <c r="H507">
        <v>2</v>
      </c>
      <c r="I507">
        <v>74</v>
      </c>
      <c r="J507">
        <v>70</v>
      </c>
      <c r="K507">
        <v>43</v>
      </c>
      <c r="L507">
        <v>43</v>
      </c>
      <c r="M507">
        <v>37</v>
      </c>
    </row>
    <row r="508" spans="1:13" x14ac:dyDescent="0.25">
      <c r="A508" s="1" t="s">
        <v>664</v>
      </c>
      <c r="B508" s="1" t="s">
        <v>665</v>
      </c>
      <c r="C508">
        <v>8</v>
      </c>
      <c r="D508">
        <v>3</v>
      </c>
      <c r="E508">
        <v>3</v>
      </c>
      <c r="F508">
        <v>4</v>
      </c>
      <c r="G508">
        <v>5</v>
      </c>
      <c r="H508">
        <v>5</v>
      </c>
      <c r="I508">
        <v>78</v>
      </c>
      <c r="J508">
        <v>45</v>
      </c>
      <c r="K508">
        <v>23</v>
      </c>
      <c r="L508">
        <v>91</v>
      </c>
      <c r="M508">
        <v>58</v>
      </c>
    </row>
    <row r="509" spans="1:13" x14ac:dyDescent="0.25">
      <c r="A509" s="1" t="s">
        <v>666</v>
      </c>
      <c r="B509" s="1" t="s">
        <v>34</v>
      </c>
      <c r="C509">
        <v>4</v>
      </c>
      <c r="D509">
        <v>5</v>
      </c>
      <c r="E509">
        <v>3</v>
      </c>
      <c r="F509">
        <v>6</v>
      </c>
      <c r="G509">
        <v>6</v>
      </c>
      <c r="H509">
        <v>3</v>
      </c>
      <c r="I509">
        <v>23</v>
      </c>
      <c r="J509">
        <v>16</v>
      </c>
      <c r="K509">
        <v>85</v>
      </c>
      <c r="L509">
        <v>82</v>
      </c>
      <c r="M509">
        <v>75</v>
      </c>
    </row>
    <row r="510" spans="1:13" x14ac:dyDescent="0.25">
      <c r="A510" s="1" t="s">
        <v>667</v>
      </c>
      <c r="B510" s="1" t="s">
        <v>203</v>
      </c>
      <c r="C510">
        <v>1</v>
      </c>
      <c r="D510">
        <v>2</v>
      </c>
      <c r="E510">
        <v>5</v>
      </c>
      <c r="F510">
        <v>2</v>
      </c>
      <c r="G510">
        <v>6</v>
      </c>
      <c r="H510">
        <v>6</v>
      </c>
      <c r="I510">
        <v>62</v>
      </c>
      <c r="J510">
        <v>89</v>
      </c>
      <c r="K510">
        <v>20</v>
      </c>
      <c r="L510">
        <v>56</v>
      </c>
      <c r="M510">
        <v>80</v>
      </c>
    </row>
    <row r="511" spans="1:13" x14ac:dyDescent="0.25">
      <c r="A511" s="1" t="s">
        <v>668</v>
      </c>
      <c r="B511" s="1" t="s">
        <v>83</v>
      </c>
      <c r="C511">
        <v>6</v>
      </c>
      <c r="D511">
        <v>6</v>
      </c>
      <c r="E511">
        <v>5</v>
      </c>
      <c r="F511">
        <v>6</v>
      </c>
      <c r="G511">
        <v>2</v>
      </c>
      <c r="H511">
        <v>4</v>
      </c>
      <c r="I511">
        <v>22</v>
      </c>
      <c r="J511">
        <v>29</v>
      </c>
      <c r="K511">
        <v>31</v>
      </c>
      <c r="L511">
        <v>9</v>
      </c>
      <c r="M511">
        <v>56</v>
      </c>
    </row>
    <row r="512" spans="1:13" x14ac:dyDescent="0.25">
      <c r="A512" s="1" t="s">
        <v>669</v>
      </c>
      <c r="B512" s="1" t="s">
        <v>540</v>
      </c>
      <c r="C512">
        <v>8</v>
      </c>
      <c r="D512">
        <v>3</v>
      </c>
      <c r="E512">
        <v>4</v>
      </c>
      <c r="F512">
        <v>5</v>
      </c>
      <c r="G512">
        <v>2</v>
      </c>
      <c r="H512">
        <v>4</v>
      </c>
      <c r="I512">
        <v>30</v>
      </c>
      <c r="J512">
        <v>10</v>
      </c>
      <c r="K512">
        <v>78</v>
      </c>
      <c r="L512">
        <v>57</v>
      </c>
      <c r="M512">
        <v>67</v>
      </c>
    </row>
    <row r="513" spans="1:13" x14ac:dyDescent="0.25">
      <c r="A513" s="1" t="s">
        <v>670</v>
      </c>
      <c r="B513" s="1" t="s">
        <v>302</v>
      </c>
      <c r="C513">
        <v>7</v>
      </c>
      <c r="D513">
        <v>6</v>
      </c>
      <c r="E513">
        <v>4</v>
      </c>
      <c r="F513">
        <v>6</v>
      </c>
      <c r="G513">
        <v>2</v>
      </c>
      <c r="H513">
        <v>2</v>
      </c>
      <c r="I513">
        <v>29</v>
      </c>
      <c r="J513">
        <v>64</v>
      </c>
      <c r="K513">
        <v>39</v>
      </c>
      <c r="L513">
        <v>62</v>
      </c>
      <c r="M513">
        <v>1</v>
      </c>
    </row>
    <row r="514" spans="1:13" x14ac:dyDescent="0.25">
      <c r="A514" s="1" t="s">
        <v>671</v>
      </c>
      <c r="B514" s="1" t="s">
        <v>101</v>
      </c>
      <c r="C514">
        <v>3</v>
      </c>
      <c r="D514">
        <v>2</v>
      </c>
      <c r="E514">
        <v>2</v>
      </c>
      <c r="F514">
        <v>3</v>
      </c>
      <c r="G514">
        <v>5</v>
      </c>
      <c r="H514">
        <v>4</v>
      </c>
      <c r="I514">
        <v>32</v>
      </c>
      <c r="J514">
        <v>80</v>
      </c>
      <c r="K514">
        <v>47</v>
      </c>
      <c r="L514">
        <v>98</v>
      </c>
      <c r="M514">
        <v>30</v>
      </c>
    </row>
    <row r="515" spans="1:13" x14ac:dyDescent="0.25">
      <c r="A515" s="1" t="s">
        <v>269</v>
      </c>
      <c r="B515" s="1" t="s">
        <v>171</v>
      </c>
      <c r="C515">
        <v>3</v>
      </c>
      <c r="D515">
        <v>5</v>
      </c>
      <c r="E515">
        <v>2</v>
      </c>
      <c r="F515">
        <v>3</v>
      </c>
      <c r="G515">
        <v>2</v>
      </c>
      <c r="H515">
        <v>6</v>
      </c>
      <c r="I515">
        <v>81</v>
      </c>
      <c r="J515">
        <v>8</v>
      </c>
      <c r="K515">
        <v>48</v>
      </c>
      <c r="L515">
        <v>7</v>
      </c>
      <c r="M515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5"/>
  <sheetViews>
    <sheetView topLeftCell="D1" zoomScale="145" zoomScaleNormal="145" workbookViewId="0">
      <selection activeCell="U13" sqref="U13"/>
    </sheetView>
  </sheetViews>
  <sheetFormatPr defaultRowHeight="15" x14ac:dyDescent="0.25"/>
  <cols>
    <col min="1" max="1" width="14.85546875" bestFit="1" customWidth="1"/>
    <col min="2" max="2" width="12.140625" bestFit="1" customWidth="1"/>
    <col min="3" max="3" width="13.42578125" bestFit="1" customWidth="1"/>
    <col min="4" max="4" width="13.85546875" bestFit="1" customWidth="1"/>
    <col min="5" max="5" width="5.140625" bestFit="1" customWidth="1"/>
    <col min="6" max="6" width="6.85546875" bestFit="1" customWidth="1"/>
    <col min="7" max="7" width="6.7109375" bestFit="1" customWidth="1"/>
    <col min="8" max="8" width="8" bestFit="1" customWidth="1"/>
    <col min="14" max="14" width="16.42578125" customWidth="1"/>
    <col min="18" max="18" width="12.7109375" bestFit="1" customWidth="1"/>
    <col min="19" max="19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672</v>
      </c>
    </row>
    <row r="2" spans="1:14" x14ac:dyDescent="0.25">
      <c r="A2" s="1" t="s">
        <v>13</v>
      </c>
      <c r="B2" s="1" t="s">
        <v>14</v>
      </c>
      <c r="C2">
        <v>0</v>
      </c>
      <c r="D2">
        <v>4</v>
      </c>
      <c r="E2">
        <v>4</v>
      </c>
      <c r="F2">
        <v>5</v>
      </c>
      <c r="G2">
        <v>6</v>
      </c>
      <c r="H2">
        <v>6</v>
      </c>
      <c r="I2">
        <v>62</v>
      </c>
      <c r="J2">
        <v>13</v>
      </c>
      <c r="K2">
        <v>26</v>
      </c>
      <c r="L2">
        <v>67</v>
      </c>
      <c r="M2">
        <v>62</v>
      </c>
      <c r="N2">
        <f t="shared" ref="N2:N65" si="0">IF(AND(C2=0,D2&gt;4, AVERAGE(E2:H2) &gt; 4), 1, 0)</f>
        <v>0</v>
      </c>
    </row>
    <row r="3" spans="1:14" x14ac:dyDescent="0.25">
      <c r="A3" s="1" t="s">
        <v>15</v>
      </c>
      <c r="B3" s="1" t="s">
        <v>16</v>
      </c>
      <c r="C3">
        <v>7</v>
      </c>
      <c r="D3">
        <v>4</v>
      </c>
      <c r="E3">
        <v>4</v>
      </c>
      <c r="F3">
        <v>2</v>
      </c>
      <c r="G3">
        <v>5</v>
      </c>
      <c r="H3">
        <v>6</v>
      </c>
      <c r="I3">
        <v>90</v>
      </c>
      <c r="J3">
        <v>8</v>
      </c>
      <c r="K3">
        <v>21</v>
      </c>
      <c r="L3">
        <v>52</v>
      </c>
      <c r="M3">
        <v>33</v>
      </c>
      <c r="N3">
        <f t="shared" si="0"/>
        <v>0</v>
      </c>
    </row>
    <row r="4" spans="1:14" x14ac:dyDescent="0.25">
      <c r="A4" s="1" t="s">
        <v>17</v>
      </c>
      <c r="B4" s="1" t="s">
        <v>18</v>
      </c>
      <c r="C4">
        <v>7</v>
      </c>
      <c r="D4">
        <v>4</v>
      </c>
      <c r="E4">
        <v>4</v>
      </c>
      <c r="F4">
        <v>6</v>
      </c>
      <c r="G4">
        <v>6</v>
      </c>
      <c r="H4">
        <v>5</v>
      </c>
      <c r="I4">
        <v>96</v>
      </c>
      <c r="J4">
        <v>99</v>
      </c>
      <c r="K4">
        <v>16</v>
      </c>
      <c r="L4">
        <v>85</v>
      </c>
      <c r="M4">
        <v>65</v>
      </c>
      <c r="N4">
        <f t="shared" si="0"/>
        <v>0</v>
      </c>
    </row>
    <row r="5" spans="1:14" x14ac:dyDescent="0.25">
      <c r="A5" s="1" t="s">
        <v>19</v>
      </c>
      <c r="B5" s="1" t="s">
        <v>20</v>
      </c>
      <c r="C5">
        <v>8</v>
      </c>
      <c r="D5">
        <v>6</v>
      </c>
      <c r="E5">
        <v>4</v>
      </c>
      <c r="F5">
        <v>4</v>
      </c>
      <c r="G5">
        <v>3</v>
      </c>
      <c r="H5">
        <v>5</v>
      </c>
      <c r="I5">
        <v>17</v>
      </c>
      <c r="J5">
        <v>100</v>
      </c>
      <c r="K5">
        <v>100</v>
      </c>
      <c r="L5">
        <v>100</v>
      </c>
      <c r="M5">
        <v>31</v>
      </c>
      <c r="N5">
        <f t="shared" si="0"/>
        <v>0</v>
      </c>
    </row>
    <row r="6" spans="1:14" x14ac:dyDescent="0.25">
      <c r="A6" s="1" t="s">
        <v>21</v>
      </c>
      <c r="B6" s="1" t="s">
        <v>18</v>
      </c>
      <c r="C6">
        <v>5</v>
      </c>
      <c r="D6">
        <v>4</v>
      </c>
      <c r="E6">
        <v>2</v>
      </c>
      <c r="F6">
        <v>4</v>
      </c>
      <c r="G6">
        <v>5</v>
      </c>
      <c r="H6">
        <v>4</v>
      </c>
      <c r="I6">
        <v>20</v>
      </c>
      <c r="J6">
        <v>28</v>
      </c>
      <c r="K6">
        <v>58</v>
      </c>
      <c r="L6">
        <v>86</v>
      </c>
      <c r="M6">
        <v>48</v>
      </c>
      <c r="N6">
        <f t="shared" si="0"/>
        <v>0</v>
      </c>
    </row>
    <row r="7" spans="1:14" x14ac:dyDescent="0.25">
      <c r="A7" s="1" t="s">
        <v>22</v>
      </c>
      <c r="B7" s="1" t="s">
        <v>23</v>
      </c>
      <c r="C7">
        <v>7</v>
      </c>
      <c r="D7">
        <v>3</v>
      </c>
      <c r="E7">
        <v>2</v>
      </c>
      <c r="F7">
        <v>2</v>
      </c>
      <c r="G7">
        <v>2</v>
      </c>
      <c r="H7">
        <v>3</v>
      </c>
      <c r="I7">
        <v>77</v>
      </c>
      <c r="J7">
        <v>10</v>
      </c>
      <c r="K7">
        <v>11</v>
      </c>
      <c r="L7">
        <v>72</v>
      </c>
      <c r="M7">
        <v>78</v>
      </c>
      <c r="N7">
        <f t="shared" si="0"/>
        <v>0</v>
      </c>
    </row>
    <row r="8" spans="1:14" x14ac:dyDescent="0.25">
      <c r="A8" s="1" t="s">
        <v>24</v>
      </c>
      <c r="B8" s="1" t="s">
        <v>23</v>
      </c>
      <c r="C8">
        <v>8</v>
      </c>
      <c r="D8">
        <v>6</v>
      </c>
      <c r="E8">
        <v>6</v>
      </c>
      <c r="F8">
        <v>5</v>
      </c>
      <c r="G8">
        <v>5</v>
      </c>
      <c r="H8">
        <v>2</v>
      </c>
      <c r="I8">
        <v>75</v>
      </c>
      <c r="J8">
        <v>25</v>
      </c>
      <c r="K8">
        <v>5</v>
      </c>
      <c r="L8">
        <v>3</v>
      </c>
      <c r="M8">
        <v>58</v>
      </c>
      <c r="N8">
        <f t="shared" si="0"/>
        <v>0</v>
      </c>
    </row>
    <row r="9" spans="1:14" x14ac:dyDescent="0.25">
      <c r="A9" s="1" t="s">
        <v>25</v>
      </c>
      <c r="B9" s="1" t="s">
        <v>26</v>
      </c>
      <c r="C9">
        <v>6</v>
      </c>
      <c r="D9">
        <v>6</v>
      </c>
      <c r="E9">
        <v>2</v>
      </c>
      <c r="F9">
        <v>5</v>
      </c>
      <c r="G9">
        <v>5</v>
      </c>
      <c r="H9">
        <v>3</v>
      </c>
      <c r="I9">
        <v>12</v>
      </c>
      <c r="J9">
        <v>17</v>
      </c>
      <c r="K9">
        <v>14</v>
      </c>
      <c r="L9">
        <v>4</v>
      </c>
      <c r="M9">
        <v>3</v>
      </c>
      <c r="N9">
        <f t="shared" si="0"/>
        <v>0</v>
      </c>
    </row>
    <row r="10" spans="1:14" x14ac:dyDescent="0.25">
      <c r="A10" s="1" t="s">
        <v>27</v>
      </c>
      <c r="B10" s="1" t="s">
        <v>28</v>
      </c>
      <c r="C10">
        <v>1</v>
      </c>
      <c r="D10">
        <v>6</v>
      </c>
      <c r="E10">
        <v>6</v>
      </c>
      <c r="F10">
        <v>2</v>
      </c>
      <c r="G10">
        <v>3</v>
      </c>
      <c r="H10">
        <v>6</v>
      </c>
      <c r="I10">
        <v>1</v>
      </c>
      <c r="J10">
        <v>3</v>
      </c>
      <c r="K10">
        <v>69</v>
      </c>
      <c r="L10">
        <v>89</v>
      </c>
      <c r="M10">
        <v>10</v>
      </c>
      <c r="N10">
        <f t="shared" si="0"/>
        <v>0</v>
      </c>
    </row>
    <row r="11" spans="1:14" x14ac:dyDescent="0.25">
      <c r="A11" s="1" t="s">
        <v>29</v>
      </c>
      <c r="B11" s="1" t="s">
        <v>30</v>
      </c>
      <c r="C11">
        <v>0</v>
      </c>
      <c r="D11">
        <v>5</v>
      </c>
      <c r="E11">
        <v>3</v>
      </c>
      <c r="F11">
        <v>6</v>
      </c>
      <c r="G11">
        <v>6</v>
      </c>
      <c r="H11">
        <v>4</v>
      </c>
      <c r="I11">
        <v>28</v>
      </c>
      <c r="J11">
        <v>53</v>
      </c>
      <c r="K11">
        <v>38</v>
      </c>
      <c r="L11">
        <v>63</v>
      </c>
      <c r="M11">
        <v>70</v>
      </c>
      <c r="N11">
        <f t="shared" si="0"/>
        <v>1</v>
      </c>
    </row>
    <row r="12" spans="1:14" x14ac:dyDescent="0.25">
      <c r="A12" s="1" t="s">
        <v>31</v>
      </c>
      <c r="B12" s="1" t="s">
        <v>32</v>
      </c>
      <c r="C12">
        <v>4</v>
      </c>
      <c r="D12">
        <v>3</v>
      </c>
      <c r="E12">
        <v>3</v>
      </c>
      <c r="F12">
        <v>6</v>
      </c>
      <c r="G12">
        <v>6</v>
      </c>
      <c r="H12">
        <v>2</v>
      </c>
      <c r="I12">
        <v>77</v>
      </c>
      <c r="J12">
        <v>8</v>
      </c>
      <c r="K12">
        <v>71</v>
      </c>
      <c r="L12">
        <v>88</v>
      </c>
      <c r="M12">
        <v>41</v>
      </c>
      <c r="N12">
        <f t="shared" si="0"/>
        <v>0</v>
      </c>
    </row>
    <row r="13" spans="1:14" x14ac:dyDescent="0.25">
      <c r="A13" s="1" t="s">
        <v>33</v>
      </c>
      <c r="B13" s="1" t="s">
        <v>34</v>
      </c>
      <c r="C13">
        <v>4</v>
      </c>
      <c r="D13">
        <v>6</v>
      </c>
      <c r="E13">
        <v>5</v>
      </c>
      <c r="F13">
        <v>6</v>
      </c>
      <c r="G13">
        <v>3</v>
      </c>
      <c r="H13">
        <v>6</v>
      </c>
      <c r="I13">
        <v>83</v>
      </c>
      <c r="J13">
        <v>27</v>
      </c>
      <c r="K13">
        <v>79</v>
      </c>
      <c r="L13">
        <v>20</v>
      </c>
      <c r="M13">
        <v>43</v>
      </c>
      <c r="N13">
        <f t="shared" si="0"/>
        <v>0</v>
      </c>
    </row>
    <row r="14" spans="1:14" x14ac:dyDescent="0.25">
      <c r="A14" s="1" t="s">
        <v>35</v>
      </c>
      <c r="B14" s="1" t="s">
        <v>36</v>
      </c>
      <c r="C14">
        <v>1</v>
      </c>
      <c r="D14">
        <v>3</v>
      </c>
      <c r="E14">
        <v>6</v>
      </c>
      <c r="F14">
        <v>3</v>
      </c>
      <c r="G14">
        <v>3</v>
      </c>
      <c r="H14">
        <v>2</v>
      </c>
      <c r="I14">
        <v>16</v>
      </c>
      <c r="J14">
        <v>43</v>
      </c>
      <c r="K14">
        <v>92</v>
      </c>
      <c r="L14">
        <v>54</v>
      </c>
      <c r="M14">
        <v>27</v>
      </c>
      <c r="N14">
        <f t="shared" si="0"/>
        <v>0</v>
      </c>
    </row>
    <row r="15" spans="1:14" x14ac:dyDescent="0.25">
      <c r="A15" s="1" t="s">
        <v>37</v>
      </c>
      <c r="B15" s="1" t="s">
        <v>38</v>
      </c>
      <c r="C15">
        <v>6</v>
      </c>
      <c r="D15">
        <v>6</v>
      </c>
      <c r="E15">
        <v>5</v>
      </c>
      <c r="F15">
        <v>3</v>
      </c>
      <c r="G15">
        <v>2</v>
      </c>
      <c r="H15">
        <v>6</v>
      </c>
      <c r="I15">
        <v>11</v>
      </c>
      <c r="J15">
        <v>36</v>
      </c>
      <c r="K15">
        <v>4</v>
      </c>
      <c r="L15">
        <v>41</v>
      </c>
      <c r="M15">
        <v>62</v>
      </c>
      <c r="N15">
        <f t="shared" si="0"/>
        <v>0</v>
      </c>
    </row>
    <row r="16" spans="1:14" x14ac:dyDescent="0.25">
      <c r="A16" s="1" t="s">
        <v>39</v>
      </c>
      <c r="B16" s="1" t="s">
        <v>38</v>
      </c>
      <c r="C16">
        <v>5</v>
      </c>
      <c r="D16">
        <v>2</v>
      </c>
      <c r="E16">
        <v>4</v>
      </c>
      <c r="F16">
        <v>2</v>
      </c>
      <c r="G16">
        <v>3</v>
      </c>
      <c r="H16">
        <v>5</v>
      </c>
      <c r="I16">
        <v>80</v>
      </c>
      <c r="J16">
        <v>75</v>
      </c>
      <c r="K16">
        <v>60</v>
      </c>
      <c r="L16">
        <v>54</v>
      </c>
      <c r="M16">
        <v>69</v>
      </c>
      <c r="N16">
        <f t="shared" si="0"/>
        <v>0</v>
      </c>
    </row>
    <row r="17" spans="1:20" x14ac:dyDescent="0.25">
      <c r="A17" s="1" t="s">
        <v>40</v>
      </c>
      <c r="B17" s="1" t="s">
        <v>41</v>
      </c>
      <c r="C17">
        <v>8</v>
      </c>
      <c r="D17">
        <v>6</v>
      </c>
      <c r="E17">
        <v>4</v>
      </c>
      <c r="F17">
        <v>3</v>
      </c>
      <c r="G17">
        <v>4</v>
      </c>
      <c r="H17">
        <v>5</v>
      </c>
      <c r="I17">
        <v>22</v>
      </c>
      <c r="J17">
        <v>46</v>
      </c>
      <c r="K17">
        <v>36</v>
      </c>
      <c r="L17">
        <v>35</v>
      </c>
      <c r="M17">
        <v>91</v>
      </c>
      <c r="N17">
        <f t="shared" si="0"/>
        <v>0</v>
      </c>
      <c r="R17" s="2" t="s">
        <v>0</v>
      </c>
      <c r="S17" s="3" t="s">
        <v>1</v>
      </c>
    </row>
    <row r="18" spans="1:20" x14ac:dyDescent="0.25">
      <c r="A18" s="1" t="s">
        <v>42</v>
      </c>
      <c r="B18" s="1" t="s">
        <v>43</v>
      </c>
      <c r="C18">
        <v>2</v>
      </c>
      <c r="D18">
        <v>5</v>
      </c>
      <c r="E18">
        <v>3</v>
      </c>
      <c r="F18">
        <v>5</v>
      </c>
      <c r="G18">
        <v>6</v>
      </c>
      <c r="H18">
        <v>3</v>
      </c>
      <c r="I18">
        <v>47</v>
      </c>
      <c r="J18">
        <v>30</v>
      </c>
      <c r="K18">
        <v>2</v>
      </c>
      <c r="L18">
        <v>45</v>
      </c>
      <c r="M18">
        <v>76</v>
      </c>
      <c r="N18">
        <f t="shared" si="0"/>
        <v>0</v>
      </c>
      <c r="R18" s="6" t="s">
        <v>40</v>
      </c>
      <c r="S18" s="7" t="s">
        <v>43</v>
      </c>
      <c r="T18" s="8" t="s">
        <v>673</v>
      </c>
    </row>
    <row r="19" spans="1:20" x14ac:dyDescent="0.25">
      <c r="A19" s="1" t="s">
        <v>44</v>
      </c>
      <c r="B19" s="1" t="s">
        <v>45</v>
      </c>
      <c r="C19">
        <v>8</v>
      </c>
      <c r="D19">
        <v>4</v>
      </c>
      <c r="E19">
        <v>3</v>
      </c>
      <c r="F19">
        <v>4</v>
      </c>
      <c r="G19">
        <v>6</v>
      </c>
      <c r="H19">
        <v>2</v>
      </c>
      <c r="I19">
        <v>23</v>
      </c>
      <c r="J19">
        <v>49</v>
      </c>
      <c r="K19">
        <v>16</v>
      </c>
      <c r="L19">
        <v>3</v>
      </c>
      <c r="M19">
        <v>81</v>
      </c>
      <c r="N19">
        <f t="shared" si="0"/>
        <v>0</v>
      </c>
      <c r="R19" s="4" t="s">
        <v>300</v>
      </c>
      <c r="S19" s="5" t="s">
        <v>242</v>
      </c>
      <c r="T19" s="8"/>
    </row>
    <row r="20" spans="1:20" x14ac:dyDescent="0.25">
      <c r="A20" s="1" t="s">
        <v>46</v>
      </c>
      <c r="B20" s="1" t="s">
        <v>16</v>
      </c>
      <c r="C20">
        <v>1</v>
      </c>
      <c r="D20">
        <v>6</v>
      </c>
      <c r="E20">
        <v>6</v>
      </c>
      <c r="F20">
        <v>6</v>
      </c>
      <c r="G20">
        <v>3</v>
      </c>
      <c r="H20">
        <v>2</v>
      </c>
      <c r="I20">
        <v>14</v>
      </c>
      <c r="J20">
        <v>20</v>
      </c>
      <c r="K20">
        <v>14</v>
      </c>
      <c r="L20">
        <v>64</v>
      </c>
      <c r="M20">
        <v>55</v>
      </c>
      <c r="N20">
        <f t="shared" si="0"/>
        <v>0</v>
      </c>
      <c r="R20" s="4" t="s">
        <v>328</v>
      </c>
      <c r="S20" s="5" t="s">
        <v>68</v>
      </c>
      <c r="T20" s="8"/>
    </row>
    <row r="21" spans="1:20" x14ac:dyDescent="0.25">
      <c r="A21" s="1" t="s">
        <v>47</v>
      </c>
      <c r="B21" s="1" t="s">
        <v>48</v>
      </c>
      <c r="C21">
        <v>5</v>
      </c>
      <c r="D21">
        <v>4</v>
      </c>
      <c r="E21">
        <v>3</v>
      </c>
      <c r="F21">
        <v>3</v>
      </c>
      <c r="G21">
        <v>3</v>
      </c>
      <c r="H21">
        <v>6</v>
      </c>
      <c r="I21">
        <v>98</v>
      </c>
      <c r="J21">
        <v>48</v>
      </c>
      <c r="K21">
        <v>6</v>
      </c>
      <c r="L21">
        <v>70</v>
      </c>
      <c r="M21">
        <v>6</v>
      </c>
      <c r="N21">
        <f t="shared" si="0"/>
        <v>0</v>
      </c>
      <c r="R21" s="6" t="s">
        <v>276</v>
      </c>
      <c r="S21" s="7" t="s">
        <v>180</v>
      </c>
      <c r="T21" s="8"/>
    </row>
    <row r="22" spans="1:20" x14ac:dyDescent="0.25">
      <c r="A22" s="1" t="s">
        <v>49</v>
      </c>
      <c r="B22" s="1" t="s">
        <v>38</v>
      </c>
      <c r="C22">
        <v>3</v>
      </c>
      <c r="D22">
        <v>3</v>
      </c>
      <c r="E22">
        <v>2</v>
      </c>
      <c r="F22">
        <v>3</v>
      </c>
      <c r="G22">
        <v>3</v>
      </c>
      <c r="H22">
        <v>2</v>
      </c>
      <c r="I22">
        <v>38</v>
      </c>
      <c r="J22">
        <v>71</v>
      </c>
      <c r="K22">
        <v>35</v>
      </c>
      <c r="L22">
        <v>95</v>
      </c>
      <c r="M22">
        <v>84</v>
      </c>
      <c r="N22">
        <f t="shared" si="0"/>
        <v>0</v>
      </c>
      <c r="R22" s="4" t="s">
        <v>423</v>
      </c>
      <c r="S22" s="5" t="s">
        <v>76</v>
      </c>
      <c r="T22" s="8"/>
    </row>
    <row r="23" spans="1:20" x14ac:dyDescent="0.25">
      <c r="A23" s="1" t="s">
        <v>50</v>
      </c>
      <c r="B23" s="1" t="s">
        <v>51</v>
      </c>
      <c r="C23">
        <v>7</v>
      </c>
      <c r="D23">
        <v>4</v>
      </c>
      <c r="E23">
        <v>6</v>
      </c>
      <c r="F23">
        <v>4</v>
      </c>
      <c r="G23">
        <v>6</v>
      </c>
      <c r="H23">
        <v>5</v>
      </c>
      <c r="I23">
        <v>95</v>
      </c>
      <c r="J23">
        <v>100</v>
      </c>
      <c r="K23">
        <v>100</v>
      </c>
      <c r="L23">
        <v>40</v>
      </c>
      <c r="M23">
        <v>100</v>
      </c>
      <c r="N23">
        <f t="shared" si="0"/>
        <v>0</v>
      </c>
      <c r="R23" s="6" t="s">
        <v>235</v>
      </c>
      <c r="S23" s="7" t="s">
        <v>110</v>
      </c>
    </row>
    <row r="24" spans="1:20" x14ac:dyDescent="0.25">
      <c r="A24" s="1" t="s">
        <v>52</v>
      </c>
      <c r="B24" s="1" t="s">
        <v>53</v>
      </c>
      <c r="C24">
        <v>7</v>
      </c>
      <c r="D24">
        <v>2</v>
      </c>
      <c r="E24">
        <v>4</v>
      </c>
      <c r="F24">
        <v>5</v>
      </c>
      <c r="G24">
        <v>3</v>
      </c>
      <c r="H24">
        <v>4</v>
      </c>
      <c r="I24">
        <v>59</v>
      </c>
      <c r="J24">
        <v>14</v>
      </c>
      <c r="K24">
        <v>99</v>
      </c>
      <c r="L24">
        <v>4</v>
      </c>
      <c r="M24">
        <v>3</v>
      </c>
      <c r="N24">
        <f t="shared" si="0"/>
        <v>0</v>
      </c>
      <c r="R24" s="6" t="s">
        <v>29</v>
      </c>
      <c r="S24" s="7" t="s">
        <v>30</v>
      </c>
    </row>
    <row r="25" spans="1:20" x14ac:dyDescent="0.25">
      <c r="A25" s="1" t="s">
        <v>54</v>
      </c>
      <c r="B25" s="1" t="s">
        <v>55</v>
      </c>
      <c r="C25">
        <v>3</v>
      </c>
      <c r="D25">
        <v>3</v>
      </c>
      <c r="E25">
        <v>5</v>
      </c>
      <c r="F25">
        <v>5</v>
      </c>
      <c r="G25">
        <v>2</v>
      </c>
      <c r="H25">
        <v>6</v>
      </c>
      <c r="I25">
        <v>26</v>
      </c>
      <c r="J25">
        <v>14</v>
      </c>
      <c r="K25">
        <v>18</v>
      </c>
      <c r="L25">
        <v>96</v>
      </c>
      <c r="M25">
        <v>41</v>
      </c>
      <c r="N25">
        <f t="shared" si="0"/>
        <v>0</v>
      </c>
      <c r="R25" s="4" t="s">
        <v>514</v>
      </c>
      <c r="S25" s="5" t="s">
        <v>38</v>
      </c>
    </row>
    <row r="26" spans="1:20" x14ac:dyDescent="0.25">
      <c r="A26" s="1" t="s">
        <v>56</v>
      </c>
      <c r="B26" s="1" t="s">
        <v>38</v>
      </c>
      <c r="C26">
        <v>8</v>
      </c>
      <c r="D26">
        <v>6</v>
      </c>
      <c r="E26">
        <v>3</v>
      </c>
      <c r="F26">
        <v>4</v>
      </c>
      <c r="G26">
        <v>2</v>
      </c>
      <c r="H26">
        <v>4</v>
      </c>
      <c r="I26">
        <v>8</v>
      </c>
      <c r="J26">
        <v>78</v>
      </c>
      <c r="K26">
        <v>64</v>
      </c>
      <c r="L26">
        <v>10</v>
      </c>
      <c r="M26">
        <v>55</v>
      </c>
      <c r="N26">
        <f t="shared" si="0"/>
        <v>0</v>
      </c>
      <c r="R26" s="6" t="s">
        <v>613</v>
      </c>
      <c r="S26" s="7" t="s">
        <v>412</v>
      </c>
    </row>
    <row r="27" spans="1:20" x14ac:dyDescent="0.25">
      <c r="A27" s="1" t="s">
        <v>57</v>
      </c>
      <c r="B27" s="1" t="s">
        <v>58</v>
      </c>
      <c r="C27">
        <v>3</v>
      </c>
      <c r="D27">
        <v>5</v>
      </c>
      <c r="E27">
        <v>2</v>
      </c>
      <c r="F27">
        <v>4</v>
      </c>
      <c r="G27">
        <v>3</v>
      </c>
      <c r="H27">
        <v>6</v>
      </c>
      <c r="I27">
        <v>41</v>
      </c>
      <c r="J27">
        <v>37</v>
      </c>
      <c r="K27">
        <v>5</v>
      </c>
      <c r="L27">
        <v>34</v>
      </c>
      <c r="M27">
        <v>93</v>
      </c>
      <c r="N27">
        <f t="shared" si="0"/>
        <v>0</v>
      </c>
      <c r="R27" s="4" t="s">
        <v>138</v>
      </c>
      <c r="S27" s="5" t="s">
        <v>139</v>
      </c>
    </row>
    <row r="28" spans="1:20" x14ac:dyDescent="0.25">
      <c r="A28" s="1" t="s">
        <v>59</v>
      </c>
      <c r="B28" s="1" t="s">
        <v>16</v>
      </c>
      <c r="C28">
        <v>4</v>
      </c>
      <c r="D28">
        <v>6</v>
      </c>
      <c r="E28">
        <v>4</v>
      </c>
      <c r="F28">
        <v>3</v>
      </c>
      <c r="G28">
        <v>2</v>
      </c>
      <c r="H28">
        <v>3</v>
      </c>
      <c r="I28">
        <v>60</v>
      </c>
      <c r="J28">
        <v>7</v>
      </c>
      <c r="K28">
        <v>97</v>
      </c>
      <c r="L28">
        <v>80</v>
      </c>
      <c r="M28">
        <v>43</v>
      </c>
      <c r="N28">
        <f t="shared" si="0"/>
        <v>0</v>
      </c>
      <c r="R28" s="4" t="s">
        <v>364</v>
      </c>
      <c r="S28" s="5" t="s">
        <v>203</v>
      </c>
    </row>
    <row r="29" spans="1:20" x14ac:dyDescent="0.25">
      <c r="A29" s="1" t="s">
        <v>60</v>
      </c>
      <c r="B29" s="1" t="s">
        <v>61</v>
      </c>
      <c r="C29">
        <v>1</v>
      </c>
      <c r="D29">
        <v>4</v>
      </c>
      <c r="E29">
        <v>5</v>
      </c>
      <c r="F29">
        <v>4</v>
      </c>
      <c r="G29">
        <v>2</v>
      </c>
      <c r="H29">
        <v>5</v>
      </c>
      <c r="I29">
        <v>53</v>
      </c>
      <c r="J29">
        <v>18</v>
      </c>
      <c r="K29">
        <v>94</v>
      </c>
      <c r="L29">
        <v>99</v>
      </c>
      <c r="M29">
        <v>76</v>
      </c>
      <c r="N29">
        <f t="shared" si="0"/>
        <v>0</v>
      </c>
      <c r="R29" s="4" t="s">
        <v>628</v>
      </c>
      <c r="S29" s="5" t="s">
        <v>251</v>
      </c>
    </row>
    <row r="30" spans="1:20" x14ac:dyDescent="0.25">
      <c r="A30" s="1" t="s">
        <v>62</v>
      </c>
      <c r="B30" s="1" t="s">
        <v>38</v>
      </c>
      <c r="C30">
        <v>5</v>
      </c>
      <c r="D30">
        <v>3</v>
      </c>
      <c r="E30">
        <v>3</v>
      </c>
      <c r="F30">
        <v>4</v>
      </c>
      <c r="G30">
        <v>6</v>
      </c>
      <c r="H30">
        <v>6</v>
      </c>
      <c r="I30">
        <v>84</v>
      </c>
      <c r="J30">
        <v>87</v>
      </c>
      <c r="K30">
        <v>96</v>
      </c>
      <c r="L30">
        <v>8</v>
      </c>
      <c r="M30">
        <v>17</v>
      </c>
      <c r="N30">
        <f t="shared" si="0"/>
        <v>0</v>
      </c>
    </row>
    <row r="31" spans="1:20" x14ac:dyDescent="0.25">
      <c r="A31" s="1" t="s">
        <v>63</v>
      </c>
      <c r="B31" s="1" t="s">
        <v>64</v>
      </c>
      <c r="C31">
        <v>2</v>
      </c>
      <c r="D31">
        <v>3</v>
      </c>
      <c r="E31">
        <v>5</v>
      </c>
      <c r="F31">
        <v>2</v>
      </c>
      <c r="G31">
        <v>2</v>
      </c>
      <c r="H31">
        <v>5</v>
      </c>
      <c r="I31">
        <v>6</v>
      </c>
      <c r="J31">
        <v>43</v>
      </c>
      <c r="K31">
        <v>53</v>
      </c>
      <c r="L31">
        <v>71</v>
      </c>
      <c r="M31">
        <v>3</v>
      </c>
      <c r="N31">
        <f t="shared" si="0"/>
        <v>0</v>
      </c>
    </row>
    <row r="32" spans="1:20" x14ac:dyDescent="0.25">
      <c r="A32" s="1" t="s">
        <v>65</v>
      </c>
      <c r="B32" s="1" t="s">
        <v>66</v>
      </c>
      <c r="C32">
        <v>0</v>
      </c>
      <c r="D32">
        <v>2</v>
      </c>
      <c r="E32">
        <v>6</v>
      </c>
      <c r="F32">
        <v>5</v>
      </c>
      <c r="G32">
        <v>6</v>
      </c>
      <c r="H32">
        <v>3</v>
      </c>
      <c r="I32">
        <v>89</v>
      </c>
      <c r="J32">
        <v>40</v>
      </c>
      <c r="K32">
        <v>28</v>
      </c>
      <c r="L32">
        <v>32</v>
      </c>
      <c r="M32">
        <v>47</v>
      </c>
      <c r="N32">
        <f t="shared" si="0"/>
        <v>0</v>
      </c>
    </row>
    <row r="33" spans="1:14" x14ac:dyDescent="0.25">
      <c r="A33" s="1" t="s">
        <v>67</v>
      </c>
      <c r="B33" s="1" t="s">
        <v>68</v>
      </c>
      <c r="C33">
        <v>0</v>
      </c>
      <c r="D33">
        <v>5</v>
      </c>
      <c r="E33">
        <v>6</v>
      </c>
      <c r="F33">
        <v>4</v>
      </c>
      <c r="G33">
        <v>4</v>
      </c>
      <c r="H33">
        <v>2</v>
      </c>
      <c r="I33">
        <v>22</v>
      </c>
      <c r="J33">
        <v>9</v>
      </c>
      <c r="K33">
        <v>1</v>
      </c>
      <c r="L33">
        <v>76</v>
      </c>
      <c r="M33">
        <v>28</v>
      </c>
      <c r="N33">
        <f t="shared" si="0"/>
        <v>0</v>
      </c>
    </row>
    <row r="34" spans="1:14" x14ac:dyDescent="0.25">
      <c r="A34" s="1" t="s">
        <v>69</v>
      </c>
      <c r="B34" s="1" t="s">
        <v>70</v>
      </c>
      <c r="C34">
        <v>6</v>
      </c>
      <c r="D34">
        <v>3</v>
      </c>
      <c r="E34">
        <v>2</v>
      </c>
      <c r="F34">
        <v>2</v>
      </c>
      <c r="G34">
        <v>2</v>
      </c>
      <c r="H34">
        <v>4</v>
      </c>
      <c r="I34">
        <v>82</v>
      </c>
      <c r="J34">
        <v>95</v>
      </c>
      <c r="K34">
        <v>8</v>
      </c>
      <c r="L34">
        <v>46</v>
      </c>
      <c r="M34">
        <v>76</v>
      </c>
      <c r="N34">
        <f t="shared" si="0"/>
        <v>0</v>
      </c>
    </row>
    <row r="35" spans="1:14" x14ac:dyDescent="0.25">
      <c r="A35" s="1" t="s">
        <v>71</v>
      </c>
      <c r="B35" s="1" t="s">
        <v>72</v>
      </c>
      <c r="C35">
        <v>7</v>
      </c>
      <c r="D35">
        <v>3</v>
      </c>
      <c r="E35">
        <v>2</v>
      </c>
      <c r="F35">
        <v>4</v>
      </c>
      <c r="G35">
        <v>4</v>
      </c>
      <c r="H35">
        <v>2</v>
      </c>
      <c r="I35">
        <v>67</v>
      </c>
      <c r="J35">
        <v>26</v>
      </c>
      <c r="K35">
        <v>50</v>
      </c>
      <c r="L35">
        <v>90</v>
      </c>
      <c r="M35">
        <v>34</v>
      </c>
      <c r="N35">
        <f t="shared" si="0"/>
        <v>0</v>
      </c>
    </row>
    <row r="36" spans="1:14" x14ac:dyDescent="0.25">
      <c r="A36" s="1" t="s">
        <v>73</v>
      </c>
      <c r="B36" s="1" t="s">
        <v>74</v>
      </c>
      <c r="C36">
        <v>2</v>
      </c>
      <c r="D36">
        <v>2</v>
      </c>
      <c r="E36">
        <v>6</v>
      </c>
      <c r="F36">
        <v>5</v>
      </c>
      <c r="G36">
        <v>4</v>
      </c>
      <c r="H36">
        <v>5</v>
      </c>
      <c r="I36">
        <v>34</v>
      </c>
      <c r="J36">
        <v>59</v>
      </c>
      <c r="K36">
        <v>59</v>
      </c>
      <c r="L36">
        <v>7</v>
      </c>
      <c r="M36">
        <v>1</v>
      </c>
      <c r="N36">
        <f t="shared" si="0"/>
        <v>0</v>
      </c>
    </row>
    <row r="37" spans="1:14" x14ac:dyDescent="0.25">
      <c r="A37" s="1" t="s">
        <v>75</v>
      </c>
      <c r="B37" s="1" t="s">
        <v>76</v>
      </c>
      <c r="C37">
        <v>4</v>
      </c>
      <c r="D37">
        <v>6</v>
      </c>
      <c r="E37">
        <v>5</v>
      </c>
      <c r="F37">
        <v>5</v>
      </c>
      <c r="G37">
        <v>6</v>
      </c>
      <c r="H37">
        <v>4</v>
      </c>
      <c r="I37">
        <v>56</v>
      </c>
      <c r="J37">
        <v>75</v>
      </c>
      <c r="K37">
        <v>51</v>
      </c>
      <c r="L37">
        <v>47</v>
      </c>
      <c r="M37">
        <v>71</v>
      </c>
      <c r="N37">
        <f t="shared" si="0"/>
        <v>0</v>
      </c>
    </row>
    <row r="38" spans="1:14" x14ac:dyDescent="0.25">
      <c r="A38" s="1" t="s">
        <v>77</v>
      </c>
      <c r="B38" s="1" t="s">
        <v>78</v>
      </c>
      <c r="C38">
        <v>6</v>
      </c>
      <c r="D38">
        <v>4</v>
      </c>
      <c r="E38">
        <v>5</v>
      </c>
      <c r="F38">
        <v>5</v>
      </c>
      <c r="G38">
        <v>5</v>
      </c>
      <c r="H38">
        <v>4</v>
      </c>
      <c r="I38">
        <v>70</v>
      </c>
      <c r="J38">
        <v>71</v>
      </c>
      <c r="K38">
        <v>27</v>
      </c>
      <c r="L38">
        <v>77</v>
      </c>
      <c r="M38">
        <v>13</v>
      </c>
      <c r="N38">
        <f t="shared" si="0"/>
        <v>0</v>
      </c>
    </row>
    <row r="39" spans="1:14" x14ac:dyDescent="0.25">
      <c r="A39" s="1" t="s">
        <v>79</v>
      </c>
      <c r="B39" s="1" t="s">
        <v>80</v>
      </c>
      <c r="C39">
        <v>2</v>
      </c>
      <c r="D39">
        <v>2</v>
      </c>
      <c r="E39">
        <v>4</v>
      </c>
      <c r="F39">
        <v>4</v>
      </c>
      <c r="G39">
        <v>4</v>
      </c>
      <c r="H39">
        <v>6</v>
      </c>
      <c r="I39">
        <v>30</v>
      </c>
      <c r="J39">
        <v>55</v>
      </c>
      <c r="K39">
        <v>59</v>
      </c>
      <c r="L39">
        <v>77</v>
      </c>
      <c r="M39">
        <v>58</v>
      </c>
      <c r="N39">
        <f t="shared" si="0"/>
        <v>0</v>
      </c>
    </row>
    <row r="40" spans="1:14" x14ac:dyDescent="0.25">
      <c r="A40" s="1" t="s">
        <v>81</v>
      </c>
      <c r="B40" s="1" t="s">
        <v>38</v>
      </c>
      <c r="C40">
        <v>5</v>
      </c>
      <c r="D40">
        <v>6</v>
      </c>
      <c r="E40">
        <v>6</v>
      </c>
      <c r="F40">
        <v>6</v>
      </c>
      <c r="G40">
        <v>5</v>
      </c>
      <c r="H40">
        <v>5</v>
      </c>
      <c r="I40">
        <v>57</v>
      </c>
      <c r="J40">
        <v>22</v>
      </c>
      <c r="K40">
        <v>16</v>
      </c>
      <c r="L40">
        <v>20</v>
      </c>
      <c r="M40">
        <v>67</v>
      </c>
      <c r="N40">
        <f t="shared" si="0"/>
        <v>0</v>
      </c>
    </row>
    <row r="41" spans="1:14" x14ac:dyDescent="0.25">
      <c r="A41" s="1" t="s">
        <v>82</v>
      </c>
      <c r="B41" s="1" t="s">
        <v>83</v>
      </c>
      <c r="C41">
        <v>6</v>
      </c>
      <c r="D41">
        <v>2</v>
      </c>
      <c r="E41">
        <v>5</v>
      </c>
      <c r="F41">
        <v>3</v>
      </c>
      <c r="G41">
        <v>3</v>
      </c>
      <c r="H41">
        <v>6</v>
      </c>
      <c r="I41">
        <v>67</v>
      </c>
      <c r="J41">
        <v>98</v>
      </c>
      <c r="K41">
        <v>28</v>
      </c>
      <c r="L41">
        <v>6</v>
      </c>
      <c r="M41">
        <v>20</v>
      </c>
      <c r="N41">
        <f t="shared" si="0"/>
        <v>0</v>
      </c>
    </row>
    <row r="42" spans="1:14" x14ac:dyDescent="0.25">
      <c r="A42" s="1" t="s">
        <v>84</v>
      </c>
      <c r="B42" s="1" t="s">
        <v>38</v>
      </c>
      <c r="C42">
        <v>7</v>
      </c>
      <c r="D42">
        <v>4</v>
      </c>
      <c r="E42">
        <v>6</v>
      </c>
      <c r="F42">
        <v>4</v>
      </c>
      <c r="G42">
        <v>3</v>
      </c>
      <c r="H42">
        <v>3</v>
      </c>
      <c r="I42">
        <v>12</v>
      </c>
      <c r="J42">
        <v>86</v>
      </c>
      <c r="K42">
        <v>61</v>
      </c>
      <c r="L42">
        <v>94</v>
      </c>
      <c r="M42">
        <v>74</v>
      </c>
      <c r="N42">
        <f t="shared" si="0"/>
        <v>0</v>
      </c>
    </row>
    <row r="43" spans="1:14" x14ac:dyDescent="0.25">
      <c r="A43" s="1" t="s">
        <v>46</v>
      </c>
      <c r="B43" s="1" t="s">
        <v>16</v>
      </c>
      <c r="C43">
        <v>0</v>
      </c>
      <c r="D43">
        <v>3</v>
      </c>
      <c r="E43">
        <v>4</v>
      </c>
      <c r="F43">
        <v>3</v>
      </c>
      <c r="G43">
        <v>5</v>
      </c>
      <c r="H43">
        <v>2</v>
      </c>
      <c r="I43">
        <v>82</v>
      </c>
      <c r="J43">
        <v>70</v>
      </c>
      <c r="K43">
        <v>18</v>
      </c>
      <c r="L43">
        <v>28</v>
      </c>
      <c r="M43">
        <v>34</v>
      </c>
      <c r="N43">
        <f t="shared" si="0"/>
        <v>0</v>
      </c>
    </row>
    <row r="44" spans="1:14" x14ac:dyDescent="0.25">
      <c r="A44" s="1" t="s">
        <v>85</v>
      </c>
      <c r="B44" s="1" t="s">
        <v>86</v>
      </c>
      <c r="C44">
        <v>8</v>
      </c>
      <c r="D44">
        <v>5</v>
      </c>
      <c r="E44">
        <v>4</v>
      </c>
      <c r="F44">
        <v>6</v>
      </c>
      <c r="G44">
        <v>2</v>
      </c>
      <c r="H44">
        <v>6</v>
      </c>
      <c r="I44">
        <v>32</v>
      </c>
      <c r="J44">
        <v>88</v>
      </c>
      <c r="K44">
        <v>15</v>
      </c>
      <c r="L44">
        <v>45</v>
      </c>
      <c r="M44">
        <v>24</v>
      </c>
      <c r="N44">
        <f t="shared" si="0"/>
        <v>0</v>
      </c>
    </row>
    <row r="45" spans="1:14" x14ac:dyDescent="0.25">
      <c r="A45" s="1" t="s">
        <v>87</v>
      </c>
      <c r="B45" s="1" t="s">
        <v>55</v>
      </c>
      <c r="C45">
        <v>2</v>
      </c>
      <c r="D45">
        <v>2</v>
      </c>
      <c r="E45">
        <v>5</v>
      </c>
      <c r="F45">
        <v>5</v>
      </c>
      <c r="G45">
        <v>2</v>
      </c>
      <c r="H45">
        <v>2</v>
      </c>
      <c r="I45">
        <v>65</v>
      </c>
      <c r="J45">
        <v>87</v>
      </c>
      <c r="K45">
        <v>53</v>
      </c>
      <c r="L45">
        <v>98</v>
      </c>
      <c r="M45">
        <v>50</v>
      </c>
      <c r="N45">
        <f t="shared" si="0"/>
        <v>0</v>
      </c>
    </row>
    <row r="46" spans="1:14" x14ac:dyDescent="0.25">
      <c r="A46" s="1" t="s">
        <v>88</v>
      </c>
      <c r="B46" s="1" t="s">
        <v>26</v>
      </c>
      <c r="C46">
        <v>3</v>
      </c>
      <c r="D46">
        <v>2</v>
      </c>
      <c r="E46">
        <v>3</v>
      </c>
      <c r="F46">
        <v>3</v>
      </c>
      <c r="G46">
        <v>6</v>
      </c>
      <c r="H46">
        <v>6</v>
      </c>
      <c r="I46">
        <v>10</v>
      </c>
      <c r="J46">
        <v>21</v>
      </c>
      <c r="K46">
        <v>35</v>
      </c>
      <c r="L46">
        <v>98</v>
      </c>
      <c r="M46">
        <v>21</v>
      </c>
      <c r="N46">
        <f t="shared" si="0"/>
        <v>0</v>
      </c>
    </row>
    <row r="47" spans="1:14" x14ac:dyDescent="0.25">
      <c r="A47" s="1" t="s">
        <v>89</v>
      </c>
      <c r="B47" s="1" t="s">
        <v>90</v>
      </c>
      <c r="C47">
        <v>2</v>
      </c>
      <c r="D47">
        <v>3</v>
      </c>
      <c r="E47">
        <v>6</v>
      </c>
      <c r="F47">
        <v>3</v>
      </c>
      <c r="G47">
        <v>6</v>
      </c>
      <c r="H47">
        <v>3</v>
      </c>
      <c r="I47">
        <v>53</v>
      </c>
      <c r="J47">
        <v>50</v>
      </c>
      <c r="K47">
        <v>16</v>
      </c>
      <c r="L47">
        <v>44</v>
      </c>
      <c r="M47">
        <v>8</v>
      </c>
      <c r="N47">
        <f t="shared" si="0"/>
        <v>0</v>
      </c>
    </row>
    <row r="48" spans="1:14" x14ac:dyDescent="0.25">
      <c r="A48" s="1" t="s">
        <v>91</v>
      </c>
      <c r="B48" s="1" t="s">
        <v>70</v>
      </c>
      <c r="C48">
        <v>1</v>
      </c>
      <c r="D48">
        <v>5</v>
      </c>
      <c r="E48">
        <v>3</v>
      </c>
      <c r="F48">
        <v>6</v>
      </c>
      <c r="G48">
        <v>4</v>
      </c>
      <c r="H48">
        <v>4</v>
      </c>
      <c r="I48">
        <v>38</v>
      </c>
      <c r="J48">
        <v>43</v>
      </c>
      <c r="K48">
        <v>49</v>
      </c>
      <c r="L48">
        <v>89</v>
      </c>
      <c r="M48">
        <v>16</v>
      </c>
      <c r="N48">
        <f t="shared" si="0"/>
        <v>0</v>
      </c>
    </row>
    <row r="49" spans="1:14" x14ac:dyDescent="0.25">
      <c r="A49" s="1" t="s">
        <v>92</v>
      </c>
      <c r="B49" s="1" t="s">
        <v>45</v>
      </c>
      <c r="C49">
        <v>6</v>
      </c>
      <c r="D49">
        <v>6</v>
      </c>
      <c r="E49">
        <v>4</v>
      </c>
      <c r="F49">
        <v>6</v>
      </c>
      <c r="G49">
        <v>5</v>
      </c>
      <c r="H49">
        <v>3</v>
      </c>
      <c r="I49">
        <v>99</v>
      </c>
      <c r="J49">
        <v>95</v>
      </c>
      <c r="K49">
        <v>48</v>
      </c>
      <c r="L49">
        <v>16</v>
      </c>
      <c r="M49">
        <v>11</v>
      </c>
      <c r="N49">
        <f t="shared" si="0"/>
        <v>0</v>
      </c>
    </row>
    <row r="50" spans="1:14" x14ac:dyDescent="0.25">
      <c r="A50" s="1" t="s">
        <v>93</v>
      </c>
      <c r="B50" s="1" t="s">
        <v>32</v>
      </c>
      <c r="C50">
        <v>6</v>
      </c>
      <c r="D50">
        <v>5</v>
      </c>
      <c r="E50">
        <v>6</v>
      </c>
      <c r="F50">
        <v>5</v>
      </c>
      <c r="G50">
        <v>6</v>
      </c>
      <c r="H50">
        <v>3</v>
      </c>
      <c r="I50">
        <v>78</v>
      </c>
      <c r="J50">
        <v>22</v>
      </c>
      <c r="K50">
        <v>95</v>
      </c>
      <c r="L50">
        <v>18</v>
      </c>
      <c r="M50">
        <v>15</v>
      </c>
      <c r="N50">
        <f t="shared" si="0"/>
        <v>0</v>
      </c>
    </row>
    <row r="51" spans="1:14" x14ac:dyDescent="0.25">
      <c r="A51" s="1" t="s">
        <v>94</v>
      </c>
      <c r="B51" s="1" t="s">
        <v>48</v>
      </c>
      <c r="C51">
        <v>6</v>
      </c>
      <c r="D51">
        <v>3</v>
      </c>
      <c r="E51">
        <v>3</v>
      </c>
      <c r="F51">
        <v>6</v>
      </c>
      <c r="G51">
        <v>4</v>
      </c>
      <c r="H51">
        <v>5</v>
      </c>
      <c r="I51">
        <v>25</v>
      </c>
      <c r="J51">
        <v>73</v>
      </c>
      <c r="K51">
        <v>78</v>
      </c>
      <c r="L51">
        <v>61</v>
      </c>
      <c r="M51">
        <v>29</v>
      </c>
      <c r="N51">
        <f t="shared" si="0"/>
        <v>0</v>
      </c>
    </row>
    <row r="52" spans="1:14" x14ac:dyDescent="0.25">
      <c r="A52" s="1" t="s">
        <v>95</v>
      </c>
      <c r="B52" s="1" t="s">
        <v>96</v>
      </c>
      <c r="C52">
        <v>6</v>
      </c>
      <c r="D52">
        <v>5</v>
      </c>
      <c r="E52">
        <v>5</v>
      </c>
      <c r="F52">
        <v>6</v>
      </c>
      <c r="G52">
        <v>2</v>
      </c>
      <c r="H52">
        <v>4</v>
      </c>
      <c r="I52">
        <v>65</v>
      </c>
      <c r="J52">
        <v>66</v>
      </c>
      <c r="K52">
        <v>87</v>
      </c>
      <c r="L52">
        <v>5</v>
      </c>
      <c r="M52">
        <v>65</v>
      </c>
      <c r="N52">
        <f t="shared" si="0"/>
        <v>0</v>
      </c>
    </row>
    <row r="53" spans="1:14" x14ac:dyDescent="0.25">
      <c r="A53" s="1" t="s">
        <v>97</v>
      </c>
      <c r="B53" s="1" t="s">
        <v>90</v>
      </c>
      <c r="C53">
        <v>8</v>
      </c>
      <c r="D53">
        <v>2</v>
      </c>
      <c r="E53">
        <v>2</v>
      </c>
      <c r="F53">
        <v>3</v>
      </c>
      <c r="G53">
        <v>4</v>
      </c>
      <c r="H53">
        <v>3</v>
      </c>
      <c r="I53">
        <v>18</v>
      </c>
      <c r="J53">
        <v>83</v>
      </c>
      <c r="K53">
        <v>86</v>
      </c>
      <c r="L53">
        <v>67</v>
      </c>
      <c r="M53">
        <v>90</v>
      </c>
      <c r="N53">
        <f t="shared" si="0"/>
        <v>0</v>
      </c>
    </row>
    <row r="54" spans="1:14" x14ac:dyDescent="0.25">
      <c r="A54" s="1" t="s">
        <v>98</v>
      </c>
      <c r="B54" s="1" t="s">
        <v>99</v>
      </c>
      <c r="C54">
        <v>0</v>
      </c>
      <c r="D54">
        <v>3</v>
      </c>
      <c r="E54">
        <v>4</v>
      </c>
      <c r="F54">
        <v>6</v>
      </c>
      <c r="G54">
        <v>4</v>
      </c>
      <c r="H54">
        <v>4</v>
      </c>
      <c r="I54">
        <v>41</v>
      </c>
      <c r="J54">
        <v>88</v>
      </c>
      <c r="K54">
        <v>4</v>
      </c>
      <c r="L54">
        <v>24</v>
      </c>
      <c r="M54">
        <v>37</v>
      </c>
      <c r="N54">
        <f t="shared" si="0"/>
        <v>0</v>
      </c>
    </row>
    <row r="55" spans="1:14" x14ac:dyDescent="0.25">
      <c r="A55" s="1" t="s">
        <v>100</v>
      </c>
      <c r="B55" s="1" t="s">
        <v>101</v>
      </c>
      <c r="C55">
        <v>7</v>
      </c>
      <c r="D55">
        <v>3</v>
      </c>
      <c r="E55">
        <v>4</v>
      </c>
      <c r="F55">
        <v>4</v>
      </c>
      <c r="G55">
        <v>5</v>
      </c>
      <c r="H55">
        <v>6</v>
      </c>
      <c r="I55">
        <v>54</v>
      </c>
      <c r="J55">
        <v>42</v>
      </c>
      <c r="K55">
        <v>82</v>
      </c>
      <c r="L55">
        <v>99</v>
      </c>
      <c r="M55">
        <v>81</v>
      </c>
      <c r="N55">
        <f t="shared" si="0"/>
        <v>0</v>
      </c>
    </row>
    <row r="56" spans="1:14" x14ac:dyDescent="0.25">
      <c r="A56" s="1" t="s">
        <v>102</v>
      </c>
      <c r="B56" s="1" t="s">
        <v>70</v>
      </c>
      <c r="C56">
        <v>3</v>
      </c>
      <c r="D56">
        <v>6</v>
      </c>
      <c r="E56">
        <v>5</v>
      </c>
      <c r="F56">
        <v>2</v>
      </c>
      <c r="G56">
        <v>4</v>
      </c>
      <c r="H56">
        <v>6</v>
      </c>
      <c r="I56">
        <v>51</v>
      </c>
      <c r="J56">
        <v>96</v>
      </c>
      <c r="K56">
        <v>78</v>
      </c>
      <c r="L56">
        <v>72</v>
      </c>
      <c r="M56">
        <v>39</v>
      </c>
      <c r="N56">
        <f t="shared" si="0"/>
        <v>0</v>
      </c>
    </row>
    <row r="57" spans="1:14" x14ac:dyDescent="0.25">
      <c r="A57" s="1" t="s">
        <v>103</v>
      </c>
      <c r="B57" s="1" t="s">
        <v>55</v>
      </c>
      <c r="C57">
        <v>8</v>
      </c>
      <c r="D57">
        <v>6</v>
      </c>
      <c r="E57">
        <v>2</v>
      </c>
      <c r="F57">
        <v>2</v>
      </c>
      <c r="G57">
        <v>6</v>
      </c>
      <c r="H57">
        <v>6</v>
      </c>
      <c r="I57">
        <v>86</v>
      </c>
      <c r="J57">
        <v>67</v>
      </c>
      <c r="K57">
        <v>94</v>
      </c>
      <c r="L57">
        <v>38</v>
      </c>
      <c r="M57">
        <v>45</v>
      </c>
      <c r="N57">
        <f t="shared" si="0"/>
        <v>0</v>
      </c>
    </row>
    <row r="58" spans="1:14" x14ac:dyDescent="0.25">
      <c r="A58" s="1" t="s">
        <v>104</v>
      </c>
      <c r="B58" s="1" t="s">
        <v>32</v>
      </c>
      <c r="C58">
        <v>7</v>
      </c>
      <c r="D58">
        <v>5</v>
      </c>
      <c r="E58">
        <v>6</v>
      </c>
      <c r="F58">
        <v>4</v>
      </c>
      <c r="G58">
        <v>6</v>
      </c>
      <c r="H58">
        <v>5</v>
      </c>
      <c r="I58">
        <v>15</v>
      </c>
      <c r="J58">
        <v>79</v>
      </c>
      <c r="K58">
        <v>11</v>
      </c>
      <c r="L58">
        <v>20</v>
      </c>
      <c r="M58">
        <v>58</v>
      </c>
      <c r="N58">
        <f t="shared" si="0"/>
        <v>0</v>
      </c>
    </row>
    <row r="59" spans="1:14" x14ac:dyDescent="0.25">
      <c r="A59" s="1" t="s">
        <v>105</v>
      </c>
      <c r="B59" s="1" t="s">
        <v>70</v>
      </c>
      <c r="C59">
        <v>3</v>
      </c>
      <c r="D59">
        <v>6</v>
      </c>
      <c r="E59">
        <v>3</v>
      </c>
      <c r="F59">
        <v>5</v>
      </c>
      <c r="G59">
        <v>5</v>
      </c>
      <c r="H59">
        <v>2</v>
      </c>
      <c r="I59">
        <v>49</v>
      </c>
      <c r="J59">
        <v>99</v>
      </c>
      <c r="K59">
        <v>78</v>
      </c>
      <c r="L59">
        <v>70</v>
      </c>
      <c r="M59">
        <v>60</v>
      </c>
      <c r="N59">
        <f t="shared" si="0"/>
        <v>0</v>
      </c>
    </row>
    <row r="60" spans="1:14" x14ac:dyDescent="0.25">
      <c r="A60" s="1" t="s">
        <v>106</v>
      </c>
      <c r="B60" s="1" t="s">
        <v>107</v>
      </c>
      <c r="C60">
        <v>3</v>
      </c>
      <c r="D60">
        <v>6</v>
      </c>
      <c r="E60">
        <v>3</v>
      </c>
      <c r="F60">
        <v>5</v>
      </c>
      <c r="G60">
        <v>4</v>
      </c>
      <c r="H60">
        <v>2</v>
      </c>
      <c r="I60">
        <v>94</v>
      </c>
      <c r="J60">
        <v>27</v>
      </c>
      <c r="K60">
        <v>20</v>
      </c>
      <c r="L60">
        <v>13</v>
      </c>
      <c r="M60">
        <v>49</v>
      </c>
      <c r="N60">
        <f t="shared" si="0"/>
        <v>0</v>
      </c>
    </row>
    <row r="61" spans="1:14" x14ac:dyDescent="0.25">
      <c r="A61" s="1" t="s">
        <v>108</v>
      </c>
      <c r="B61" s="1" t="s">
        <v>83</v>
      </c>
      <c r="C61">
        <v>8</v>
      </c>
      <c r="D61">
        <v>4</v>
      </c>
      <c r="E61">
        <v>5</v>
      </c>
      <c r="F61">
        <v>6</v>
      </c>
      <c r="G61">
        <v>6</v>
      </c>
      <c r="H61">
        <v>2</v>
      </c>
      <c r="I61">
        <v>94</v>
      </c>
      <c r="J61">
        <v>99</v>
      </c>
      <c r="K61">
        <v>87</v>
      </c>
      <c r="L61">
        <v>99</v>
      </c>
      <c r="M61">
        <v>62</v>
      </c>
      <c r="N61">
        <f t="shared" si="0"/>
        <v>0</v>
      </c>
    </row>
    <row r="62" spans="1:14" x14ac:dyDescent="0.25">
      <c r="A62" s="1" t="s">
        <v>109</v>
      </c>
      <c r="B62" s="1" t="s">
        <v>110</v>
      </c>
      <c r="C62">
        <v>8</v>
      </c>
      <c r="D62">
        <v>2</v>
      </c>
      <c r="E62">
        <v>4</v>
      </c>
      <c r="F62">
        <v>5</v>
      </c>
      <c r="G62">
        <v>2</v>
      </c>
      <c r="H62">
        <v>4</v>
      </c>
      <c r="I62">
        <v>20</v>
      </c>
      <c r="J62">
        <v>78</v>
      </c>
      <c r="K62">
        <v>54</v>
      </c>
      <c r="L62">
        <v>34</v>
      </c>
      <c r="M62">
        <v>95</v>
      </c>
      <c r="N62">
        <f t="shared" si="0"/>
        <v>0</v>
      </c>
    </row>
    <row r="63" spans="1:14" x14ac:dyDescent="0.25">
      <c r="A63" s="1" t="s">
        <v>111</v>
      </c>
      <c r="B63" s="1" t="s">
        <v>74</v>
      </c>
      <c r="C63">
        <v>5</v>
      </c>
      <c r="D63">
        <v>2</v>
      </c>
      <c r="E63">
        <v>4</v>
      </c>
      <c r="F63">
        <v>5</v>
      </c>
      <c r="G63">
        <v>5</v>
      </c>
      <c r="H63">
        <v>3</v>
      </c>
      <c r="I63">
        <v>39</v>
      </c>
      <c r="J63">
        <v>16</v>
      </c>
      <c r="K63">
        <v>8</v>
      </c>
      <c r="L63">
        <v>66</v>
      </c>
      <c r="M63">
        <v>29</v>
      </c>
      <c r="N63">
        <f t="shared" si="0"/>
        <v>0</v>
      </c>
    </row>
    <row r="64" spans="1:14" x14ac:dyDescent="0.25">
      <c r="A64" s="1" t="s">
        <v>112</v>
      </c>
      <c r="B64" s="1" t="s">
        <v>113</v>
      </c>
      <c r="C64">
        <v>0</v>
      </c>
      <c r="D64">
        <v>6</v>
      </c>
      <c r="E64">
        <v>3</v>
      </c>
      <c r="F64">
        <v>5</v>
      </c>
      <c r="G64">
        <v>4</v>
      </c>
      <c r="H64">
        <v>2</v>
      </c>
      <c r="I64">
        <v>77</v>
      </c>
      <c r="J64">
        <v>80</v>
      </c>
      <c r="K64">
        <v>92</v>
      </c>
      <c r="L64">
        <v>43</v>
      </c>
      <c r="M64">
        <v>100</v>
      </c>
      <c r="N64">
        <f t="shared" si="0"/>
        <v>0</v>
      </c>
    </row>
    <row r="65" spans="1:14" x14ac:dyDescent="0.25">
      <c r="A65" s="1" t="s">
        <v>114</v>
      </c>
      <c r="B65" s="1" t="s">
        <v>101</v>
      </c>
      <c r="C65">
        <v>1</v>
      </c>
      <c r="D65">
        <v>4</v>
      </c>
      <c r="E65">
        <v>6</v>
      </c>
      <c r="F65">
        <v>3</v>
      </c>
      <c r="G65">
        <v>4</v>
      </c>
      <c r="H65">
        <v>2</v>
      </c>
      <c r="I65">
        <v>70</v>
      </c>
      <c r="J65">
        <v>39</v>
      </c>
      <c r="K65">
        <v>65</v>
      </c>
      <c r="L65">
        <v>57</v>
      </c>
      <c r="M65">
        <v>90</v>
      </c>
      <c r="N65">
        <f t="shared" si="0"/>
        <v>0</v>
      </c>
    </row>
    <row r="66" spans="1:14" x14ac:dyDescent="0.25">
      <c r="A66" s="1" t="s">
        <v>115</v>
      </c>
      <c r="B66" s="1" t="s">
        <v>41</v>
      </c>
      <c r="C66">
        <v>0</v>
      </c>
      <c r="D66">
        <v>4</v>
      </c>
      <c r="E66">
        <v>5</v>
      </c>
      <c r="F66">
        <v>4</v>
      </c>
      <c r="G66">
        <v>6</v>
      </c>
      <c r="H66">
        <v>2</v>
      </c>
      <c r="I66">
        <v>4</v>
      </c>
      <c r="J66">
        <v>85</v>
      </c>
      <c r="K66">
        <v>83</v>
      </c>
      <c r="L66">
        <v>10</v>
      </c>
      <c r="M66">
        <v>33</v>
      </c>
      <c r="N66">
        <f t="shared" ref="N66:N129" si="1">IF(AND(C66=0,D66&gt;4, AVERAGE(E66:H66) &gt; 4), 1, 0)</f>
        <v>0</v>
      </c>
    </row>
    <row r="67" spans="1:14" x14ac:dyDescent="0.25">
      <c r="A67" s="1" t="s">
        <v>116</v>
      </c>
      <c r="B67" s="1" t="s">
        <v>117</v>
      </c>
      <c r="C67">
        <v>8</v>
      </c>
      <c r="D67">
        <v>5</v>
      </c>
      <c r="E67">
        <v>5</v>
      </c>
      <c r="F67">
        <v>4</v>
      </c>
      <c r="G67">
        <v>3</v>
      </c>
      <c r="H67">
        <v>3</v>
      </c>
      <c r="I67">
        <v>80</v>
      </c>
      <c r="J67">
        <v>91</v>
      </c>
      <c r="K67">
        <v>16</v>
      </c>
      <c r="L67">
        <v>12</v>
      </c>
      <c r="M67">
        <v>73</v>
      </c>
      <c r="N67">
        <f t="shared" si="1"/>
        <v>0</v>
      </c>
    </row>
    <row r="68" spans="1:14" x14ac:dyDescent="0.25">
      <c r="A68" s="1" t="s">
        <v>118</v>
      </c>
      <c r="B68" s="1" t="s">
        <v>119</v>
      </c>
      <c r="C68">
        <v>6</v>
      </c>
      <c r="D68">
        <v>6</v>
      </c>
      <c r="E68">
        <v>2</v>
      </c>
      <c r="F68">
        <v>3</v>
      </c>
      <c r="G68">
        <v>6</v>
      </c>
      <c r="H68">
        <v>5</v>
      </c>
      <c r="I68">
        <v>27</v>
      </c>
      <c r="J68">
        <v>6</v>
      </c>
      <c r="K68">
        <v>19</v>
      </c>
      <c r="L68">
        <v>61</v>
      </c>
      <c r="M68">
        <v>63</v>
      </c>
      <c r="N68">
        <f t="shared" si="1"/>
        <v>0</v>
      </c>
    </row>
    <row r="69" spans="1:14" x14ac:dyDescent="0.25">
      <c r="A69" s="1" t="s">
        <v>120</v>
      </c>
      <c r="B69" s="1" t="s">
        <v>121</v>
      </c>
      <c r="C69">
        <v>0</v>
      </c>
      <c r="D69">
        <v>5</v>
      </c>
      <c r="E69">
        <v>5</v>
      </c>
      <c r="F69">
        <v>3</v>
      </c>
      <c r="G69">
        <v>2</v>
      </c>
      <c r="H69">
        <v>6</v>
      </c>
      <c r="I69">
        <v>26</v>
      </c>
      <c r="J69">
        <v>23</v>
      </c>
      <c r="K69">
        <v>48</v>
      </c>
      <c r="L69">
        <v>73</v>
      </c>
      <c r="M69">
        <v>63</v>
      </c>
      <c r="N69">
        <f t="shared" si="1"/>
        <v>0</v>
      </c>
    </row>
    <row r="70" spans="1:14" x14ac:dyDescent="0.25">
      <c r="A70" s="1" t="s">
        <v>122</v>
      </c>
      <c r="B70" s="1" t="s">
        <v>121</v>
      </c>
      <c r="C70">
        <v>8</v>
      </c>
      <c r="D70">
        <v>3</v>
      </c>
      <c r="E70">
        <v>5</v>
      </c>
      <c r="F70">
        <v>5</v>
      </c>
      <c r="G70">
        <v>6</v>
      </c>
      <c r="H70">
        <v>3</v>
      </c>
      <c r="I70">
        <v>28</v>
      </c>
      <c r="J70">
        <v>69</v>
      </c>
      <c r="K70">
        <v>99</v>
      </c>
      <c r="L70">
        <v>45</v>
      </c>
      <c r="M70">
        <v>61</v>
      </c>
      <c r="N70">
        <f t="shared" si="1"/>
        <v>0</v>
      </c>
    </row>
    <row r="71" spans="1:14" x14ac:dyDescent="0.25">
      <c r="A71" s="1" t="s">
        <v>123</v>
      </c>
      <c r="B71" s="1" t="s">
        <v>119</v>
      </c>
      <c r="C71">
        <v>1</v>
      </c>
      <c r="D71">
        <v>2</v>
      </c>
      <c r="E71">
        <v>3</v>
      </c>
      <c r="F71">
        <v>2</v>
      </c>
      <c r="G71">
        <v>3</v>
      </c>
      <c r="H71">
        <v>6</v>
      </c>
      <c r="I71">
        <v>51</v>
      </c>
      <c r="J71">
        <v>14</v>
      </c>
      <c r="K71">
        <v>33</v>
      </c>
      <c r="L71">
        <v>28</v>
      </c>
      <c r="M71">
        <v>43</v>
      </c>
      <c r="N71">
        <f t="shared" si="1"/>
        <v>0</v>
      </c>
    </row>
    <row r="72" spans="1:14" x14ac:dyDescent="0.25">
      <c r="A72" s="1" t="s">
        <v>124</v>
      </c>
      <c r="B72" s="1" t="s">
        <v>41</v>
      </c>
      <c r="C72">
        <v>3</v>
      </c>
      <c r="D72">
        <v>5</v>
      </c>
      <c r="E72">
        <v>6</v>
      </c>
      <c r="F72">
        <v>5</v>
      </c>
      <c r="G72">
        <v>2</v>
      </c>
      <c r="H72">
        <v>5</v>
      </c>
      <c r="I72">
        <v>73</v>
      </c>
      <c r="J72">
        <v>84</v>
      </c>
      <c r="K72">
        <v>48</v>
      </c>
      <c r="L72">
        <v>36</v>
      </c>
      <c r="M72">
        <v>4</v>
      </c>
      <c r="N72">
        <f t="shared" si="1"/>
        <v>0</v>
      </c>
    </row>
    <row r="73" spans="1:14" x14ac:dyDescent="0.25">
      <c r="A73" s="1" t="s">
        <v>125</v>
      </c>
      <c r="B73" s="1" t="s">
        <v>126</v>
      </c>
      <c r="C73">
        <v>4</v>
      </c>
      <c r="D73">
        <v>4</v>
      </c>
      <c r="E73">
        <v>5</v>
      </c>
      <c r="F73">
        <v>5</v>
      </c>
      <c r="G73">
        <v>3</v>
      </c>
      <c r="H73">
        <v>6</v>
      </c>
      <c r="I73">
        <v>44</v>
      </c>
      <c r="J73">
        <v>16</v>
      </c>
      <c r="K73">
        <v>68</v>
      </c>
      <c r="L73">
        <v>55</v>
      </c>
      <c r="M73">
        <v>66</v>
      </c>
      <c r="N73">
        <f t="shared" si="1"/>
        <v>0</v>
      </c>
    </row>
    <row r="74" spans="1:14" x14ac:dyDescent="0.25">
      <c r="A74" s="1" t="s">
        <v>127</v>
      </c>
      <c r="B74" s="1" t="s">
        <v>90</v>
      </c>
      <c r="C74">
        <v>2</v>
      </c>
      <c r="D74">
        <v>6</v>
      </c>
      <c r="E74">
        <v>6</v>
      </c>
      <c r="F74">
        <v>3</v>
      </c>
      <c r="G74">
        <v>6</v>
      </c>
      <c r="H74">
        <v>2</v>
      </c>
      <c r="I74">
        <v>71</v>
      </c>
      <c r="J74">
        <v>95</v>
      </c>
      <c r="K74">
        <v>90</v>
      </c>
      <c r="L74">
        <v>50</v>
      </c>
      <c r="M74">
        <v>91</v>
      </c>
      <c r="N74">
        <f t="shared" si="1"/>
        <v>0</v>
      </c>
    </row>
    <row r="75" spans="1:14" x14ac:dyDescent="0.25">
      <c r="A75" s="1" t="s">
        <v>128</v>
      </c>
      <c r="B75" s="1" t="s">
        <v>45</v>
      </c>
      <c r="C75">
        <v>5</v>
      </c>
      <c r="D75">
        <v>5</v>
      </c>
      <c r="E75">
        <v>2</v>
      </c>
      <c r="F75">
        <v>6</v>
      </c>
      <c r="G75">
        <v>2</v>
      </c>
      <c r="H75">
        <v>2</v>
      </c>
      <c r="I75">
        <v>90</v>
      </c>
      <c r="J75">
        <v>88</v>
      </c>
      <c r="K75">
        <v>73</v>
      </c>
      <c r="L75">
        <v>83</v>
      </c>
      <c r="M75">
        <v>51</v>
      </c>
      <c r="N75">
        <f t="shared" si="1"/>
        <v>0</v>
      </c>
    </row>
    <row r="76" spans="1:14" x14ac:dyDescent="0.25">
      <c r="A76" s="1" t="s">
        <v>129</v>
      </c>
      <c r="B76" s="1" t="s">
        <v>130</v>
      </c>
      <c r="C76">
        <v>1</v>
      </c>
      <c r="D76">
        <v>5</v>
      </c>
      <c r="E76">
        <v>2</v>
      </c>
      <c r="F76">
        <v>2</v>
      </c>
      <c r="G76">
        <v>3</v>
      </c>
      <c r="H76">
        <v>5</v>
      </c>
      <c r="I76">
        <v>11</v>
      </c>
      <c r="J76">
        <v>24</v>
      </c>
      <c r="K76">
        <v>35</v>
      </c>
      <c r="L76">
        <v>70</v>
      </c>
      <c r="M76">
        <v>6</v>
      </c>
      <c r="N76">
        <f t="shared" si="1"/>
        <v>0</v>
      </c>
    </row>
    <row r="77" spans="1:14" x14ac:dyDescent="0.25">
      <c r="A77" s="1" t="s">
        <v>131</v>
      </c>
      <c r="B77" s="1" t="s">
        <v>70</v>
      </c>
      <c r="C77">
        <v>5</v>
      </c>
      <c r="D77">
        <v>2</v>
      </c>
      <c r="E77">
        <v>2</v>
      </c>
      <c r="F77">
        <v>6</v>
      </c>
      <c r="G77">
        <v>5</v>
      </c>
      <c r="H77">
        <v>6</v>
      </c>
      <c r="I77">
        <v>44</v>
      </c>
      <c r="J77">
        <v>43</v>
      </c>
      <c r="K77">
        <v>19</v>
      </c>
      <c r="L77">
        <v>86</v>
      </c>
      <c r="M77">
        <v>18</v>
      </c>
      <c r="N77">
        <f t="shared" si="1"/>
        <v>0</v>
      </c>
    </row>
    <row r="78" spans="1:14" x14ac:dyDescent="0.25">
      <c r="A78" s="1" t="s">
        <v>132</v>
      </c>
      <c r="B78" s="1" t="s">
        <v>133</v>
      </c>
      <c r="C78">
        <v>2</v>
      </c>
      <c r="D78">
        <v>5</v>
      </c>
      <c r="E78">
        <v>4</v>
      </c>
      <c r="F78">
        <v>3</v>
      </c>
      <c r="G78">
        <v>6</v>
      </c>
      <c r="H78">
        <v>6</v>
      </c>
      <c r="I78">
        <v>15</v>
      </c>
      <c r="J78">
        <v>69</v>
      </c>
      <c r="K78">
        <v>48</v>
      </c>
      <c r="L78">
        <v>14</v>
      </c>
      <c r="M78">
        <v>32</v>
      </c>
      <c r="N78">
        <f t="shared" si="1"/>
        <v>0</v>
      </c>
    </row>
    <row r="79" spans="1:14" x14ac:dyDescent="0.25">
      <c r="A79" s="1" t="s">
        <v>134</v>
      </c>
      <c r="B79" s="1" t="s">
        <v>45</v>
      </c>
      <c r="C79">
        <v>6</v>
      </c>
      <c r="D79">
        <v>3</v>
      </c>
      <c r="E79">
        <v>4</v>
      </c>
      <c r="F79">
        <v>5</v>
      </c>
      <c r="G79">
        <v>3</v>
      </c>
      <c r="H79">
        <v>4</v>
      </c>
      <c r="I79">
        <v>38</v>
      </c>
      <c r="J79">
        <v>48</v>
      </c>
      <c r="K79">
        <v>3</v>
      </c>
      <c r="L79">
        <v>38</v>
      </c>
      <c r="M79">
        <v>91</v>
      </c>
      <c r="N79">
        <f t="shared" si="1"/>
        <v>0</v>
      </c>
    </row>
    <row r="80" spans="1:14" x14ac:dyDescent="0.25">
      <c r="A80" s="1" t="s">
        <v>135</v>
      </c>
      <c r="B80" s="1" t="s">
        <v>38</v>
      </c>
      <c r="C80">
        <v>3</v>
      </c>
      <c r="D80">
        <v>6</v>
      </c>
      <c r="E80">
        <v>3</v>
      </c>
      <c r="F80">
        <v>6</v>
      </c>
      <c r="G80">
        <v>3</v>
      </c>
      <c r="H80">
        <v>5</v>
      </c>
      <c r="I80">
        <v>66</v>
      </c>
      <c r="J80">
        <v>42</v>
      </c>
      <c r="K80">
        <v>40</v>
      </c>
      <c r="L80">
        <v>91</v>
      </c>
      <c r="M80">
        <v>74</v>
      </c>
      <c r="N80">
        <f t="shared" si="1"/>
        <v>0</v>
      </c>
    </row>
    <row r="81" spans="1:14" x14ac:dyDescent="0.25">
      <c r="A81" s="1" t="s">
        <v>136</v>
      </c>
      <c r="B81" s="1" t="s">
        <v>137</v>
      </c>
      <c r="C81">
        <v>7</v>
      </c>
      <c r="D81">
        <v>4</v>
      </c>
      <c r="E81">
        <v>2</v>
      </c>
      <c r="F81">
        <v>4</v>
      </c>
      <c r="G81">
        <v>6</v>
      </c>
      <c r="H81">
        <v>5</v>
      </c>
      <c r="I81">
        <v>28</v>
      </c>
      <c r="J81">
        <v>1</v>
      </c>
      <c r="K81">
        <v>36</v>
      </c>
      <c r="L81">
        <v>63</v>
      </c>
      <c r="M81">
        <v>49</v>
      </c>
      <c r="N81">
        <f t="shared" si="1"/>
        <v>0</v>
      </c>
    </row>
    <row r="82" spans="1:14" x14ac:dyDescent="0.25">
      <c r="A82" s="1" t="s">
        <v>138</v>
      </c>
      <c r="B82" s="1" t="s">
        <v>139</v>
      </c>
      <c r="C82">
        <v>0</v>
      </c>
      <c r="D82">
        <v>6</v>
      </c>
      <c r="E82">
        <v>5</v>
      </c>
      <c r="F82">
        <v>6</v>
      </c>
      <c r="G82">
        <v>5</v>
      </c>
      <c r="H82">
        <v>6</v>
      </c>
      <c r="I82">
        <v>12</v>
      </c>
      <c r="J82">
        <v>20</v>
      </c>
      <c r="K82">
        <v>10</v>
      </c>
      <c r="L82">
        <v>73</v>
      </c>
      <c r="M82">
        <v>68</v>
      </c>
      <c r="N82">
        <f t="shared" si="1"/>
        <v>1</v>
      </c>
    </row>
    <row r="83" spans="1:14" x14ac:dyDescent="0.25">
      <c r="A83" s="1" t="s">
        <v>140</v>
      </c>
      <c r="B83" s="1" t="s">
        <v>45</v>
      </c>
      <c r="C83">
        <v>4</v>
      </c>
      <c r="D83">
        <v>5</v>
      </c>
      <c r="E83">
        <v>4</v>
      </c>
      <c r="F83">
        <v>2</v>
      </c>
      <c r="G83">
        <v>3</v>
      </c>
      <c r="H83">
        <v>4</v>
      </c>
      <c r="I83">
        <v>21</v>
      </c>
      <c r="J83">
        <v>58</v>
      </c>
      <c r="K83">
        <v>66</v>
      </c>
      <c r="L83">
        <v>93</v>
      </c>
      <c r="M83">
        <v>89</v>
      </c>
      <c r="N83">
        <f t="shared" si="1"/>
        <v>0</v>
      </c>
    </row>
    <row r="84" spans="1:14" x14ac:dyDescent="0.25">
      <c r="A84" s="1" t="s">
        <v>141</v>
      </c>
      <c r="B84" s="1" t="s">
        <v>99</v>
      </c>
      <c r="C84">
        <v>0</v>
      </c>
      <c r="D84">
        <v>2</v>
      </c>
      <c r="E84">
        <v>2</v>
      </c>
      <c r="F84">
        <v>4</v>
      </c>
      <c r="G84">
        <v>3</v>
      </c>
      <c r="H84">
        <v>3</v>
      </c>
      <c r="I84">
        <v>3</v>
      </c>
      <c r="J84">
        <v>25</v>
      </c>
      <c r="K84">
        <v>93</v>
      </c>
      <c r="L84">
        <v>92</v>
      </c>
      <c r="M84">
        <v>73</v>
      </c>
      <c r="N84">
        <f t="shared" si="1"/>
        <v>0</v>
      </c>
    </row>
    <row r="85" spans="1:14" x14ac:dyDescent="0.25">
      <c r="A85" s="1" t="s">
        <v>142</v>
      </c>
      <c r="B85" s="1" t="s">
        <v>130</v>
      </c>
      <c r="C85">
        <v>4</v>
      </c>
      <c r="D85">
        <v>4</v>
      </c>
      <c r="E85">
        <v>2</v>
      </c>
      <c r="F85">
        <v>6</v>
      </c>
      <c r="G85">
        <v>5</v>
      </c>
      <c r="H85">
        <v>2</v>
      </c>
      <c r="I85">
        <v>81</v>
      </c>
      <c r="J85">
        <v>5</v>
      </c>
      <c r="K85">
        <v>60</v>
      </c>
      <c r="L85">
        <v>2</v>
      </c>
      <c r="M85">
        <v>91</v>
      </c>
      <c r="N85">
        <f t="shared" si="1"/>
        <v>0</v>
      </c>
    </row>
    <row r="86" spans="1:14" x14ac:dyDescent="0.25">
      <c r="A86" s="1" t="s">
        <v>143</v>
      </c>
      <c r="B86" s="1" t="s">
        <v>70</v>
      </c>
      <c r="C86">
        <v>1</v>
      </c>
      <c r="D86">
        <v>4</v>
      </c>
      <c r="E86">
        <v>6</v>
      </c>
      <c r="F86">
        <v>4</v>
      </c>
      <c r="G86">
        <v>3</v>
      </c>
      <c r="H86">
        <v>6</v>
      </c>
      <c r="I86">
        <v>100</v>
      </c>
      <c r="J86">
        <v>100</v>
      </c>
      <c r="K86">
        <v>100</v>
      </c>
      <c r="L86">
        <v>36</v>
      </c>
      <c r="M86">
        <v>10</v>
      </c>
      <c r="N86">
        <f t="shared" si="1"/>
        <v>0</v>
      </c>
    </row>
    <row r="87" spans="1:14" x14ac:dyDescent="0.25">
      <c r="A87" s="1" t="s">
        <v>144</v>
      </c>
      <c r="B87" s="1" t="s">
        <v>145</v>
      </c>
      <c r="C87">
        <v>2</v>
      </c>
      <c r="D87">
        <v>3</v>
      </c>
      <c r="E87">
        <v>3</v>
      </c>
      <c r="F87">
        <v>5</v>
      </c>
      <c r="G87">
        <v>6</v>
      </c>
      <c r="H87">
        <v>6</v>
      </c>
      <c r="I87">
        <v>32</v>
      </c>
      <c r="J87">
        <v>27</v>
      </c>
      <c r="K87">
        <v>15</v>
      </c>
      <c r="L87">
        <v>59</v>
      </c>
      <c r="M87">
        <v>26</v>
      </c>
      <c r="N87">
        <f t="shared" si="1"/>
        <v>0</v>
      </c>
    </row>
    <row r="88" spans="1:14" x14ac:dyDescent="0.25">
      <c r="A88" s="1" t="s">
        <v>146</v>
      </c>
      <c r="B88" s="1" t="s">
        <v>147</v>
      </c>
      <c r="C88">
        <v>3</v>
      </c>
      <c r="D88">
        <v>5</v>
      </c>
      <c r="E88">
        <v>2</v>
      </c>
      <c r="F88">
        <v>6</v>
      </c>
      <c r="G88">
        <v>3</v>
      </c>
      <c r="H88">
        <v>3</v>
      </c>
      <c r="I88">
        <v>95</v>
      </c>
      <c r="J88">
        <v>15</v>
      </c>
      <c r="K88">
        <v>44</v>
      </c>
      <c r="L88">
        <v>29</v>
      </c>
      <c r="M88">
        <v>14</v>
      </c>
      <c r="N88">
        <f t="shared" si="1"/>
        <v>0</v>
      </c>
    </row>
    <row r="89" spans="1:14" x14ac:dyDescent="0.25">
      <c r="A89" s="1" t="s">
        <v>148</v>
      </c>
      <c r="B89" s="1" t="s">
        <v>28</v>
      </c>
      <c r="C89">
        <v>2</v>
      </c>
      <c r="D89">
        <v>4</v>
      </c>
      <c r="E89">
        <v>2</v>
      </c>
      <c r="F89">
        <v>6</v>
      </c>
      <c r="G89">
        <v>4</v>
      </c>
      <c r="H89">
        <v>4</v>
      </c>
      <c r="I89">
        <v>84</v>
      </c>
      <c r="J89">
        <v>95</v>
      </c>
      <c r="K89">
        <v>31</v>
      </c>
      <c r="L89">
        <v>8</v>
      </c>
      <c r="M89">
        <v>54</v>
      </c>
      <c r="N89">
        <f t="shared" si="1"/>
        <v>0</v>
      </c>
    </row>
    <row r="90" spans="1:14" x14ac:dyDescent="0.25">
      <c r="A90" s="1" t="s">
        <v>149</v>
      </c>
      <c r="B90" s="1" t="s">
        <v>150</v>
      </c>
      <c r="C90">
        <v>5</v>
      </c>
      <c r="D90">
        <v>2</v>
      </c>
      <c r="E90">
        <v>3</v>
      </c>
      <c r="F90">
        <v>4</v>
      </c>
      <c r="G90">
        <v>3</v>
      </c>
      <c r="H90">
        <v>6</v>
      </c>
      <c r="I90">
        <v>30</v>
      </c>
      <c r="J90">
        <v>24</v>
      </c>
      <c r="K90">
        <v>66</v>
      </c>
      <c r="L90">
        <v>41</v>
      </c>
      <c r="M90">
        <v>82</v>
      </c>
      <c r="N90">
        <f t="shared" si="1"/>
        <v>0</v>
      </c>
    </row>
    <row r="91" spans="1:14" x14ac:dyDescent="0.25">
      <c r="A91" s="1" t="s">
        <v>151</v>
      </c>
      <c r="B91" s="1" t="s">
        <v>70</v>
      </c>
      <c r="C91">
        <v>1</v>
      </c>
      <c r="D91">
        <v>3</v>
      </c>
      <c r="E91">
        <v>6</v>
      </c>
      <c r="F91">
        <v>4</v>
      </c>
      <c r="G91">
        <v>6</v>
      </c>
      <c r="H91">
        <v>2</v>
      </c>
      <c r="I91">
        <v>30</v>
      </c>
      <c r="J91">
        <v>35</v>
      </c>
      <c r="K91">
        <v>100</v>
      </c>
      <c r="L91">
        <v>100</v>
      </c>
      <c r="M91">
        <v>100</v>
      </c>
      <c r="N91">
        <f t="shared" si="1"/>
        <v>0</v>
      </c>
    </row>
    <row r="92" spans="1:14" x14ac:dyDescent="0.25">
      <c r="A92" s="1" t="s">
        <v>152</v>
      </c>
      <c r="B92" s="1" t="s">
        <v>153</v>
      </c>
      <c r="C92">
        <v>1</v>
      </c>
      <c r="D92">
        <v>5</v>
      </c>
      <c r="E92">
        <v>4</v>
      </c>
      <c r="F92">
        <v>2</v>
      </c>
      <c r="G92">
        <v>5</v>
      </c>
      <c r="H92">
        <v>6</v>
      </c>
      <c r="I92">
        <v>54</v>
      </c>
      <c r="J92">
        <v>50</v>
      </c>
      <c r="K92">
        <v>9</v>
      </c>
      <c r="L92">
        <v>59</v>
      </c>
      <c r="M92">
        <v>54</v>
      </c>
      <c r="N92">
        <f t="shared" si="1"/>
        <v>0</v>
      </c>
    </row>
    <row r="93" spans="1:14" x14ac:dyDescent="0.25">
      <c r="A93" s="1" t="s">
        <v>154</v>
      </c>
      <c r="B93" s="1" t="s">
        <v>155</v>
      </c>
      <c r="C93">
        <v>6</v>
      </c>
      <c r="D93">
        <v>2</v>
      </c>
      <c r="E93">
        <v>3</v>
      </c>
      <c r="F93">
        <v>5</v>
      </c>
      <c r="G93">
        <v>4</v>
      </c>
      <c r="H93">
        <v>4</v>
      </c>
      <c r="I93">
        <v>50</v>
      </c>
      <c r="J93">
        <v>30</v>
      </c>
      <c r="K93">
        <v>14</v>
      </c>
      <c r="L93">
        <v>20</v>
      </c>
      <c r="M93">
        <v>88</v>
      </c>
      <c r="N93">
        <f t="shared" si="1"/>
        <v>0</v>
      </c>
    </row>
    <row r="94" spans="1:14" x14ac:dyDescent="0.25">
      <c r="A94" s="1" t="s">
        <v>156</v>
      </c>
      <c r="B94" s="1" t="s">
        <v>157</v>
      </c>
      <c r="C94">
        <v>6</v>
      </c>
      <c r="D94">
        <v>3</v>
      </c>
      <c r="E94">
        <v>6</v>
      </c>
      <c r="F94">
        <v>5</v>
      </c>
      <c r="G94">
        <v>4</v>
      </c>
      <c r="H94">
        <v>5</v>
      </c>
      <c r="I94">
        <v>62</v>
      </c>
      <c r="J94">
        <v>47</v>
      </c>
      <c r="K94">
        <v>19</v>
      </c>
      <c r="L94">
        <v>10</v>
      </c>
      <c r="M94">
        <v>40</v>
      </c>
      <c r="N94">
        <f t="shared" si="1"/>
        <v>0</v>
      </c>
    </row>
    <row r="95" spans="1:14" x14ac:dyDescent="0.25">
      <c r="A95" s="1" t="s">
        <v>158</v>
      </c>
      <c r="B95" s="1" t="s">
        <v>159</v>
      </c>
      <c r="C95">
        <v>0</v>
      </c>
      <c r="D95">
        <v>3</v>
      </c>
      <c r="E95">
        <v>6</v>
      </c>
      <c r="F95">
        <v>3</v>
      </c>
      <c r="G95">
        <v>5</v>
      </c>
      <c r="H95">
        <v>6</v>
      </c>
      <c r="I95">
        <v>12</v>
      </c>
      <c r="J95">
        <v>60</v>
      </c>
      <c r="K95">
        <v>63</v>
      </c>
      <c r="L95">
        <v>37</v>
      </c>
      <c r="M95">
        <v>71</v>
      </c>
      <c r="N95">
        <f t="shared" si="1"/>
        <v>0</v>
      </c>
    </row>
    <row r="96" spans="1:14" x14ac:dyDescent="0.25">
      <c r="A96" s="1" t="s">
        <v>160</v>
      </c>
      <c r="B96" s="1" t="s">
        <v>161</v>
      </c>
      <c r="C96">
        <v>2</v>
      </c>
      <c r="D96">
        <v>3</v>
      </c>
      <c r="E96">
        <v>2</v>
      </c>
      <c r="F96">
        <v>2</v>
      </c>
      <c r="G96">
        <v>3</v>
      </c>
      <c r="H96">
        <v>2</v>
      </c>
      <c r="I96">
        <v>56</v>
      </c>
      <c r="J96">
        <v>63</v>
      </c>
      <c r="K96">
        <v>26</v>
      </c>
      <c r="L96">
        <v>92</v>
      </c>
      <c r="M96">
        <v>13</v>
      </c>
      <c r="N96">
        <f t="shared" si="1"/>
        <v>0</v>
      </c>
    </row>
    <row r="97" spans="1:14" x14ac:dyDescent="0.25">
      <c r="A97" s="1" t="s">
        <v>162</v>
      </c>
      <c r="B97" s="1" t="s">
        <v>30</v>
      </c>
      <c r="C97">
        <v>5</v>
      </c>
      <c r="D97">
        <v>5</v>
      </c>
      <c r="E97">
        <v>6</v>
      </c>
      <c r="F97">
        <v>6</v>
      </c>
      <c r="G97">
        <v>5</v>
      </c>
      <c r="H97">
        <v>6</v>
      </c>
      <c r="I97">
        <v>45</v>
      </c>
      <c r="J97">
        <v>97</v>
      </c>
      <c r="K97">
        <v>5</v>
      </c>
      <c r="L97">
        <v>73</v>
      </c>
      <c r="M97">
        <v>12</v>
      </c>
      <c r="N97">
        <f t="shared" si="1"/>
        <v>0</v>
      </c>
    </row>
    <row r="98" spans="1:14" x14ac:dyDescent="0.25">
      <c r="A98" s="1" t="s">
        <v>163</v>
      </c>
      <c r="B98" s="1" t="s">
        <v>164</v>
      </c>
      <c r="C98">
        <v>2</v>
      </c>
      <c r="D98">
        <v>4</v>
      </c>
      <c r="E98">
        <v>5</v>
      </c>
      <c r="F98">
        <v>2</v>
      </c>
      <c r="G98">
        <v>4</v>
      </c>
      <c r="H98">
        <v>6</v>
      </c>
      <c r="I98">
        <v>96</v>
      </c>
      <c r="J98">
        <v>60</v>
      </c>
      <c r="K98">
        <v>4</v>
      </c>
      <c r="L98">
        <v>45</v>
      </c>
      <c r="M98">
        <v>21</v>
      </c>
      <c r="N98">
        <f t="shared" si="1"/>
        <v>0</v>
      </c>
    </row>
    <row r="99" spans="1:14" x14ac:dyDescent="0.25">
      <c r="A99" s="1" t="s">
        <v>165</v>
      </c>
      <c r="B99" s="1" t="s">
        <v>166</v>
      </c>
      <c r="C99">
        <v>7</v>
      </c>
      <c r="D99">
        <v>3</v>
      </c>
      <c r="E99">
        <v>3</v>
      </c>
      <c r="F99">
        <v>6</v>
      </c>
      <c r="G99">
        <v>5</v>
      </c>
      <c r="H99">
        <v>5</v>
      </c>
      <c r="I99">
        <v>57</v>
      </c>
      <c r="J99">
        <v>31</v>
      </c>
      <c r="K99">
        <v>22</v>
      </c>
      <c r="L99">
        <v>59</v>
      </c>
      <c r="M99">
        <v>61</v>
      </c>
      <c r="N99">
        <f t="shared" si="1"/>
        <v>0</v>
      </c>
    </row>
    <row r="100" spans="1:14" x14ac:dyDescent="0.25">
      <c r="A100" s="1" t="s">
        <v>167</v>
      </c>
      <c r="B100" s="1" t="s">
        <v>18</v>
      </c>
      <c r="C100">
        <v>5</v>
      </c>
      <c r="D100">
        <v>6</v>
      </c>
      <c r="E100">
        <v>4</v>
      </c>
      <c r="F100">
        <v>2</v>
      </c>
      <c r="G100">
        <v>5</v>
      </c>
      <c r="H100">
        <v>5</v>
      </c>
      <c r="I100">
        <v>18</v>
      </c>
      <c r="J100">
        <v>86</v>
      </c>
      <c r="K100">
        <v>25</v>
      </c>
      <c r="L100">
        <v>29</v>
      </c>
      <c r="M100">
        <v>9</v>
      </c>
      <c r="N100">
        <f t="shared" si="1"/>
        <v>0</v>
      </c>
    </row>
    <row r="101" spans="1:14" x14ac:dyDescent="0.25">
      <c r="A101" s="1" t="s">
        <v>168</v>
      </c>
      <c r="B101" s="1" t="s">
        <v>169</v>
      </c>
      <c r="C101">
        <v>5</v>
      </c>
      <c r="D101">
        <v>4</v>
      </c>
      <c r="E101">
        <v>6</v>
      </c>
      <c r="F101">
        <v>2</v>
      </c>
      <c r="G101">
        <v>5</v>
      </c>
      <c r="H101">
        <v>4</v>
      </c>
      <c r="I101">
        <v>93</v>
      </c>
      <c r="J101">
        <v>47</v>
      </c>
      <c r="K101">
        <v>47</v>
      </c>
      <c r="L101">
        <v>34</v>
      </c>
      <c r="M101">
        <v>39</v>
      </c>
      <c r="N101">
        <f t="shared" si="1"/>
        <v>0</v>
      </c>
    </row>
    <row r="102" spans="1:14" x14ac:dyDescent="0.25">
      <c r="A102" s="1" t="s">
        <v>170</v>
      </c>
      <c r="B102" s="1" t="s">
        <v>171</v>
      </c>
      <c r="C102">
        <v>3</v>
      </c>
      <c r="D102">
        <v>6</v>
      </c>
      <c r="E102">
        <v>2</v>
      </c>
      <c r="F102">
        <v>3</v>
      </c>
      <c r="G102">
        <v>2</v>
      </c>
      <c r="H102">
        <v>6</v>
      </c>
      <c r="I102">
        <v>89</v>
      </c>
      <c r="J102">
        <v>30</v>
      </c>
      <c r="K102">
        <v>43</v>
      </c>
      <c r="L102">
        <v>25</v>
      </c>
      <c r="M102">
        <v>1</v>
      </c>
      <c r="N102">
        <f t="shared" si="1"/>
        <v>0</v>
      </c>
    </row>
    <row r="103" spans="1:14" x14ac:dyDescent="0.25">
      <c r="A103" s="1" t="s">
        <v>172</v>
      </c>
      <c r="B103" s="1" t="s">
        <v>130</v>
      </c>
      <c r="C103">
        <v>6</v>
      </c>
      <c r="D103">
        <v>2</v>
      </c>
      <c r="E103">
        <v>3</v>
      </c>
      <c r="F103">
        <v>2</v>
      </c>
      <c r="G103">
        <v>3</v>
      </c>
      <c r="H103">
        <v>6</v>
      </c>
      <c r="I103">
        <v>67</v>
      </c>
      <c r="J103">
        <v>74</v>
      </c>
      <c r="K103">
        <v>49</v>
      </c>
      <c r="L103">
        <v>43</v>
      </c>
      <c r="M103">
        <v>52</v>
      </c>
      <c r="N103">
        <f t="shared" si="1"/>
        <v>0</v>
      </c>
    </row>
    <row r="104" spans="1:14" x14ac:dyDescent="0.25">
      <c r="A104" s="1" t="s">
        <v>173</v>
      </c>
      <c r="B104" s="1" t="s">
        <v>174</v>
      </c>
      <c r="C104">
        <v>8</v>
      </c>
      <c r="D104">
        <v>3</v>
      </c>
      <c r="E104">
        <v>2</v>
      </c>
      <c r="F104">
        <v>6</v>
      </c>
      <c r="G104">
        <v>5</v>
      </c>
      <c r="H104">
        <v>3</v>
      </c>
      <c r="I104">
        <v>41</v>
      </c>
      <c r="J104">
        <v>29</v>
      </c>
      <c r="K104">
        <v>52</v>
      </c>
      <c r="L104">
        <v>81</v>
      </c>
      <c r="M104">
        <v>26</v>
      </c>
      <c r="N104">
        <f t="shared" si="1"/>
        <v>0</v>
      </c>
    </row>
    <row r="105" spans="1:14" x14ac:dyDescent="0.25">
      <c r="A105" s="1" t="s">
        <v>175</v>
      </c>
      <c r="B105" s="1" t="s">
        <v>45</v>
      </c>
      <c r="C105">
        <v>8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32</v>
      </c>
      <c r="J105">
        <v>83</v>
      </c>
      <c r="K105">
        <v>14</v>
      </c>
      <c r="L105">
        <v>77</v>
      </c>
      <c r="M105">
        <v>71</v>
      </c>
      <c r="N105">
        <f t="shared" si="1"/>
        <v>0</v>
      </c>
    </row>
    <row r="106" spans="1:14" x14ac:dyDescent="0.25">
      <c r="A106" s="1" t="s">
        <v>176</v>
      </c>
      <c r="B106" s="1" t="s">
        <v>177</v>
      </c>
      <c r="C106">
        <v>6</v>
      </c>
      <c r="D106">
        <v>5</v>
      </c>
      <c r="E106">
        <v>2</v>
      </c>
      <c r="F106">
        <v>6</v>
      </c>
      <c r="G106">
        <v>6</v>
      </c>
      <c r="H106">
        <v>4</v>
      </c>
      <c r="I106">
        <v>48</v>
      </c>
      <c r="J106">
        <v>39</v>
      </c>
      <c r="K106">
        <v>45</v>
      </c>
      <c r="L106">
        <v>39</v>
      </c>
      <c r="M106">
        <v>59</v>
      </c>
      <c r="N106">
        <f t="shared" si="1"/>
        <v>0</v>
      </c>
    </row>
    <row r="107" spans="1:14" x14ac:dyDescent="0.25">
      <c r="A107" s="1" t="s">
        <v>178</v>
      </c>
      <c r="B107" s="1" t="s">
        <v>119</v>
      </c>
      <c r="C107">
        <v>1</v>
      </c>
      <c r="D107">
        <v>3</v>
      </c>
      <c r="E107">
        <v>2</v>
      </c>
      <c r="F107">
        <v>3</v>
      </c>
      <c r="G107">
        <v>5</v>
      </c>
      <c r="H107">
        <v>2</v>
      </c>
      <c r="I107">
        <v>11</v>
      </c>
      <c r="J107">
        <v>23</v>
      </c>
      <c r="K107">
        <v>92</v>
      </c>
      <c r="L107">
        <v>50</v>
      </c>
      <c r="M107">
        <v>36</v>
      </c>
      <c r="N107">
        <f t="shared" si="1"/>
        <v>0</v>
      </c>
    </row>
    <row r="108" spans="1:14" x14ac:dyDescent="0.25">
      <c r="A108" s="1" t="s">
        <v>179</v>
      </c>
      <c r="B108" s="1" t="s">
        <v>180</v>
      </c>
      <c r="C108">
        <v>0</v>
      </c>
      <c r="D108">
        <v>5</v>
      </c>
      <c r="E108">
        <v>3</v>
      </c>
      <c r="F108">
        <v>5</v>
      </c>
      <c r="G108">
        <v>2</v>
      </c>
      <c r="H108">
        <v>5</v>
      </c>
      <c r="I108">
        <v>20</v>
      </c>
      <c r="J108">
        <v>51</v>
      </c>
      <c r="K108">
        <v>64</v>
      </c>
      <c r="L108">
        <v>67</v>
      </c>
      <c r="M108">
        <v>72</v>
      </c>
      <c r="N108">
        <f t="shared" si="1"/>
        <v>0</v>
      </c>
    </row>
    <row r="109" spans="1:14" x14ac:dyDescent="0.25">
      <c r="A109" s="1" t="s">
        <v>181</v>
      </c>
      <c r="B109" s="1" t="s">
        <v>182</v>
      </c>
      <c r="C109">
        <v>7</v>
      </c>
      <c r="D109">
        <v>4</v>
      </c>
      <c r="E109">
        <v>6</v>
      </c>
      <c r="F109">
        <v>2</v>
      </c>
      <c r="G109">
        <v>5</v>
      </c>
      <c r="H109">
        <v>5</v>
      </c>
      <c r="I109">
        <v>90</v>
      </c>
      <c r="J109">
        <v>9</v>
      </c>
      <c r="K109">
        <v>61</v>
      </c>
      <c r="L109">
        <v>28</v>
      </c>
      <c r="M109">
        <v>92</v>
      </c>
      <c r="N109">
        <f t="shared" si="1"/>
        <v>0</v>
      </c>
    </row>
    <row r="110" spans="1:14" x14ac:dyDescent="0.25">
      <c r="A110" s="1" t="s">
        <v>183</v>
      </c>
      <c r="B110" s="1" t="s">
        <v>155</v>
      </c>
      <c r="C110">
        <v>4</v>
      </c>
      <c r="D110">
        <v>2</v>
      </c>
      <c r="E110">
        <v>6</v>
      </c>
      <c r="F110">
        <v>6</v>
      </c>
      <c r="G110">
        <v>6</v>
      </c>
      <c r="H110">
        <v>4</v>
      </c>
      <c r="I110">
        <v>91</v>
      </c>
      <c r="J110">
        <v>63</v>
      </c>
      <c r="K110">
        <v>88</v>
      </c>
      <c r="L110">
        <v>68</v>
      </c>
      <c r="M110">
        <v>75</v>
      </c>
      <c r="N110">
        <f t="shared" si="1"/>
        <v>0</v>
      </c>
    </row>
    <row r="111" spans="1:14" x14ac:dyDescent="0.25">
      <c r="A111" s="1" t="s">
        <v>184</v>
      </c>
      <c r="B111" s="1" t="s">
        <v>185</v>
      </c>
      <c r="C111">
        <v>3</v>
      </c>
      <c r="D111">
        <v>3</v>
      </c>
      <c r="E111">
        <v>4</v>
      </c>
      <c r="F111">
        <v>5</v>
      </c>
      <c r="G111">
        <v>6</v>
      </c>
      <c r="H111">
        <v>3</v>
      </c>
      <c r="I111">
        <v>59</v>
      </c>
      <c r="J111">
        <v>13</v>
      </c>
      <c r="K111">
        <v>14</v>
      </c>
      <c r="L111">
        <v>22</v>
      </c>
      <c r="M111">
        <v>96</v>
      </c>
      <c r="N111">
        <f t="shared" si="1"/>
        <v>0</v>
      </c>
    </row>
    <row r="112" spans="1:14" x14ac:dyDescent="0.25">
      <c r="A112" s="1" t="s">
        <v>186</v>
      </c>
      <c r="B112" s="1" t="s">
        <v>70</v>
      </c>
      <c r="C112">
        <v>1</v>
      </c>
      <c r="D112">
        <v>3</v>
      </c>
      <c r="E112">
        <v>3</v>
      </c>
      <c r="F112">
        <v>4</v>
      </c>
      <c r="G112">
        <v>3</v>
      </c>
      <c r="H112">
        <v>4</v>
      </c>
      <c r="I112">
        <v>7</v>
      </c>
      <c r="J112">
        <v>13</v>
      </c>
      <c r="K112">
        <v>73</v>
      </c>
      <c r="L112">
        <v>73</v>
      </c>
      <c r="M112">
        <v>78</v>
      </c>
      <c r="N112">
        <f t="shared" si="1"/>
        <v>0</v>
      </c>
    </row>
    <row r="113" spans="1:14" x14ac:dyDescent="0.25">
      <c r="A113" s="1" t="s">
        <v>187</v>
      </c>
      <c r="B113" s="1" t="s">
        <v>188</v>
      </c>
      <c r="C113">
        <v>7</v>
      </c>
      <c r="D113">
        <v>3</v>
      </c>
      <c r="E113">
        <v>6</v>
      </c>
      <c r="F113">
        <v>2</v>
      </c>
      <c r="G113">
        <v>4</v>
      </c>
      <c r="H113">
        <v>6</v>
      </c>
      <c r="I113">
        <v>39</v>
      </c>
      <c r="J113">
        <v>69</v>
      </c>
      <c r="K113">
        <v>10</v>
      </c>
      <c r="L113">
        <v>10</v>
      </c>
      <c r="M113">
        <v>91</v>
      </c>
      <c r="N113">
        <f t="shared" si="1"/>
        <v>0</v>
      </c>
    </row>
    <row r="114" spans="1:14" x14ac:dyDescent="0.25">
      <c r="A114" s="1" t="s">
        <v>189</v>
      </c>
      <c r="B114" s="1" t="s">
        <v>70</v>
      </c>
      <c r="C114">
        <v>5</v>
      </c>
      <c r="D114">
        <v>6</v>
      </c>
      <c r="E114">
        <v>4</v>
      </c>
      <c r="F114">
        <v>3</v>
      </c>
      <c r="G114">
        <v>5</v>
      </c>
      <c r="H114">
        <v>2</v>
      </c>
      <c r="I114">
        <v>18</v>
      </c>
      <c r="J114">
        <v>29</v>
      </c>
      <c r="K114">
        <v>18</v>
      </c>
      <c r="L114">
        <v>5</v>
      </c>
      <c r="M114">
        <v>64</v>
      </c>
      <c r="N114">
        <f t="shared" si="1"/>
        <v>0</v>
      </c>
    </row>
    <row r="115" spans="1:14" x14ac:dyDescent="0.25">
      <c r="A115" s="1" t="s">
        <v>190</v>
      </c>
      <c r="B115" s="1" t="s">
        <v>101</v>
      </c>
      <c r="C115">
        <v>3</v>
      </c>
      <c r="D115">
        <v>3</v>
      </c>
      <c r="E115">
        <v>3</v>
      </c>
      <c r="F115">
        <v>6</v>
      </c>
      <c r="G115">
        <v>2</v>
      </c>
      <c r="H115">
        <v>2</v>
      </c>
      <c r="I115">
        <v>80</v>
      </c>
      <c r="J115">
        <v>5</v>
      </c>
      <c r="K115">
        <v>4</v>
      </c>
      <c r="L115">
        <v>59</v>
      </c>
      <c r="M115">
        <v>5</v>
      </c>
      <c r="N115">
        <f t="shared" si="1"/>
        <v>0</v>
      </c>
    </row>
    <row r="116" spans="1:14" x14ac:dyDescent="0.25">
      <c r="A116" s="1" t="s">
        <v>191</v>
      </c>
      <c r="B116" s="1" t="s">
        <v>16</v>
      </c>
      <c r="C116">
        <v>2</v>
      </c>
      <c r="D116">
        <v>4</v>
      </c>
      <c r="E116">
        <v>6</v>
      </c>
      <c r="F116">
        <v>3</v>
      </c>
      <c r="G116">
        <v>6</v>
      </c>
      <c r="H116">
        <v>6</v>
      </c>
      <c r="I116">
        <v>72</v>
      </c>
      <c r="J116">
        <v>51</v>
      </c>
      <c r="K116">
        <v>1</v>
      </c>
      <c r="L116">
        <v>33</v>
      </c>
      <c r="M116">
        <v>91</v>
      </c>
      <c r="N116">
        <f t="shared" si="1"/>
        <v>0</v>
      </c>
    </row>
    <row r="117" spans="1:14" x14ac:dyDescent="0.25">
      <c r="A117" s="1" t="s">
        <v>192</v>
      </c>
      <c r="B117" s="1" t="s">
        <v>30</v>
      </c>
      <c r="C117">
        <v>1</v>
      </c>
      <c r="D117">
        <v>4</v>
      </c>
      <c r="E117">
        <v>4</v>
      </c>
      <c r="F117">
        <v>3</v>
      </c>
      <c r="G117">
        <v>3</v>
      </c>
      <c r="H117">
        <v>6</v>
      </c>
      <c r="I117">
        <v>25</v>
      </c>
      <c r="J117">
        <v>23</v>
      </c>
      <c r="K117">
        <v>20</v>
      </c>
      <c r="L117">
        <v>93</v>
      </c>
      <c r="M117">
        <v>78</v>
      </c>
      <c r="N117">
        <f t="shared" si="1"/>
        <v>0</v>
      </c>
    </row>
    <row r="118" spans="1:14" x14ac:dyDescent="0.25">
      <c r="A118" s="1" t="s">
        <v>148</v>
      </c>
      <c r="B118" s="1" t="s">
        <v>193</v>
      </c>
      <c r="C118">
        <v>4</v>
      </c>
      <c r="D118">
        <v>5</v>
      </c>
      <c r="E118">
        <v>5</v>
      </c>
      <c r="F118">
        <v>3</v>
      </c>
      <c r="G118">
        <v>5</v>
      </c>
      <c r="H118">
        <v>2</v>
      </c>
      <c r="I118">
        <v>79</v>
      </c>
      <c r="J118">
        <v>53</v>
      </c>
      <c r="K118">
        <v>97</v>
      </c>
      <c r="L118">
        <v>34</v>
      </c>
      <c r="M118">
        <v>92</v>
      </c>
      <c r="N118">
        <f t="shared" si="1"/>
        <v>0</v>
      </c>
    </row>
    <row r="119" spans="1:14" x14ac:dyDescent="0.25">
      <c r="A119" s="1" t="s">
        <v>194</v>
      </c>
      <c r="B119" s="1" t="s">
        <v>86</v>
      </c>
      <c r="C119">
        <v>4</v>
      </c>
      <c r="D119">
        <v>2</v>
      </c>
      <c r="E119">
        <v>6</v>
      </c>
      <c r="F119">
        <v>4</v>
      </c>
      <c r="G119">
        <v>3</v>
      </c>
      <c r="H119">
        <v>2</v>
      </c>
      <c r="I119">
        <v>13</v>
      </c>
      <c r="J119">
        <v>81</v>
      </c>
      <c r="K119">
        <v>58</v>
      </c>
      <c r="L119">
        <v>45</v>
      </c>
      <c r="M119">
        <v>11</v>
      </c>
      <c r="N119">
        <f t="shared" si="1"/>
        <v>0</v>
      </c>
    </row>
    <row r="120" spans="1:14" x14ac:dyDescent="0.25">
      <c r="A120" s="1" t="s">
        <v>195</v>
      </c>
      <c r="B120" s="1" t="s">
        <v>155</v>
      </c>
      <c r="C120">
        <v>5</v>
      </c>
      <c r="D120">
        <v>2</v>
      </c>
      <c r="E120">
        <v>3</v>
      </c>
      <c r="F120">
        <v>3</v>
      </c>
      <c r="G120">
        <v>2</v>
      </c>
      <c r="H120">
        <v>6</v>
      </c>
      <c r="I120">
        <v>93</v>
      </c>
      <c r="J120">
        <v>31</v>
      </c>
      <c r="K120">
        <v>9</v>
      </c>
      <c r="L120">
        <v>50</v>
      </c>
      <c r="M120">
        <v>41</v>
      </c>
      <c r="N120">
        <f t="shared" si="1"/>
        <v>0</v>
      </c>
    </row>
    <row r="121" spans="1:14" x14ac:dyDescent="0.25">
      <c r="A121" s="1" t="s">
        <v>196</v>
      </c>
      <c r="B121" s="1" t="s">
        <v>197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10</v>
      </c>
      <c r="J121">
        <v>93</v>
      </c>
      <c r="K121">
        <v>88</v>
      </c>
      <c r="L121">
        <v>23</v>
      </c>
      <c r="M121">
        <v>43</v>
      </c>
      <c r="N121">
        <f t="shared" si="1"/>
        <v>0</v>
      </c>
    </row>
    <row r="122" spans="1:14" x14ac:dyDescent="0.25">
      <c r="A122" s="1" t="s">
        <v>198</v>
      </c>
      <c r="B122" s="1" t="s">
        <v>199</v>
      </c>
      <c r="C122">
        <v>0</v>
      </c>
      <c r="D122">
        <v>3</v>
      </c>
      <c r="E122">
        <v>3</v>
      </c>
      <c r="F122">
        <v>2</v>
      </c>
      <c r="G122">
        <v>3</v>
      </c>
      <c r="H122">
        <v>6</v>
      </c>
      <c r="I122">
        <v>7</v>
      </c>
      <c r="J122">
        <v>69</v>
      </c>
      <c r="K122">
        <v>31</v>
      </c>
      <c r="L122">
        <v>13</v>
      </c>
      <c r="M122">
        <v>61</v>
      </c>
      <c r="N122">
        <f t="shared" si="1"/>
        <v>0</v>
      </c>
    </row>
    <row r="123" spans="1:14" x14ac:dyDescent="0.25">
      <c r="A123" s="1" t="s">
        <v>200</v>
      </c>
      <c r="B123" s="1" t="s">
        <v>201</v>
      </c>
      <c r="C123">
        <v>5</v>
      </c>
      <c r="D123">
        <v>3</v>
      </c>
      <c r="E123">
        <v>2</v>
      </c>
      <c r="F123">
        <v>2</v>
      </c>
      <c r="G123">
        <v>4</v>
      </c>
      <c r="H123">
        <v>6</v>
      </c>
      <c r="I123">
        <v>24</v>
      </c>
      <c r="J123">
        <v>79</v>
      </c>
      <c r="K123">
        <v>99</v>
      </c>
      <c r="L123">
        <v>6</v>
      </c>
      <c r="M123">
        <v>89</v>
      </c>
      <c r="N123">
        <f t="shared" si="1"/>
        <v>0</v>
      </c>
    </row>
    <row r="124" spans="1:14" x14ac:dyDescent="0.25">
      <c r="A124" s="1" t="s">
        <v>202</v>
      </c>
      <c r="B124" s="1" t="s">
        <v>203</v>
      </c>
      <c r="C124">
        <v>7</v>
      </c>
      <c r="D124">
        <v>2</v>
      </c>
      <c r="E124">
        <v>2</v>
      </c>
      <c r="F124">
        <v>4</v>
      </c>
      <c r="G124">
        <v>4</v>
      </c>
      <c r="H124">
        <v>6</v>
      </c>
      <c r="I124">
        <v>57</v>
      </c>
      <c r="J124">
        <v>11</v>
      </c>
      <c r="K124">
        <v>80</v>
      </c>
      <c r="L124">
        <v>27</v>
      </c>
      <c r="M124">
        <v>21</v>
      </c>
      <c r="N124">
        <f t="shared" si="1"/>
        <v>0</v>
      </c>
    </row>
    <row r="125" spans="1:14" x14ac:dyDescent="0.25">
      <c r="A125" s="1" t="s">
        <v>204</v>
      </c>
      <c r="B125" s="1" t="s">
        <v>205</v>
      </c>
      <c r="C125">
        <v>7</v>
      </c>
      <c r="D125">
        <v>6</v>
      </c>
      <c r="E125">
        <v>6</v>
      </c>
      <c r="F125">
        <v>2</v>
      </c>
      <c r="G125">
        <v>2</v>
      </c>
      <c r="H125">
        <v>4</v>
      </c>
      <c r="I125">
        <v>2</v>
      </c>
      <c r="J125">
        <v>65</v>
      </c>
      <c r="K125">
        <v>47</v>
      </c>
      <c r="L125">
        <v>64</v>
      </c>
      <c r="M125">
        <v>89</v>
      </c>
      <c r="N125">
        <f t="shared" si="1"/>
        <v>0</v>
      </c>
    </row>
    <row r="126" spans="1:14" x14ac:dyDescent="0.25">
      <c r="A126" s="1" t="s">
        <v>206</v>
      </c>
      <c r="B126" s="1" t="s">
        <v>155</v>
      </c>
      <c r="C126">
        <v>6</v>
      </c>
      <c r="D126">
        <v>4</v>
      </c>
      <c r="E126">
        <v>5</v>
      </c>
      <c r="F126">
        <v>3</v>
      </c>
      <c r="G126">
        <v>6</v>
      </c>
      <c r="H126">
        <v>2</v>
      </c>
      <c r="I126">
        <v>46</v>
      </c>
      <c r="J126">
        <v>75</v>
      </c>
      <c r="K126">
        <v>6</v>
      </c>
      <c r="L126">
        <v>45</v>
      </c>
      <c r="M126">
        <v>9</v>
      </c>
      <c r="N126">
        <f t="shared" si="1"/>
        <v>0</v>
      </c>
    </row>
    <row r="127" spans="1:14" x14ac:dyDescent="0.25">
      <c r="A127" s="1" t="s">
        <v>207</v>
      </c>
      <c r="B127" s="1" t="s">
        <v>51</v>
      </c>
      <c r="C127">
        <v>8</v>
      </c>
      <c r="D127">
        <v>3</v>
      </c>
      <c r="E127">
        <v>6</v>
      </c>
      <c r="F127">
        <v>4</v>
      </c>
      <c r="G127">
        <v>5</v>
      </c>
      <c r="H127">
        <v>2</v>
      </c>
      <c r="I127">
        <v>8</v>
      </c>
      <c r="J127">
        <v>35</v>
      </c>
      <c r="K127">
        <v>65</v>
      </c>
      <c r="L127">
        <v>30</v>
      </c>
      <c r="M127">
        <v>5</v>
      </c>
      <c r="N127">
        <f t="shared" si="1"/>
        <v>0</v>
      </c>
    </row>
    <row r="128" spans="1:14" x14ac:dyDescent="0.25">
      <c r="A128" s="1" t="s">
        <v>208</v>
      </c>
      <c r="B128" s="1" t="s">
        <v>30</v>
      </c>
      <c r="C128">
        <v>3</v>
      </c>
      <c r="D128">
        <v>6</v>
      </c>
      <c r="E128">
        <v>6</v>
      </c>
      <c r="F128">
        <v>3</v>
      </c>
      <c r="G128">
        <v>4</v>
      </c>
      <c r="H128">
        <v>5</v>
      </c>
      <c r="I128">
        <v>35</v>
      </c>
      <c r="J128">
        <v>1</v>
      </c>
      <c r="K128">
        <v>100</v>
      </c>
      <c r="L128">
        <v>65</v>
      </c>
      <c r="M128">
        <v>86</v>
      </c>
      <c r="N128">
        <f t="shared" si="1"/>
        <v>0</v>
      </c>
    </row>
    <row r="129" spans="1:14" x14ac:dyDescent="0.25">
      <c r="A129" s="1" t="s">
        <v>209</v>
      </c>
      <c r="B129" s="1" t="s">
        <v>210</v>
      </c>
      <c r="C129">
        <v>8</v>
      </c>
      <c r="D129">
        <v>3</v>
      </c>
      <c r="E129">
        <v>2</v>
      </c>
      <c r="F129">
        <v>3</v>
      </c>
      <c r="G129">
        <v>5</v>
      </c>
      <c r="H129">
        <v>5</v>
      </c>
      <c r="I129">
        <v>31</v>
      </c>
      <c r="J129">
        <v>75</v>
      </c>
      <c r="K129">
        <v>10</v>
      </c>
      <c r="L129">
        <v>37</v>
      </c>
      <c r="M129">
        <v>48</v>
      </c>
      <c r="N129">
        <f t="shared" si="1"/>
        <v>0</v>
      </c>
    </row>
    <row r="130" spans="1:14" x14ac:dyDescent="0.25">
      <c r="A130" s="1" t="s">
        <v>211</v>
      </c>
      <c r="B130" s="1" t="s">
        <v>78</v>
      </c>
      <c r="C130">
        <v>4</v>
      </c>
      <c r="D130">
        <v>3</v>
      </c>
      <c r="E130">
        <v>4</v>
      </c>
      <c r="F130">
        <v>2</v>
      </c>
      <c r="G130">
        <v>5</v>
      </c>
      <c r="H130">
        <v>6</v>
      </c>
      <c r="I130">
        <v>53</v>
      </c>
      <c r="J130">
        <v>74</v>
      </c>
      <c r="K130">
        <v>66</v>
      </c>
      <c r="L130">
        <v>37</v>
      </c>
      <c r="M130">
        <v>55</v>
      </c>
      <c r="N130">
        <f t="shared" ref="N130:N193" si="2">IF(AND(C130=0,D130&gt;4, AVERAGE(E130:H130) &gt; 4), 1, 0)</f>
        <v>0</v>
      </c>
    </row>
    <row r="131" spans="1:14" x14ac:dyDescent="0.25">
      <c r="A131" s="1" t="s">
        <v>212</v>
      </c>
      <c r="B131" s="1" t="s">
        <v>101</v>
      </c>
      <c r="C131">
        <v>4</v>
      </c>
      <c r="D131">
        <v>6</v>
      </c>
      <c r="E131">
        <v>5</v>
      </c>
      <c r="F131">
        <v>3</v>
      </c>
      <c r="G131">
        <v>4</v>
      </c>
      <c r="H131">
        <v>4</v>
      </c>
      <c r="I131">
        <v>43</v>
      </c>
      <c r="J131">
        <v>49</v>
      </c>
      <c r="K131">
        <v>12</v>
      </c>
      <c r="L131">
        <v>36</v>
      </c>
      <c r="M131">
        <v>87</v>
      </c>
      <c r="N131">
        <f t="shared" si="2"/>
        <v>0</v>
      </c>
    </row>
    <row r="132" spans="1:14" x14ac:dyDescent="0.25">
      <c r="A132" s="1" t="s">
        <v>213</v>
      </c>
      <c r="B132" s="1" t="s">
        <v>72</v>
      </c>
      <c r="C132">
        <v>4</v>
      </c>
      <c r="D132">
        <v>4</v>
      </c>
      <c r="E132">
        <v>6</v>
      </c>
      <c r="F132">
        <v>2</v>
      </c>
      <c r="G132">
        <v>5</v>
      </c>
      <c r="H132">
        <v>2</v>
      </c>
      <c r="I132">
        <v>60</v>
      </c>
      <c r="J132">
        <v>75</v>
      </c>
      <c r="K132">
        <v>10</v>
      </c>
      <c r="L132">
        <v>59</v>
      </c>
      <c r="M132">
        <v>5</v>
      </c>
      <c r="N132">
        <f t="shared" si="2"/>
        <v>0</v>
      </c>
    </row>
    <row r="133" spans="1:14" x14ac:dyDescent="0.25">
      <c r="A133" s="1" t="s">
        <v>214</v>
      </c>
      <c r="B133" s="1" t="s">
        <v>197</v>
      </c>
      <c r="C133">
        <v>7</v>
      </c>
      <c r="D133">
        <v>6</v>
      </c>
      <c r="E133">
        <v>4</v>
      </c>
      <c r="F133">
        <v>2</v>
      </c>
      <c r="G133">
        <v>2</v>
      </c>
      <c r="H133">
        <v>3</v>
      </c>
      <c r="I133">
        <v>89</v>
      </c>
      <c r="J133">
        <v>29</v>
      </c>
      <c r="K133">
        <v>58</v>
      </c>
      <c r="L133">
        <v>19</v>
      </c>
      <c r="M133">
        <v>97</v>
      </c>
      <c r="N133">
        <f t="shared" si="2"/>
        <v>0</v>
      </c>
    </row>
    <row r="134" spans="1:14" x14ac:dyDescent="0.25">
      <c r="A134" s="1" t="s">
        <v>215</v>
      </c>
      <c r="B134" s="1" t="s">
        <v>216</v>
      </c>
      <c r="C134">
        <v>5</v>
      </c>
      <c r="D134">
        <v>6</v>
      </c>
      <c r="E134">
        <v>5</v>
      </c>
      <c r="F134">
        <v>3</v>
      </c>
      <c r="G134">
        <v>5</v>
      </c>
      <c r="H134">
        <v>3</v>
      </c>
      <c r="I134">
        <v>61</v>
      </c>
      <c r="J134">
        <v>95</v>
      </c>
      <c r="K134">
        <v>36</v>
      </c>
      <c r="L134">
        <v>86</v>
      </c>
      <c r="M134">
        <v>36</v>
      </c>
      <c r="N134">
        <f t="shared" si="2"/>
        <v>0</v>
      </c>
    </row>
    <row r="135" spans="1:14" x14ac:dyDescent="0.25">
      <c r="A135" s="1" t="s">
        <v>217</v>
      </c>
      <c r="B135" s="1" t="s">
        <v>218</v>
      </c>
      <c r="C135">
        <v>7</v>
      </c>
      <c r="D135">
        <v>6</v>
      </c>
      <c r="E135">
        <v>2</v>
      </c>
      <c r="F135">
        <v>3</v>
      </c>
      <c r="G135">
        <v>3</v>
      </c>
      <c r="H135">
        <v>2</v>
      </c>
      <c r="I135">
        <v>2</v>
      </c>
      <c r="J135">
        <v>9</v>
      </c>
      <c r="K135">
        <v>56</v>
      </c>
      <c r="L135">
        <v>86</v>
      </c>
      <c r="M135">
        <v>71</v>
      </c>
      <c r="N135">
        <f t="shared" si="2"/>
        <v>0</v>
      </c>
    </row>
    <row r="136" spans="1:14" x14ac:dyDescent="0.25">
      <c r="A136" s="1" t="s">
        <v>219</v>
      </c>
      <c r="B136" s="1" t="s">
        <v>16</v>
      </c>
      <c r="C136">
        <v>6</v>
      </c>
      <c r="D136">
        <v>2</v>
      </c>
      <c r="E136">
        <v>4</v>
      </c>
      <c r="F136">
        <v>5</v>
      </c>
      <c r="G136">
        <v>6</v>
      </c>
      <c r="H136">
        <v>4</v>
      </c>
      <c r="I136">
        <v>21</v>
      </c>
      <c r="J136">
        <v>73</v>
      </c>
      <c r="K136">
        <v>39</v>
      </c>
      <c r="L136">
        <v>28</v>
      </c>
      <c r="M136">
        <v>25</v>
      </c>
      <c r="N136">
        <f t="shared" si="2"/>
        <v>0</v>
      </c>
    </row>
    <row r="137" spans="1:14" x14ac:dyDescent="0.25">
      <c r="A137" s="1" t="s">
        <v>220</v>
      </c>
      <c r="B137" s="1" t="s">
        <v>130</v>
      </c>
      <c r="C137">
        <v>0</v>
      </c>
      <c r="D137">
        <v>5</v>
      </c>
      <c r="E137">
        <v>2</v>
      </c>
      <c r="F137">
        <v>4</v>
      </c>
      <c r="G137">
        <v>3</v>
      </c>
      <c r="H137">
        <v>3</v>
      </c>
      <c r="I137">
        <v>52</v>
      </c>
      <c r="J137">
        <v>74</v>
      </c>
      <c r="K137">
        <v>79</v>
      </c>
      <c r="L137">
        <v>92</v>
      </c>
      <c r="M137">
        <v>69</v>
      </c>
      <c r="N137">
        <f t="shared" si="2"/>
        <v>0</v>
      </c>
    </row>
    <row r="138" spans="1:14" x14ac:dyDescent="0.25">
      <c r="A138" s="1" t="s">
        <v>221</v>
      </c>
      <c r="B138" s="1" t="s">
        <v>222</v>
      </c>
      <c r="C138">
        <v>1</v>
      </c>
      <c r="D138">
        <v>2</v>
      </c>
      <c r="E138">
        <v>2</v>
      </c>
      <c r="F138">
        <v>4</v>
      </c>
      <c r="G138">
        <v>5</v>
      </c>
      <c r="H138">
        <v>3</v>
      </c>
      <c r="I138">
        <v>97</v>
      </c>
      <c r="J138">
        <v>51</v>
      </c>
      <c r="K138">
        <v>38</v>
      </c>
      <c r="L138">
        <v>17</v>
      </c>
      <c r="M138">
        <v>5</v>
      </c>
      <c r="N138">
        <f t="shared" si="2"/>
        <v>0</v>
      </c>
    </row>
    <row r="139" spans="1:14" x14ac:dyDescent="0.25">
      <c r="A139" s="1" t="s">
        <v>223</v>
      </c>
      <c r="B139" s="1" t="s">
        <v>145</v>
      </c>
      <c r="C139">
        <v>3</v>
      </c>
      <c r="D139">
        <v>3</v>
      </c>
      <c r="E139">
        <v>2</v>
      </c>
      <c r="F139">
        <v>5</v>
      </c>
      <c r="G139">
        <v>3</v>
      </c>
      <c r="H139">
        <v>5</v>
      </c>
      <c r="I139">
        <v>68</v>
      </c>
      <c r="J139">
        <v>38</v>
      </c>
      <c r="K139">
        <v>31</v>
      </c>
      <c r="L139">
        <v>14</v>
      </c>
      <c r="M139">
        <v>54</v>
      </c>
      <c r="N139">
        <f t="shared" si="2"/>
        <v>0</v>
      </c>
    </row>
    <row r="140" spans="1:14" x14ac:dyDescent="0.25">
      <c r="A140" s="1" t="s">
        <v>224</v>
      </c>
      <c r="B140" s="1" t="s">
        <v>225</v>
      </c>
      <c r="C140">
        <v>7</v>
      </c>
      <c r="D140">
        <v>6</v>
      </c>
      <c r="E140">
        <v>2</v>
      </c>
      <c r="F140">
        <v>5</v>
      </c>
      <c r="G140">
        <v>6</v>
      </c>
      <c r="H140">
        <v>5</v>
      </c>
      <c r="I140">
        <v>19</v>
      </c>
      <c r="J140">
        <v>56</v>
      </c>
      <c r="K140">
        <v>50</v>
      </c>
      <c r="L140">
        <v>43</v>
      </c>
      <c r="M140">
        <v>66</v>
      </c>
      <c r="N140">
        <f t="shared" si="2"/>
        <v>0</v>
      </c>
    </row>
    <row r="141" spans="1:14" x14ac:dyDescent="0.25">
      <c r="A141" s="1" t="s">
        <v>226</v>
      </c>
      <c r="B141" s="1" t="s">
        <v>74</v>
      </c>
      <c r="C141">
        <v>6</v>
      </c>
      <c r="D141">
        <v>6</v>
      </c>
      <c r="E141">
        <v>5</v>
      </c>
      <c r="F141">
        <v>3</v>
      </c>
      <c r="G141">
        <v>2</v>
      </c>
      <c r="H141">
        <v>3</v>
      </c>
      <c r="I141">
        <v>16</v>
      </c>
      <c r="J141">
        <v>95</v>
      </c>
      <c r="K141">
        <v>97</v>
      </c>
      <c r="L141">
        <v>62</v>
      </c>
      <c r="M141">
        <v>46</v>
      </c>
      <c r="N141">
        <f t="shared" si="2"/>
        <v>0</v>
      </c>
    </row>
    <row r="142" spans="1:14" x14ac:dyDescent="0.25">
      <c r="A142" s="1" t="s">
        <v>227</v>
      </c>
      <c r="B142" s="1" t="s">
        <v>78</v>
      </c>
      <c r="C142">
        <v>6</v>
      </c>
      <c r="D142">
        <v>5</v>
      </c>
      <c r="E142">
        <v>3</v>
      </c>
      <c r="F142">
        <v>2</v>
      </c>
      <c r="G142">
        <v>3</v>
      </c>
      <c r="H142">
        <v>5</v>
      </c>
      <c r="I142">
        <v>55</v>
      </c>
      <c r="J142">
        <v>2</v>
      </c>
      <c r="K142">
        <v>64</v>
      </c>
      <c r="L142">
        <v>13</v>
      </c>
      <c r="M142">
        <v>72</v>
      </c>
      <c r="N142">
        <f t="shared" si="2"/>
        <v>0</v>
      </c>
    </row>
    <row r="143" spans="1:14" x14ac:dyDescent="0.25">
      <c r="A143" s="1" t="s">
        <v>228</v>
      </c>
      <c r="B143" s="1" t="s">
        <v>166</v>
      </c>
      <c r="C143">
        <v>6</v>
      </c>
      <c r="D143">
        <v>2</v>
      </c>
      <c r="E143">
        <v>4</v>
      </c>
      <c r="F143">
        <v>3</v>
      </c>
      <c r="G143">
        <v>3</v>
      </c>
      <c r="H143">
        <v>2</v>
      </c>
      <c r="I143">
        <v>54</v>
      </c>
      <c r="J143">
        <v>83</v>
      </c>
      <c r="K143">
        <v>36</v>
      </c>
      <c r="L143">
        <v>27</v>
      </c>
      <c r="M143">
        <v>21</v>
      </c>
      <c r="N143">
        <f t="shared" si="2"/>
        <v>0</v>
      </c>
    </row>
    <row r="144" spans="1:14" x14ac:dyDescent="0.25">
      <c r="A144" s="1" t="s">
        <v>229</v>
      </c>
      <c r="B144" s="1" t="s">
        <v>174</v>
      </c>
      <c r="C144">
        <v>1</v>
      </c>
      <c r="D144">
        <v>5</v>
      </c>
      <c r="E144">
        <v>2</v>
      </c>
      <c r="F144">
        <v>2</v>
      </c>
      <c r="G144">
        <v>4</v>
      </c>
      <c r="H144">
        <v>5</v>
      </c>
      <c r="I144">
        <v>19</v>
      </c>
      <c r="J144">
        <v>92</v>
      </c>
      <c r="K144">
        <v>24</v>
      </c>
      <c r="L144">
        <v>32</v>
      </c>
      <c r="M144">
        <v>91</v>
      </c>
      <c r="N144">
        <f t="shared" si="2"/>
        <v>0</v>
      </c>
    </row>
    <row r="145" spans="1:14" x14ac:dyDescent="0.25">
      <c r="A145" s="1" t="s">
        <v>230</v>
      </c>
      <c r="B145" s="1" t="s">
        <v>137</v>
      </c>
      <c r="C145">
        <v>7</v>
      </c>
      <c r="D145">
        <v>3</v>
      </c>
      <c r="E145">
        <v>2</v>
      </c>
      <c r="F145">
        <v>3</v>
      </c>
      <c r="G145">
        <v>5</v>
      </c>
      <c r="H145">
        <v>6</v>
      </c>
      <c r="I145">
        <v>25</v>
      </c>
      <c r="J145">
        <v>14</v>
      </c>
      <c r="K145">
        <v>19</v>
      </c>
      <c r="L145">
        <v>95</v>
      </c>
      <c r="M145">
        <v>91</v>
      </c>
      <c r="N145">
        <f t="shared" si="2"/>
        <v>0</v>
      </c>
    </row>
    <row r="146" spans="1:14" x14ac:dyDescent="0.25">
      <c r="A146" s="1" t="s">
        <v>231</v>
      </c>
      <c r="B146" s="1" t="s">
        <v>232</v>
      </c>
      <c r="C146">
        <v>8</v>
      </c>
      <c r="D146">
        <v>4</v>
      </c>
      <c r="E146">
        <v>3</v>
      </c>
      <c r="F146">
        <v>2</v>
      </c>
      <c r="G146">
        <v>3</v>
      </c>
      <c r="H146">
        <v>4</v>
      </c>
      <c r="I146">
        <v>37</v>
      </c>
      <c r="J146">
        <v>69</v>
      </c>
      <c r="K146">
        <v>12</v>
      </c>
      <c r="L146">
        <v>17</v>
      </c>
      <c r="M146">
        <v>48</v>
      </c>
      <c r="N146">
        <f t="shared" si="2"/>
        <v>0</v>
      </c>
    </row>
    <row r="147" spans="1:14" x14ac:dyDescent="0.25">
      <c r="A147" s="1" t="s">
        <v>233</v>
      </c>
      <c r="B147" s="1" t="s">
        <v>145</v>
      </c>
      <c r="C147">
        <v>3</v>
      </c>
      <c r="D147">
        <v>6</v>
      </c>
      <c r="E147">
        <v>6</v>
      </c>
      <c r="F147">
        <v>6</v>
      </c>
      <c r="G147">
        <v>3</v>
      </c>
      <c r="H147">
        <v>4</v>
      </c>
      <c r="I147">
        <v>79</v>
      </c>
      <c r="J147">
        <v>23</v>
      </c>
      <c r="K147">
        <v>17</v>
      </c>
      <c r="L147">
        <v>99</v>
      </c>
      <c r="M147">
        <v>29</v>
      </c>
      <c r="N147">
        <f t="shared" si="2"/>
        <v>0</v>
      </c>
    </row>
    <row r="148" spans="1:14" x14ac:dyDescent="0.25">
      <c r="A148" s="1" t="s">
        <v>234</v>
      </c>
      <c r="B148" s="1" t="s">
        <v>159</v>
      </c>
      <c r="C148">
        <v>4</v>
      </c>
      <c r="D148">
        <v>5</v>
      </c>
      <c r="E148">
        <v>2</v>
      </c>
      <c r="F148">
        <v>5</v>
      </c>
      <c r="G148">
        <v>4</v>
      </c>
      <c r="H148">
        <v>3</v>
      </c>
      <c r="I148">
        <v>41</v>
      </c>
      <c r="J148">
        <v>64</v>
      </c>
      <c r="K148">
        <v>91</v>
      </c>
      <c r="L148">
        <v>82</v>
      </c>
      <c r="M148">
        <v>100</v>
      </c>
      <c r="N148">
        <f t="shared" si="2"/>
        <v>0</v>
      </c>
    </row>
    <row r="149" spans="1:14" x14ac:dyDescent="0.25">
      <c r="A149" s="1" t="s">
        <v>235</v>
      </c>
      <c r="B149" s="1" t="s">
        <v>101</v>
      </c>
      <c r="C149">
        <v>5</v>
      </c>
      <c r="D149">
        <v>4</v>
      </c>
      <c r="E149">
        <v>5</v>
      </c>
      <c r="F149">
        <v>2</v>
      </c>
      <c r="G149">
        <v>3</v>
      </c>
      <c r="H149">
        <v>2</v>
      </c>
      <c r="I149">
        <v>87</v>
      </c>
      <c r="J149">
        <v>45</v>
      </c>
      <c r="K149">
        <v>47</v>
      </c>
      <c r="L149">
        <v>75</v>
      </c>
      <c r="M149">
        <v>51</v>
      </c>
      <c r="N149">
        <f t="shared" si="2"/>
        <v>0</v>
      </c>
    </row>
    <row r="150" spans="1:14" x14ac:dyDescent="0.25">
      <c r="A150" s="1" t="s">
        <v>236</v>
      </c>
      <c r="B150" s="1" t="s">
        <v>90</v>
      </c>
      <c r="C150">
        <v>8</v>
      </c>
      <c r="D150">
        <v>3</v>
      </c>
      <c r="E150">
        <v>6</v>
      </c>
      <c r="F150">
        <v>3</v>
      </c>
      <c r="G150">
        <v>6</v>
      </c>
      <c r="H150">
        <v>2</v>
      </c>
      <c r="I150">
        <v>84</v>
      </c>
      <c r="J150">
        <v>77</v>
      </c>
      <c r="K150">
        <v>71</v>
      </c>
      <c r="L150">
        <v>71</v>
      </c>
      <c r="M150">
        <v>9</v>
      </c>
      <c r="N150">
        <f t="shared" si="2"/>
        <v>0</v>
      </c>
    </row>
    <row r="151" spans="1:14" x14ac:dyDescent="0.25">
      <c r="A151" s="1" t="s">
        <v>237</v>
      </c>
      <c r="B151" s="1" t="s">
        <v>90</v>
      </c>
      <c r="C151">
        <v>1</v>
      </c>
      <c r="D151">
        <v>2</v>
      </c>
      <c r="E151">
        <v>4</v>
      </c>
      <c r="F151">
        <v>4</v>
      </c>
      <c r="G151">
        <v>5</v>
      </c>
      <c r="H151">
        <v>5</v>
      </c>
      <c r="I151">
        <v>20</v>
      </c>
      <c r="J151">
        <v>93</v>
      </c>
      <c r="K151">
        <v>68</v>
      </c>
      <c r="L151">
        <v>58</v>
      </c>
      <c r="M151">
        <v>23</v>
      </c>
      <c r="N151">
        <f t="shared" si="2"/>
        <v>0</v>
      </c>
    </row>
    <row r="152" spans="1:14" x14ac:dyDescent="0.25">
      <c r="A152" s="1" t="s">
        <v>238</v>
      </c>
      <c r="B152" s="1" t="s">
        <v>239</v>
      </c>
      <c r="C152">
        <v>7</v>
      </c>
      <c r="D152">
        <v>5</v>
      </c>
      <c r="E152">
        <v>6</v>
      </c>
      <c r="F152">
        <v>6</v>
      </c>
      <c r="G152">
        <v>2</v>
      </c>
      <c r="H152">
        <v>5</v>
      </c>
      <c r="I152">
        <v>80</v>
      </c>
      <c r="J152">
        <v>90</v>
      </c>
      <c r="K152">
        <v>62</v>
      </c>
      <c r="L152">
        <v>97</v>
      </c>
      <c r="M152">
        <v>3</v>
      </c>
      <c r="N152">
        <f t="shared" si="2"/>
        <v>0</v>
      </c>
    </row>
    <row r="153" spans="1:14" x14ac:dyDescent="0.25">
      <c r="A153" s="1" t="s">
        <v>240</v>
      </c>
      <c r="B153" s="1" t="s">
        <v>232</v>
      </c>
      <c r="C153">
        <v>6</v>
      </c>
      <c r="D153">
        <v>6</v>
      </c>
      <c r="E153">
        <v>6</v>
      </c>
      <c r="F153">
        <v>4</v>
      </c>
      <c r="G153">
        <v>4</v>
      </c>
      <c r="H153">
        <v>5</v>
      </c>
      <c r="I153">
        <v>77</v>
      </c>
      <c r="J153">
        <v>40</v>
      </c>
      <c r="K153">
        <v>93</v>
      </c>
      <c r="L153">
        <v>80</v>
      </c>
      <c r="M153">
        <v>71</v>
      </c>
      <c r="N153">
        <f t="shared" si="2"/>
        <v>0</v>
      </c>
    </row>
    <row r="154" spans="1:14" x14ac:dyDescent="0.25">
      <c r="A154" s="1" t="s">
        <v>241</v>
      </c>
      <c r="B154" s="1" t="s">
        <v>242</v>
      </c>
      <c r="C154">
        <v>4</v>
      </c>
      <c r="D154">
        <v>6</v>
      </c>
      <c r="E154">
        <v>5</v>
      </c>
      <c r="F154">
        <v>3</v>
      </c>
      <c r="G154">
        <v>5</v>
      </c>
      <c r="H154">
        <v>4</v>
      </c>
      <c r="I154">
        <v>65</v>
      </c>
      <c r="J154">
        <v>34</v>
      </c>
      <c r="K154">
        <v>51</v>
      </c>
      <c r="L154">
        <v>38</v>
      </c>
      <c r="M154">
        <v>65</v>
      </c>
      <c r="N154">
        <f t="shared" si="2"/>
        <v>0</v>
      </c>
    </row>
    <row r="155" spans="1:14" x14ac:dyDescent="0.25">
      <c r="A155" s="1" t="s">
        <v>243</v>
      </c>
      <c r="B155" s="1" t="s">
        <v>244</v>
      </c>
      <c r="C155">
        <v>0</v>
      </c>
      <c r="D155">
        <v>6</v>
      </c>
      <c r="E155">
        <v>4</v>
      </c>
      <c r="F155">
        <v>3</v>
      </c>
      <c r="G155">
        <v>3</v>
      </c>
      <c r="H155">
        <v>2</v>
      </c>
      <c r="I155">
        <v>62</v>
      </c>
      <c r="J155">
        <v>62</v>
      </c>
      <c r="K155">
        <v>86</v>
      </c>
      <c r="L155">
        <v>10</v>
      </c>
      <c r="M155">
        <v>2</v>
      </c>
      <c r="N155">
        <f t="shared" si="2"/>
        <v>0</v>
      </c>
    </row>
    <row r="156" spans="1:14" x14ac:dyDescent="0.25">
      <c r="A156" s="1" t="s">
        <v>245</v>
      </c>
      <c r="B156" s="1" t="s">
        <v>246</v>
      </c>
      <c r="C156">
        <v>8</v>
      </c>
      <c r="D156">
        <v>5</v>
      </c>
      <c r="E156">
        <v>4</v>
      </c>
      <c r="F156">
        <v>2</v>
      </c>
      <c r="G156">
        <v>4</v>
      </c>
      <c r="H156">
        <v>2</v>
      </c>
      <c r="I156">
        <v>70</v>
      </c>
      <c r="J156">
        <v>4</v>
      </c>
      <c r="K156">
        <v>92</v>
      </c>
      <c r="L156">
        <v>91</v>
      </c>
      <c r="M156">
        <v>21</v>
      </c>
      <c r="N156">
        <f t="shared" si="2"/>
        <v>0</v>
      </c>
    </row>
    <row r="157" spans="1:14" x14ac:dyDescent="0.25">
      <c r="A157" s="1" t="s">
        <v>247</v>
      </c>
      <c r="B157" s="1" t="s">
        <v>164</v>
      </c>
      <c r="C157">
        <v>1</v>
      </c>
      <c r="D157">
        <v>2</v>
      </c>
      <c r="E157">
        <v>6</v>
      </c>
      <c r="F157">
        <v>5</v>
      </c>
      <c r="G157">
        <v>6</v>
      </c>
      <c r="H157">
        <v>4</v>
      </c>
      <c r="I157">
        <v>66</v>
      </c>
      <c r="J157">
        <v>78</v>
      </c>
      <c r="K157">
        <v>26</v>
      </c>
      <c r="L157">
        <v>98</v>
      </c>
      <c r="M157">
        <v>56</v>
      </c>
      <c r="N157">
        <f t="shared" si="2"/>
        <v>0</v>
      </c>
    </row>
    <row r="158" spans="1:14" x14ac:dyDescent="0.25">
      <c r="A158" s="1" t="s">
        <v>248</v>
      </c>
      <c r="B158" s="1" t="s">
        <v>249</v>
      </c>
      <c r="C158">
        <v>3</v>
      </c>
      <c r="D158">
        <v>4</v>
      </c>
      <c r="E158">
        <v>6</v>
      </c>
      <c r="F158">
        <v>2</v>
      </c>
      <c r="G158">
        <v>2</v>
      </c>
      <c r="H158">
        <v>5</v>
      </c>
      <c r="I158">
        <v>54</v>
      </c>
      <c r="J158">
        <v>12</v>
      </c>
      <c r="K158">
        <v>13</v>
      </c>
      <c r="L158">
        <v>21</v>
      </c>
      <c r="M158">
        <v>24</v>
      </c>
      <c r="N158">
        <f t="shared" si="2"/>
        <v>0</v>
      </c>
    </row>
    <row r="159" spans="1:14" x14ac:dyDescent="0.25">
      <c r="A159" s="1" t="s">
        <v>250</v>
      </c>
      <c r="B159" s="1" t="s">
        <v>251</v>
      </c>
      <c r="C159">
        <v>6</v>
      </c>
      <c r="D159">
        <v>2</v>
      </c>
      <c r="E159">
        <v>3</v>
      </c>
      <c r="F159">
        <v>3</v>
      </c>
      <c r="G159">
        <v>3</v>
      </c>
      <c r="H159">
        <v>6</v>
      </c>
      <c r="I159">
        <v>27</v>
      </c>
      <c r="J159">
        <v>2</v>
      </c>
      <c r="K159">
        <v>84</v>
      </c>
      <c r="L159">
        <v>100</v>
      </c>
      <c r="M159">
        <v>27</v>
      </c>
      <c r="N159">
        <f t="shared" si="2"/>
        <v>0</v>
      </c>
    </row>
    <row r="160" spans="1:14" x14ac:dyDescent="0.25">
      <c r="A160" s="1" t="s">
        <v>252</v>
      </c>
      <c r="B160" s="1" t="s">
        <v>253</v>
      </c>
      <c r="C160">
        <v>1</v>
      </c>
      <c r="D160">
        <v>4</v>
      </c>
      <c r="E160">
        <v>6</v>
      </c>
      <c r="F160">
        <v>6</v>
      </c>
      <c r="G160">
        <v>2</v>
      </c>
      <c r="H160">
        <v>3</v>
      </c>
      <c r="I160">
        <v>43</v>
      </c>
      <c r="J160">
        <v>77</v>
      </c>
      <c r="K160">
        <v>31</v>
      </c>
      <c r="L160">
        <v>88</v>
      </c>
      <c r="M160">
        <v>67</v>
      </c>
      <c r="N160">
        <f t="shared" si="2"/>
        <v>0</v>
      </c>
    </row>
    <row r="161" spans="1:14" x14ac:dyDescent="0.25">
      <c r="A161" s="1" t="s">
        <v>254</v>
      </c>
      <c r="B161" s="1" t="s">
        <v>28</v>
      </c>
      <c r="C161">
        <v>3</v>
      </c>
      <c r="D161">
        <v>6</v>
      </c>
      <c r="E161">
        <v>6</v>
      </c>
      <c r="F161">
        <v>4</v>
      </c>
      <c r="G161">
        <v>3</v>
      </c>
      <c r="H161">
        <v>6</v>
      </c>
      <c r="I161">
        <v>63</v>
      </c>
      <c r="J161">
        <v>36</v>
      </c>
      <c r="K161">
        <v>68</v>
      </c>
      <c r="L161">
        <v>19</v>
      </c>
      <c r="M161">
        <v>39</v>
      </c>
      <c r="N161">
        <f t="shared" si="2"/>
        <v>0</v>
      </c>
    </row>
    <row r="162" spans="1:14" x14ac:dyDescent="0.25">
      <c r="A162" s="1" t="s">
        <v>255</v>
      </c>
      <c r="B162" s="1" t="s">
        <v>222</v>
      </c>
      <c r="C162">
        <v>1</v>
      </c>
      <c r="D162">
        <v>2</v>
      </c>
      <c r="E162">
        <v>6</v>
      </c>
      <c r="F162">
        <v>4</v>
      </c>
      <c r="G162">
        <v>2</v>
      </c>
      <c r="H162">
        <v>2</v>
      </c>
      <c r="I162">
        <v>32</v>
      </c>
      <c r="J162">
        <v>18</v>
      </c>
      <c r="K162">
        <v>1</v>
      </c>
      <c r="L162">
        <v>56</v>
      </c>
      <c r="M162">
        <v>7</v>
      </c>
      <c r="N162">
        <f t="shared" si="2"/>
        <v>0</v>
      </c>
    </row>
    <row r="163" spans="1:14" x14ac:dyDescent="0.25">
      <c r="A163" s="1" t="s">
        <v>256</v>
      </c>
      <c r="B163" s="1" t="s">
        <v>78</v>
      </c>
      <c r="C163">
        <v>4</v>
      </c>
      <c r="D163">
        <v>3</v>
      </c>
      <c r="E163">
        <v>3</v>
      </c>
      <c r="F163">
        <v>2</v>
      </c>
      <c r="G163">
        <v>6</v>
      </c>
      <c r="H163">
        <v>2</v>
      </c>
      <c r="I163">
        <v>60</v>
      </c>
      <c r="J163">
        <v>64</v>
      </c>
      <c r="K163">
        <v>100</v>
      </c>
      <c r="L163">
        <v>38</v>
      </c>
      <c r="M163">
        <v>70</v>
      </c>
      <c r="N163">
        <f t="shared" si="2"/>
        <v>0</v>
      </c>
    </row>
    <row r="164" spans="1:14" x14ac:dyDescent="0.25">
      <c r="A164" s="1" t="s">
        <v>257</v>
      </c>
      <c r="B164" s="1" t="s">
        <v>20</v>
      </c>
      <c r="C164">
        <v>0</v>
      </c>
      <c r="D164">
        <v>6</v>
      </c>
      <c r="E164">
        <v>6</v>
      </c>
      <c r="F164">
        <v>5</v>
      </c>
      <c r="G164">
        <v>3</v>
      </c>
      <c r="H164">
        <v>2</v>
      </c>
      <c r="I164">
        <v>39</v>
      </c>
      <c r="J164">
        <v>66</v>
      </c>
      <c r="K164">
        <v>84</v>
      </c>
      <c r="L164">
        <v>47</v>
      </c>
      <c r="M164">
        <v>21</v>
      </c>
      <c r="N164">
        <f t="shared" si="2"/>
        <v>0</v>
      </c>
    </row>
    <row r="165" spans="1:14" x14ac:dyDescent="0.25">
      <c r="A165" s="1" t="s">
        <v>258</v>
      </c>
      <c r="B165" s="1" t="s">
        <v>180</v>
      </c>
      <c r="C165">
        <v>2</v>
      </c>
      <c r="D165">
        <v>2</v>
      </c>
      <c r="E165">
        <v>5</v>
      </c>
      <c r="F165">
        <v>2</v>
      </c>
      <c r="G165">
        <v>3</v>
      </c>
      <c r="H165">
        <v>3</v>
      </c>
      <c r="I165">
        <v>11</v>
      </c>
      <c r="J165">
        <v>88</v>
      </c>
      <c r="K165">
        <v>90</v>
      </c>
      <c r="L165">
        <v>20</v>
      </c>
      <c r="M165">
        <v>65</v>
      </c>
      <c r="N165">
        <f t="shared" si="2"/>
        <v>0</v>
      </c>
    </row>
    <row r="166" spans="1:14" x14ac:dyDescent="0.25">
      <c r="A166" s="1" t="s">
        <v>259</v>
      </c>
      <c r="B166" s="1" t="s">
        <v>260</v>
      </c>
      <c r="C166">
        <v>2</v>
      </c>
      <c r="D166">
        <v>5</v>
      </c>
      <c r="E166">
        <v>5</v>
      </c>
      <c r="F166">
        <v>2</v>
      </c>
      <c r="G166">
        <v>6</v>
      </c>
      <c r="H166">
        <v>2</v>
      </c>
      <c r="I166">
        <v>79</v>
      </c>
      <c r="J166">
        <v>66</v>
      </c>
      <c r="K166">
        <v>91</v>
      </c>
      <c r="L166">
        <v>30</v>
      </c>
      <c r="M166">
        <v>90</v>
      </c>
      <c r="N166">
        <f t="shared" si="2"/>
        <v>0</v>
      </c>
    </row>
    <row r="167" spans="1:14" x14ac:dyDescent="0.25">
      <c r="A167" s="1" t="s">
        <v>261</v>
      </c>
      <c r="B167" s="1" t="s">
        <v>218</v>
      </c>
      <c r="C167">
        <v>5</v>
      </c>
      <c r="D167">
        <v>3</v>
      </c>
      <c r="E167">
        <v>6</v>
      </c>
      <c r="F167">
        <v>3</v>
      </c>
      <c r="G167">
        <v>3</v>
      </c>
      <c r="H167">
        <v>5</v>
      </c>
      <c r="I167">
        <v>15</v>
      </c>
      <c r="J167">
        <v>21</v>
      </c>
      <c r="K167">
        <v>66</v>
      </c>
      <c r="L167">
        <v>55</v>
      </c>
      <c r="M167">
        <v>90</v>
      </c>
      <c r="N167">
        <f t="shared" si="2"/>
        <v>0</v>
      </c>
    </row>
    <row r="168" spans="1:14" x14ac:dyDescent="0.25">
      <c r="A168" s="1" t="s">
        <v>262</v>
      </c>
      <c r="B168" s="1" t="s">
        <v>41</v>
      </c>
      <c r="C168">
        <v>4</v>
      </c>
      <c r="D168">
        <v>3</v>
      </c>
      <c r="E168">
        <v>6</v>
      </c>
      <c r="F168">
        <v>6</v>
      </c>
      <c r="G168">
        <v>4</v>
      </c>
      <c r="H168">
        <v>4</v>
      </c>
      <c r="I168">
        <v>15</v>
      </c>
      <c r="J168">
        <v>36</v>
      </c>
      <c r="K168">
        <v>51</v>
      </c>
      <c r="L168">
        <v>10</v>
      </c>
      <c r="M168">
        <v>68</v>
      </c>
      <c r="N168">
        <f t="shared" si="2"/>
        <v>0</v>
      </c>
    </row>
    <row r="169" spans="1:14" x14ac:dyDescent="0.25">
      <c r="A169" s="1" t="s">
        <v>263</v>
      </c>
      <c r="B169" s="1" t="s">
        <v>78</v>
      </c>
      <c r="C169">
        <v>5</v>
      </c>
      <c r="D169">
        <v>5</v>
      </c>
      <c r="E169">
        <v>6</v>
      </c>
      <c r="F169">
        <v>6</v>
      </c>
      <c r="G169">
        <v>6</v>
      </c>
      <c r="H169">
        <v>6</v>
      </c>
      <c r="I169">
        <v>63</v>
      </c>
      <c r="J169">
        <v>88</v>
      </c>
      <c r="K169">
        <v>72</v>
      </c>
      <c r="L169">
        <v>90</v>
      </c>
      <c r="M169">
        <v>83</v>
      </c>
      <c r="N169">
        <f t="shared" si="2"/>
        <v>0</v>
      </c>
    </row>
    <row r="170" spans="1:14" x14ac:dyDescent="0.25">
      <c r="A170" s="1" t="s">
        <v>264</v>
      </c>
      <c r="B170" s="1" t="s">
        <v>246</v>
      </c>
      <c r="C170">
        <v>8</v>
      </c>
      <c r="D170">
        <v>3</v>
      </c>
      <c r="E170">
        <v>5</v>
      </c>
      <c r="F170">
        <v>5</v>
      </c>
      <c r="G170">
        <v>5</v>
      </c>
      <c r="H170">
        <v>6</v>
      </c>
      <c r="I170">
        <v>55</v>
      </c>
      <c r="J170">
        <v>10</v>
      </c>
      <c r="K170">
        <v>80</v>
      </c>
      <c r="L170">
        <v>8</v>
      </c>
      <c r="M170">
        <v>78</v>
      </c>
      <c r="N170">
        <f t="shared" si="2"/>
        <v>0</v>
      </c>
    </row>
    <row r="171" spans="1:14" x14ac:dyDescent="0.25">
      <c r="A171" s="1" t="s">
        <v>265</v>
      </c>
      <c r="B171" s="1" t="s">
        <v>16</v>
      </c>
      <c r="C171">
        <v>7</v>
      </c>
      <c r="D171">
        <v>3</v>
      </c>
      <c r="E171">
        <v>5</v>
      </c>
      <c r="F171">
        <v>4</v>
      </c>
      <c r="G171">
        <v>5</v>
      </c>
      <c r="H171">
        <v>6</v>
      </c>
      <c r="I171">
        <v>24</v>
      </c>
      <c r="J171">
        <v>82</v>
      </c>
      <c r="K171">
        <v>37</v>
      </c>
      <c r="L171">
        <v>7</v>
      </c>
      <c r="M171">
        <v>12</v>
      </c>
      <c r="N171">
        <f t="shared" si="2"/>
        <v>0</v>
      </c>
    </row>
    <row r="172" spans="1:14" x14ac:dyDescent="0.25">
      <c r="A172" s="1" t="s">
        <v>266</v>
      </c>
      <c r="B172" s="1" t="s">
        <v>199</v>
      </c>
      <c r="C172">
        <v>0</v>
      </c>
      <c r="D172">
        <v>2</v>
      </c>
      <c r="E172">
        <v>3</v>
      </c>
      <c r="F172">
        <v>4</v>
      </c>
      <c r="G172">
        <v>6</v>
      </c>
      <c r="H172">
        <v>6</v>
      </c>
      <c r="I172">
        <v>19</v>
      </c>
      <c r="J172">
        <v>82</v>
      </c>
      <c r="K172">
        <v>75</v>
      </c>
      <c r="L172">
        <v>35</v>
      </c>
      <c r="M172">
        <v>75</v>
      </c>
      <c r="N172">
        <f t="shared" si="2"/>
        <v>0</v>
      </c>
    </row>
    <row r="173" spans="1:14" x14ac:dyDescent="0.25">
      <c r="A173" s="1" t="s">
        <v>267</v>
      </c>
      <c r="B173" s="1" t="s">
        <v>239</v>
      </c>
      <c r="C173">
        <v>5</v>
      </c>
      <c r="D173">
        <v>3</v>
      </c>
      <c r="E173">
        <v>5</v>
      </c>
      <c r="F173">
        <v>3</v>
      </c>
      <c r="G173">
        <v>3</v>
      </c>
      <c r="H173">
        <v>2</v>
      </c>
      <c r="I173">
        <v>33</v>
      </c>
      <c r="J173">
        <v>10</v>
      </c>
      <c r="K173">
        <v>92</v>
      </c>
      <c r="L173">
        <v>74</v>
      </c>
      <c r="M173">
        <v>79</v>
      </c>
      <c r="N173">
        <f t="shared" si="2"/>
        <v>0</v>
      </c>
    </row>
    <row r="174" spans="1:14" x14ac:dyDescent="0.25">
      <c r="A174" s="1" t="s">
        <v>268</v>
      </c>
      <c r="B174" s="1" t="s">
        <v>101</v>
      </c>
      <c r="C174">
        <v>4</v>
      </c>
      <c r="D174">
        <v>5</v>
      </c>
      <c r="E174">
        <v>5</v>
      </c>
      <c r="F174">
        <v>3</v>
      </c>
      <c r="G174">
        <v>4</v>
      </c>
      <c r="H174">
        <v>4</v>
      </c>
      <c r="I174">
        <v>94</v>
      </c>
      <c r="J174">
        <v>21</v>
      </c>
      <c r="K174">
        <v>58</v>
      </c>
      <c r="L174">
        <v>60</v>
      </c>
      <c r="M174">
        <v>36</v>
      </c>
      <c r="N174">
        <f t="shared" si="2"/>
        <v>0</v>
      </c>
    </row>
    <row r="175" spans="1:14" x14ac:dyDescent="0.25">
      <c r="A175" s="1" t="s">
        <v>269</v>
      </c>
      <c r="B175" s="1" t="s">
        <v>205</v>
      </c>
      <c r="C175">
        <v>1</v>
      </c>
      <c r="D175">
        <v>2</v>
      </c>
      <c r="E175">
        <v>6</v>
      </c>
      <c r="F175">
        <v>4</v>
      </c>
      <c r="G175">
        <v>6</v>
      </c>
      <c r="H175">
        <v>5</v>
      </c>
      <c r="I175">
        <v>5</v>
      </c>
      <c r="J175">
        <v>79</v>
      </c>
      <c r="K175">
        <v>31</v>
      </c>
      <c r="L175">
        <v>60</v>
      </c>
      <c r="M175">
        <v>44</v>
      </c>
      <c r="N175">
        <f t="shared" si="2"/>
        <v>0</v>
      </c>
    </row>
    <row r="176" spans="1:14" x14ac:dyDescent="0.25">
      <c r="A176" s="1" t="s">
        <v>270</v>
      </c>
      <c r="B176" s="1" t="s">
        <v>210</v>
      </c>
      <c r="C176">
        <v>0</v>
      </c>
      <c r="D176">
        <v>4</v>
      </c>
      <c r="E176">
        <v>4</v>
      </c>
      <c r="F176">
        <v>6</v>
      </c>
      <c r="G176">
        <v>4</v>
      </c>
      <c r="H176">
        <v>4</v>
      </c>
      <c r="I176">
        <v>60</v>
      </c>
      <c r="J176">
        <v>36</v>
      </c>
      <c r="K176">
        <v>6</v>
      </c>
      <c r="L176">
        <v>48</v>
      </c>
      <c r="M176">
        <v>31</v>
      </c>
      <c r="N176">
        <f t="shared" si="2"/>
        <v>0</v>
      </c>
    </row>
    <row r="177" spans="1:14" x14ac:dyDescent="0.25">
      <c r="A177" s="1" t="s">
        <v>271</v>
      </c>
      <c r="B177" s="1" t="s">
        <v>30</v>
      </c>
      <c r="C177">
        <v>6</v>
      </c>
      <c r="D177">
        <v>3</v>
      </c>
      <c r="E177">
        <v>2</v>
      </c>
      <c r="F177">
        <v>2</v>
      </c>
      <c r="G177">
        <v>6</v>
      </c>
      <c r="H177">
        <v>6</v>
      </c>
      <c r="I177">
        <v>47</v>
      </c>
      <c r="J177">
        <v>36</v>
      </c>
      <c r="K177">
        <v>64</v>
      </c>
      <c r="L177">
        <v>67</v>
      </c>
      <c r="M177">
        <v>13</v>
      </c>
      <c r="N177">
        <f t="shared" si="2"/>
        <v>0</v>
      </c>
    </row>
    <row r="178" spans="1:14" x14ac:dyDescent="0.25">
      <c r="A178" s="1" t="s">
        <v>272</v>
      </c>
      <c r="B178" s="1" t="s">
        <v>273</v>
      </c>
      <c r="C178">
        <v>0</v>
      </c>
      <c r="D178">
        <v>5</v>
      </c>
      <c r="E178">
        <v>5</v>
      </c>
      <c r="F178">
        <v>3</v>
      </c>
      <c r="G178">
        <v>3</v>
      </c>
      <c r="H178">
        <v>4</v>
      </c>
      <c r="I178">
        <v>92</v>
      </c>
      <c r="J178">
        <v>58</v>
      </c>
      <c r="K178">
        <v>73</v>
      </c>
      <c r="L178">
        <v>53</v>
      </c>
      <c r="M178">
        <v>68</v>
      </c>
      <c r="N178">
        <f t="shared" si="2"/>
        <v>0</v>
      </c>
    </row>
    <row r="179" spans="1:14" x14ac:dyDescent="0.25">
      <c r="A179" s="1" t="s">
        <v>274</v>
      </c>
      <c r="B179" s="1" t="s">
        <v>16</v>
      </c>
      <c r="C179">
        <v>3</v>
      </c>
      <c r="D179">
        <v>5</v>
      </c>
      <c r="E179">
        <v>4</v>
      </c>
      <c r="F179">
        <v>6</v>
      </c>
      <c r="G179">
        <v>6</v>
      </c>
      <c r="H179">
        <v>4</v>
      </c>
      <c r="I179">
        <v>70</v>
      </c>
      <c r="J179">
        <v>3</v>
      </c>
      <c r="K179">
        <v>92</v>
      </c>
      <c r="L179">
        <v>40</v>
      </c>
      <c r="M179">
        <v>41</v>
      </c>
      <c r="N179">
        <f t="shared" si="2"/>
        <v>0</v>
      </c>
    </row>
    <row r="180" spans="1:14" x14ac:dyDescent="0.25">
      <c r="A180" s="1" t="s">
        <v>275</v>
      </c>
      <c r="B180" s="1" t="s">
        <v>126</v>
      </c>
      <c r="C180">
        <v>5</v>
      </c>
      <c r="D180">
        <v>2</v>
      </c>
      <c r="E180">
        <v>4</v>
      </c>
      <c r="F180">
        <v>6</v>
      </c>
      <c r="G180">
        <v>5</v>
      </c>
      <c r="H180">
        <v>3</v>
      </c>
      <c r="I180">
        <v>78</v>
      </c>
      <c r="J180">
        <v>78</v>
      </c>
      <c r="K180">
        <v>90</v>
      </c>
      <c r="L180">
        <v>83</v>
      </c>
      <c r="M180">
        <v>63</v>
      </c>
      <c r="N180">
        <f t="shared" si="2"/>
        <v>0</v>
      </c>
    </row>
    <row r="181" spans="1:14" x14ac:dyDescent="0.25">
      <c r="A181" s="1" t="s">
        <v>276</v>
      </c>
      <c r="B181" s="1" t="s">
        <v>180</v>
      </c>
      <c r="C181">
        <v>0</v>
      </c>
      <c r="D181">
        <v>6</v>
      </c>
      <c r="E181">
        <v>5</v>
      </c>
      <c r="F181">
        <v>6</v>
      </c>
      <c r="G181">
        <v>6</v>
      </c>
      <c r="H181">
        <v>6</v>
      </c>
      <c r="I181">
        <v>43</v>
      </c>
      <c r="J181">
        <v>3</v>
      </c>
      <c r="K181">
        <v>56</v>
      </c>
      <c r="L181">
        <v>52</v>
      </c>
      <c r="M181">
        <v>41</v>
      </c>
      <c r="N181">
        <f t="shared" si="2"/>
        <v>1</v>
      </c>
    </row>
    <row r="182" spans="1:14" x14ac:dyDescent="0.25">
      <c r="A182" s="1" t="s">
        <v>277</v>
      </c>
      <c r="B182" s="1" t="s">
        <v>161</v>
      </c>
      <c r="C182">
        <v>1</v>
      </c>
      <c r="D182">
        <v>4</v>
      </c>
      <c r="E182">
        <v>4</v>
      </c>
      <c r="F182">
        <v>3</v>
      </c>
      <c r="G182">
        <v>6</v>
      </c>
      <c r="H182">
        <v>6</v>
      </c>
      <c r="I182">
        <v>33</v>
      </c>
      <c r="J182">
        <v>38</v>
      </c>
      <c r="K182">
        <v>27</v>
      </c>
      <c r="L182">
        <v>60</v>
      </c>
      <c r="M182">
        <v>80</v>
      </c>
      <c r="N182">
        <f t="shared" si="2"/>
        <v>0</v>
      </c>
    </row>
    <row r="183" spans="1:14" x14ac:dyDescent="0.25">
      <c r="A183" s="1" t="s">
        <v>278</v>
      </c>
      <c r="B183" s="1" t="s">
        <v>279</v>
      </c>
      <c r="C183">
        <v>5</v>
      </c>
      <c r="D183">
        <v>6</v>
      </c>
      <c r="E183">
        <v>2</v>
      </c>
      <c r="F183">
        <v>5</v>
      </c>
      <c r="G183">
        <v>5</v>
      </c>
      <c r="H183">
        <v>5</v>
      </c>
      <c r="I183">
        <v>80</v>
      </c>
      <c r="J183">
        <v>54</v>
      </c>
      <c r="K183">
        <v>22</v>
      </c>
      <c r="L183">
        <v>26</v>
      </c>
      <c r="M183">
        <v>62</v>
      </c>
      <c r="N183">
        <f t="shared" si="2"/>
        <v>0</v>
      </c>
    </row>
    <row r="184" spans="1:14" x14ac:dyDescent="0.25">
      <c r="A184" s="1" t="s">
        <v>280</v>
      </c>
      <c r="B184" s="1" t="s">
        <v>159</v>
      </c>
      <c r="C184">
        <v>6</v>
      </c>
      <c r="D184">
        <v>6</v>
      </c>
      <c r="E184">
        <v>2</v>
      </c>
      <c r="F184">
        <v>4</v>
      </c>
      <c r="G184">
        <v>5</v>
      </c>
      <c r="H184">
        <v>2</v>
      </c>
      <c r="I184">
        <v>34</v>
      </c>
      <c r="J184">
        <v>92</v>
      </c>
      <c r="K184">
        <v>51</v>
      </c>
      <c r="L184">
        <v>32</v>
      </c>
      <c r="M184">
        <v>80</v>
      </c>
      <c r="N184">
        <f t="shared" si="2"/>
        <v>0</v>
      </c>
    </row>
    <row r="185" spans="1:14" x14ac:dyDescent="0.25">
      <c r="A185" s="1" t="s">
        <v>281</v>
      </c>
      <c r="B185" s="1" t="s">
        <v>41</v>
      </c>
      <c r="C185">
        <v>8</v>
      </c>
      <c r="D185">
        <v>2</v>
      </c>
      <c r="E185">
        <v>4</v>
      </c>
      <c r="F185">
        <v>2</v>
      </c>
      <c r="G185">
        <v>6</v>
      </c>
      <c r="H185">
        <v>5</v>
      </c>
      <c r="I185">
        <v>17</v>
      </c>
      <c r="J185">
        <v>29</v>
      </c>
      <c r="K185">
        <v>83</v>
      </c>
      <c r="L185">
        <v>9</v>
      </c>
      <c r="M185">
        <v>54</v>
      </c>
      <c r="N185">
        <f t="shared" si="2"/>
        <v>0</v>
      </c>
    </row>
    <row r="186" spans="1:14" x14ac:dyDescent="0.25">
      <c r="A186" s="1" t="s">
        <v>282</v>
      </c>
      <c r="B186" s="1" t="s">
        <v>41</v>
      </c>
      <c r="C186">
        <v>1</v>
      </c>
      <c r="D186">
        <v>5</v>
      </c>
      <c r="E186">
        <v>6</v>
      </c>
      <c r="F186">
        <v>4</v>
      </c>
      <c r="G186">
        <v>3</v>
      </c>
      <c r="H186">
        <v>2</v>
      </c>
      <c r="I186">
        <v>14</v>
      </c>
      <c r="J186">
        <v>49</v>
      </c>
      <c r="K186">
        <v>64</v>
      </c>
      <c r="L186">
        <v>36</v>
      </c>
      <c r="M186">
        <v>2</v>
      </c>
      <c r="N186">
        <f t="shared" si="2"/>
        <v>0</v>
      </c>
    </row>
    <row r="187" spans="1:14" x14ac:dyDescent="0.25">
      <c r="A187" s="1" t="s">
        <v>283</v>
      </c>
      <c r="B187" s="1" t="s">
        <v>242</v>
      </c>
      <c r="C187">
        <v>6</v>
      </c>
      <c r="D187">
        <v>6</v>
      </c>
      <c r="E187">
        <v>3</v>
      </c>
      <c r="F187">
        <v>6</v>
      </c>
      <c r="G187">
        <v>2</v>
      </c>
      <c r="H187">
        <v>3</v>
      </c>
      <c r="I187">
        <v>27</v>
      </c>
      <c r="J187">
        <v>64</v>
      </c>
      <c r="K187">
        <v>47</v>
      </c>
      <c r="L187">
        <v>11</v>
      </c>
      <c r="M187">
        <v>24</v>
      </c>
      <c r="N187">
        <f t="shared" si="2"/>
        <v>0</v>
      </c>
    </row>
    <row r="188" spans="1:14" x14ac:dyDescent="0.25">
      <c r="A188" s="1" t="s">
        <v>284</v>
      </c>
      <c r="B188" s="1" t="s">
        <v>166</v>
      </c>
      <c r="C188">
        <v>3</v>
      </c>
      <c r="D188">
        <v>5</v>
      </c>
      <c r="E188">
        <v>3</v>
      </c>
      <c r="F188">
        <v>2</v>
      </c>
      <c r="G188">
        <v>6</v>
      </c>
      <c r="H188">
        <v>6</v>
      </c>
      <c r="I188">
        <v>77</v>
      </c>
      <c r="J188">
        <v>9</v>
      </c>
      <c r="K188">
        <v>73</v>
      </c>
      <c r="L188">
        <v>35</v>
      </c>
      <c r="M188">
        <v>96</v>
      </c>
      <c r="N188">
        <f t="shared" si="2"/>
        <v>0</v>
      </c>
    </row>
    <row r="189" spans="1:14" x14ac:dyDescent="0.25">
      <c r="A189" s="1" t="s">
        <v>285</v>
      </c>
      <c r="B189" s="1" t="s">
        <v>286</v>
      </c>
      <c r="C189">
        <v>2</v>
      </c>
      <c r="D189">
        <v>5</v>
      </c>
      <c r="E189">
        <v>4</v>
      </c>
      <c r="F189">
        <v>4</v>
      </c>
      <c r="G189">
        <v>2</v>
      </c>
      <c r="H189">
        <v>5</v>
      </c>
      <c r="I189">
        <v>46</v>
      </c>
      <c r="J189">
        <v>15</v>
      </c>
      <c r="K189">
        <v>67</v>
      </c>
      <c r="L189">
        <v>56</v>
      </c>
      <c r="M189">
        <v>9</v>
      </c>
      <c r="N189">
        <f t="shared" si="2"/>
        <v>0</v>
      </c>
    </row>
    <row r="190" spans="1:14" x14ac:dyDescent="0.25">
      <c r="A190" s="1" t="s">
        <v>287</v>
      </c>
      <c r="B190" s="1" t="s">
        <v>288</v>
      </c>
      <c r="C190">
        <v>3</v>
      </c>
      <c r="D190">
        <v>4</v>
      </c>
      <c r="E190">
        <v>6</v>
      </c>
      <c r="F190">
        <v>3</v>
      </c>
      <c r="G190">
        <v>2</v>
      </c>
      <c r="H190">
        <v>2</v>
      </c>
      <c r="I190">
        <v>79</v>
      </c>
      <c r="J190">
        <v>70</v>
      </c>
      <c r="K190">
        <v>42</v>
      </c>
      <c r="L190">
        <v>36</v>
      </c>
      <c r="M190">
        <v>76</v>
      </c>
      <c r="N190">
        <f t="shared" si="2"/>
        <v>0</v>
      </c>
    </row>
    <row r="191" spans="1:14" x14ac:dyDescent="0.25">
      <c r="A191" s="1" t="s">
        <v>289</v>
      </c>
      <c r="B191" s="1" t="s">
        <v>30</v>
      </c>
      <c r="C191">
        <v>3</v>
      </c>
      <c r="D191">
        <v>6</v>
      </c>
      <c r="E191">
        <v>3</v>
      </c>
      <c r="F191">
        <v>6</v>
      </c>
      <c r="G191">
        <v>2</v>
      </c>
      <c r="H191">
        <v>5</v>
      </c>
      <c r="I191">
        <v>25</v>
      </c>
      <c r="J191">
        <v>78</v>
      </c>
      <c r="K191">
        <v>36</v>
      </c>
      <c r="L191">
        <v>67</v>
      </c>
      <c r="M191">
        <v>37</v>
      </c>
      <c r="N191">
        <f t="shared" si="2"/>
        <v>0</v>
      </c>
    </row>
    <row r="192" spans="1:14" x14ac:dyDescent="0.25">
      <c r="A192" s="1" t="s">
        <v>290</v>
      </c>
      <c r="B192" s="1" t="s">
        <v>78</v>
      </c>
      <c r="C192">
        <v>4</v>
      </c>
      <c r="D192">
        <v>5</v>
      </c>
      <c r="E192">
        <v>4</v>
      </c>
      <c r="F192">
        <v>6</v>
      </c>
      <c r="G192">
        <v>5</v>
      </c>
      <c r="H192">
        <v>2</v>
      </c>
      <c r="I192">
        <v>53</v>
      </c>
      <c r="J192">
        <v>61</v>
      </c>
      <c r="K192">
        <v>85</v>
      </c>
      <c r="L192">
        <v>8</v>
      </c>
      <c r="M192">
        <v>76</v>
      </c>
      <c r="N192">
        <f t="shared" si="2"/>
        <v>0</v>
      </c>
    </row>
    <row r="193" spans="1:14" x14ac:dyDescent="0.25">
      <c r="A193" s="1" t="s">
        <v>264</v>
      </c>
      <c r="B193" s="1" t="s">
        <v>246</v>
      </c>
      <c r="C193">
        <v>7</v>
      </c>
      <c r="D193">
        <v>2</v>
      </c>
      <c r="E193">
        <v>4</v>
      </c>
      <c r="F193">
        <v>3</v>
      </c>
      <c r="G193">
        <v>6</v>
      </c>
      <c r="H193">
        <v>3</v>
      </c>
      <c r="I193">
        <v>13</v>
      </c>
      <c r="J193">
        <v>89</v>
      </c>
      <c r="K193">
        <v>20</v>
      </c>
      <c r="L193">
        <v>2</v>
      </c>
      <c r="M193">
        <v>36</v>
      </c>
      <c r="N193">
        <f t="shared" si="2"/>
        <v>0</v>
      </c>
    </row>
    <row r="194" spans="1:14" x14ac:dyDescent="0.25">
      <c r="A194" s="1" t="s">
        <v>291</v>
      </c>
      <c r="B194" s="1" t="s">
        <v>222</v>
      </c>
      <c r="C194">
        <v>3</v>
      </c>
      <c r="D194">
        <v>5</v>
      </c>
      <c r="E194">
        <v>5</v>
      </c>
      <c r="F194">
        <v>2</v>
      </c>
      <c r="G194">
        <v>5</v>
      </c>
      <c r="H194">
        <v>2</v>
      </c>
      <c r="I194">
        <v>25</v>
      </c>
      <c r="J194">
        <v>46</v>
      </c>
      <c r="K194">
        <v>91</v>
      </c>
      <c r="L194">
        <v>75</v>
      </c>
      <c r="M194">
        <v>91</v>
      </c>
      <c r="N194">
        <f t="shared" ref="N194:N257" si="3">IF(AND(C194=0,D194&gt;4, AVERAGE(E194:H194) &gt; 4), 1, 0)</f>
        <v>0</v>
      </c>
    </row>
    <row r="195" spans="1:14" x14ac:dyDescent="0.25">
      <c r="A195" s="1" t="s">
        <v>292</v>
      </c>
      <c r="B195" s="1" t="s">
        <v>225</v>
      </c>
      <c r="C195">
        <v>7</v>
      </c>
      <c r="D195">
        <v>6</v>
      </c>
      <c r="E195">
        <v>4</v>
      </c>
      <c r="F195">
        <v>5</v>
      </c>
      <c r="G195">
        <v>4</v>
      </c>
      <c r="H195">
        <v>6</v>
      </c>
      <c r="I195">
        <v>52</v>
      </c>
      <c r="J195">
        <v>32</v>
      </c>
      <c r="K195">
        <v>57</v>
      </c>
      <c r="L195">
        <v>58</v>
      </c>
      <c r="M195">
        <v>67</v>
      </c>
      <c r="N195">
        <f t="shared" si="3"/>
        <v>0</v>
      </c>
    </row>
    <row r="196" spans="1:14" x14ac:dyDescent="0.25">
      <c r="A196" s="1" t="s">
        <v>293</v>
      </c>
      <c r="B196" s="1" t="s">
        <v>239</v>
      </c>
      <c r="C196">
        <v>7</v>
      </c>
      <c r="D196">
        <v>6</v>
      </c>
      <c r="E196">
        <v>4</v>
      </c>
      <c r="F196">
        <v>6</v>
      </c>
      <c r="G196">
        <v>6</v>
      </c>
      <c r="H196">
        <v>5</v>
      </c>
      <c r="I196">
        <v>85</v>
      </c>
      <c r="J196">
        <v>37</v>
      </c>
      <c r="K196">
        <v>73</v>
      </c>
      <c r="L196">
        <v>73</v>
      </c>
      <c r="M196">
        <v>19</v>
      </c>
      <c r="N196">
        <f t="shared" si="3"/>
        <v>0</v>
      </c>
    </row>
    <row r="197" spans="1:14" x14ac:dyDescent="0.25">
      <c r="A197" s="1" t="s">
        <v>294</v>
      </c>
      <c r="B197" s="1" t="s">
        <v>28</v>
      </c>
      <c r="C197">
        <v>8</v>
      </c>
      <c r="D197">
        <v>3</v>
      </c>
      <c r="E197">
        <v>3</v>
      </c>
      <c r="F197">
        <v>4</v>
      </c>
      <c r="G197">
        <v>3</v>
      </c>
      <c r="H197">
        <v>5</v>
      </c>
      <c r="I197">
        <v>96</v>
      </c>
      <c r="J197">
        <v>17</v>
      </c>
      <c r="K197">
        <v>94</v>
      </c>
      <c r="L197">
        <v>90</v>
      </c>
      <c r="M197">
        <v>1</v>
      </c>
      <c r="N197">
        <f t="shared" si="3"/>
        <v>0</v>
      </c>
    </row>
    <row r="198" spans="1:14" x14ac:dyDescent="0.25">
      <c r="A198" s="1" t="s">
        <v>295</v>
      </c>
      <c r="B198" s="1" t="s">
        <v>180</v>
      </c>
      <c r="C198">
        <v>2</v>
      </c>
      <c r="D198">
        <v>3</v>
      </c>
      <c r="E198">
        <v>6</v>
      </c>
      <c r="F198">
        <v>4</v>
      </c>
      <c r="G198">
        <v>5</v>
      </c>
      <c r="H198">
        <v>6</v>
      </c>
      <c r="I198">
        <v>68</v>
      </c>
      <c r="J198">
        <v>10</v>
      </c>
      <c r="K198">
        <v>64</v>
      </c>
      <c r="L198">
        <v>85</v>
      </c>
      <c r="M198">
        <v>26</v>
      </c>
      <c r="N198">
        <f t="shared" si="3"/>
        <v>0</v>
      </c>
    </row>
    <row r="199" spans="1:14" x14ac:dyDescent="0.25">
      <c r="A199" s="1" t="s">
        <v>296</v>
      </c>
      <c r="B199" s="1" t="s">
        <v>222</v>
      </c>
      <c r="C199">
        <v>7</v>
      </c>
      <c r="D199">
        <v>2</v>
      </c>
      <c r="E199">
        <v>2</v>
      </c>
      <c r="F199">
        <v>6</v>
      </c>
      <c r="G199">
        <v>5</v>
      </c>
      <c r="H199">
        <v>3</v>
      </c>
      <c r="I199">
        <v>45</v>
      </c>
      <c r="J199">
        <v>81</v>
      </c>
      <c r="K199">
        <v>28</v>
      </c>
      <c r="L199">
        <v>11</v>
      </c>
      <c r="M199">
        <v>25</v>
      </c>
      <c r="N199">
        <f t="shared" si="3"/>
        <v>0</v>
      </c>
    </row>
    <row r="200" spans="1:14" x14ac:dyDescent="0.25">
      <c r="A200" s="1" t="s">
        <v>297</v>
      </c>
      <c r="B200" s="1" t="s">
        <v>161</v>
      </c>
      <c r="C200">
        <v>3</v>
      </c>
      <c r="D200">
        <v>2</v>
      </c>
      <c r="E200">
        <v>3</v>
      </c>
      <c r="F200">
        <v>2</v>
      </c>
      <c r="G200">
        <v>5</v>
      </c>
      <c r="H200">
        <v>4</v>
      </c>
      <c r="I200">
        <v>85</v>
      </c>
      <c r="J200">
        <v>28</v>
      </c>
      <c r="K200">
        <v>36</v>
      </c>
      <c r="L200">
        <v>9</v>
      </c>
      <c r="M200">
        <v>95</v>
      </c>
      <c r="N200">
        <f t="shared" si="3"/>
        <v>0</v>
      </c>
    </row>
    <row r="201" spans="1:14" x14ac:dyDescent="0.25">
      <c r="A201" s="1" t="s">
        <v>298</v>
      </c>
      <c r="B201" s="1" t="s">
        <v>299</v>
      </c>
      <c r="C201">
        <v>4</v>
      </c>
      <c r="D201">
        <v>3</v>
      </c>
      <c r="E201">
        <v>6</v>
      </c>
      <c r="F201">
        <v>4</v>
      </c>
      <c r="G201">
        <v>4</v>
      </c>
      <c r="H201">
        <v>3</v>
      </c>
      <c r="I201">
        <v>48</v>
      </c>
      <c r="J201">
        <v>71</v>
      </c>
      <c r="K201">
        <v>40</v>
      </c>
      <c r="L201">
        <v>67</v>
      </c>
      <c r="M201">
        <v>83</v>
      </c>
      <c r="N201">
        <f t="shared" si="3"/>
        <v>0</v>
      </c>
    </row>
    <row r="202" spans="1:14" x14ac:dyDescent="0.25">
      <c r="A202" s="1" t="s">
        <v>300</v>
      </c>
      <c r="B202" s="1" t="s">
        <v>242</v>
      </c>
      <c r="C202">
        <v>0</v>
      </c>
      <c r="D202">
        <v>5</v>
      </c>
      <c r="E202">
        <v>6</v>
      </c>
      <c r="F202">
        <v>4</v>
      </c>
      <c r="G202">
        <v>4</v>
      </c>
      <c r="H202">
        <v>5</v>
      </c>
      <c r="I202">
        <v>70</v>
      </c>
      <c r="J202">
        <v>42</v>
      </c>
      <c r="K202">
        <v>47</v>
      </c>
      <c r="L202">
        <v>24</v>
      </c>
      <c r="M202">
        <v>40</v>
      </c>
      <c r="N202">
        <f t="shared" si="3"/>
        <v>1</v>
      </c>
    </row>
    <row r="203" spans="1:14" x14ac:dyDescent="0.25">
      <c r="A203" s="1" t="s">
        <v>301</v>
      </c>
      <c r="B203" s="1" t="s">
        <v>302</v>
      </c>
      <c r="C203">
        <v>8</v>
      </c>
      <c r="D203">
        <v>4</v>
      </c>
      <c r="E203">
        <v>5</v>
      </c>
      <c r="F203">
        <v>4</v>
      </c>
      <c r="G203">
        <v>4</v>
      </c>
      <c r="H203">
        <v>5</v>
      </c>
      <c r="I203">
        <v>83</v>
      </c>
      <c r="J203">
        <v>18</v>
      </c>
      <c r="K203">
        <v>29</v>
      </c>
      <c r="L203">
        <v>17</v>
      </c>
      <c r="M203">
        <v>9</v>
      </c>
      <c r="N203">
        <f t="shared" si="3"/>
        <v>0</v>
      </c>
    </row>
    <row r="204" spans="1:14" x14ac:dyDescent="0.25">
      <c r="A204" s="1" t="s">
        <v>303</v>
      </c>
      <c r="B204" s="1" t="s">
        <v>90</v>
      </c>
      <c r="C204">
        <v>1</v>
      </c>
      <c r="D204">
        <v>6</v>
      </c>
      <c r="E204">
        <v>4</v>
      </c>
      <c r="F204">
        <v>6</v>
      </c>
      <c r="G204">
        <v>3</v>
      </c>
      <c r="H204">
        <v>2</v>
      </c>
      <c r="I204">
        <v>48</v>
      </c>
      <c r="J204">
        <v>65</v>
      </c>
      <c r="K204">
        <v>86</v>
      </c>
      <c r="L204">
        <v>18</v>
      </c>
      <c r="M204">
        <v>88</v>
      </c>
      <c r="N204">
        <f t="shared" si="3"/>
        <v>0</v>
      </c>
    </row>
    <row r="205" spans="1:14" x14ac:dyDescent="0.25">
      <c r="A205" s="1" t="s">
        <v>304</v>
      </c>
      <c r="B205" s="1" t="s">
        <v>70</v>
      </c>
      <c r="C205">
        <v>4</v>
      </c>
      <c r="D205">
        <v>5</v>
      </c>
      <c r="E205">
        <v>3</v>
      </c>
      <c r="F205">
        <v>5</v>
      </c>
      <c r="G205">
        <v>5</v>
      </c>
      <c r="H205">
        <v>2</v>
      </c>
      <c r="I205">
        <v>70</v>
      </c>
      <c r="J205">
        <v>20</v>
      </c>
      <c r="K205">
        <v>38</v>
      </c>
      <c r="L205">
        <v>18</v>
      </c>
      <c r="M205">
        <v>65</v>
      </c>
      <c r="N205">
        <f t="shared" si="3"/>
        <v>0</v>
      </c>
    </row>
    <row r="206" spans="1:14" x14ac:dyDescent="0.25">
      <c r="A206" s="1" t="s">
        <v>305</v>
      </c>
      <c r="B206" s="1" t="s">
        <v>306</v>
      </c>
      <c r="C206">
        <v>2</v>
      </c>
      <c r="D206">
        <v>2</v>
      </c>
      <c r="E206">
        <v>6</v>
      </c>
      <c r="F206">
        <v>5</v>
      </c>
      <c r="G206">
        <v>2</v>
      </c>
      <c r="H206">
        <v>6</v>
      </c>
      <c r="I206">
        <v>74</v>
      </c>
      <c r="J206">
        <v>61</v>
      </c>
      <c r="K206">
        <v>24</v>
      </c>
      <c r="L206">
        <v>72</v>
      </c>
      <c r="M206">
        <v>41</v>
      </c>
      <c r="N206">
        <f t="shared" si="3"/>
        <v>0</v>
      </c>
    </row>
    <row r="207" spans="1:14" x14ac:dyDescent="0.25">
      <c r="A207" s="1" t="s">
        <v>125</v>
      </c>
      <c r="B207" s="1" t="s">
        <v>307</v>
      </c>
      <c r="C207">
        <v>2</v>
      </c>
      <c r="D207">
        <v>2</v>
      </c>
      <c r="E207">
        <v>4</v>
      </c>
      <c r="F207">
        <v>4</v>
      </c>
      <c r="G207">
        <v>4</v>
      </c>
      <c r="H207">
        <v>3</v>
      </c>
      <c r="I207">
        <v>18</v>
      </c>
      <c r="J207">
        <v>50</v>
      </c>
      <c r="K207">
        <v>99</v>
      </c>
      <c r="L207">
        <v>35</v>
      </c>
      <c r="M207">
        <v>8</v>
      </c>
      <c r="N207">
        <f t="shared" si="3"/>
        <v>0</v>
      </c>
    </row>
    <row r="208" spans="1:14" x14ac:dyDescent="0.25">
      <c r="A208" s="1" t="s">
        <v>308</v>
      </c>
      <c r="B208" s="1" t="s">
        <v>166</v>
      </c>
      <c r="C208">
        <v>6</v>
      </c>
      <c r="D208">
        <v>6</v>
      </c>
      <c r="E208">
        <v>4</v>
      </c>
      <c r="F208">
        <v>3</v>
      </c>
      <c r="G208">
        <v>6</v>
      </c>
      <c r="H208">
        <v>2</v>
      </c>
      <c r="I208">
        <v>68</v>
      </c>
      <c r="J208">
        <v>82</v>
      </c>
      <c r="K208">
        <v>74</v>
      </c>
      <c r="L208">
        <v>4</v>
      </c>
      <c r="M208">
        <v>9</v>
      </c>
      <c r="N208">
        <f t="shared" si="3"/>
        <v>0</v>
      </c>
    </row>
    <row r="209" spans="1:14" x14ac:dyDescent="0.25">
      <c r="A209" s="1" t="s">
        <v>309</v>
      </c>
      <c r="B209" s="1" t="s">
        <v>239</v>
      </c>
      <c r="C209">
        <v>3</v>
      </c>
      <c r="D209">
        <v>4</v>
      </c>
      <c r="E209">
        <v>2</v>
      </c>
      <c r="F209">
        <v>2</v>
      </c>
      <c r="G209">
        <v>6</v>
      </c>
      <c r="H209">
        <v>4</v>
      </c>
      <c r="I209">
        <v>48</v>
      </c>
      <c r="J209">
        <v>56</v>
      </c>
      <c r="K209">
        <v>97</v>
      </c>
      <c r="L209">
        <v>34</v>
      </c>
      <c r="M209">
        <v>50</v>
      </c>
      <c r="N209">
        <f t="shared" si="3"/>
        <v>0</v>
      </c>
    </row>
    <row r="210" spans="1:14" x14ac:dyDescent="0.25">
      <c r="A210" s="1" t="s">
        <v>310</v>
      </c>
      <c r="B210" s="1" t="s">
        <v>311</v>
      </c>
      <c r="C210">
        <v>2</v>
      </c>
      <c r="D210">
        <v>5</v>
      </c>
      <c r="E210">
        <v>5</v>
      </c>
      <c r="F210">
        <v>5</v>
      </c>
      <c r="G210">
        <v>3</v>
      </c>
      <c r="H210">
        <v>2</v>
      </c>
      <c r="I210">
        <v>69</v>
      </c>
      <c r="J210">
        <v>49</v>
      </c>
      <c r="K210">
        <v>67</v>
      </c>
      <c r="L210">
        <v>20</v>
      </c>
      <c r="M210">
        <v>3</v>
      </c>
      <c r="N210">
        <f t="shared" si="3"/>
        <v>0</v>
      </c>
    </row>
    <row r="211" spans="1:14" x14ac:dyDescent="0.25">
      <c r="A211" s="1" t="s">
        <v>312</v>
      </c>
      <c r="B211" s="1" t="s">
        <v>313</v>
      </c>
      <c r="C211">
        <v>5</v>
      </c>
      <c r="D211">
        <v>2</v>
      </c>
      <c r="E211">
        <v>4</v>
      </c>
      <c r="F211">
        <v>5</v>
      </c>
      <c r="G211">
        <v>6</v>
      </c>
      <c r="H211">
        <v>4</v>
      </c>
      <c r="I211">
        <v>68</v>
      </c>
      <c r="J211">
        <v>37</v>
      </c>
      <c r="K211">
        <v>91</v>
      </c>
      <c r="L211">
        <v>56</v>
      </c>
      <c r="M211">
        <v>46</v>
      </c>
      <c r="N211">
        <f t="shared" si="3"/>
        <v>0</v>
      </c>
    </row>
    <row r="212" spans="1:14" x14ac:dyDescent="0.25">
      <c r="A212" s="1" t="s">
        <v>314</v>
      </c>
      <c r="B212" s="1" t="s">
        <v>249</v>
      </c>
      <c r="C212">
        <v>7</v>
      </c>
      <c r="D212">
        <v>2</v>
      </c>
      <c r="E212">
        <v>2</v>
      </c>
      <c r="F212">
        <v>3</v>
      </c>
      <c r="G212">
        <v>6</v>
      </c>
      <c r="H212">
        <v>5</v>
      </c>
      <c r="I212">
        <v>11</v>
      </c>
      <c r="J212">
        <v>6</v>
      </c>
      <c r="K212">
        <v>24</v>
      </c>
      <c r="L212">
        <v>72</v>
      </c>
      <c r="M212">
        <v>17</v>
      </c>
      <c r="N212">
        <f t="shared" si="3"/>
        <v>0</v>
      </c>
    </row>
    <row r="213" spans="1:14" x14ac:dyDescent="0.25">
      <c r="A213" s="1" t="s">
        <v>315</v>
      </c>
      <c r="B213" s="1" t="s">
        <v>316</v>
      </c>
      <c r="C213">
        <v>2</v>
      </c>
      <c r="D213">
        <v>2</v>
      </c>
      <c r="E213">
        <v>6</v>
      </c>
      <c r="F213">
        <v>2</v>
      </c>
      <c r="G213">
        <v>2</v>
      </c>
      <c r="H213">
        <v>4</v>
      </c>
      <c r="I213">
        <v>13</v>
      </c>
      <c r="J213">
        <v>7</v>
      </c>
      <c r="K213">
        <v>71</v>
      </c>
      <c r="L213">
        <v>64</v>
      </c>
      <c r="M213">
        <v>96</v>
      </c>
      <c r="N213">
        <f t="shared" si="3"/>
        <v>0</v>
      </c>
    </row>
    <row r="214" spans="1:14" x14ac:dyDescent="0.25">
      <c r="A214" s="1" t="s">
        <v>317</v>
      </c>
      <c r="B214" s="1" t="s">
        <v>232</v>
      </c>
      <c r="C214">
        <v>8</v>
      </c>
      <c r="D214">
        <v>4</v>
      </c>
      <c r="E214">
        <v>5</v>
      </c>
      <c r="F214">
        <v>5</v>
      </c>
      <c r="G214">
        <v>3</v>
      </c>
      <c r="H214">
        <v>4</v>
      </c>
      <c r="I214">
        <v>92</v>
      </c>
      <c r="J214">
        <v>71</v>
      </c>
      <c r="K214">
        <v>26</v>
      </c>
      <c r="L214">
        <v>42</v>
      </c>
      <c r="M214">
        <v>46</v>
      </c>
      <c r="N214">
        <f t="shared" si="3"/>
        <v>0</v>
      </c>
    </row>
    <row r="215" spans="1:14" x14ac:dyDescent="0.25">
      <c r="A215" s="1" t="s">
        <v>318</v>
      </c>
      <c r="B215" s="1" t="s">
        <v>279</v>
      </c>
      <c r="C215">
        <v>5</v>
      </c>
      <c r="D215">
        <v>6</v>
      </c>
      <c r="E215">
        <v>2</v>
      </c>
      <c r="F215">
        <v>6</v>
      </c>
      <c r="G215">
        <v>6</v>
      </c>
      <c r="H215">
        <v>5</v>
      </c>
      <c r="I215">
        <v>79</v>
      </c>
      <c r="J215">
        <v>19</v>
      </c>
      <c r="K215">
        <v>23</v>
      </c>
      <c r="L215">
        <v>18</v>
      </c>
      <c r="M215">
        <v>13</v>
      </c>
      <c r="N215">
        <f t="shared" si="3"/>
        <v>0</v>
      </c>
    </row>
    <row r="216" spans="1:14" x14ac:dyDescent="0.25">
      <c r="A216" s="1" t="s">
        <v>319</v>
      </c>
      <c r="B216" s="1" t="s">
        <v>197</v>
      </c>
      <c r="C216">
        <v>3</v>
      </c>
      <c r="D216">
        <v>2</v>
      </c>
      <c r="E216">
        <v>5</v>
      </c>
      <c r="F216">
        <v>3</v>
      </c>
      <c r="G216">
        <v>5</v>
      </c>
      <c r="H216">
        <v>2</v>
      </c>
      <c r="I216">
        <v>47</v>
      </c>
      <c r="J216">
        <v>7</v>
      </c>
      <c r="K216">
        <v>72</v>
      </c>
      <c r="L216">
        <v>74</v>
      </c>
      <c r="M216">
        <v>85</v>
      </c>
      <c r="N216">
        <f t="shared" si="3"/>
        <v>0</v>
      </c>
    </row>
    <row r="217" spans="1:14" x14ac:dyDescent="0.25">
      <c r="A217" s="1" t="s">
        <v>320</v>
      </c>
      <c r="B217" s="1" t="s">
        <v>145</v>
      </c>
      <c r="C217">
        <v>1</v>
      </c>
      <c r="D217">
        <v>6</v>
      </c>
      <c r="E217">
        <v>2</v>
      </c>
      <c r="F217">
        <v>5</v>
      </c>
      <c r="G217">
        <v>6</v>
      </c>
      <c r="H217">
        <v>3</v>
      </c>
      <c r="I217">
        <v>74</v>
      </c>
      <c r="J217">
        <v>64</v>
      </c>
      <c r="K217">
        <v>17</v>
      </c>
      <c r="L217">
        <v>76</v>
      </c>
      <c r="M217">
        <v>23</v>
      </c>
      <c r="N217">
        <f t="shared" si="3"/>
        <v>0</v>
      </c>
    </row>
    <row r="218" spans="1:14" x14ac:dyDescent="0.25">
      <c r="A218" s="1" t="s">
        <v>321</v>
      </c>
      <c r="B218" s="1" t="s">
        <v>322</v>
      </c>
      <c r="C218">
        <v>3</v>
      </c>
      <c r="D218">
        <v>4</v>
      </c>
      <c r="E218">
        <v>2</v>
      </c>
      <c r="F218">
        <v>4</v>
      </c>
      <c r="G218">
        <v>5</v>
      </c>
      <c r="H218">
        <v>6</v>
      </c>
      <c r="I218">
        <v>47</v>
      </c>
      <c r="J218">
        <v>80</v>
      </c>
      <c r="K218">
        <v>34</v>
      </c>
      <c r="L218">
        <v>4</v>
      </c>
      <c r="M218">
        <v>81</v>
      </c>
      <c r="N218">
        <f t="shared" si="3"/>
        <v>0</v>
      </c>
    </row>
    <row r="219" spans="1:14" x14ac:dyDescent="0.25">
      <c r="A219" s="1" t="s">
        <v>323</v>
      </c>
      <c r="B219" s="1" t="s">
        <v>324</v>
      </c>
      <c r="C219">
        <v>3</v>
      </c>
      <c r="D219">
        <v>4</v>
      </c>
      <c r="E219">
        <v>3</v>
      </c>
      <c r="F219">
        <v>2</v>
      </c>
      <c r="G219">
        <v>4</v>
      </c>
      <c r="H219">
        <v>4</v>
      </c>
      <c r="I219">
        <v>14</v>
      </c>
      <c r="J219">
        <v>35</v>
      </c>
      <c r="K219">
        <v>43</v>
      </c>
      <c r="L219">
        <v>57</v>
      </c>
      <c r="M219">
        <v>34</v>
      </c>
      <c r="N219">
        <f t="shared" si="3"/>
        <v>0</v>
      </c>
    </row>
    <row r="220" spans="1:14" x14ac:dyDescent="0.25">
      <c r="A220" s="1" t="s">
        <v>325</v>
      </c>
      <c r="B220" s="1" t="s">
        <v>326</v>
      </c>
      <c r="C220">
        <v>7</v>
      </c>
      <c r="D220">
        <v>3</v>
      </c>
      <c r="E220">
        <v>3</v>
      </c>
      <c r="F220">
        <v>2</v>
      </c>
      <c r="G220">
        <v>6</v>
      </c>
      <c r="H220">
        <v>5</v>
      </c>
      <c r="I220">
        <v>84</v>
      </c>
      <c r="J220">
        <v>70</v>
      </c>
      <c r="K220">
        <v>57</v>
      </c>
      <c r="L220">
        <v>62</v>
      </c>
      <c r="M220">
        <v>1</v>
      </c>
      <c r="N220">
        <f t="shared" si="3"/>
        <v>0</v>
      </c>
    </row>
    <row r="221" spans="1:14" x14ac:dyDescent="0.25">
      <c r="A221" s="1" t="s">
        <v>108</v>
      </c>
      <c r="B221" s="1" t="s">
        <v>327</v>
      </c>
      <c r="C221">
        <v>1</v>
      </c>
      <c r="D221">
        <v>5</v>
      </c>
      <c r="E221">
        <v>3</v>
      </c>
      <c r="F221">
        <v>5</v>
      </c>
      <c r="G221">
        <v>2</v>
      </c>
      <c r="H221">
        <v>4</v>
      </c>
      <c r="I221">
        <v>42</v>
      </c>
      <c r="J221">
        <v>82</v>
      </c>
      <c r="K221">
        <v>89</v>
      </c>
      <c r="L221">
        <v>2</v>
      </c>
      <c r="M221">
        <v>41</v>
      </c>
      <c r="N221">
        <f t="shared" si="3"/>
        <v>0</v>
      </c>
    </row>
    <row r="222" spans="1:14" x14ac:dyDescent="0.25">
      <c r="A222" s="1" t="s">
        <v>328</v>
      </c>
      <c r="B222" s="1" t="s">
        <v>68</v>
      </c>
      <c r="C222">
        <v>0</v>
      </c>
      <c r="D222">
        <v>6</v>
      </c>
      <c r="E222">
        <v>6</v>
      </c>
      <c r="F222">
        <v>4</v>
      </c>
      <c r="G222">
        <v>4</v>
      </c>
      <c r="H222">
        <v>3</v>
      </c>
      <c r="I222">
        <v>25</v>
      </c>
      <c r="J222">
        <v>40</v>
      </c>
      <c r="K222">
        <v>61</v>
      </c>
      <c r="L222">
        <v>59</v>
      </c>
      <c r="M222">
        <v>88</v>
      </c>
      <c r="N222">
        <f t="shared" si="3"/>
        <v>1</v>
      </c>
    </row>
    <row r="223" spans="1:14" x14ac:dyDescent="0.25">
      <c r="A223" s="1" t="s">
        <v>329</v>
      </c>
      <c r="B223" s="1" t="s">
        <v>188</v>
      </c>
      <c r="C223">
        <v>2</v>
      </c>
      <c r="D223">
        <v>4</v>
      </c>
      <c r="E223">
        <v>3</v>
      </c>
      <c r="F223">
        <v>3</v>
      </c>
      <c r="G223">
        <v>3</v>
      </c>
      <c r="H223">
        <v>2</v>
      </c>
      <c r="I223">
        <v>76</v>
      </c>
      <c r="J223">
        <v>21</v>
      </c>
      <c r="K223">
        <v>59</v>
      </c>
      <c r="L223">
        <v>79</v>
      </c>
      <c r="M223">
        <v>33</v>
      </c>
      <c r="N223">
        <f t="shared" si="3"/>
        <v>0</v>
      </c>
    </row>
    <row r="224" spans="1:14" x14ac:dyDescent="0.25">
      <c r="A224" s="1" t="s">
        <v>330</v>
      </c>
      <c r="B224" s="1" t="s">
        <v>30</v>
      </c>
      <c r="C224">
        <v>3</v>
      </c>
      <c r="D224">
        <v>6</v>
      </c>
      <c r="E224">
        <v>5</v>
      </c>
      <c r="F224">
        <v>2</v>
      </c>
      <c r="G224">
        <v>5</v>
      </c>
      <c r="H224">
        <v>4</v>
      </c>
      <c r="I224">
        <v>18</v>
      </c>
      <c r="J224">
        <v>33</v>
      </c>
      <c r="K224">
        <v>57</v>
      </c>
      <c r="L224">
        <v>34</v>
      </c>
      <c r="M224">
        <v>74</v>
      </c>
      <c r="N224">
        <f t="shared" si="3"/>
        <v>0</v>
      </c>
    </row>
    <row r="225" spans="1:14" x14ac:dyDescent="0.25">
      <c r="A225" s="1" t="s">
        <v>131</v>
      </c>
      <c r="B225" s="1" t="s">
        <v>171</v>
      </c>
      <c r="C225">
        <v>8</v>
      </c>
      <c r="D225">
        <v>4</v>
      </c>
      <c r="E225">
        <v>3</v>
      </c>
      <c r="F225">
        <v>2</v>
      </c>
      <c r="G225">
        <v>6</v>
      </c>
      <c r="H225">
        <v>5</v>
      </c>
      <c r="I225">
        <v>67</v>
      </c>
      <c r="J225">
        <v>34</v>
      </c>
      <c r="K225">
        <v>96</v>
      </c>
      <c r="L225">
        <v>61</v>
      </c>
      <c r="M225">
        <v>40</v>
      </c>
      <c r="N225">
        <f t="shared" si="3"/>
        <v>0</v>
      </c>
    </row>
    <row r="226" spans="1:14" x14ac:dyDescent="0.25">
      <c r="A226" s="1" t="s">
        <v>265</v>
      </c>
      <c r="B226" s="1" t="s">
        <v>16</v>
      </c>
      <c r="C226">
        <v>5</v>
      </c>
      <c r="D226">
        <v>4</v>
      </c>
      <c r="E226">
        <v>4</v>
      </c>
      <c r="F226">
        <v>6</v>
      </c>
      <c r="G226">
        <v>4</v>
      </c>
      <c r="H226">
        <v>5</v>
      </c>
      <c r="I226">
        <v>39</v>
      </c>
      <c r="J226">
        <v>12</v>
      </c>
      <c r="K226">
        <v>100</v>
      </c>
      <c r="L226">
        <v>47</v>
      </c>
      <c r="M226">
        <v>42</v>
      </c>
      <c r="N226">
        <f t="shared" si="3"/>
        <v>0</v>
      </c>
    </row>
    <row r="227" spans="1:14" x14ac:dyDescent="0.25">
      <c r="A227" s="1" t="s">
        <v>331</v>
      </c>
      <c r="B227" s="1" t="s">
        <v>155</v>
      </c>
      <c r="C227">
        <v>0</v>
      </c>
      <c r="D227">
        <v>3</v>
      </c>
      <c r="E227">
        <v>2</v>
      </c>
      <c r="F227">
        <v>4</v>
      </c>
      <c r="G227">
        <v>4</v>
      </c>
      <c r="H227">
        <v>2</v>
      </c>
      <c r="I227">
        <v>88</v>
      </c>
      <c r="J227">
        <v>79</v>
      </c>
      <c r="K227">
        <v>26</v>
      </c>
      <c r="L227">
        <v>8</v>
      </c>
      <c r="M227">
        <v>70</v>
      </c>
      <c r="N227">
        <f t="shared" si="3"/>
        <v>0</v>
      </c>
    </row>
    <row r="228" spans="1:14" x14ac:dyDescent="0.25">
      <c r="A228" s="1" t="s">
        <v>332</v>
      </c>
      <c r="B228" s="1" t="s">
        <v>117</v>
      </c>
      <c r="C228">
        <v>1</v>
      </c>
      <c r="D228">
        <v>2</v>
      </c>
      <c r="E228">
        <v>2</v>
      </c>
      <c r="F228">
        <v>6</v>
      </c>
      <c r="G228">
        <v>6</v>
      </c>
      <c r="H228">
        <v>3</v>
      </c>
      <c r="I228">
        <v>83</v>
      </c>
      <c r="J228">
        <v>76</v>
      </c>
      <c r="K228">
        <v>52</v>
      </c>
      <c r="L228">
        <v>43</v>
      </c>
      <c r="M228">
        <v>64</v>
      </c>
      <c r="N228">
        <f t="shared" si="3"/>
        <v>0</v>
      </c>
    </row>
    <row r="229" spans="1:14" x14ac:dyDescent="0.25">
      <c r="A229" s="1" t="s">
        <v>333</v>
      </c>
      <c r="B229" s="1" t="s">
        <v>216</v>
      </c>
      <c r="C229">
        <v>1</v>
      </c>
      <c r="D229">
        <v>6</v>
      </c>
      <c r="E229">
        <v>6</v>
      </c>
      <c r="F229">
        <v>3</v>
      </c>
      <c r="G229">
        <v>6</v>
      </c>
      <c r="H229">
        <v>4</v>
      </c>
      <c r="I229">
        <v>54</v>
      </c>
      <c r="J229">
        <v>50</v>
      </c>
      <c r="K229">
        <v>36</v>
      </c>
      <c r="L229">
        <v>23</v>
      </c>
      <c r="M229">
        <v>9</v>
      </c>
      <c r="N229">
        <f t="shared" si="3"/>
        <v>0</v>
      </c>
    </row>
    <row r="230" spans="1:14" x14ac:dyDescent="0.25">
      <c r="A230" s="1" t="s">
        <v>334</v>
      </c>
      <c r="B230" s="1" t="s">
        <v>242</v>
      </c>
      <c r="C230">
        <v>0</v>
      </c>
      <c r="D230">
        <v>3</v>
      </c>
      <c r="E230">
        <v>4</v>
      </c>
      <c r="F230">
        <v>6</v>
      </c>
      <c r="G230">
        <v>3</v>
      </c>
      <c r="H230">
        <v>5</v>
      </c>
      <c r="I230">
        <v>49</v>
      </c>
      <c r="J230">
        <v>31</v>
      </c>
      <c r="K230">
        <v>34</v>
      </c>
      <c r="L230">
        <v>22</v>
      </c>
      <c r="M230">
        <v>76</v>
      </c>
      <c r="N230">
        <f t="shared" si="3"/>
        <v>0</v>
      </c>
    </row>
    <row r="231" spans="1:14" x14ac:dyDescent="0.25">
      <c r="A231" s="1" t="s">
        <v>335</v>
      </c>
      <c r="B231" s="1" t="s">
        <v>177</v>
      </c>
      <c r="C231">
        <v>1</v>
      </c>
      <c r="D231">
        <v>3</v>
      </c>
      <c r="E231">
        <v>2</v>
      </c>
      <c r="F231">
        <v>2</v>
      </c>
      <c r="G231">
        <v>2</v>
      </c>
      <c r="H231">
        <v>3</v>
      </c>
      <c r="I231">
        <v>71</v>
      </c>
      <c r="J231">
        <v>20</v>
      </c>
      <c r="K231">
        <v>46</v>
      </c>
      <c r="L231">
        <v>6</v>
      </c>
      <c r="M231">
        <v>22</v>
      </c>
      <c r="N231">
        <f t="shared" si="3"/>
        <v>0</v>
      </c>
    </row>
    <row r="232" spans="1:14" x14ac:dyDescent="0.25">
      <c r="A232" s="1" t="s">
        <v>336</v>
      </c>
      <c r="B232" s="1" t="s">
        <v>210</v>
      </c>
      <c r="C232">
        <v>8</v>
      </c>
      <c r="D232">
        <v>5</v>
      </c>
      <c r="E232">
        <v>6</v>
      </c>
      <c r="F232">
        <v>4</v>
      </c>
      <c r="G232">
        <v>5</v>
      </c>
      <c r="H232">
        <v>4</v>
      </c>
      <c r="I232">
        <v>5</v>
      </c>
      <c r="J232">
        <v>48</v>
      </c>
      <c r="K232">
        <v>2</v>
      </c>
      <c r="L232">
        <v>12</v>
      </c>
      <c r="M232">
        <v>15</v>
      </c>
      <c r="N232">
        <f t="shared" si="3"/>
        <v>0</v>
      </c>
    </row>
    <row r="233" spans="1:14" x14ac:dyDescent="0.25">
      <c r="A233" s="1" t="s">
        <v>337</v>
      </c>
      <c r="B233" s="1" t="s">
        <v>338</v>
      </c>
      <c r="C233">
        <v>7</v>
      </c>
      <c r="D233">
        <v>4</v>
      </c>
      <c r="E233">
        <v>3</v>
      </c>
      <c r="F233">
        <v>4</v>
      </c>
      <c r="G233">
        <v>6</v>
      </c>
      <c r="H233">
        <v>6</v>
      </c>
      <c r="I233">
        <v>27</v>
      </c>
      <c r="J233">
        <v>12</v>
      </c>
      <c r="K233">
        <v>19</v>
      </c>
      <c r="L233">
        <v>10</v>
      </c>
      <c r="M233">
        <v>66</v>
      </c>
      <c r="N233">
        <f t="shared" si="3"/>
        <v>0</v>
      </c>
    </row>
    <row r="234" spans="1:14" x14ac:dyDescent="0.25">
      <c r="A234" s="1" t="s">
        <v>339</v>
      </c>
      <c r="B234" s="1" t="s">
        <v>340</v>
      </c>
      <c r="C234">
        <v>6</v>
      </c>
      <c r="D234">
        <v>2</v>
      </c>
      <c r="E234">
        <v>5</v>
      </c>
      <c r="F234">
        <v>3</v>
      </c>
      <c r="G234">
        <v>5</v>
      </c>
      <c r="H234">
        <v>3</v>
      </c>
      <c r="I234">
        <v>95</v>
      </c>
      <c r="J234">
        <v>12</v>
      </c>
      <c r="K234">
        <v>76</v>
      </c>
      <c r="L234">
        <v>52</v>
      </c>
      <c r="M234">
        <v>36</v>
      </c>
      <c r="N234">
        <f t="shared" si="3"/>
        <v>0</v>
      </c>
    </row>
    <row r="235" spans="1:14" x14ac:dyDescent="0.25">
      <c r="A235" s="1" t="s">
        <v>341</v>
      </c>
      <c r="B235" s="1" t="s">
        <v>177</v>
      </c>
      <c r="C235">
        <v>4</v>
      </c>
      <c r="D235">
        <v>6</v>
      </c>
      <c r="E235">
        <v>4</v>
      </c>
      <c r="F235">
        <v>5</v>
      </c>
      <c r="G235">
        <v>5</v>
      </c>
      <c r="H235">
        <v>2</v>
      </c>
      <c r="I235">
        <v>48</v>
      </c>
      <c r="J235">
        <v>9</v>
      </c>
      <c r="K235">
        <v>45</v>
      </c>
      <c r="L235">
        <v>10</v>
      </c>
      <c r="M235">
        <v>3</v>
      </c>
      <c r="N235">
        <f t="shared" si="3"/>
        <v>0</v>
      </c>
    </row>
    <row r="236" spans="1:14" x14ac:dyDescent="0.25">
      <c r="A236" s="1" t="s">
        <v>342</v>
      </c>
      <c r="B236" s="1" t="s">
        <v>343</v>
      </c>
      <c r="C236">
        <v>2</v>
      </c>
      <c r="D236">
        <v>5</v>
      </c>
      <c r="E236">
        <v>2</v>
      </c>
      <c r="F236">
        <v>4</v>
      </c>
      <c r="G236">
        <v>4</v>
      </c>
      <c r="H236">
        <v>4</v>
      </c>
      <c r="I236">
        <v>46</v>
      </c>
      <c r="J236">
        <v>58</v>
      </c>
      <c r="K236">
        <v>72</v>
      </c>
      <c r="L236">
        <v>83</v>
      </c>
      <c r="M236">
        <v>48</v>
      </c>
      <c r="N236">
        <f t="shared" si="3"/>
        <v>0</v>
      </c>
    </row>
    <row r="237" spans="1:14" x14ac:dyDescent="0.25">
      <c r="A237" s="1" t="s">
        <v>344</v>
      </c>
      <c r="B237" s="1" t="s">
        <v>345</v>
      </c>
      <c r="C237">
        <v>7</v>
      </c>
      <c r="D237">
        <v>3</v>
      </c>
      <c r="E237">
        <v>3</v>
      </c>
      <c r="F237">
        <v>3</v>
      </c>
      <c r="G237">
        <v>3</v>
      </c>
      <c r="H237">
        <v>6</v>
      </c>
      <c r="I237">
        <v>72</v>
      </c>
      <c r="J237">
        <v>40</v>
      </c>
      <c r="K237">
        <v>54</v>
      </c>
      <c r="L237">
        <v>44</v>
      </c>
      <c r="M237">
        <v>78</v>
      </c>
      <c r="N237">
        <f t="shared" si="3"/>
        <v>0</v>
      </c>
    </row>
    <row r="238" spans="1:14" x14ac:dyDescent="0.25">
      <c r="A238" s="1" t="s">
        <v>346</v>
      </c>
      <c r="B238" s="1" t="s">
        <v>347</v>
      </c>
      <c r="C238">
        <v>4</v>
      </c>
      <c r="D238">
        <v>4</v>
      </c>
      <c r="E238">
        <v>5</v>
      </c>
      <c r="F238">
        <v>2</v>
      </c>
      <c r="G238">
        <v>3</v>
      </c>
      <c r="H238">
        <v>5</v>
      </c>
      <c r="I238">
        <v>80</v>
      </c>
      <c r="J238">
        <v>63</v>
      </c>
      <c r="K238">
        <v>36</v>
      </c>
      <c r="L238">
        <v>13</v>
      </c>
      <c r="M238">
        <v>38</v>
      </c>
      <c r="N238">
        <f t="shared" si="3"/>
        <v>0</v>
      </c>
    </row>
    <row r="239" spans="1:14" x14ac:dyDescent="0.25">
      <c r="A239" s="1" t="s">
        <v>348</v>
      </c>
      <c r="B239" s="1" t="s">
        <v>210</v>
      </c>
      <c r="C239">
        <v>7</v>
      </c>
      <c r="D239">
        <v>5</v>
      </c>
      <c r="E239">
        <v>3</v>
      </c>
      <c r="F239">
        <v>2</v>
      </c>
      <c r="G239">
        <v>5</v>
      </c>
      <c r="H239">
        <v>3</v>
      </c>
      <c r="I239">
        <v>89</v>
      </c>
      <c r="J239">
        <v>97</v>
      </c>
      <c r="K239">
        <v>66</v>
      </c>
      <c r="L239">
        <v>5</v>
      </c>
      <c r="M239">
        <v>68</v>
      </c>
      <c r="N239">
        <f t="shared" si="3"/>
        <v>0</v>
      </c>
    </row>
    <row r="240" spans="1:14" x14ac:dyDescent="0.25">
      <c r="A240" s="1" t="s">
        <v>349</v>
      </c>
      <c r="B240" s="1" t="s">
        <v>350</v>
      </c>
      <c r="C240">
        <v>8</v>
      </c>
      <c r="D240">
        <v>3</v>
      </c>
      <c r="E240">
        <v>5</v>
      </c>
      <c r="F240">
        <v>3</v>
      </c>
      <c r="G240">
        <v>6</v>
      </c>
      <c r="H240">
        <v>6</v>
      </c>
      <c r="I240">
        <v>98</v>
      </c>
      <c r="J240">
        <v>27</v>
      </c>
      <c r="K240">
        <v>75</v>
      </c>
      <c r="L240">
        <v>69</v>
      </c>
      <c r="M240">
        <v>29</v>
      </c>
      <c r="N240">
        <f t="shared" si="3"/>
        <v>0</v>
      </c>
    </row>
    <row r="241" spans="1:14" x14ac:dyDescent="0.25">
      <c r="A241" s="1" t="s">
        <v>351</v>
      </c>
      <c r="B241" s="1" t="s">
        <v>45</v>
      </c>
      <c r="C241">
        <v>2</v>
      </c>
      <c r="D241">
        <v>2</v>
      </c>
      <c r="E241">
        <v>3</v>
      </c>
      <c r="F241">
        <v>4</v>
      </c>
      <c r="G241">
        <v>2</v>
      </c>
      <c r="H241">
        <v>6</v>
      </c>
      <c r="I241">
        <v>43</v>
      </c>
      <c r="J241">
        <v>45</v>
      </c>
      <c r="K241">
        <v>16</v>
      </c>
      <c r="L241">
        <v>56</v>
      </c>
      <c r="M241">
        <v>7</v>
      </c>
      <c r="N241">
        <f t="shared" si="3"/>
        <v>0</v>
      </c>
    </row>
    <row r="242" spans="1:14" x14ac:dyDescent="0.25">
      <c r="A242" s="1" t="s">
        <v>352</v>
      </c>
      <c r="B242" s="1" t="s">
        <v>193</v>
      </c>
      <c r="C242">
        <v>7</v>
      </c>
      <c r="D242">
        <v>6</v>
      </c>
      <c r="E242">
        <v>6</v>
      </c>
      <c r="F242">
        <v>2</v>
      </c>
      <c r="G242">
        <v>3</v>
      </c>
      <c r="H242">
        <v>6</v>
      </c>
      <c r="I242">
        <v>19</v>
      </c>
      <c r="J242">
        <v>5</v>
      </c>
      <c r="K242">
        <v>76</v>
      </c>
      <c r="L242">
        <v>74</v>
      </c>
      <c r="M242">
        <v>16</v>
      </c>
      <c r="N242">
        <f t="shared" si="3"/>
        <v>0</v>
      </c>
    </row>
    <row r="243" spans="1:14" x14ac:dyDescent="0.25">
      <c r="A243" s="1" t="s">
        <v>353</v>
      </c>
      <c r="B243" s="1" t="s">
        <v>86</v>
      </c>
      <c r="C243">
        <v>2</v>
      </c>
      <c r="D243">
        <v>3</v>
      </c>
      <c r="E243">
        <v>2</v>
      </c>
      <c r="F243">
        <v>5</v>
      </c>
      <c r="G243">
        <v>5</v>
      </c>
      <c r="H243">
        <v>4</v>
      </c>
      <c r="I243">
        <v>60</v>
      </c>
      <c r="J243">
        <v>48</v>
      </c>
      <c r="K243">
        <v>73</v>
      </c>
      <c r="L243">
        <v>93</v>
      </c>
      <c r="M243">
        <v>51</v>
      </c>
      <c r="N243">
        <f t="shared" si="3"/>
        <v>0</v>
      </c>
    </row>
    <row r="244" spans="1:14" x14ac:dyDescent="0.25">
      <c r="A244" s="1" t="s">
        <v>354</v>
      </c>
      <c r="B244" s="1" t="s">
        <v>355</v>
      </c>
      <c r="C244">
        <v>4</v>
      </c>
      <c r="D244">
        <v>6</v>
      </c>
      <c r="E244">
        <v>3</v>
      </c>
      <c r="F244">
        <v>6</v>
      </c>
      <c r="G244">
        <v>5</v>
      </c>
      <c r="H244">
        <v>6</v>
      </c>
      <c r="I244">
        <v>82</v>
      </c>
      <c r="J244">
        <v>21</v>
      </c>
      <c r="K244">
        <v>64</v>
      </c>
      <c r="L244">
        <v>61</v>
      </c>
      <c r="M244">
        <v>93</v>
      </c>
      <c r="N244">
        <f t="shared" si="3"/>
        <v>0</v>
      </c>
    </row>
    <row r="245" spans="1:14" x14ac:dyDescent="0.25">
      <c r="A245" s="1" t="s">
        <v>356</v>
      </c>
      <c r="B245" s="1" t="s">
        <v>357</v>
      </c>
      <c r="C245">
        <v>2</v>
      </c>
      <c r="D245">
        <v>4</v>
      </c>
      <c r="E245">
        <v>2</v>
      </c>
      <c r="F245">
        <v>4</v>
      </c>
      <c r="G245">
        <v>3</v>
      </c>
      <c r="H245">
        <v>4</v>
      </c>
      <c r="I245">
        <v>65</v>
      </c>
      <c r="J245">
        <v>50</v>
      </c>
      <c r="K245">
        <v>15</v>
      </c>
      <c r="L245">
        <v>67</v>
      </c>
      <c r="M245">
        <v>88</v>
      </c>
      <c r="N245">
        <f t="shared" si="3"/>
        <v>0</v>
      </c>
    </row>
    <row r="246" spans="1:14" x14ac:dyDescent="0.25">
      <c r="A246" s="1" t="s">
        <v>358</v>
      </c>
      <c r="B246" s="1" t="s">
        <v>174</v>
      </c>
      <c r="C246">
        <v>8</v>
      </c>
      <c r="D246">
        <v>3</v>
      </c>
      <c r="E246">
        <v>6</v>
      </c>
      <c r="F246">
        <v>3</v>
      </c>
      <c r="G246">
        <v>6</v>
      </c>
      <c r="H246">
        <v>3</v>
      </c>
      <c r="I246">
        <v>85</v>
      </c>
      <c r="J246">
        <v>68</v>
      </c>
      <c r="K246">
        <v>59</v>
      </c>
      <c r="L246">
        <v>5</v>
      </c>
      <c r="M246">
        <v>29</v>
      </c>
      <c r="N246">
        <f t="shared" si="3"/>
        <v>0</v>
      </c>
    </row>
    <row r="247" spans="1:14" x14ac:dyDescent="0.25">
      <c r="A247" s="1" t="s">
        <v>359</v>
      </c>
      <c r="B247" s="1" t="s">
        <v>360</v>
      </c>
      <c r="C247">
        <v>7</v>
      </c>
      <c r="D247">
        <v>6</v>
      </c>
      <c r="E247">
        <v>2</v>
      </c>
      <c r="F247">
        <v>3</v>
      </c>
      <c r="G247">
        <v>2</v>
      </c>
      <c r="H247">
        <v>2</v>
      </c>
      <c r="I247">
        <v>91</v>
      </c>
      <c r="J247">
        <v>65</v>
      </c>
      <c r="K247">
        <v>12</v>
      </c>
      <c r="L247">
        <v>78</v>
      </c>
      <c r="M247">
        <v>87</v>
      </c>
      <c r="N247">
        <f t="shared" si="3"/>
        <v>0</v>
      </c>
    </row>
    <row r="248" spans="1:14" x14ac:dyDescent="0.25">
      <c r="A248" s="1" t="s">
        <v>361</v>
      </c>
      <c r="B248" s="1" t="s">
        <v>362</v>
      </c>
      <c r="C248">
        <v>2</v>
      </c>
      <c r="D248">
        <v>6</v>
      </c>
      <c r="E248">
        <v>6</v>
      </c>
      <c r="F248">
        <v>6</v>
      </c>
      <c r="G248">
        <v>2</v>
      </c>
      <c r="H248">
        <v>3</v>
      </c>
      <c r="I248">
        <v>65</v>
      </c>
      <c r="J248">
        <v>28</v>
      </c>
      <c r="K248">
        <v>80</v>
      </c>
      <c r="L248">
        <v>55</v>
      </c>
      <c r="M248">
        <v>60</v>
      </c>
      <c r="N248">
        <f t="shared" si="3"/>
        <v>0</v>
      </c>
    </row>
    <row r="249" spans="1:14" x14ac:dyDescent="0.25">
      <c r="A249" s="1" t="s">
        <v>363</v>
      </c>
      <c r="B249" s="1" t="s">
        <v>139</v>
      </c>
      <c r="C249">
        <v>4</v>
      </c>
      <c r="D249">
        <v>4</v>
      </c>
      <c r="E249">
        <v>2</v>
      </c>
      <c r="F249">
        <v>3</v>
      </c>
      <c r="G249">
        <v>3</v>
      </c>
      <c r="H249">
        <v>5</v>
      </c>
      <c r="I249">
        <v>14</v>
      </c>
      <c r="J249">
        <v>4</v>
      </c>
      <c r="K249">
        <v>93</v>
      </c>
      <c r="L249">
        <v>36</v>
      </c>
      <c r="M249">
        <v>26</v>
      </c>
      <c r="N249">
        <f t="shared" si="3"/>
        <v>0</v>
      </c>
    </row>
    <row r="250" spans="1:14" x14ac:dyDescent="0.25">
      <c r="A250" s="1" t="s">
        <v>364</v>
      </c>
      <c r="B250" s="1" t="s">
        <v>203</v>
      </c>
      <c r="C250">
        <v>0</v>
      </c>
      <c r="D250">
        <v>6</v>
      </c>
      <c r="E250">
        <v>2</v>
      </c>
      <c r="F250">
        <v>6</v>
      </c>
      <c r="G250">
        <v>5</v>
      </c>
      <c r="H250">
        <v>6</v>
      </c>
      <c r="I250">
        <v>15</v>
      </c>
      <c r="J250">
        <v>42</v>
      </c>
      <c r="K250">
        <v>90</v>
      </c>
      <c r="L250">
        <v>14</v>
      </c>
      <c r="M250">
        <v>88</v>
      </c>
      <c r="N250">
        <f t="shared" si="3"/>
        <v>1</v>
      </c>
    </row>
    <row r="251" spans="1:14" x14ac:dyDescent="0.25">
      <c r="A251" s="1" t="s">
        <v>365</v>
      </c>
      <c r="B251" s="1" t="s">
        <v>16</v>
      </c>
      <c r="C251">
        <v>8</v>
      </c>
      <c r="D251">
        <v>5</v>
      </c>
      <c r="E251">
        <v>4</v>
      </c>
      <c r="F251">
        <v>4</v>
      </c>
      <c r="G251">
        <v>4</v>
      </c>
      <c r="H251">
        <v>3</v>
      </c>
      <c r="I251">
        <v>39</v>
      </c>
      <c r="J251">
        <v>45</v>
      </c>
      <c r="K251">
        <v>68</v>
      </c>
      <c r="L251">
        <v>26</v>
      </c>
      <c r="M251">
        <v>30</v>
      </c>
      <c r="N251">
        <f t="shared" si="3"/>
        <v>0</v>
      </c>
    </row>
    <row r="252" spans="1:14" x14ac:dyDescent="0.25">
      <c r="A252" s="1" t="s">
        <v>366</v>
      </c>
      <c r="B252" s="1" t="s">
        <v>367</v>
      </c>
      <c r="C252">
        <v>3</v>
      </c>
      <c r="D252">
        <v>6</v>
      </c>
      <c r="E252">
        <v>3</v>
      </c>
      <c r="F252">
        <v>4</v>
      </c>
      <c r="G252">
        <v>3</v>
      </c>
      <c r="H252">
        <v>5</v>
      </c>
      <c r="I252">
        <v>86</v>
      </c>
      <c r="J252">
        <v>46</v>
      </c>
      <c r="K252">
        <v>9</v>
      </c>
      <c r="L252">
        <v>68</v>
      </c>
      <c r="M252">
        <v>39</v>
      </c>
      <c r="N252">
        <f t="shared" si="3"/>
        <v>0</v>
      </c>
    </row>
    <row r="253" spans="1:14" x14ac:dyDescent="0.25">
      <c r="A253" s="1" t="s">
        <v>368</v>
      </c>
      <c r="B253" s="1" t="s">
        <v>369</v>
      </c>
      <c r="C253">
        <v>7</v>
      </c>
      <c r="D253">
        <v>4</v>
      </c>
      <c r="E253">
        <v>6</v>
      </c>
      <c r="F253">
        <v>6</v>
      </c>
      <c r="G253">
        <v>6</v>
      </c>
      <c r="H253">
        <v>2</v>
      </c>
      <c r="I253">
        <v>17</v>
      </c>
      <c r="J253">
        <v>16</v>
      </c>
      <c r="K253">
        <v>12</v>
      </c>
      <c r="L253">
        <v>54</v>
      </c>
      <c r="M253">
        <v>91</v>
      </c>
      <c r="N253">
        <f t="shared" si="3"/>
        <v>0</v>
      </c>
    </row>
    <row r="254" spans="1:14" x14ac:dyDescent="0.25">
      <c r="A254" s="1" t="s">
        <v>370</v>
      </c>
      <c r="B254" s="1" t="s">
        <v>371</v>
      </c>
      <c r="C254">
        <v>4</v>
      </c>
      <c r="D254">
        <v>2</v>
      </c>
      <c r="E254">
        <v>4</v>
      </c>
      <c r="F254">
        <v>3</v>
      </c>
      <c r="G254">
        <v>5</v>
      </c>
      <c r="H254">
        <v>2</v>
      </c>
      <c r="I254">
        <v>68</v>
      </c>
      <c r="J254">
        <v>87</v>
      </c>
      <c r="K254">
        <v>48</v>
      </c>
      <c r="L254">
        <v>54</v>
      </c>
      <c r="M254">
        <v>39</v>
      </c>
      <c r="N254">
        <f t="shared" si="3"/>
        <v>0</v>
      </c>
    </row>
    <row r="255" spans="1:14" x14ac:dyDescent="0.25">
      <c r="A255" s="1" t="s">
        <v>372</v>
      </c>
      <c r="B255" s="1" t="s">
        <v>180</v>
      </c>
      <c r="C255">
        <v>8</v>
      </c>
      <c r="D255">
        <v>3</v>
      </c>
      <c r="E255">
        <v>5</v>
      </c>
      <c r="F255">
        <v>2</v>
      </c>
      <c r="G255">
        <v>5</v>
      </c>
      <c r="H255">
        <v>3</v>
      </c>
      <c r="I255">
        <v>99</v>
      </c>
      <c r="J255">
        <v>90</v>
      </c>
      <c r="K255">
        <v>59</v>
      </c>
      <c r="L255">
        <v>78</v>
      </c>
      <c r="M255">
        <v>93</v>
      </c>
      <c r="N255">
        <f t="shared" si="3"/>
        <v>0</v>
      </c>
    </row>
    <row r="256" spans="1:14" x14ac:dyDescent="0.25">
      <c r="A256" s="1" t="s">
        <v>373</v>
      </c>
      <c r="B256" s="1" t="s">
        <v>357</v>
      </c>
      <c r="C256">
        <v>1</v>
      </c>
      <c r="D256">
        <v>6</v>
      </c>
      <c r="E256">
        <v>6</v>
      </c>
      <c r="F256">
        <v>5</v>
      </c>
      <c r="G256">
        <v>3</v>
      </c>
      <c r="H256">
        <v>6</v>
      </c>
      <c r="I256">
        <v>58</v>
      </c>
      <c r="J256">
        <v>93</v>
      </c>
      <c r="K256">
        <v>93</v>
      </c>
      <c r="L256">
        <v>82</v>
      </c>
      <c r="M256">
        <v>17</v>
      </c>
      <c r="N256">
        <f t="shared" si="3"/>
        <v>0</v>
      </c>
    </row>
    <row r="257" spans="1:14" x14ac:dyDescent="0.25">
      <c r="A257" s="1" t="s">
        <v>374</v>
      </c>
      <c r="B257" s="1" t="s">
        <v>327</v>
      </c>
      <c r="C257">
        <v>6</v>
      </c>
      <c r="D257">
        <v>4</v>
      </c>
      <c r="E257">
        <v>5</v>
      </c>
      <c r="F257">
        <v>3</v>
      </c>
      <c r="G257">
        <v>2</v>
      </c>
      <c r="H257">
        <v>2</v>
      </c>
      <c r="I257">
        <v>38</v>
      </c>
      <c r="J257">
        <v>13</v>
      </c>
      <c r="K257">
        <v>62</v>
      </c>
      <c r="L257">
        <v>22</v>
      </c>
      <c r="M257">
        <v>14</v>
      </c>
      <c r="N257">
        <f t="shared" si="3"/>
        <v>0</v>
      </c>
    </row>
    <row r="258" spans="1:14" x14ac:dyDescent="0.25">
      <c r="A258" s="1" t="s">
        <v>375</v>
      </c>
      <c r="B258" s="1" t="s">
        <v>205</v>
      </c>
      <c r="C258">
        <v>6</v>
      </c>
      <c r="D258">
        <v>6</v>
      </c>
      <c r="E258">
        <v>3</v>
      </c>
      <c r="F258">
        <v>6</v>
      </c>
      <c r="G258">
        <v>6</v>
      </c>
      <c r="H258">
        <v>2</v>
      </c>
      <c r="I258">
        <v>1</v>
      </c>
      <c r="J258">
        <v>34</v>
      </c>
      <c r="K258">
        <v>76</v>
      </c>
      <c r="L258">
        <v>39</v>
      </c>
      <c r="M258">
        <v>56</v>
      </c>
      <c r="N258">
        <f t="shared" ref="N258:N321" si="4">IF(AND(C258=0,D258&gt;4, AVERAGE(E258:H258) &gt; 4), 1, 0)</f>
        <v>0</v>
      </c>
    </row>
    <row r="259" spans="1:14" x14ac:dyDescent="0.25">
      <c r="A259" s="1" t="s">
        <v>376</v>
      </c>
      <c r="B259" s="1" t="s">
        <v>38</v>
      </c>
      <c r="C259">
        <v>3</v>
      </c>
      <c r="D259">
        <v>5</v>
      </c>
      <c r="E259">
        <v>3</v>
      </c>
      <c r="F259">
        <v>6</v>
      </c>
      <c r="G259">
        <v>2</v>
      </c>
      <c r="H259">
        <v>4</v>
      </c>
      <c r="I259">
        <v>91</v>
      </c>
      <c r="J259">
        <v>99</v>
      </c>
      <c r="K259">
        <v>61</v>
      </c>
      <c r="L259">
        <v>2</v>
      </c>
      <c r="M259">
        <v>52</v>
      </c>
      <c r="N259">
        <f t="shared" si="4"/>
        <v>0</v>
      </c>
    </row>
    <row r="260" spans="1:14" x14ac:dyDescent="0.25">
      <c r="A260" s="1" t="s">
        <v>377</v>
      </c>
      <c r="B260" s="1" t="s">
        <v>180</v>
      </c>
      <c r="C260">
        <v>3</v>
      </c>
      <c r="D260">
        <v>4</v>
      </c>
      <c r="E260">
        <v>6</v>
      </c>
      <c r="F260">
        <v>2</v>
      </c>
      <c r="G260">
        <v>2</v>
      </c>
      <c r="H260">
        <v>4</v>
      </c>
      <c r="I260">
        <v>2</v>
      </c>
      <c r="J260">
        <v>85</v>
      </c>
      <c r="K260">
        <v>51</v>
      </c>
      <c r="L260">
        <v>87</v>
      </c>
      <c r="M260">
        <v>27</v>
      </c>
      <c r="N260">
        <f t="shared" si="4"/>
        <v>0</v>
      </c>
    </row>
    <row r="261" spans="1:14" x14ac:dyDescent="0.25">
      <c r="A261" s="1" t="s">
        <v>378</v>
      </c>
      <c r="B261" s="1" t="s">
        <v>30</v>
      </c>
      <c r="C261">
        <v>6</v>
      </c>
      <c r="D261">
        <v>3</v>
      </c>
      <c r="E261">
        <v>3</v>
      </c>
      <c r="F261">
        <v>6</v>
      </c>
      <c r="G261">
        <v>6</v>
      </c>
      <c r="H261">
        <v>3</v>
      </c>
      <c r="I261">
        <v>78</v>
      </c>
      <c r="J261">
        <v>57</v>
      </c>
      <c r="K261">
        <v>69</v>
      </c>
      <c r="L261">
        <v>18</v>
      </c>
      <c r="M261">
        <v>87</v>
      </c>
      <c r="N261">
        <f t="shared" si="4"/>
        <v>0</v>
      </c>
    </row>
    <row r="262" spans="1:14" x14ac:dyDescent="0.25">
      <c r="A262" s="1" t="s">
        <v>379</v>
      </c>
      <c r="B262" s="1" t="s">
        <v>180</v>
      </c>
      <c r="C262">
        <v>3</v>
      </c>
      <c r="D262">
        <v>5</v>
      </c>
      <c r="E262">
        <v>4</v>
      </c>
      <c r="F262">
        <v>5</v>
      </c>
      <c r="G262">
        <v>6</v>
      </c>
      <c r="H262">
        <v>4</v>
      </c>
      <c r="I262">
        <v>64</v>
      </c>
      <c r="J262">
        <v>35</v>
      </c>
      <c r="K262">
        <v>42</v>
      </c>
      <c r="L262">
        <v>54</v>
      </c>
      <c r="M262">
        <v>15</v>
      </c>
      <c r="N262">
        <f t="shared" si="4"/>
        <v>0</v>
      </c>
    </row>
    <row r="263" spans="1:14" x14ac:dyDescent="0.25">
      <c r="A263" s="1" t="s">
        <v>380</v>
      </c>
      <c r="B263" s="1" t="s">
        <v>381</v>
      </c>
      <c r="C263">
        <v>3</v>
      </c>
      <c r="D263">
        <v>2</v>
      </c>
      <c r="E263">
        <v>2</v>
      </c>
      <c r="F263">
        <v>4</v>
      </c>
      <c r="G263">
        <v>3</v>
      </c>
      <c r="H263">
        <v>5</v>
      </c>
      <c r="I263">
        <v>40</v>
      </c>
      <c r="J263">
        <v>28</v>
      </c>
      <c r="K263">
        <v>88</v>
      </c>
      <c r="L263">
        <v>11</v>
      </c>
      <c r="M263">
        <v>9</v>
      </c>
      <c r="N263">
        <f t="shared" si="4"/>
        <v>0</v>
      </c>
    </row>
    <row r="264" spans="1:14" x14ac:dyDescent="0.25">
      <c r="A264" s="1" t="s">
        <v>382</v>
      </c>
      <c r="B264" s="1" t="s">
        <v>45</v>
      </c>
      <c r="C264">
        <v>2</v>
      </c>
      <c r="D264">
        <v>5</v>
      </c>
      <c r="E264">
        <v>3</v>
      </c>
      <c r="F264">
        <v>4</v>
      </c>
      <c r="G264">
        <v>6</v>
      </c>
      <c r="H264">
        <v>3</v>
      </c>
      <c r="I264">
        <v>8</v>
      </c>
      <c r="J264">
        <v>46</v>
      </c>
      <c r="K264">
        <v>55</v>
      </c>
      <c r="L264">
        <v>39</v>
      </c>
      <c r="M264">
        <v>21</v>
      </c>
      <c r="N264">
        <f t="shared" si="4"/>
        <v>0</v>
      </c>
    </row>
    <row r="265" spans="1:14" x14ac:dyDescent="0.25">
      <c r="A265" s="1" t="s">
        <v>383</v>
      </c>
      <c r="B265" s="1" t="s">
        <v>384</v>
      </c>
      <c r="C265">
        <v>2</v>
      </c>
      <c r="D265">
        <v>5</v>
      </c>
      <c r="E265">
        <v>3</v>
      </c>
      <c r="F265">
        <v>6</v>
      </c>
      <c r="G265">
        <v>3</v>
      </c>
      <c r="H265">
        <v>3</v>
      </c>
      <c r="I265">
        <v>86</v>
      </c>
      <c r="J265">
        <v>36</v>
      </c>
      <c r="K265">
        <v>76</v>
      </c>
      <c r="L265">
        <v>91</v>
      </c>
      <c r="M265">
        <v>19</v>
      </c>
      <c r="N265">
        <f t="shared" si="4"/>
        <v>0</v>
      </c>
    </row>
    <row r="266" spans="1:14" x14ac:dyDescent="0.25">
      <c r="A266" s="1" t="s">
        <v>385</v>
      </c>
      <c r="B266" s="1" t="s">
        <v>288</v>
      </c>
      <c r="C266">
        <v>0</v>
      </c>
      <c r="D266">
        <v>4</v>
      </c>
      <c r="E266">
        <v>3</v>
      </c>
      <c r="F266">
        <v>5</v>
      </c>
      <c r="G266">
        <v>2</v>
      </c>
      <c r="H266">
        <v>6</v>
      </c>
      <c r="I266">
        <v>86</v>
      </c>
      <c r="J266">
        <v>76</v>
      </c>
      <c r="K266">
        <v>17</v>
      </c>
      <c r="L266">
        <v>68</v>
      </c>
      <c r="M266">
        <v>39</v>
      </c>
      <c r="N266">
        <f t="shared" si="4"/>
        <v>0</v>
      </c>
    </row>
    <row r="267" spans="1:14" x14ac:dyDescent="0.25">
      <c r="A267" s="1" t="s">
        <v>386</v>
      </c>
      <c r="B267" s="1" t="s">
        <v>311</v>
      </c>
      <c r="C267">
        <v>8</v>
      </c>
      <c r="D267">
        <v>4</v>
      </c>
      <c r="E267">
        <v>5</v>
      </c>
      <c r="F267">
        <v>5</v>
      </c>
      <c r="G267">
        <v>4</v>
      </c>
      <c r="H267">
        <v>5</v>
      </c>
      <c r="I267">
        <v>7</v>
      </c>
      <c r="J267">
        <v>8</v>
      </c>
      <c r="K267">
        <v>77</v>
      </c>
      <c r="L267">
        <v>77</v>
      </c>
      <c r="M267">
        <v>21</v>
      </c>
      <c r="N267">
        <f t="shared" si="4"/>
        <v>0</v>
      </c>
    </row>
    <row r="268" spans="1:14" x14ac:dyDescent="0.25">
      <c r="A268" s="1" t="s">
        <v>387</v>
      </c>
      <c r="B268" s="1" t="s">
        <v>388</v>
      </c>
      <c r="C268">
        <v>8</v>
      </c>
      <c r="D268">
        <v>2</v>
      </c>
      <c r="E268">
        <v>6</v>
      </c>
      <c r="F268">
        <v>4</v>
      </c>
      <c r="G268">
        <v>3</v>
      </c>
      <c r="H268">
        <v>2</v>
      </c>
      <c r="I268">
        <v>77</v>
      </c>
      <c r="J268">
        <v>98</v>
      </c>
      <c r="K268">
        <v>4</v>
      </c>
      <c r="L268">
        <v>85</v>
      </c>
      <c r="M268">
        <v>63</v>
      </c>
      <c r="N268">
        <f t="shared" si="4"/>
        <v>0</v>
      </c>
    </row>
    <row r="269" spans="1:14" x14ac:dyDescent="0.25">
      <c r="A269" s="1" t="s">
        <v>389</v>
      </c>
      <c r="B269" s="1" t="s">
        <v>324</v>
      </c>
      <c r="C269">
        <v>6</v>
      </c>
      <c r="D269">
        <v>4</v>
      </c>
      <c r="E269">
        <v>6</v>
      </c>
      <c r="F269">
        <v>3</v>
      </c>
      <c r="G269">
        <v>3</v>
      </c>
      <c r="H269">
        <v>3</v>
      </c>
      <c r="I269">
        <v>9</v>
      </c>
      <c r="J269">
        <v>15</v>
      </c>
      <c r="K269">
        <v>6</v>
      </c>
      <c r="L269">
        <v>65</v>
      </c>
      <c r="M269">
        <v>75</v>
      </c>
      <c r="N269">
        <f t="shared" si="4"/>
        <v>0</v>
      </c>
    </row>
    <row r="270" spans="1:14" x14ac:dyDescent="0.25">
      <c r="A270" s="1" t="s">
        <v>390</v>
      </c>
      <c r="B270" s="1" t="s">
        <v>391</v>
      </c>
      <c r="C270">
        <v>0</v>
      </c>
      <c r="D270">
        <v>5</v>
      </c>
      <c r="E270">
        <v>3</v>
      </c>
      <c r="F270">
        <v>3</v>
      </c>
      <c r="G270">
        <v>3</v>
      </c>
      <c r="H270">
        <v>5</v>
      </c>
      <c r="I270">
        <v>27</v>
      </c>
      <c r="J270">
        <v>30</v>
      </c>
      <c r="K270">
        <v>23</v>
      </c>
      <c r="L270">
        <v>16</v>
      </c>
      <c r="M270">
        <v>21</v>
      </c>
      <c r="N270">
        <f t="shared" si="4"/>
        <v>0</v>
      </c>
    </row>
    <row r="271" spans="1:14" x14ac:dyDescent="0.25">
      <c r="A271" s="1" t="s">
        <v>392</v>
      </c>
      <c r="B271" s="1" t="s">
        <v>16</v>
      </c>
      <c r="C271">
        <v>5</v>
      </c>
      <c r="D271">
        <v>2</v>
      </c>
      <c r="E271">
        <v>5</v>
      </c>
      <c r="F271">
        <v>5</v>
      </c>
      <c r="G271">
        <v>6</v>
      </c>
      <c r="H271">
        <v>5</v>
      </c>
      <c r="I271">
        <v>17</v>
      </c>
      <c r="J271">
        <v>23</v>
      </c>
      <c r="K271">
        <v>33</v>
      </c>
      <c r="L271">
        <v>16</v>
      </c>
      <c r="M271">
        <v>62</v>
      </c>
      <c r="N271">
        <f t="shared" si="4"/>
        <v>0</v>
      </c>
    </row>
    <row r="272" spans="1:14" x14ac:dyDescent="0.25">
      <c r="A272" s="1" t="s">
        <v>393</v>
      </c>
      <c r="B272" s="1" t="s">
        <v>251</v>
      </c>
      <c r="C272">
        <v>2</v>
      </c>
      <c r="D272">
        <v>5</v>
      </c>
      <c r="E272">
        <v>3</v>
      </c>
      <c r="F272">
        <v>6</v>
      </c>
      <c r="G272">
        <v>6</v>
      </c>
      <c r="H272">
        <v>2</v>
      </c>
      <c r="I272">
        <v>87</v>
      </c>
      <c r="J272">
        <v>23</v>
      </c>
      <c r="K272">
        <v>15</v>
      </c>
      <c r="L272">
        <v>44</v>
      </c>
      <c r="M272">
        <v>30</v>
      </c>
      <c r="N272">
        <f t="shared" si="4"/>
        <v>0</v>
      </c>
    </row>
    <row r="273" spans="1:14" x14ac:dyDescent="0.25">
      <c r="A273" s="1" t="s">
        <v>394</v>
      </c>
      <c r="B273" s="1" t="s">
        <v>395</v>
      </c>
      <c r="C273">
        <v>2</v>
      </c>
      <c r="D273">
        <v>6</v>
      </c>
      <c r="E273">
        <v>3</v>
      </c>
      <c r="F273">
        <v>3</v>
      </c>
      <c r="G273">
        <v>3</v>
      </c>
      <c r="H273">
        <v>6</v>
      </c>
      <c r="I273">
        <v>83</v>
      </c>
      <c r="J273">
        <v>27</v>
      </c>
      <c r="K273">
        <v>18</v>
      </c>
      <c r="L273">
        <v>41</v>
      </c>
      <c r="M273">
        <v>94</v>
      </c>
      <c r="N273">
        <f t="shared" si="4"/>
        <v>0</v>
      </c>
    </row>
    <row r="274" spans="1:14" x14ac:dyDescent="0.25">
      <c r="A274" s="1" t="s">
        <v>396</v>
      </c>
      <c r="B274" s="1" t="s">
        <v>397</v>
      </c>
      <c r="C274">
        <v>5</v>
      </c>
      <c r="D274">
        <v>5</v>
      </c>
      <c r="E274">
        <v>5</v>
      </c>
      <c r="F274">
        <v>2</v>
      </c>
      <c r="G274">
        <v>4</v>
      </c>
      <c r="H274">
        <v>5</v>
      </c>
      <c r="I274">
        <v>35</v>
      </c>
      <c r="J274">
        <v>16</v>
      </c>
      <c r="K274">
        <v>94</v>
      </c>
      <c r="L274">
        <v>87</v>
      </c>
      <c r="M274">
        <v>38</v>
      </c>
      <c r="N274">
        <f t="shared" si="4"/>
        <v>0</v>
      </c>
    </row>
    <row r="275" spans="1:14" x14ac:dyDescent="0.25">
      <c r="A275" s="1" t="s">
        <v>398</v>
      </c>
      <c r="B275" s="1" t="s">
        <v>399</v>
      </c>
      <c r="C275">
        <v>0</v>
      </c>
      <c r="D275">
        <v>5</v>
      </c>
      <c r="E275">
        <v>3</v>
      </c>
      <c r="F275">
        <v>3</v>
      </c>
      <c r="G275">
        <v>2</v>
      </c>
      <c r="H275">
        <v>2</v>
      </c>
      <c r="I275">
        <v>92</v>
      </c>
      <c r="J275">
        <v>79</v>
      </c>
      <c r="K275">
        <v>94</v>
      </c>
      <c r="L275">
        <v>42</v>
      </c>
      <c r="M275">
        <v>95</v>
      </c>
      <c r="N275">
        <f t="shared" si="4"/>
        <v>0</v>
      </c>
    </row>
    <row r="276" spans="1:14" x14ac:dyDescent="0.25">
      <c r="A276" s="1" t="s">
        <v>75</v>
      </c>
      <c r="B276" s="1" t="s">
        <v>76</v>
      </c>
      <c r="C276">
        <v>5</v>
      </c>
      <c r="D276">
        <v>3</v>
      </c>
      <c r="E276">
        <v>5</v>
      </c>
      <c r="F276">
        <v>3</v>
      </c>
      <c r="G276">
        <v>6</v>
      </c>
      <c r="H276">
        <v>6</v>
      </c>
      <c r="I276">
        <v>82</v>
      </c>
      <c r="J276">
        <v>7</v>
      </c>
      <c r="K276">
        <v>24</v>
      </c>
      <c r="L276">
        <v>80</v>
      </c>
      <c r="M276">
        <v>33</v>
      </c>
      <c r="N276">
        <f t="shared" si="4"/>
        <v>0</v>
      </c>
    </row>
    <row r="277" spans="1:14" x14ac:dyDescent="0.25">
      <c r="A277" s="1" t="s">
        <v>400</v>
      </c>
      <c r="B277" s="1" t="s">
        <v>101</v>
      </c>
      <c r="C277">
        <v>6</v>
      </c>
      <c r="D277">
        <v>4</v>
      </c>
      <c r="E277">
        <v>6</v>
      </c>
      <c r="F277">
        <v>6</v>
      </c>
      <c r="G277">
        <v>4</v>
      </c>
      <c r="H277">
        <v>4</v>
      </c>
      <c r="I277">
        <v>94</v>
      </c>
      <c r="J277">
        <v>44</v>
      </c>
      <c r="K277">
        <v>96</v>
      </c>
      <c r="L277">
        <v>9</v>
      </c>
      <c r="M277">
        <v>97</v>
      </c>
      <c r="N277">
        <f t="shared" si="4"/>
        <v>0</v>
      </c>
    </row>
    <row r="278" spans="1:14" x14ac:dyDescent="0.25">
      <c r="A278" s="1" t="s">
        <v>401</v>
      </c>
      <c r="B278" s="1" t="s">
        <v>402</v>
      </c>
      <c r="C278">
        <v>3</v>
      </c>
      <c r="D278">
        <v>5</v>
      </c>
      <c r="E278">
        <v>3</v>
      </c>
      <c r="F278">
        <v>6</v>
      </c>
      <c r="G278">
        <v>4</v>
      </c>
      <c r="H278">
        <v>2</v>
      </c>
      <c r="I278">
        <v>32</v>
      </c>
      <c r="J278">
        <v>50</v>
      </c>
      <c r="K278">
        <v>94</v>
      </c>
      <c r="L278">
        <v>52</v>
      </c>
      <c r="M278">
        <v>100</v>
      </c>
      <c r="N278">
        <f t="shared" si="4"/>
        <v>0</v>
      </c>
    </row>
    <row r="279" spans="1:14" x14ac:dyDescent="0.25">
      <c r="A279" s="1" t="s">
        <v>403</v>
      </c>
      <c r="B279" s="1" t="s">
        <v>64</v>
      </c>
      <c r="C279">
        <v>3</v>
      </c>
      <c r="D279">
        <v>2</v>
      </c>
      <c r="E279">
        <v>3</v>
      </c>
      <c r="F279">
        <v>5</v>
      </c>
      <c r="G279">
        <v>3</v>
      </c>
      <c r="H279">
        <v>6</v>
      </c>
      <c r="I279">
        <v>84</v>
      </c>
      <c r="J279">
        <v>53</v>
      </c>
      <c r="K279">
        <v>73</v>
      </c>
      <c r="L279">
        <v>7</v>
      </c>
      <c r="M279">
        <v>3</v>
      </c>
      <c r="N279">
        <f t="shared" si="4"/>
        <v>0</v>
      </c>
    </row>
    <row r="280" spans="1:14" x14ac:dyDescent="0.25">
      <c r="A280" s="1" t="s">
        <v>404</v>
      </c>
      <c r="B280" s="1" t="s">
        <v>397</v>
      </c>
      <c r="C280">
        <v>2</v>
      </c>
      <c r="D280">
        <v>2</v>
      </c>
      <c r="E280">
        <v>5</v>
      </c>
      <c r="F280">
        <v>5</v>
      </c>
      <c r="G280">
        <v>5</v>
      </c>
      <c r="H280">
        <v>4</v>
      </c>
      <c r="I280">
        <v>88</v>
      </c>
      <c r="J280">
        <v>37</v>
      </c>
      <c r="K280">
        <v>50</v>
      </c>
      <c r="L280">
        <v>19</v>
      </c>
      <c r="M280">
        <v>28</v>
      </c>
      <c r="N280">
        <f t="shared" si="4"/>
        <v>0</v>
      </c>
    </row>
    <row r="281" spans="1:14" x14ac:dyDescent="0.25">
      <c r="A281" s="1" t="s">
        <v>405</v>
      </c>
      <c r="B281" s="1" t="s">
        <v>197</v>
      </c>
      <c r="C281">
        <v>7</v>
      </c>
      <c r="D281">
        <v>2</v>
      </c>
      <c r="E281">
        <v>3</v>
      </c>
      <c r="F281">
        <v>5</v>
      </c>
      <c r="G281">
        <v>5</v>
      </c>
      <c r="H281">
        <v>2</v>
      </c>
      <c r="I281">
        <v>26</v>
      </c>
      <c r="J281">
        <v>30</v>
      </c>
      <c r="K281">
        <v>96</v>
      </c>
      <c r="L281">
        <v>59</v>
      </c>
      <c r="M281">
        <v>28</v>
      </c>
      <c r="N281">
        <f t="shared" si="4"/>
        <v>0</v>
      </c>
    </row>
    <row r="282" spans="1:14" x14ac:dyDescent="0.25">
      <c r="A282" s="1" t="s">
        <v>406</v>
      </c>
      <c r="B282" s="1" t="s">
        <v>38</v>
      </c>
      <c r="C282">
        <v>0</v>
      </c>
      <c r="D282">
        <v>5</v>
      </c>
      <c r="E282">
        <v>6</v>
      </c>
      <c r="F282">
        <v>2</v>
      </c>
      <c r="G282">
        <v>2</v>
      </c>
      <c r="H282">
        <v>3</v>
      </c>
      <c r="I282">
        <v>50</v>
      </c>
      <c r="J282">
        <v>5</v>
      </c>
      <c r="K282">
        <v>14</v>
      </c>
      <c r="L282">
        <v>44</v>
      </c>
      <c r="M282">
        <v>45</v>
      </c>
      <c r="N282">
        <f t="shared" si="4"/>
        <v>0</v>
      </c>
    </row>
    <row r="283" spans="1:14" x14ac:dyDescent="0.25">
      <c r="A283" s="1" t="s">
        <v>407</v>
      </c>
      <c r="B283" s="1" t="s">
        <v>395</v>
      </c>
      <c r="C283">
        <v>5</v>
      </c>
      <c r="D283">
        <v>5</v>
      </c>
      <c r="E283">
        <v>5</v>
      </c>
      <c r="F283">
        <v>4</v>
      </c>
      <c r="G283">
        <v>6</v>
      </c>
      <c r="H283">
        <v>5</v>
      </c>
      <c r="I283">
        <v>73</v>
      </c>
      <c r="J283">
        <v>49</v>
      </c>
      <c r="K283">
        <v>54</v>
      </c>
      <c r="L283">
        <v>67</v>
      </c>
      <c r="M283">
        <v>5</v>
      </c>
      <c r="N283">
        <f t="shared" si="4"/>
        <v>0</v>
      </c>
    </row>
    <row r="284" spans="1:14" x14ac:dyDescent="0.25">
      <c r="A284" s="1" t="s">
        <v>408</v>
      </c>
      <c r="B284" s="1" t="s">
        <v>316</v>
      </c>
      <c r="C284">
        <v>2</v>
      </c>
      <c r="D284">
        <v>3</v>
      </c>
      <c r="E284">
        <v>4</v>
      </c>
      <c r="F284">
        <v>2</v>
      </c>
      <c r="G284">
        <v>5</v>
      </c>
      <c r="H284">
        <v>6</v>
      </c>
      <c r="I284">
        <v>100</v>
      </c>
      <c r="J284">
        <v>13</v>
      </c>
      <c r="K284">
        <v>93</v>
      </c>
      <c r="L284">
        <v>32</v>
      </c>
      <c r="M284">
        <v>23</v>
      </c>
      <c r="N284">
        <f t="shared" si="4"/>
        <v>0</v>
      </c>
    </row>
    <row r="285" spans="1:14" x14ac:dyDescent="0.25">
      <c r="A285" s="1" t="s">
        <v>408</v>
      </c>
      <c r="B285" s="1" t="s">
        <v>409</v>
      </c>
      <c r="C285">
        <v>6</v>
      </c>
      <c r="D285">
        <v>4</v>
      </c>
      <c r="E285">
        <v>4</v>
      </c>
      <c r="F285">
        <v>3</v>
      </c>
      <c r="G285">
        <v>2</v>
      </c>
      <c r="H285">
        <v>5</v>
      </c>
      <c r="I285">
        <v>52</v>
      </c>
      <c r="J285">
        <v>46</v>
      </c>
      <c r="K285">
        <v>54</v>
      </c>
      <c r="L285">
        <v>22</v>
      </c>
      <c r="M285">
        <v>42</v>
      </c>
      <c r="N285">
        <f t="shared" si="4"/>
        <v>0</v>
      </c>
    </row>
    <row r="286" spans="1:14" x14ac:dyDescent="0.25">
      <c r="A286" s="1" t="s">
        <v>410</v>
      </c>
      <c r="B286" s="1" t="s">
        <v>70</v>
      </c>
      <c r="C286">
        <v>2</v>
      </c>
      <c r="D286">
        <v>5</v>
      </c>
      <c r="E286">
        <v>6</v>
      </c>
      <c r="F286">
        <v>4</v>
      </c>
      <c r="G286">
        <v>6</v>
      </c>
      <c r="H286">
        <v>3</v>
      </c>
      <c r="I286">
        <v>88</v>
      </c>
      <c r="J286">
        <v>14</v>
      </c>
      <c r="K286">
        <v>98</v>
      </c>
      <c r="L286">
        <v>46</v>
      </c>
      <c r="M286">
        <v>66</v>
      </c>
      <c r="N286">
        <f t="shared" si="4"/>
        <v>0</v>
      </c>
    </row>
    <row r="287" spans="1:14" x14ac:dyDescent="0.25">
      <c r="A287" s="1" t="s">
        <v>411</v>
      </c>
      <c r="B287" s="1" t="s">
        <v>412</v>
      </c>
      <c r="C287">
        <v>3</v>
      </c>
      <c r="D287">
        <v>2</v>
      </c>
      <c r="E287">
        <v>4</v>
      </c>
      <c r="F287">
        <v>2</v>
      </c>
      <c r="G287">
        <v>6</v>
      </c>
      <c r="H287">
        <v>6</v>
      </c>
      <c r="I287">
        <v>85</v>
      </c>
      <c r="J287">
        <v>91</v>
      </c>
      <c r="K287">
        <v>9</v>
      </c>
      <c r="L287">
        <v>9</v>
      </c>
      <c r="M287">
        <v>53</v>
      </c>
      <c r="N287">
        <f t="shared" si="4"/>
        <v>0</v>
      </c>
    </row>
    <row r="288" spans="1:14" x14ac:dyDescent="0.25">
      <c r="A288" s="1" t="s">
        <v>413</v>
      </c>
      <c r="B288" s="1" t="s">
        <v>414</v>
      </c>
      <c r="C288">
        <v>3</v>
      </c>
      <c r="D288">
        <v>4</v>
      </c>
      <c r="E288">
        <v>4</v>
      </c>
      <c r="F288">
        <v>4</v>
      </c>
      <c r="G288">
        <v>3</v>
      </c>
      <c r="H288">
        <v>3</v>
      </c>
      <c r="I288">
        <v>93</v>
      </c>
      <c r="J288">
        <v>12</v>
      </c>
      <c r="K288">
        <v>63</v>
      </c>
      <c r="L288">
        <v>3</v>
      </c>
      <c r="M288">
        <v>60</v>
      </c>
      <c r="N288">
        <f t="shared" si="4"/>
        <v>0</v>
      </c>
    </row>
    <row r="289" spans="1:14" x14ac:dyDescent="0.25">
      <c r="A289" s="1" t="s">
        <v>40</v>
      </c>
      <c r="B289" s="1" t="s">
        <v>43</v>
      </c>
      <c r="C289">
        <v>0</v>
      </c>
      <c r="D289">
        <v>6</v>
      </c>
      <c r="E289">
        <v>3</v>
      </c>
      <c r="F289">
        <v>5</v>
      </c>
      <c r="G289">
        <v>6</v>
      </c>
      <c r="H289">
        <v>3</v>
      </c>
      <c r="I289">
        <v>67</v>
      </c>
      <c r="J289">
        <v>66</v>
      </c>
      <c r="K289">
        <v>56</v>
      </c>
      <c r="L289">
        <v>41</v>
      </c>
      <c r="M289">
        <v>26</v>
      </c>
      <c r="N289">
        <f t="shared" si="4"/>
        <v>1</v>
      </c>
    </row>
    <row r="290" spans="1:14" x14ac:dyDescent="0.25">
      <c r="A290" s="1" t="s">
        <v>415</v>
      </c>
      <c r="B290" s="1" t="s">
        <v>416</v>
      </c>
      <c r="C290">
        <v>4</v>
      </c>
      <c r="D290">
        <v>5</v>
      </c>
      <c r="E290">
        <v>6</v>
      </c>
      <c r="F290">
        <v>5</v>
      </c>
      <c r="G290">
        <v>2</v>
      </c>
      <c r="H290">
        <v>4</v>
      </c>
      <c r="I290">
        <v>65</v>
      </c>
      <c r="J290">
        <v>75</v>
      </c>
      <c r="K290">
        <v>95</v>
      </c>
      <c r="L290">
        <v>100</v>
      </c>
      <c r="M290">
        <v>89</v>
      </c>
      <c r="N290">
        <f t="shared" si="4"/>
        <v>0</v>
      </c>
    </row>
    <row r="291" spans="1:14" x14ac:dyDescent="0.25">
      <c r="A291" s="1" t="s">
        <v>417</v>
      </c>
      <c r="B291" s="1" t="s">
        <v>110</v>
      </c>
      <c r="C291">
        <v>1</v>
      </c>
      <c r="D291">
        <v>3</v>
      </c>
      <c r="E291">
        <v>5</v>
      </c>
      <c r="F291">
        <v>2</v>
      </c>
      <c r="G291">
        <v>2</v>
      </c>
      <c r="H291">
        <v>5</v>
      </c>
      <c r="I291">
        <v>45</v>
      </c>
      <c r="J291">
        <v>30</v>
      </c>
      <c r="K291">
        <v>64</v>
      </c>
      <c r="L291">
        <v>95</v>
      </c>
      <c r="M291">
        <v>83</v>
      </c>
      <c r="N291">
        <f t="shared" si="4"/>
        <v>0</v>
      </c>
    </row>
    <row r="292" spans="1:14" x14ac:dyDescent="0.25">
      <c r="A292" s="1" t="s">
        <v>418</v>
      </c>
      <c r="B292" s="1" t="s">
        <v>171</v>
      </c>
      <c r="C292">
        <v>4</v>
      </c>
      <c r="D292">
        <v>6</v>
      </c>
      <c r="E292">
        <v>4</v>
      </c>
      <c r="F292">
        <v>2</v>
      </c>
      <c r="G292">
        <v>3</v>
      </c>
      <c r="H292">
        <v>5</v>
      </c>
      <c r="I292">
        <v>40</v>
      </c>
      <c r="J292">
        <v>80</v>
      </c>
      <c r="K292">
        <v>8</v>
      </c>
      <c r="L292">
        <v>99</v>
      </c>
      <c r="M292">
        <v>20</v>
      </c>
      <c r="N292">
        <f t="shared" si="4"/>
        <v>0</v>
      </c>
    </row>
    <row r="293" spans="1:14" x14ac:dyDescent="0.25">
      <c r="A293" s="1" t="s">
        <v>419</v>
      </c>
      <c r="B293" s="1" t="s">
        <v>260</v>
      </c>
      <c r="C293">
        <v>6</v>
      </c>
      <c r="D293">
        <v>3</v>
      </c>
      <c r="E293">
        <v>6</v>
      </c>
      <c r="F293">
        <v>2</v>
      </c>
      <c r="G293">
        <v>4</v>
      </c>
      <c r="H293">
        <v>6</v>
      </c>
      <c r="I293">
        <v>47</v>
      </c>
      <c r="J293">
        <v>54</v>
      </c>
      <c r="K293">
        <v>40</v>
      </c>
      <c r="L293">
        <v>83</v>
      </c>
      <c r="M293">
        <v>16</v>
      </c>
      <c r="N293">
        <f t="shared" si="4"/>
        <v>0</v>
      </c>
    </row>
    <row r="294" spans="1:14" x14ac:dyDescent="0.25">
      <c r="A294" s="1" t="s">
        <v>420</v>
      </c>
      <c r="B294" s="1" t="s">
        <v>188</v>
      </c>
      <c r="C294">
        <v>3</v>
      </c>
      <c r="D294">
        <v>2</v>
      </c>
      <c r="E294">
        <v>4</v>
      </c>
      <c r="F294">
        <v>5</v>
      </c>
      <c r="G294">
        <v>4</v>
      </c>
      <c r="H294">
        <v>6</v>
      </c>
      <c r="I294">
        <v>99</v>
      </c>
      <c r="J294">
        <v>60</v>
      </c>
      <c r="K294">
        <v>96</v>
      </c>
      <c r="L294">
        <v>89</v>
      </c>
      <c r="M294">
        <v>29</v>
      </c>
      <c r="N294">
        <f t="shared" si="4"/>
        <v>0</v>
      </c>
    </row>
    <row r="295" spans="1:14" x14ac:dyDescent="0.25">
      <c r="A295" s="1" t="s">
        <v>421</v>
      </c>
      <c r="B295" s="1" t="s">
        <v>249</v>
      </c>
      <c r="C295">
        <v>8</v>
      </c>
      <c r="D295">
        <v>2</v>
      </c>
      <c r="E295">
        <v>2</v>
      </c>
      <c r="F295">
        <v>4</v>
      </c>
      <c r="G295">
        <v>3</v>
      </c>
      <c r="H295">
        <v>5</v>
      </c>
      <c r="I295">
        <v>83</v>
      </c>
      <c r="J295">
        <v>29</v>
      </c>
      <c r="K295">
        <v>91</v>
      </c>
      <c r="L295">
        <v>26</v>
      </c>
      <c r="M295">
        <v>21</v>
      </c>
      <c r="N295">
        <f t="shared" si="4"/>
        <v>0</v>
      </c>
    </row>
    <row r="296" spans="1:14" x14ac:dyDescent="0.25">
      <c r="A296" s="1" t="s">
        <v>422</v>
      </c>
      <c r="B296" s="1" t="s">
        <v>340</v>
      </c>
      <c r="C296">
        <v>0</v>
      </c>
      <c r="D296">
        <v>4</v>
      </c>
      <c r="E296">
        <v>3</v>
      </c>
      <c r="F296">
        <v>6</v>
      </c>
      <c r="G296">
        <v>5</v>
      </c>
      <c r="H296">
        <v>5</v>
      </c>
      <c r="I296">
        <v>5</v>
      </c>
      <c r="J296">
        <v>26</v>
      </c>
      <c r="K296">
        <v>6</v>
      </c>
      <c r="L296">
        <v>82</v>
      </c>
      <c r="M296">
        <v>94</v>
      </c>
      <c r="N296">
        <f t="shared" si="4"/>
        <v>0</v>
      </c>
    </row>
    <row r="297" spans="1:14" x14ac:dyDescent="0.25">
      <c r="A297" s="1" t="s">
        <v>423</v>
      </c>
      <c r="B297" s="1" t="s">
        <v>76</v>
      </c>
      <c r="C297">
        <v>5</v>
      </c>
      <c r="D297">
        <v>3</v>
      </c>
      <c r="E297">
        <v>3</v>
      </c>
      <c r="F297">
        <v>3</v>
      </c>
      <c r="G297">
        <v>4</v>
      </c>
      <c r="H297">
        <v>3</v>
      </c>
      <c r="I297">
        <v>97</v>
      </c>
      <c r="J297">
        <v>83</v>
      </c>
      <c r="K297">
        <v>27</v>
      </c>
      <c r="L297">
        <v>61</v>
      </c>
      <c r="M297">
        <v>34</v>
      </c>
      <c r="N297">
        <f t="shared" si="4"/>
        <v>0</v>
      </c>
    </row>
    <row r="298" spans="1:14" x14ac:dyDescent="0.25">
      <c r="A298" s="1" t="s">
        <v>424</v>
      </c>
      <c r="B298" s="1" t="s">
        <v>425</v>
      </c>
      <c r="C298">
        <v>8</v>
      </c>
      <c r="D298">
        <v>5</v>
      </c>
      <c r="E298">
        <v>4</v>
      </c>
      <c r="F298">
        <v>6</v>
      </c>
      <c r="G298">
        <v>6</v>
      </c>
      <c r="H298">
        <v>5</v>
      </c>
      <c r="I298">
        <v>37</v>
      </c>
      <c r="J298">
        <v>52</v>
      </c>
      <c r="K298">
        <v>6</v>
      </c>
      <c r="L298">
        <v>34</v>
      </c>
      <c r="M298">
        <v>84</v>
      </c>
      <c r="N298">
        <f t="shared" si="4"/>
        <v>0</v>
      </c>
    </row>
    <row r="299" spans="1:14" x14ac:dyDescent="0.25">
      <c r="A299" s="1" t="s">
        <v>426</v>
      </c>
      <c r="B299" s="1" t="s">
        <v>427</v>
      </c>
      <c r="C299">
        <v>5</v>
      </c>
      <c r="D299">
        <v>2</v>
      </c>
      <c r="E299">
        <v>5</v>
      </c>
      <c r="F299">
        <v>3</v>
      </c>
      <c r="G299">
        <v>5</v>
      </c>
      <c r="H299">
        <v>5</v>
      </c>
      <c r="I299">
        <v>30</v>
      </c>
      <c r="J299">
        <v>42</v>
      </c>
      <c r="K299">
        <v>80</v>
      </c>
      <c r="L299">
        <v>74</v>
      </c>
      <c r="M299">
        <v>75</v>
      </c>
      <c r="N299">
        <f t="shared" si="4"/>
        <v>0</v>
      </c>
    </row>
    <row r="300" spans="1:14" x14ac:dyDescent="0.25">
      <c r="A300" s="1" t="s">
        <v>428</v>
      </c>
      <c r="B300" s="1" t="s">
        <v>429</v>
      </c>
      <c r="C300">
        <v>3</v>
      </c>
      <c r="D300">
        <v>2</v>
      </c>
      <c r="E300">
        <v>5</v>
      </c>
      <c r="F300">
        <v>5</v>
      </c>
      <c r="G300">
        <v>2</v>
      </c>
      <c r="H300">
        <v>2</v>
      </c>
      <c r="I300">
        <v>81</v>
      </c>
      <c r="J300">
        <v>88</v>
      </c>
      <c r="K300">
        <v>99</v>
      </c>
      <c r="L300">
        <v>75</v>
      </c>
      <c r="M300">
        <v>60</v>
      </c>
      <c r="N300">
        <f t="shared" si="4"/>
        <v>0</v>
      </c>
    </row>
    <row r="301" spans="1:14" x14ac:dyDescent="0.25">
      <c r="A301" s="1" t="s">
        <v>428</v>
      </c>
      <c r="B301" s="1" t="s">
        <v>430</v>
      </c>
      <c r="C301">
        <v>3</v>
      </c>
      <c r="D301">
        <v>6</v>
      </c>
      <c r="E301">
        <v>2</v>
      </c>
      <c r="F301">
        <v>5</v>
      </c>
      <c r="G301">
        <v>6</v>
      </c>
      <c r="H301">
        <v>4</v>
      </c>
      <c r="I301">
        <v>36</v>
      </c>
      <c r="J301">
        <v>63</v>
      </c>
      <c r="K301">
        <v>40</v>
      </c>
      <c r="L301">
        <v>82</v>
      </c>
      <c r="M301">
        <v>89</v>
      </c>
      <c r="N301">
        <f t="shared" si="4"/>
        <v>0</v>
      </c>
    </row>
    <row r="302" spans="1:14" x14ac:dyDescent="0.25">
      <c r="A302" s="1" t="s">
        <v>431</v>
      </c>
      <c r="B302" s="1" t="s">
        <v>242</v>
      </c>
      <c r="C302">
        <v>0</v>
      </c>
      <c r="D302">
        <v>6</v>
      </c>
      <c r="E302">
        <v>3</v>
      </c>
      <c r="F302">
        <v>2</v>
      </c>
      <c r="G302">
        <v>3</v>
      </c>
      <c r="H302">
        <v>5</v>
      </c>
      <c r="I302">
        <v>27</v>
      </c>
      <c r="J302">
        <v>62</v>
      </c>
      <c r="K302">
        <v>56</v>
      </c>
      <c r="L302">
        <v>66</v>
      </c>
      <c r="M302">
        <v>92</v>
      </c>
      <c r="N302">
        <f t="shared" si="4"/>
        <v>0</v>
      </c>
    </row>
    <row r="303" spans="1:14" x14ac:dyDescent="0.25">
      <c r="A303" s="1" t="s">
        <v>432</v>
      </c>
      <c r="B303" s="1" t="s">
        <v>429</v>
      </c>
      <c r="C303">
        <v>8</v>
      </c>
      <c r="D303">
        <v>5</v>
      </c>
      <c r="E303">
        <v>5</v>
      </c>
      <c r="F303">
        <v>5</v>
      </c>
      <c r="G303">
        <v>4</v>
      </c>
      <c r="H303">
        <v>6</v>
      </c>
      <c r="I303">
        <v>65</v>
      </c>
      <c r="J303">
        <v>57</v>
      </c>
      <c r="K303">
        <v>24</v>
      </c>
      <c r="L303">
        <v>97</v>
      </c>
      <c r="M303">
        <v>47</v>
      </c>
      <c r="N303">
        <f t="shared" si="4"/>
        <v>0</v>
      </c>
    </row>
    <row r="304" spans="1:14" x14ac:dyDescent="0.25">
      <c r="A304" s="1" t="s">
        <v>433</v>
      </c>
      <c r="B304" s="1" t="s">
        <v>434</v>
      </c>
      <c r="C304">
        <v>5</v>
      </c>
      <c r="D304">
        <v>2</v>
      </c>
      <c r="E304">
        <v>6</v>
      </c>
      <c r="F304">
        <v>4</v>
      </c>
      <c r="G304">
        <v>5</v>
      </c>
      <c r="H304">
        <v>6</v>
      </c>
      <c r="I304">
        <v>35</v>
      </c>
      <c r="J304">
        <v>77</v>
      </c>
      <c r="K304">
        <v>82</v>
      </c>
      <c r="L304">
        <v>42</v>
      </c>
      <c r="M304">
        <v>17</v>
      </c>
      <c r="N304">
        <f t="shared" si="4"/>
        <v>0</v>
      </c>
    </row>
    <row r="305" spans="1:14" x14ac:dyDescent="0.25">
      <c r="A305" s="1" t="s">
        <v>435</v>
      </c>
      <c r="B305" s="1" t="s">
        <v>436</v>
      </c>
      <c r="C305">
        <v>3</v>
      </c>
      <c r="D305">
        <v>5</v>
      </c>
      <c r="E305">
        <v>5</v>
      </c>
      <c r="F305">
        <v>2</v>
      </c>
      <c r="G305">
        <v>3</v>
      </c>
      <c r="H305">
        <v>6</v>
      </c>
      <c r="I305">
        <v>47</v>
      </c>
      <c r="J305">
        <v>52</v>
      </c>
      <c r="K305">
        <v>43</v>
      </c>
      <c r="L305">
        <v>47</v>
      </c>
      <c r="M305">
        <v>3</v>
      </c>
      <c r="N305">
        <f t="shared" si="4"/>
        <v>0</v>
      </c>
    </row>
    <row r="306" spans="1:14" x14ac:dyDescent="0.25">
      <c r="A306" s="1" t="s">
        <v>437</v>
      </c>
      <c r="B306" s="1" t="s">
        <v>438</v>
      </c>
      <c r="C306">
        <v>5</v>
      </c>
      <c r="D306">
        <v>2</v>
      </c>
      <c r="E306">
        <v>6</v>
      </c>
      <c r="F306">
        <v>3</v>
      </c>
      <c r="G306">
        <v>3</v>
      </c>
      <c r="H306">
        <v>5</v>
      </c>
      <c r="I306">
        <v>69</v>
      </c>
      <c r="J306">
        <v>15</v>
      </c>
      <c r="K306">
        <v>39</v>
      </c>
      <c r="L306">
        <v>69</v>
      </c>
      <c r="M306">
        <v>39</v>
      </c>
      <c r="N306">
        <f t="shared" si="4"/>
        <v>0</v>
      </c>
    </row>
    <row r="307" spans="1:14" x14ac:dyDescent="0.25">
      <c r="A307" s="1" t="s">
        <v>439</v>
      </c>
      <c r="B307" s="1" t="s">
        <v>395</v>
      </c>
      <c r="C307">
        <v>0</v>
      </c>
      <c r="D307">
        <v>3</v>
      </c>
      <c r="E307">
        <v>6</v>
      </c>
      <c r="F307">
        <v>4</v>
      </c>
      <c r="G307">
        <v>3</v>
      </c>
      <c r="H307">
        <v>6</v>
      </c>
      <c r="I307">
        <v>35</v>
      </c>
      <c r="J307">
        <v>41</v>
      </c>
      <c r="K307">
        <v>92</v>
      </c>
      <c r="L307">
        <v>96</v>
      </c>
      <c r="M307">
        <v>19</v>
      </c>
      <c r="N307">
        <f t="shared" si="4"/>
        <v>0</v>
      </c>
    </row>
    <row r="308" spans="1:14" x14ac:dyDescent="0.25">
      <c r="A308" s="1" t="s">
        <v>440</v>
      </c>
      <c r="B308" s="1" t="s">
        <v>251</v>
      </c>
      <c r="C308">
        <v>1</v>
      </c>
      <c r="D308">
        <v>6</v>
      </c>
      <c r="E308">
        <v>6</v>
      </c>
      <c r="F308">
        <v>5</v>
      </c>
      <c r="G308">
        <v>3</v>
      </c>
      <c r="H308">
        <v>6</v>
      </c>
      <c r="I308">
        <v>8</v>
      </c>
      <c r="J308">
        <v>17</v>
      </c>
      <c r="K308">
        <v>37</v>
      </c>
      <c r="L308">
        <v>10</v>
      </c>
      <c r="M308">
        <v>56</v>
      </c>
      <c r="N308">
        <f t="shared" si="4"/>
        <v>0</v>
      </c>
    </row>
    <row r="309" spans="1:14" x14ac:dyDescent="0.25">
      <c r="A309" s="1" t="s">
        <v>441</v>
      </c>
      <c r="B309" s="1" t="s">
        <v>177</v>
      </c>
      <c r="C309">
        <v>2</v>
      </c>
      <c r="D309">
        <v>5</v>
      </c>
      <c r="E309">
        <v>6</v>
      </c>
      <c r="F309">
        <v>2</v>
      </c>
      <c r="G309">
        <v>5</v>
      </c>
      <c r="H309">
        <v>3</v>
      </c>
      <c r="I309">
        <v>44</v>
      </c>
      <c r="J309">
        <v>32</v>
      </c>
      <c r="K309">
        <v>4</v>
      </c>
      <c r="L309">
        <v>95</v>
      </c>
      <c r="M309">
        <v>55</v>
      </c>
      <c r="N309">
        <f t="shared" si="4"/>
        <v>0</v>
      </c>
    </row>
    <row r="310" spans="1:14" x14ac:dyDescent="0.25">
      <c r="A310" s="1" t="s">
        <v>442</v>
      </c>
      <c r="B310" s="1" t="s">
        <v>70</v>
      </c>
      <c r="C310">
        <v>0</v>
      </c>
      <c r="D310">
        <v>6</v>
      </c>
      <c r="E310">
        <v>4</v>
      </c>
      <c r="F310">
        <v>2</v>
      </c>
      <c r="G310">
        <v>4</v>
      </c>
      <c r="H310">
        <v>5</v>
      </c>
      <c r="I310">
        <v>72</v>
      </c>
      <c r="J310">
        <v>100</v>
      </c>
      <c r="K310">
        <v>96</v>
      </c>
      <c r="L310">
        <v>5</v>
      </c>
      <c r="M310">
        <v>41</v>
      </c>
      <c r="N310">
        <f t="shared" si="4"/>
        <v>0</v>
      </c>
    </row>
    <row r="311" spans="1:14" x14ac:dyDescent="0.25">
      <c r="A311" s="1" t="s">
        <v>443</v>
      </c>
      <c r="B311" s="1" t="s">
        <v>357</v>
      </c>
      <c r="C311">
        <v>2</v>
      </c>
      <c r="D311">
        <v>6</v>
      </c>
      <c r="E311">
        <v>6</v>
      </c>
      <c r="F311">
        <v>4</v>
      </c>
      <c r="G311">
        <v>6</v>
      </c>
      <c r="H311">
        <v>2</v>
      </c>
      <c r="I311">
        <v>68</v>
      </c>
      <c r="J311">
        <v>15</v>
      </c>
      <c r="K311">
        <v>53</v>
      </c>
      <c r="L311">
        <v>47</v>
      </c>
      <c r="M311">
        <v>8</v>
      </c>
      <c r="N311">
        <f t="shared" si="4"/>
        <v>0</v>
      </c>
    </row>
    <row r="312" spans="1:14" x14ac:dyDescent="0.25">
      <c r="A312" s="1" t="s">
        <v>444</v>
      </c>
      <c r="B312" s="1" t="s">
        <v>445</v>
      </c>
      <c r="C312">
        <v>0</v>
      </c>
      <c r="D312">
        <v>3</v>
      </c>
      <c r="E312">
        <v>5</v>
      </c>
      <c r="F312">
        <v>2</v>
      </c>
      <c r="G312">
        <v>3</v>
      </c>
      <c r="H312">
        <v>6</v>
      </c>
      <c r="I312">
        <v>33</v>
      </c>
      <c r="J312">
        <v>86</v>
      </c>
      <c r="K312">
        <v>90</v>
      </c>
      <c r="L312">
        <v>78</v>
      </c>
      <c r="M312">
        <v>15</v>
      </c>
      <c r="N312">
        <f t="shared" si="4"/>
        <v>0</v>
      </c>
    </row>
    <row r="313" spans="1:14" x14ac:dyDescent="0.25">
      <c r="A313" s="1" t="s">
        <v>446</v>
      </c>
      <c r="B313" s="1" t="s">
        <v>30</v>
      </c>
      <c r="C313">
        <v>3</v>
      </c>
      <c r="D313">
        <v>2</v>
      </c>
      <c r="E313">
        <v>5</v>
      </c>
      <c r="F313">
        <v>3</v>
      </c>
      <c r="G313">
        <v>3</v>
      </c>
      <c r="H313">
        <v>4</v>
      </c>
      <c r="I313">
        <v>95</v>
      </c>
      <c r="J313">
        <v>25</v>
      </c>
      <c r="K313">
        <v>48</v>
      </c>
      <c r="L313">
        <v>27</v>
      </c>
      <c r="M313">
        <v>23</v>
      </c>
      <c r="N313">
        <f t="shared" si="4"/>
        <v>0</v>
      </c>
    </row>
    <row r="314" spans="1:14" x14ac:dyDescent="0.25">
      <c r="A314" s="1" t="s">
        <v>400</v>
      </c>
      <c r="B314" s="1" t="s">
        <v>409</v>
      </c>
      <c r="C314">
        <v>0</v>
      </c>
      <c r="D314">
        <v>4</v>
      </c>
      <c r="E314">
        <v>5</v>
      </c>
      <c r="F314">
        <v>6</v>
      </c>
      <c r="G314">
        <v>3</v>
      </c>
      <c r="H314">
        <v>5</v>
      </c>
      <c r="I314">
        <v>66</v>
      </c>
      <c r="J314">
        <v>31</v>
      </c>
      <c r="K314">
        <v>5</v>
      </c>
      <c r="L314">
        <v>9</v>
      </c>
      <c r="M314">
        <v>38</v>
      </c>
      <c r="N314">
        <f t="shared" si="4"/>
        <v>0</v>
      </c>
    </row>
    <row r="315" spans="1:14" x14ac:dyDescent="0.25">
      <c r="A315" s="1" t="s">
        <v>447</v>
      </c>
      <c r="B315" s="1" t="s">
        <v>448</v>
      </c>
      <c r="C315">
        <v>0</v>
      </c>
      <c r="D315">
        <v>4</v>
      </c>
      <c r="E315">
        <v>4</v>
      </c>
      <c r="F315">
        <v>5</v>
      </c>
      <c r="G315">
        <v>4</v>
      </c>
      <c r="H315">
        <v>3</v>
      </c>
      <c r="I315">
        <v>82</v>
      </c>
      <c r="J315">
        <v>31</v>
      </c>
      <c r="K315">
        <v>77</v>
      </c>
      <c r="L315">
        <v>49</v>
      </c>
      <c r="M315">
        <v>81</v>
      </c>
      <c r="N315">
        <f t="shared" si="4"/>
        <v>0</v>
      </c>
    </row>
    <row r="316" spans="1:14" x14ac:dyDescent="0.25">
      <c r="A316" s="1" t="s">
        <v>449</v>
      </c>
      <c r="B316" s="1" t="s">
        <v>34</v>
      </c>
      <c r="C316">
        <v>5</v>
      </c>
      <c r="D316">
        <v>2</v>
      </c>
      <c r="E316">
        <v>3</v>
      </c>
      <c r="F316">
        <v>2</v>
      </c>
      <c r="G316">
        <v>4</v>
      </c>
      <c r="H316">
        <v>3</v>
      </c>
      <c r="I316">
        <v>53</v>
      </c>
      <c r="J316">
        <v>95</v>
      </c>
      <c r="K316">
        <v>23</v>
      </c>
      <c r="L316">
        <v>16</v>
      </c>
      <c r="M316">
        <v>90</v>
      </c>
      <c r="N316">
        <f t="shared" si="4"/>
        <v>0</v>
      </c>
    </row>
    <row r="317" spans="1:14" x14ac:dyDescent="0.25">
      <c r="A317" s="1" t="s">
        <v>450</v>
      </c>
      <c r="B317" s="1" t="s">
        <v>395</v>
      </c>
      <c r="C317">
        <v>7</v>
      </c>
      <c r="D317">
        <v>2</v>
      </c>
      <c r="E317">
        <v>4</v>
      </c>
      <c r="F317">
        <v>3</v>
      </c>
      <c r="G317">
        <v>4</v>
      </c>
      <c r="H317">
        <v>2</v>
      </c>
      <c r="I317">
        <v>58</v>
      </c>
      <c r="J317">
        <v>56</v>
      </c>
      <c r="K317">
        <v>47</v>
      </c>
      <c r="L317">
        <v>61</v>
      </c>
      <c r="M317">
        <v>69</v>
      </c>
      <c r="N317">
        <f t="shared" si="4"/>
        <v>0</v>
      </c>
    </row>
    <row r="318" spans="1:14" x14ac:dyDescent="0.25">
      <c r="A318" s="1" t="s">
        <v>163</v>
      </c>
      <c r="B318" s="1" t="s">
        <v>164</v>
      </c>
      <c r="C318">
        <v>6</v>
      </c>
      <c r="D318">
        <v>6</v>
      </c>
      <c r="E318">
        <v>4</v>
      </c>
      <c r="F318">
        <v>3</v>
      </c>
      <c r="G318">
        <v>2</v>
      </c>
      <c r="H318">
        <v>3</v>
      </c>
      <c r="I318">
        <v>88</v>
      </c>
      <c r="J318">
        <v>10</v>
      </c>
      <c r="K318">
        <v>92</v>
      </c>
      <c r="L318">
        <v>82</v>
      </c>
      <c r="M318">
        <v>2</v>
      </c>
      <c r="N318">
        <f t="shared" si="4"/>
        <v>0</v>
      </c>
    </row>
    <row r="319" spans="1:14" x14ac:dyDescent="0.25">
      <c r="A319" s="1" t="s">
        <v>451</v>
      </c>
      <c r="B319" s="1" t="s">
        <v>23</v>
      </c>
      <c r="C319">
        <v>6</v>
      </c>
      <c r="D319">
        <v>4</v>
      </c>
      <c r="E319">
        <v>2</v>
      </c>
      <c r="F319">
        <v>3</v>
      </c>
      <c r="G319">
        <v>5</v>
      </c>
      <c r="H319">
        <v>4</v>
      </c>
      <c r="I319">
        <v>50</v>
      </c>
      <c r="J319">
        <v>3</v>
      </c>
      <c r="K319">
        <v>27</v>
      </c>
      <c r="L319">
        <v>70</v>
      </c>
      <c r="M319">
        <v>25</v>
      </c>
      <c r="N319">
        <f t="shared" si="4"/>
        <v>0</v>
      </c>
    </row>
    <row r="320" spans="1:14" x14ac:dyDescent="0.25">
      <c r="A320" s="1" t="s">
        <v>283</v>
      </c>
      <c r="B320" s="1" t="s">
        <v>452</v>
      </c>
      <c r="C320">
        <v>8</v>
      </c>
      <c r="D320">
        <v>2</v>
      </c>
      <c r="E320">
        <v>5</v>
      </c>
      <c r="F320">
        <v>3</v>
      </c>
      <c r="G320">
        <v>2</v>
      </c>
      <c r="H320">
        <v>3</v>
      </c>
      <c r="I320">
        <v>93</v>
      </c>
      <c r="J320">
        <v>98</v>
      </c>
      <c r="K320">
        <v>43</v>
      </c>
      <c r="L320">
        <v>97</v>
      </c>
      <c r="M320">
        <v>90</v>
      </c>
      <c r="N320">
        <f t="shared" si="4"/>
        <v>0</v>
      </c>
    </row>
    <row r="321" spans="1:14" x14ac:dyDescent="0.25">
      <c r="A321" s="1" t="s">
        <v>453</v>
      </c>
      <c r="B321" s="1" t="s">
        <v>130</v>
      </c>
      <c r="C321">
        <v>6</v>
      </c>
      <c r="D321">
        <v>4</v>
      </c>
      <c r="E321">
        <v>4</v>
      </c>
      <c r="F321">
        <v>5</v>
      </c>
      <c r="G321">
        <v>2</v>
      </c>
      <c r="H321">
        <v>4</v>
      </c>
      <c r="I321">
        <v>41</v>
      </c>
      <c r="J321">
        <v>62</v>
      </c>
      <c r="K321">
        <v>60</v>
      </c>
      <c r="L321">
        <v>18</v>
      </c>
      <c r="M321">
        <v>83</v>
      </c>
      <c r="N321">
        <f t="shared" si="4"/>
        <v>0</v>
      </c>
    </row>
    <row r="322" spans="1:14" x14ac:dyDescent="0.25">
      <c r="A322" s="1" t="s">
        <v>454</v>
      </c>
      <c r="B322" s="1" t="s">
        <v>369</v>
      </c>
      <c r="C322">
        <v>3</v>
      </c>
      <c r="D322">
        <v>2</v>
      </c>
      <c r="E322">
        <v>3</v>
      </c>
      <c r="F322">
        <v>4</v>
      </c>
      <c r="G322">
        <v>2</v>
      </c>
      <c r="H322">
        <v>4</v>
      </c>
      <c r="I322">
        <v>90</v>
      </c>
      <c r="J322">
        <v>26</v>
      </c>
      <c r="K322">
        <v>50</v>
      </c>
      <c r="L322">
        <v>74</v>
      </c>
      <c r="M322">
        <v>53</v>
      </c>
      <c r="N322">
        <f t="shared" ref="N322:N385" si="5">IF(AND(C322=0,D322&gt;4, AVERAGE(E322:H322) &gt; 4), 1, 0)</f>
        <v>0</v>
      </c>
    </row>
    <row r="323" spans="1:14" x14ac:dyDescent="0.25">
      <c r="A323" s="1" t="s">
        <v>455</v>
      </c>
      <c r="B323" s="1" t="s">
        <v>369</v>
      </c>
      <c r="C323">
        <v>4</v>
      </c>
      <c r="D323">
        <v>4</v>
      </c>
      <c r="E323">
        <v>3</v>
      </c>
      <c r="F323">
        <v>2</v>
      </c>
      <c r="G323">
        <v>3</v>
      </c>
      <c r="H323">
        <v>2</v>
      </c>
      <c r="I323">
        <v>31</v>
      </c>
      <c r="J323">
        <v>59</v>
      </c>
      <c r="K323">
        <v>7</v>
      </c>
      <c r="L323">
        <v>38</v>
      </c>
      <c r="M323">
        <v>24</v>
      </c>
      <c r="N323">
        <f t="shared" si="5"/>
        <v>0</v>
      </c>
    </row>
    <row r="324" spans="1:14" x14ac:dyDescent="0.25">
      <c r="A324" s="1" t="s">
        <v>456</v>
      </c>
      <c r="B324" s="1" t="s">
        <v>159</v>
      </c>
      <c r="C324">
        <v>6</v>
      </c>
      <c r="D324">
        <v>6</v>
      </c>
      <c r="E324">
        <v>6</v>
      </c>
      <c r="F324">
        <v>2</v>
      </c>
      <c r="G324">
        <v>3</v>
      </c>
      <c r="H324">
        <v>2</v>
      </c>
      <c r="I324">
        <v>56</v>
      </c>
      <c r="J324">
        <v>34</v>
      </c>
      <c r="K324">
        <v>52</v>
      </c>
      <c r="L324">
        <v>30</v>
      </c>
      <c r="M324">
        <v>94</v>
      </c>
      <c r="N324">
        <f t="shared" si="5"/>
        <v>0</v>
      </c>
    </row>
    <row r="325" spans="1:14" x14ac:dyDescent="0.25">
      <c r="A325" s="1" t="s">
        <v>457</v>
      </c>
      <c r="B325" s="1" t="s">
        <v>409</v>
      </c>
      <c r="C325">
        <v>0</v>
      </c>
      <c r="D325">
        <v>3</v>
      </c>
      <c r="E325">
        <v>6</v>
      </c>
      <c r="F325">
        <v>4</v>
      </c>
      <c r="G325">
        <v>6</v>
      </c>
      <c r="H325">
        <v>3</v>
      </c>
      <c r="I325">
        <v>13</v>
      </c>
      <c r="J325">
        <v>42</v>
      </c>
      <c r="K325">
        <v>23</v>
      </c>
      <c r="L325">
        <v>14</v>
      </c>
      <c r="M325">
        <v>73</v>
      </c>
      <c r="N325">
        <f t="shared" si="5"/>
        <v>0</v>
      </c>
    </row>
    <row r="326" spans="1:14" x14ac:dyDescent="0.25">
      <c r="A326" s="1" t="s">
        <v>458</v>
      </c>
      <c r="B326" s="1" t="s">
        <v>74</v>
      </c>
      <c r="C326">
        <v>2</v>
      </c>
      <c r="D326">
        <v>3</v>
      </c>
      <c r="E326">
        <v>6</v>
      </c>
      <c r="F326">
        <v>6</v>
      </c>
      <c r="G326">
        <v>4</v>
      </c>
      <c r="H326">
        <v>4</v>
      </c>
      <c r="I326">
        <v>61</v>
      </c>
      <c r="J326">
        <v>3</v>
      </c>
      <c r="K326">
        <v>88</v>
      </c>
      <c r="L326">
        <v>72</v>
      </c>
      <c r="M326">
        <v>84</v>
      </c>
      <c r="N326">
        <f t="shared" si="5"/>
        <v>0</v>
      </c>
    </row>
    <row r="327" spans="1:14" x14ac:dyDescent="0.25">
      <c r="A327" s="1" t="s">
        <v>459</v>
      </c>
      <c r="B327" s="1" t="s">
        <v>130</v>
      </c>
      <c r="C327">
        <v>6</v>
      </c>
      <c r="D327">
        <v>4</v>
      </c>
      <c r="E327">
        <v>4</v>
      </c>
      <c r="F327">
        <v>2</v>
      </c>
      <c r="G327">
        <v>4</v>
      </c>
      <c r="H327">
        <v>2</v>
      </c>
      <c r="I327">
        <v>30</v>
      </c>
      <c r="J327">
        <v>28</v>
      </c>
      <c r="K327">
        <v>30</v>
      </c>
      <c r="L327">
        <v>66</v>
      </c>
      <c r="M327">
        <v>98</v>
      </c>
      <c r="N327">
        <f t="shared" si="5"/>
        <v>0</v>
      </c>
    </row>
    <row r="328" spans="1:14" x14ac:dyDescent="0.25">
      <c r="A328" s="1" t="s">
        <v>460</v>
      </c>
      <c r="B328" s="1" t="s">
        <v>130</v>
      </c>
      <c r="C328">
        <v>4</v>
      </c>
      <c r="D328">
        <v>4</v>
      </c>
      <c r="E328">
        <v>4</v>
      </c>
      <c r="F328">
        <v>6</v>
      </c>
      <c r="G328">
        <v>6</v>
      </c>
      <c r="H328">
        <v>2</v>
      </c>
      <c r="I328">
        <v>80</v>
      </c>
      <c r="J328">
        <v>75</v>
      </c>
      <c r="K328">
        <v>57</v>
      </c>
      <c r="L328">
        <v>43</v>
      </c>
      <c r="M328">
        <v>92</v>
      </c>
      <c r="N328">
        <f t="shared" si="5"/>
        <v>0</v>
      </c>
    </row>
    <row r="329" spans="1:14" x14ac:dyDescent="0.25">
      <c r="A329" s="1" t="s">
        <v>461</v>
      </c>
      <c r="B329" s="1" t="s">
        <v>28</v>
      </c>
      <c r="C329">
        <v>2</v>
      </c>
      <c r="D329">
        <v>4</v>
      </c>
      <c r="E329">
        <v>5</v>
      </c>
      <c r="F329">
        <v>2</v>
      </c>
      <c r="G329">
        <v>5</v>
      </c>
      <c r="H329">
        <v>2</v>
      </c>
      <c r="I329">
        <v>26</v>
      </c>
      <c r="J329">
        <v>69</v>
      </c>
      <c r="K329">
        <v>46</v>
      </c>
      <c r="L329">
        <v>57</v>
      </c>
      <c r="M329">
        <v>91</v>
      </c>
      <c r="N329">
        <f t="shared" si="5"/>
        <v>0</v>
      </c>
    </row>
    <row r="330" spans="1:14" x14ac:dyDescent="0.25">
      <c r="A330" s="1" t="s">
        <v>462</v>
      </c>
      <c r="B330" s="1" t="s">
        <v>463</v>
      </c>
      <c r="C330">
        <v>4</v>
      </c>
      <c r="D330">
        <v>3</v>
      </c>
      <c r="E330">
        <v>5</v>
      </c>
      <c r="F330">
        <v>5</v>
      </c>
      <c r="G330">
        <v>3</v>
      </c>
      <c r="H330">
        <v>3</v>
      </c>
      <c r="I330">
        <v>5</v>
      </c>
      <c r="J330">
        <v>44</v>
      </c>
      <c r="K330">
        <v>37</v>
      </c>
      <c r="L330">
        <v>5</v>
      </c>
      <c r="M330">
        <v>62</v>
      </c>
      <c r="N330">
        <f t="shared" si="5"/>
        <v>0</v>
      </c>
    </row>
    <row r="331" spans="1:14" x14ac:dyDescent="0.25">
      <c r="A331" s="1" t="s">
        <v>464</v>
      </c>
      <c r="B331" s="1" t="s">
        <v>445</v>
      </c>
      <c r="C331">
        <v>6</v>
      </c>
      <c r="D331">
        <v>3</v>
      </c>
      <c r="E331">
        <v>5</v>
      </c>
      <c r="F331">
        <v>5</v>
      </c>
      <c r="G331">
        <v>2</v>
      </c>
      <c r="H331">
        <v>6</v>
      </c>
      <c r="I331">
        <v>56</v>
      </c>
      <c r="J331">
        <v>90</v>
      </c>
      <c r="K331">
        <v>35</v>
      </c>
      <c r="L331">
        <v>68</v>
      </c>
      <c r="M331">
        <v>48</v>
      </c>
      <c r="N331">
        <f t="shared" si="5"/>
        <v>0</v>
      </c>
    </row>
    <row r="332" spans="1:14" x14ac:dyDescent="0.25">
      <c r="A332" s="1" t="s">
        <v>465</v>
      </c>
      <c r="B332" s="1" t="s">
        <v>239</v>
      </c>
      <c r="C332">
        <v>4</v>
      </c>
      <c r="D332">
        <v>3</v>
      </c>
      <c r="E332">
        <v>6</v>
      </c>
      <c r="F332">
        <v>2</v>
      </c>
      <c r="G332">
        <v>3</v>
      </c>
      <c r="H332">
        <v>3</v>
      </c>
      <c r="I332">
        <v>7</v>
      </c>
      <c r="J332">
        <v>15</v>
      </c>
      <c r="K332">
        <v>62</v>
      </c>
      <c r="L332">
        <v>9</v>
      </c>
      <c r="M332">
        <v>43</v>
      </c>
      <c r="N332">
        <f t="shared" si="5"/>
        <v>0</v>
      </c>
    </row>
    <row r="333" spans="1:14" x14ac:dyDescent="0.25">
      <c r="A333" s="1" t="s">
        <v>466</v>
      </c>
      <c r="B333" s="1" t="s">
        <v>16</v>
      </c>
      <c r="C333">
        <v>3</v>
      </c>
      <c r="D333">
        <v>6</v>
      </c>
      <c r="E333">
        <v>6</v>
      </c>
      <c r="F333">
        <v>6</v>
      </c>
      <c r="G333">
        <v>4</v>
      </c>
      <c r="H333">
        <v>5</v>
      </c>
      <c r="I333">
        <v>27</v>
      </c>
      <c r="J333">
        <v>73</v>
      </c>
      <c r="K333">
        <v>63</v>
      </c>
      <c r="L333">
        <v>14</v>
      </c>
      <c r="M333">
        <v>72</v>
      </c>
      <c r="N333">
        <f t="shared" si="5"/>
        <v>0</v>
      </c>
    </row>
    <row r="334" spans="1:14" x14ac:dyDescent="0.25">
      <c r="A334" s="1" t="s">
        <v>467</v>
      </c>
      <c r="B334" s="1" t="s">
        <v>395</v>
      </c>
      <c r="C334">
        <v>1</v>
      </c>
      <c r="D334">
        <v>6</v>
      </c>
      <c r="E334">
        <v>5</v>
      </c>
      <c r="F334">
        <v>2</v>
      </c>
      <c r="G334">
        <v>2</v>
      </c>
      <c r="H334">
        <v>3</v>
      </c>
      <c r="I334">
        <v>70</v>
      </c>
      <c r="J334">
        <v>59</v>
      </c>
      <c r="K334">
        <v>15</v>
      </c>
      <c r="L334">
        <v>13</v>
      </c>
      <c r="M334">
        <v>66</v>
      </c>
      <c r="N334">
        <f t="shared" si="5"/>
        <v>0</v>
      </c>
    </row>
    <row r="335" spans="1:14" x14ac:dyDescent="0.25">
      <c r="A335" s="1" t="s">
        <v>468</v>
      </c>
      <c r="B335" s="1" t="s">
        <v>164</v>
      </c>
      <c r="C335">
        <v>5</v>
      </c>
      <c r="D335">
        <v>3</v>
      </c>
      <c r="E335">
        <v>5</v>
      </c>
      <c r="F335">
        <v>3</v>
      </c>
      <c r="G335">
        <v>5</v>
      </c>
      <c r="H335">
        <v>3</v>
      </c>
      <c r="I335">
        <v>52</v>
      </c>
      <c r="J335">
        <v>65</v>
      </c>
      <c r="K335">
        <v>48</v>
      </c>
      <c r="L335">
        <v>58</v>
      </c>
      <c r="M335">
        <v>48</v>
      </c>
      <c r="N335">
        <f t="shared" si="5"/>
        <v>0</v>
      </c>
    </row>
    <row r="336" spans="1:14" x14ac:dyDescent="0.25">
      <c r="A336" s="1" t="s">
        <v>469</v>
      </c>
      <c r="B336" s="1" t="s">
        <v>130</v>
      </c>
      <c r="C336">
        <v>5</v>
      </c>
      <c r="D336">
        <v>2</v>
      </c>
      <c r="E336">
        <v>2</v>
      </c>
      <c r="F336">
        <v>2</v>
      </c>
      <c r="G336">
        <v>4</v>
      </c>
      <c r="H336">
        <v>2</v>
      </c>
      <c r="I336">
        <v>27</v>
      </c>
      <c r="J336">
        <v>64</v>
      </c>
      <c r="K336">
        <v>22</v>
      </c>
      <c r="L336">
        <v>32</v>
      </c>
      <c r="M336">
        <v>91</v>
      </c>
      <c r="N336">
        <f t="shared" si="5"/>
        <v>0</v>
      </c>
    </row>
    <row r="337" spans="1:14" x14ac:dyDescent="0.25">
      <c r="A337" s="1" t="s">
        <v>470</v>
      </c>
      <c r="B337" s="1" t="s">
        <v>32</v>
      </c>
      <c r="C337">
        <v>1</v>
      </c>
      <c r="D337">
        <v>3</v>
      </c>
      <c r="E337">
        <v>3</v>
      </c>
      <c r="F337">
        <v>2</v>
      </c>
      <c r="G337">
        <v>5</v>
      </c>
      <c r="H337">
        <v>2</v>
      </c>
      <c r="I337">
        <v>84</v>
      </c>
      <c r="J337">
        <v>92</v>
      </c>
      <c r="K337">
        <v>92</v>
      </c>
      <c r="L337">
        <v>81</v>
      </c>
      <c r="M337">
        <v>68</v>
      </c>
      <c r="N337">
        <f t="shared" si="5"/>
        <v>0</v>
      </c>
    </row>
    <row r="338" spans="1:14" x14ac:dyDescent="0.25">
      <c r="A338" s="1" t="s">
        <v>471</v>
      </c>
      <c r="B338" s="1" t="s">
        <v>340</v>
      </c>
      <c r="C338">
        <v>4</v>
      </c>
      <c r="D338">
        <v>5</v>
      </c>
      <c r="E338">
        <v>4</v>
      </c>
      <c r="F338">
        <v>4</v>
      </c>
      <c r="G338">
        <v>2</v>
      </c>
      <c r="H338">
        <v>6</v>
      </c>
      <c r="I338">
        <v>75</v>
      </c>
      <c r="J338">
        <v>22</v>
      </c>
      <c r="K338">
        <v>91</v>
      </c>
      <c r="L338">
        <v>31</v>
      </c>
      <c r="M338">
        <v>93</v>
      </c>
      <c r="N338">
        <f t="shared" si="5"/>
        <v>0</v>
      </c>
    </row>
    <row r="339" spans="1:14" x14ac:dyDescent="0.25">
      <c r="A339" s="1" t="s">
        <v>472</v>
      </c>
      <c r="B339" s="1" t="s">
        <v>70</v>
      </c>
      <c r="C339">
        <v>2</v>
      </c>
      <c r="D339">
        <v>4</v>
      </c>
      <c r="E339">
        <v>4</v>
      </c>
      <c r="F339">
        <v>6</v>
      </c>
      <c r="G339">
        <v>5</v>
      </c>
      <c r="H339">
        <v>4</v>
      </c>
      <c r="I339">
        <v>35</v>
      </c>
      <c r="J339">
        <v>77</v>
      </c>
      <c r="K339">
        <v>81</v>
      </c>
      <c r="L339">
        <v>17</v>
      </c>
      <c r="M339">
        <v>27</v>
      </c>
      <c r="N339">
        <f t="shared" si="5"/>
        <v>0</v>
      </c>
    </row>
    <row r="340" spans="1:14" x14ac:dyDescent="0.25">
      <c r="A340" s="1" t="s">
        <v>473</v>
      </c>
      <c r="B340" s="1" t="s">
        <v>55</v>
      </c>
      <c r="C340">
        <v>7</v>
      </c>
      <c r="D340">
        <v>5</v>
      </c>
      <c r="E340">
        <v>4</v>
      </c>
      <c r="F340">
        <v>3</v>
      </c>
      <c r="G340">
        <v>3</v>
      </c>
      <c r="H340">
        <v>2</v>
      </c>
      <c r="I340">
        <v>2</v>
      </c>
      <c r="J340">
        <v>88</v>
      </c>
      <c r="K340">
        <v>61</v>
      </c>
      <c r="L340">
        <v>2</v>
      </c>
      <c r="M340">
        <v>49</v>
      </c>
      <c r="N340">
        <f t="shared" si="5"/>
        <v>0</v>
      </c>
    </row>
    <row r="341" spans="1:14" x14ac:dyDescent="0.25">
      <c r="A341" s="1" t="s">
        <v>474</v>
      </c>
      <c r="B341" s="1" t="s">
        <v>197</v>
      </c>
      <c r="C341">
        <v>7</v>
      </c>
      <c r="D341">
        <v>6</v>
      </c>
      <c r="E341">
        <v>5</v>
      </c>
      <c r="F341">
        <v>3</v>
      </c>
      <c r="G341">
        <v>3</v>
      </c>
      <c r="H341">
        <v>3</v>
      </c>
      <c r="I341">
        <v>71</v>
      </c>
      <c r="J341">
        <v>55</v>
      </c>
      <c r="K341">
        <v>33</v>
      </c>
      <c r="L341">
        <v>97</v>
      </c>
      <c r="M341">
        <v>73</v>
      </c>
      <c r="N341">
        <f t="shared" si="5"/>
        <v>0</v>
      </c>
    </row>
    <row r="342" spans="1:14" x14ac:dyDescent="0.25">
      <c r="A342" s="1" t="s">
        <v>475</v>
      </c>
      <c r="B342" s="1" t="s">
        <v>232</v>
      </c>
      <c r="C342">
        <v>5</v>
      </c>
      <c r="D342">
        <v>5</v>
      </c>
      <c r="E342">
        <v>6</v>
      </c>
      <c r="F342">
        <v>4</v>
      </c>
      <c r="G342">
        <v>5</v>
      </c>
      <c r="H342">
        <v>5</v>
      </c>
      <c r="I342">
        <v>53</v>
      </c>
      <c r="J342">
        <v>97</v>
      </c>
      <c r="K342">
        <v>28</v>
      </c>
      <c r="L342">
        <v>88</v>
      </c>
      <c r="M342">
        <v>87</v>
      </c>
      <c r="N342">
        <f t="shared" si="5"/>
        <v>0</v>
      </c>
    </row>
    <row r="343" spans="1:14" x14ac:dyDescent="0.25">
      <c r="A343" s="1" t="s">
        <v>476</v>
      </c>
      <c r="B343" s="1" t="s">
        <v>477</v>
      </c>
      <c r="C343">
        <v>0</v>
      </c>
      <c r="D343">
        <v>5</v>
      </c>
      <c r="E343">
        <v>5</v>
      </c>
      <c r="F343">
        <v>3</v>
      </c>
      <c r="G343">
        <v>4</v>
      </c>
      <c r="H343">
        <v>4</v>
      </c>
      <c r="I343">
        <v>73</v>
      </c>
      <c r="J343">
        <v>67</v>
      </c>
      <c r="K343">
        <v>18</v>
      </c>
      <c r="L343">
        <v>84</v>
      </c>
      <c r="M343">
        <v>75</v>
      </c>
      <c r="N343">
        <f t="shared" si="5"/>
        <v>0</v>
      </c>
    </row>
    <row r="344" spans="1:14" x14ac:dyDescent="0.25">
      <c r="A344" s="1" t="s">
        <v>478</v>
      </c>
      <c r="B344" s="1" t="s">
        <v>101</v>
      </c>
      <c r="C344">
        <v>3</v>
      </c>
      <c r="D344">
        <v>6</v>
      </c>
      <c r="E344">
        <v>2</v>
      </c>
      <c r="F344">
        <v>2</v>
      </c>
      <c r="G344">
        <v>5</v>
      </c>
      <c r="H344">
        <v>2</v>
      </c>
      <c r="I344">
        <v>97</v>
      </c>
      <c r="J344">
        <v>40</v>
      </c>
      <c r="K344">
        <v>41</v>
      </c>
      <c r="L344">
        <v>46</v>
      </c>
      <c r="M344">
        <v>59</v>
      </c>
      <c r="N344">
        <f t="shared" si="5"/>
        <v>0</v>
      </c>
    </row>
    <row r="345" spans="1:14" x14ac:dyDescent="0.25">
      <c r="A345" s="1" t="s">
        <v>479</v>
      </c>
      <c r="B345" s="1" t="s">
        <v>30</v>
      </c>
      <c r="C345">
        <v>7</v>
      </c>
      <c r="D345">
        <v>4</v>
      </c>
      <c r="E345">
        <v>4</v>
      </c>
      <c r="F345">
        <v>6</v>
      </c>
      <c r="G345">
        <v>5</v>
      </c>
      <c r="H345">
        <v>5</v>
      </c>
      <c r="I345">
        <v>10</v>
      </c>
      <c r="J345">
        <v>32</v>
      </c>
      <c r="K345">
        <v>73</v>
      </c>
      <c r="L345">
        <v>96</v>
      </c>
      <c r="M345">
        <v>29</v>
      </c>
      <c r="N345">
        <f t="shared" si="5"/>
        <v>0</v>
      </c>
    </row>
    <row r="346" spans="1:14" x14ac:dyDescent="0.25">
      <c r="A346" s="1" t="s">
        <v>480</v>
      </c>
      <c r="B346" s="1" t="s">
        <v>477</v>
      </c>
      <c r="C346">
        <v>3</v>
      </c>
      <c r="D346">
        <v>2</v>
      </c>
      <c r="E346">
        <v>5</v>
      </c>
      <c r="F346">
        <v>5</v>
      </c>
      <c r="G346">
        <v>4</v>
      </c>
      <c r="H346">
        <v>5</v>
      </c>
      <c r="I346">
        <v>91</v>
      </c>
      <c r="J346">
        <v>53</v>
      </c>
      <c r="K346">
        <v>13</v>
      </c>
      <c r="L346">
        <v>58</v>
      </c>
      <c r="M346">
        <v>75</v>
      </c>
      <c r="N346">
        <f t="shared" si="5"/>
        <v>0</v>
      </c>
    </row>
    <row r="347" spans="1:14" x14ac:dyDescent="0.25">
      <c r="A347" s="1" t="s">
        <v>481</v>
      </c>
      <c r="B347" s="1" t="s">
        <v>61</v>
      </c>
      <c r="C347">
        <v>5</v>
      </c>
      <c r="D347">
        <v>4</v>
      </c>
      <c r="E347">
        <v>6</v>
      </c>
      <c r="F347">
        <v>5</v>
      </c>
      <c r="G347">
        <v>2</v>
      </c>
      <c r="H347">
        <v>3</v>
      </c>
      <c r="I347">
        <v>21</v>
      </c>
      <c r="J347">
        <v>48</v>
      </c>
      <c r="K347">
        <v>45</v>
      </c>
      <c r="L347">
        <v>1</v>
      </c>
      <c r="M347">
        <v>51</v>
      </c>
      <c r="N347">
        <f t="shared" si="5"/>
        <v>0</v>
      </c>
    </row>
    <row r="348" spans="1:14" x14ac:dyDescent="0.25">
      <c r="A348" s="1" t="s">
        <v>482</v>
      </c>
      <c r="B348" s="1" t="s">
        <v>311</v>
      </c>
      <c r="C348">
        <v>2</v>
      </c>
      <c r="D348">
        <v>2</v>
      </c>
      <c r="E348">
        <v>5</v>
      </c>
      <c r="F348">
        <v>2</v>
      </c>
      <c r="G348">
        <v>4</v>
      </c>
      <c r="H348">
        <v>4</v>
      </c>
      <c r="I348">
        <v>83</v>
      </c>
      <c r="J348">
        <v>28</v>
      </c>
      <c r="K348">
        <v>43</v>
      </c>
      <c r="L348">
        <v>19</v>
      </c>
      <c r="M348">
        <v>83</v>
      </c>
      <c r="N348">
        <f t="shared" si="5"/>
        <v>0</v>
      </c>
    </row>
    <row r="349" spans="1:14" x14ac:dyDescent="0.25">
      <c r="A349" s="1" t="s">
        <v>483</v>
      </c>
      <c r="B349" s="1" t="s">
        <v>133</v>
      </c>
      <c r="C349">
        <v>2</v>
      </c>
      <c r="D349">
        <v>4</v>
      </c>
      <c r="E349">
        <v>4</v>
      </c>
      <c r="F349">
        <v>3</v>
      </c>
      <c r="G349">
        <v>3</v>
      </c>
      <c r="H349">
        <v>6</v>
      </c>
      <c r="I349">
        <v>97</v>
      </c>
      <c r="J349">
        <v>80</v>
      </c>
      <c r="K349">
        <v>54</v>
      </c>
      <c r="L349">
        <v>78</v>
      </c>
      <c r="M349">
        <v>43</v>
      </c>
      <c r="N349">
        <f t="shared" si="5"/>
        <v>0</v>
      </c>
    </row>
    <row r="350" spans="1:14" x14ac:dyDescent="0.25">
      <c r="A350" s="1" t="s">
        <v>484</v>
      </c>
      <c r="B350" s="1" t="s">
        <v>101</v>
      </c>
      <c r="C350">
        <v>2</v>
      </c>
      <c r="D350">
        <v>5</v>
      </c>
      <c r="E350">
        <v>2</v>
      </c>
      <c r="F350">
        <v>3</v>
      </c>
      <c r="G350">
        <v>5</v>
      </c>
      <c r="H350">
        <v>2</v>
      </c>
      <c r="I350">
        <v>26</v>
      </c>
      <c r="J350">
        <v>31</v>
      </c>
      <c r="K350">
        <v>88</v>
      </c>
      <c r="L350">
        <v>98</v>
      </c>
      <c r="M350">
        <v>45</v>
      </c>
      <c r="N350">
        <f t="shared" si="5"/>
        <v>0</v>
      </c>
    </row>
    <row r="351" spans="1:14" x14ac:dyDescent="0.25">
      <c r="A351" s="1" t="s">
        <v>485</v>
      </c>
      <c r="B351" s="1" t="s">
        <v>58</v>
      </c>
      <c r="C351">
        <v>7</v>
      </c>
      <c r="D351">
        <v>6</v>
      </c>
      <c r="E351">
        <v>4</v>
      </c>
      <c r="F351">
        <v>5</v>
      </c>
      <c r="G351">
        <v>4</v>
      </c>
      <c r="H351">
        <v>3</v>
      </c>
      <c r="I351">
        <v>17</v>
      </c>
      <c r="J351">
        <v>54</v>
      </c>
      <c r="K351">
        <v>78</v>
      </c>
      <c r="L351">
        <v>68</v>
      </c>
      <c r="M351">
        <v>41</v>
      </c>
      <c r="N351">
        <f t="shared" si="5"/>
        <v>0</v>
      </c>
    </row>
    <row r="352" spans="1:14" x14ac:dyDescent="0.25">
      <c r="A352" s="1" t="s">
        <v>486</v>
      </c>
      <c r="B352" s="1" t="s">
        <v>70</v>
      </c>
      <c r="C352">
        <v>0</v>
      </c>
      <c r="D352">
        <v>2</v>
      </c>
      <c r="E352">
        <v>5</v>
      </c>
      <c r="F352">
        <v>3</v>
      </c>
      <c r="G352">
        <v>6</v>
      </c>
      <c r="H352">
        <v>6</v>
      </c>
      <c r="I352">
        <v>5</v>
      </c>
      <c r="J352">
        <v>93</v>
      </c>
      <c r="K352">
        <v>4</v>
      </c>
      <c r="L352">
        <v>59</v>
      </c>
      <c r="M352">
        <v>71</v>
      </c>
      <c r="N352">
        <f t="shared" si="5"/>
        <v>0</v>
      </c>
    </row>
    <row r="353" spans="1:14" x14ac:dyDescent="0.25">
      <c r="A353" s="1" t="s">
        <v>487</v>
      </c>
      <c r="B353" s="1" t="s">
        <v>76</v>
      </c>
      <c r="C353">
        <v>3</v>
      </c>
      <c r="D353">
        <v>5</v>
      </c>
      <c r="E353">
        <v>3</v>
      </c>
      <c r="F353">
        <v>3</v>
      </c>
      <c r="G353">
        <v>6</v>
      </c>
      <c r="H353">
        <v>4</v>
      </c>
      <c r="I353">
        <v>78</v>
      </c>
      <c r="J353">
        <v>80</v>
      </c>
      <c r="K353">
        <v>56</v>
      </c>
      <c r="L353">
        <v>31</v>
      </c>
      <c r="M353">
        <v>81</v>
      </c>
      <c r="N353">
        <f t="shared" si="5"/>
        <v>0</v>
      </c>
    </row>
    <row r="354" spans="1:14" x14ac:dyDescent="0.25">
      <c r="A354" s="1" t="s">
        <v>488</v>
      </c>
      <c r="B354" s="1" t="s">
        <v>489</v>
      </c>
      <c r="C354">
        <v>6</v>
      </c>
      <c r="D354">
        <v>6</v>
      </c>
      <c r="E354">
        <v>6</v>
      </c>
      <c r="F354">
        <v>4</v>
      </c>
      <c r="G354">
        <v>6</v>
      </c>
      <c r="H354">
        <v>4</v>
      </c>
      <c r="I354">
        <v>64</v>
      </c>
      <c r="J354">
        <v>18</v>
      </c>
      <c r="K354">
        <v>23</v>
      </c>
      <c r="L354">
        <v>81</v>
      </c>
      <c r="M354">
        <v>18</v>
      </c>
      <c r="N354">
        <f t="shared" si="5"/>
        <v>0</v>
      </c>
    </row>
    <row r="355" spans="1:14" x14ac:dyDescent="0.25">
      <c r="A355" s="1" t="s">
        <v>490</v>
      </c>
      <c r="B355" s="1" t="s">
        <v>38</v>
      </c>
      <c r="C355">
        <v>2</v>
      </c>
      <c r="D355">
        <v>4</v>
      </c>
      <c r="E355">
        <v>3</v>
      </c>
      <c r="F355">
        <v>5</v>
      </c>
      <c r="G355">
        <v>2</v>
      </c>
      <c r="H355">
        <v>3</v>
      </c>
      <c r="I355">
        <v>96</v>
      </c>
      <c r="J355">
        <v>32</v>
      </c>
      <c r="K355">
        <v>73</v>
      </c>
      <c r="L355">
        <v>7</v>
      </c>
      <c r="M355">
        <v>74</v>
      </c>
      <c r="N355">
        <f t="shared" si="5"/>
        <v>0</v>
      </c>
    </row>
    <row r="356" spans="1:14" x14ac:dyDescent="0.25">
      <c r="A356" s="1" t="s">
        <v>491</v>
      </c>
      <c r="B356" s="1" t="s">
        <v>340</v>
      </c>
      <c r="C356">
        <v>6</v>
      </c>
      <c r="D356">
        <v>6</v>
      </c>
      <c r="E356">
        <v>5</v>
      </c>
      <c r="F356">
        <v>5</v>
      </c>
      <c r="G356">
        <v>3</v>
      </c>
      <c r="H356">
        <v>6</v>
      </c>
      <c r="I356">
        <v>85</v>
      </c>
      <c r="J356">
        <v>35</v>
      </c>
      <c r="K356">
        <v>70</v>
      </c>
      <c r="L356">
        <v>99</v>
      </c>
      <c r="M356">
        <v>85</v>
      </c>
      <c r="N356">
        <f t="shared" si="5"/>
        <v>0</v>
      </c>
    </row>
    <row r="357" spans="1:14" x14ac:dyDescent="0.25">
      <c r="A357" s="1" t="s">
        <v>492</v>
      </c>
      <c r="B357" s="1" t="s">
        <v>90</v>
      </c>
      <c r="C357">
        <v>4</v>
      </c>
      <c r="D357">
        <v>2</v>
      </c>
      <c r="E357">
        <v>4</v>
      </c>
      <c r="F357">
        <v>5</v>
      </c>
      <c r="G357">
        <v>4</v>
      </c>
      <c r="H357">
        <v>2</v>
      </c>
      <c r="I357">
        <v>17</v>
      </c>
      <c r="J357">
        <v>17</v>
      </c>
      <c r="K357">
        <v>92</v>
      </c>
      <c r="L357">
        <v>6</v>
      </c>
      <c r="M357">
        <v>64</v>
      </c>
      <c r="N357">
        <f t="shared" si="5"/>
        <v>0</v>
      </c>
    </row>
    <row r="358" spans="1:14" x14ac:dyDescent="0.25">
      <c r="A358" s="1" t="s">
        <v>493</v>
      </c>
      <c r="B358" s="1" t="s">
        <v>180</v>
      </c>
      <c r="C358">
        <v>4</v>
      </c>
      <c r="D358">
        <v>2</v>
      </c>
      <c r="E358">
        <v>4</v>
      </c>
      <c r="F358">
        <v>2</v>
      </c>
      <c r="G358">
        <v>5</v>
      </c>
      <c r="H358">
        <v>4</v>
      </c>
      <c r="I358">
        <v>62</v>
      </c>
      <c r="J358">
        <v>3</v>
      </c>
      <c r="K358">
        <v>84</v>
      </c>
      <c r="L358">
        <v>48</v>
      </c>
      <c r="M358">
        <v>94</v>
      </c>
      <c r="N358">
        <f t="shared" si="5"/>
        <v>0</v>
      </c>
    </row>
    <row r="359" spans="1:14" x14ac:dyDescent="0.25">
      <c r="A359" s="1" t="s">
        <v>494</v>
      </c>
      <c r="B359" s="1" t="s">
        <v>495</v>
      </c>
      <c r="C359">
        <v>4</v>
      </c>
      <c r="D359">
        <v>5</v>
      </c>
      <c r="E359">
        <v>5</v>
      </c>
      <c r="F359">
        <v>6</v>
      </c>
      <c r="G359">
        <v>2</v>
      </c>
      <c r="H359">
        <v>3</v>
      </c>
      <c r="I359">
        <v>35</v>
      </c>
      <c r="J359">
        <v>49</v>
      </c>
      <c r="K359">
        <v>59</v>
      </c>
      <c r="L359">
        <v>44</v>
      </c>
      <c r="M359">
        <v>68</v>
      </c>
      <c r="N359">
        <f t="shared" si="5"/>
        <v>0</v>
      </c>
    </row>
    <row r="360" spans="1:14" x14ac:dyDescent="0.25">
      <c r="A360" s="1" t="s">
        <v>496</v>
      </c>
      <c r="B360" s="1" t="s">
        <v>369</v>
      </c>
      <c r="C360">
        <v>7</v>
      </c>
      <c r="D360">
        <v>3</v>
      </c>
      <c r="E360">
        <v>6</v>
      </c>
      <c r="F360">
        <v>2</v>
      </c>
      <c r="G360">
        <v>6</v>
      </c>
      <c r="H360">
        <v>5</v>
      </c>
      <c r="I360">
        <v>20</v>
      </c>
      <c r="J360">
        <v>58</v>
      </c>
      <c r="K360">
        <v>93</v>
      </c>
      <c r="L360">
        <v>53</v>
      </c>
      <c r="M360">
        <v>35</v>
      </c>
      <c r="N360">
        <f t="shared" si="5"/>
        <v>0</v>
      </c>
    </row>
    <row r="361" spans="1:14" x14ac:dyDescent="0.25">
      <c r="A361" s="1" t="s">
        <v>497</v>
      </c>
      <c r="B361" s="1" t="s">
        <v>498</v>
      </c>
      <c r="C361">
        <v>5</v>
      </c>
      <c r="D361">
        <v>6</v>
      </c>
      <c r="E361">
        <v>2</v>
      </c>
      <c r="F361">
        <v>3</v>
      </c>
      <c r="G361">
        <v>4</v>
      </c>
      <c r="H361">
        <v>3</v>
      </c>
      <c r="I361">
        <v>2</v>
      </c>
      <c r="J361">
        <v>97</v>
      </c>
      <c r="K361">
        <v>14</v>
      </c>
      <c r="L361">
        <v>81</v>
      </c>
      <c r="M361">
        <v>38</v>
      </c>
      <c r="N361">
        <f t="shared" si="5"/>
        <v>0</v>
      </c>
    </row>
    <row r="362" spans="1:14" x14ac:dyDescent="0.25">
      <c r="A362" s="1" t="s">
        <v>499</v>
      </c>
      <c r="B362" s="1" t="s">
        <v>498</v>
      </c>
      <c r="C362">
        <v>4</v>
      </c>
      <c r="D362">
        <v>6</v>
      </c>
      <c r="E362">
        <v>2</v>
      </c>
      <c r="F362">
        <v>6</v>
      </c>
      <c r="G362">
        <v>4</v>
      </c>
      <c r="H362">
        <v>5</v>
      </c>
      <c r="I362">
        <v>98</v>
      </c>
      <c r="J362">
        <v>42</v>
      </c>
      <c r="K362">
        <v>49</v>
      </c>
      <c r="L362">
        <v>83</v>
      </c>
      <c r="M362">
        <v>32</v>
      </c>
      <c r="N362">
        <f t="shared" si="5"/>
        <v>0</v>
      </c>
    </row>
    <row r="363" spans="1:14" x14ac:dyDescent="0.25">
      <c r="A363" s="1" t="s">
        <v>500</v>
      </c>
      <c r="B363" s="1" t="s">
        <v>121</v>
      </c>
      <c r="C363">
        <v>7</v>
      </c>
      <c r="D363">
        <v>5</v>
      </c>
      <c r="E363">
        <v>5</v>
      </c>
      <c r="F363">
        <v>4</v>
      </c>
      <c r="G363">
        <v>5</v>
      </c>
      <c r="H363">
        <v>6</v>
      </c>
      <c r="I363">
        <v>97</v>
      </c>
      <c r="J363">
        <v>45</v>
      </c>
      <c r="K363">
        <v>42</v>
      </c>
      <c r="L363">
        <v>25</v>
      </c>
      <c r="M363">
        <v>51</v>
      </c>
      <c r="N363">
        <f t="shared" si="5"/>
        <v>0</v>
      </c>
    </row>
    <row r="364" spans="1:14" x14ac:dyDescent="0.25">
      <c r="A364" s="1" t="s">
        <v>501</v>
      </c>
      <c r="B364" s="1" t="s">
        <v>18</v>
      </c>
      <c r="C364">
        <v>8</v>
      </c>
      <c r="D364">
        <v>3</v>
      </c>
      <c r="E364">
        <v>2</v>
      </c>
      <c r="F364">
        <v>2</v>
      </c>
      <c r="G364">
        <v>4</v>
      </c>
      <c r="H364">
        <v>2</v>
      </c>
      <c r="I364">
        <v>54</v>
      </c>
      <c r="J364">
        <v>48</v>
      </c>
      <c r="K364">
        <v>35</v>
      </c>
      <c r="L364">
        <v>28</v>
      </c>
      <c r="M364">
        <v>35</v>
      </c>
      <c r="N364">
        <f t="shared" si="5"/>
        <v>0</v>
      </c>
    </row>
    <row r="365" spans="1:14" x14ac:dyDescent="0.25">
      <c r="A365" s="1" t="s">
        <v>502</v>
      </c>
      <c r="B365" s="1" t="s">
        <v>503</v>
      </c>
      <c r="C365">
        <v>5</v>
      </c>
      <c r="D365">
        <v>2</v>
      </c>
      <c r="E365">
        <v>6</v>
      </c>
      <c r="F365">
        <v>3</v>
      </c>
      <c r="G365">
        <v>2</v>
      </c>
      <c r="H365">
        <v>5</v>
      </c>
      <c r="I365">
        <v>35</v>
      </c>
      <c r="J365">
        <v>56</v>
      </c>
      <c r="K365">
        <v>6</v>
      </c>
      <c r="L365">
        <v>84</v>
      </c>
      <c r="M365">
        <v>54</v>
      </c>
      <c r="N365">
        <f t="shared" si="5"/>
        <v>0</v>
      </c>
    </row>
    <row r="366" spans="1:14" x14ac:dyDescent="0.25">
      <c r="A366" s="1" t="s">
        <v>504</v>
      </c>
      <c r="B366" s="1" t="s">
        <v>367</v>
      </c>
      <c r="C366">
        <v>0</v>
      </c>
      <c r="D366">
        <v>2</v>
      </c>
      <c r="E366">
        <v>5</v>
      </c>
      <c r="F366">
        <v>6</v>
      </c>
      <c r="G366">
        <v>6</v>
      </c>
      <c r="H366">
        <v>3</v>
      </c>
      <c r="I366">
        <v>36</v>
      </c>
      <c r="J366">
        <v>94</v>
      </c>
      <c r="K366">
        <v>52</v>
      </c>
      <c r="L366">
        <v>50</v>
      </c>
      <c r="M366">
        <v>57</v>
      </c>
      <c r="N366">
        <f t="shared" si="5"/>
        <v>0</v>
      </c>
    </row>
    <row r="367" spans="1:14" x14ac:dyDescent="0.25">
      <c r="A367" s="1" t="s">
        <v>505</v>
      </c>
      <c r="B367" s="1" t="s">
        <v>506</v>
      </c>
      <c r="C367">
        <v>2</v>
      </c>
      <c r="D367">
        <v>3</v>
      </c>
      <c r="E367">
        <v>2</v>
      </c>
      <c r="F367">
        <v>2</v>
      </c>
      <c r="G367">
        <v>5</v>
      </c>
      <c r="H367">
        <v>6</v>
      </c>
      <c r="I367">
        <v>100</v>
      </c>
      <c r="J367">
        <v>48</v>
      </c>
      <c r="K367">
        <v>88</v>
      </c>
      <c r="L367">
        <v>48</v>
      </c>
      <c r="M367">
        <v>8</v>
      </c>
      <c r="N367">
        <f t="shared" si="5"/>
        <v>0</v>
      </c>
    </row>
    <row r="368" spans="1:14" x14ac:dyDescent="0.25">
      <c r="A368" s="1" t="s">
        <v>507</v>
      </c>
      <c r="B368" s="1" t="s">
        <v>508</v>
      </c>
      <c r="C368">
        <v>1</v>
      </c>
      <c r="D368">
        <v>3</v>
      </c>
      <c r="E368">
        <v>4</v>
      </c>
      <c r="F368">
        <v>3</v>
      </c>
      <c r="G368">
        <v>5</v>
      </c>
      <c r="H368">
        <v>6</v>
      </c>
      <c r="I368">
        <v>89</v>
      </c>
      <c r="J368">
        <v>70</v>
      </c>
      <c r="K368">
        <v>58</v>
      </c>
      <c r="L368">
        <v>39</v>
      </c>
      <c r="M368">
        <v>43</v>
      </c>
      <c r="N368">
        <f t="shared" si="5"/>
        <v>0</v>
      </c>
    </row>
    <row r="369" spans="1:14" x14ac:dyDescent="0.25">
      <c r="A369" s="1" t="s">
        <v>509</v>
      </c>
      <c r="B369" s="1" t="s">
        <v>188</v>
      </c>
      <c r="C369">
        <v>0</v>
      </c>
      <c r="D369">
        <v>6</v>
      </c>
      <c r="E369">
        <v>2</v>
      </c>
      <c r="F369">
        <v>2</v>
      </c>
      <c r="G369">
        <v>6</v>
      </c>
      <c r="H369">
        <v>2</v>
      </c>
      <c r="I369">
        <v>21</v>
      </c>
      <c r="J369">
        <v>80</v>
      </c>
      <c r="K369">
        <v>59</v>
      </c>
      <c r="L369">
        <v>35</v>
      </c>
      <c r="M369">
        <v>12</v>
      </c>
      <c r="N369">
        <f t="shared" si="5"/>
        <v>0</v>
      </c>
    </row>
    <row r="370" spans="1:14" x14ac:dyDescent="0.25">
      <c r="A370" s="1" t="s">
        <v>510</v>
      </c>
      <c r="B370" s="1" t="s">
        <v>188</v>
      </c>
      <c r="C370">
        <v>1</v>
      </c>
      <c r="D370">
        <v>3</v>
      </c>
      <c r="E370">
        <v>2</v>
      </c>
      <c r="F370">
        <v>5</v>
      </c>
      <c r="G370">
        <v>4</v>
      </c>
      <c r="H370">
        <v>4</v>
      </c>
      <c r="I370">
        <v>38</v>
      </c>
      <c r="J370">
        <v>5</v>
      </c>
      <c r="K370">
        <v>69</v>
      </c>
      <c r="L370">
        <v>94</v>
      </c>
      <c r="M370">
        <v>25</v>
      </c>
      <c r="N370">
        <f t="shared" si="5"/>
        <v>0</v>
      </c>
    </row>
    <row r="371" spans="1:14" x14ac:dyDescent="0.25">
      <c r="A371" s="1" t="s">
        <v>511</v>
      </c>
      <c r="B371" s="1" t="s">
        <v>311</v>
      </c>
      <c r="C371">
        <v>8</v>
      </c>
      <c r="D371">
        <v>4</v>
      </c>
      <c r="E371">
        <v>5</v>
      </c>
      <c r="F371">
        <v>4</v>
      </c>
      <c r="G371">
        <v>5</v>
      </c>
      <c r="H371">
        <v>3</v>
      </c>
      <c r="I371">
        <v>24</v>
      </c>
      <c r="J371">
        <v>47</v>
      </c>
      <c r="K371">
        <v>99</v>
      </c>
      <c r="L371">
        <v>64</v>
      </c>
      <c r="M371">
        <v>11</v>
      </c>
      <c r="N371">
        <f t="shared" si="5"/>
        <v>0</v>
      </c>
    </row>
    <row r="372" spans="1:14" x14ac:dyDescent="0.25">
      <c r="A372" s="1" t="s">
        <v>512</v>
      </c>
      <c r="B372" s="1" t="s">
        <v>311</v>
      </c>
      <c r="C372">
        <v>3</v>
      </c>
      <c r="D372">
        <v>5</v>
      </c>
      <c r="E372">
        <v>2</v>
      </c>
      <c r="F372">
        <v>4</v>
      </c>
      <c r="G372">
        <v>5</v>
      </c>
      <c r="H372">
        <v>4</v>
      </c>
      <c r="I372">
        <v>48</v>
      </c>
      <c r="J372">
        <v>100</v>
      </c>
      <c r="K372">
        <v>7</v>
      </c>
      <c r="L372">
        <v>64</v>
      </c>
      <c r="M372">
        <v>74</v>
      </c>
      <c r="N372">
        <f t="shared" si="5"/>
        <v>0</v>
      </c>
    </row>
    <row r="373" spans="1:14" x14ac:dyDescent="0.25">
      <c r="A373" s="1" t="s">
        <v>308</v>
      </c>
      <c r="B373" s="1" t="s">
        <v>30</v>
      </c>
      <c r="C373">
        <v>8</v>
      </c>
      <c r="D373">
        <v>3</v>
      </c>
      <c r="E373">
        <v>5</v>
      </c>
      <c r="F373">
        <v>2</v>
      </c>
      <c r="G373">
        <v>4</v>
      </c>
      <c r="H373">
        <v>6</v>
      </c>
      <c r="I373">
        <v>46</v>
      </c>
      <c r="J373">
        <v>88</v>
      </c>
      <c r="K373">
        <v>1</v>
      </c>
      <c r="L373">
        <v>49</v>
      </c>
      <c r="M373">
        <v>84</v>
      </c>
      <c r="N373">
        <f t="shared" si="5"/>
        <v>0</v>
      </c>
    </row>
    <row r="374" spans="1:14" x14ac:dyDescent="0.25">
      <c r="A374" s="1" t="s">
        <v>69</v>
      </c>
      <c r="B374" s="1" t="s">
        <v>70</v>
      </c>
      <c r="C374">
        <v>3</v>
      </c>
      <c r="D374">
        <v>5</v>
      </c>
      <c r="E374">
        <v>4</v>
      </c>
      <c r="F374">
        <v>4</v>
      </c>
      <c r="G374">
        <v>6</v>
      </c>
      <c r="H374">
        <v>4</v>
      </c>
      <c r="I374">
        <v>77</v>
      </c>
      <c r="J374">
        <v>80</v>
      </c>
      <c r="K374">
        <v>44</v>
      </c>
      <c r="L374">
        <v>96</v>
      </c>
      <c r="M374">
        <v>10</v>
      </c>
      <c r="N374">
        <f t="shared" si="5"/>
        <v>0</v>
      </c>
    </row>
    <row r="375" spans="1:14" x14ac:dyDescent="0.25">
      <c r="A375" s="1" t="s">
        <v>513</v>
      </c>
      <c r="B375" s="1" t="s">
        <v>48</v>
      </c>
      <c r="C375">
        <v>8</v>
      </c>
      <c r="D375">
        <v>3</v>
      </c>
      <c r="E375">
        <v>5</v>
      </c>
      <c r="F375">
        <v>3</v>
      </c>
      <c r="G375">
        <v>5</v>
      </c>
      <c r="H375">
        <v>3</v>
      </c>
      <c r="I375">
        <v>28</v>
      </c>
      <c r="J375">
        <v>5</v>
      </c>
      <c r="K375">
        <v>29</v>
      </c>
      <c r="L375">
        <v>7</v>
      </c>
      <c r="M375">
        <v>19</v>
      </c>
      <c r="N375">
        <f t="shared" si="5"/>
        <v>0</v>
      </c>
    </row>
    <row r="376" spans="1:14" x14ac:dyDescent="0.25">
      <c r="A376" s="1" t="s">
        <v>514</v>
      </c>
      <c r="B376" s="1" t="s">
        <v>38</v>
      </c>
      <c r="C376">
        <v>0</v>
      </c>
      <c r="D376">
        <v>5</v>
      </c>
      <c r="E376">
        <v>5</v>
      </c>
      <c r="F376">
        <v>4</v>
      </c>
      <c r="G376">
        <v>5</v>
      </c>
      <c r="H376">
        <v>5</v>
      </c>
      <c r="I376">
        <v>100</v>
      </c>
      <c r="J376">
        <v>100</v>
      </c>
      <c r="K376">
        <v>68</v>
      </c>
      <c r="L376">
        <v>69</v>
      </c>
      <c r="M376">
        <v>46</v>
      </c>
      <c r="N376">
        <f t="shared" si="5"/>
        <v>1</v>
      </c>
    </row>
    <row r="377" spans="1:14" x14ac:dyDescent="0.25">
      <c r="A377" s="1" t="s">
        <v>411</v>
      </c>
      <c r="B377" s="1" t="s">
        <v>515</v>
      </c>
      <c r="C377">
        <v>0</v>
      </c>
      <c r="D377">
        <v>6</v>
      </c>
      <c r="E377">
        <v>6</v>
      </c>
      <c r="F377">
        <v>3</v>
      </c>
      <c r="G377">
        <v>4</v>
      </c>
      <c r="H377">
        <v>3</v>
      </c>
      <c r="I377">
        <v>86</v>
      </c>
      <c r="J377">
        <v>20</v>
      </c>
      <c r="K377">
        <v>40</v>
      </c>
      <c r="L377">
        <v>37</v>
      </c>
      <c r="M377">
        <v>24</v>
      </c>
      <c r="N377">
        <f t="shared" si="5"/>
        <v>0</v>
      </c>
    </row>
    <row r="378" spans="1:14" x14ac:dyDescent="0.25">
      <c r="A378" s="1" t="s">
        <v>516</v>
      </c>
      <c r="B378" s="1" t="s">
        <v>16</v>
      </c>
      <c r="C378">
        <v>8</v>
      </c>
      <c r="D378">
        <v>2</v>
      </c>
      <c r="E378">
        <v>4</v>
      </c>
      <c r="F378">
        <v>3</v>
      </c>
      <c r="G378">
        <v>2</v>
      </c>
      <c r="H378">
        <v>4</v>
      </c>
      <c r="I378">
        <v>37</v>
      </c>
      <c r="J378">
        <v>45</v>
      </c>
      <c r="K378">
        <v>53</v>
      </c>
      <c r="L378">
        <v>100</v>
      </c>
      <c r="M378">
        <v>63</v>
      </c>
      <c r="N378">
        <f t="shared" si="5"/>
        <v>0</v>
      </c>
    </row>
    <row r="379" spans="1:14" x14ac:dyDescent="0.25">
      <c r="A379" s="1" t="s">
        <v>517</v>
      </c>
      <c r="B379" s="1" t="s">
        <v>518</v>
      </c>
      <c r="C379">
        <v>5</v>
      </c>
      <c r="D379">
        <v>2</v>
      </c>
      <c r="E379">
        <v>4</v>
      </c>
      <c r="F379">
        <v>5</v>
      </c>
      <c r="G379">
        <v>2</v>
      </c>
      <c r="H379">
        <v>4</v>
      </c>
      <c r="I379">
        <v>63</v>
      </c>
      <c r="J379">
        <v>100</v>
      </c>
      <c r="K379">
        <v>26</v>
      </c>
      <c r="L379">
        <v>46</v>
      </c>
      <c r="M379">
        <v>85</v>
      </c>
      <c r="N379">
        <f t="shared" si="5"/>
        <v>0</v>
      </c>
    </row>
    <row r="380" spans="1:14" x14ac:dyDescent="0.25">
      <c r="A380" s="1" t="s">
        <v>519</v>
      </c>
      <c r="B380" s="1" t="s">
        <v>520</v>
      </c>
      <c r="C380">
        <v>3</v>
      </c>
      <c r="D380">
        <v>3</v>
      </c>
      <c r="E380">
        <v>3</v>
      </c>
      <c r="F380">
        <v>6</v>
      </c>
      <c r="G380">
        <v>3</v>
      </c>
      <c r="H380">
        <v>2</v>
      </c>
      <c r="I380">
        <v>62</v>
      </c>
      <c r="J380">
        <v>92</v>
      </c>
      <c r="K380">
        <v>75</v>
      </c>
      <c r="L380">
        <v>30</v>
      </c>
      <c r="M380">
        <v>86</v>
      </c>
      <c r="N380">
        <f t="shared" si="5"/>
        <v>0</v>
      </c>
    </row>
    <row r="381" spans="1:14" x14ac:dyDescent="0.25">
      <c r="A381" s="1" t="s">
        <v>521</v>
      </c>
      <c r="B381" s="1" t="s">
        <v>43</v>
      </c>
      <c r="C381">
        <v>6</v>
      </c>
      <c r="D381">
        <v>4</v>
      </c>
      <c r="E381">
        <v>2</v>
      </c>
      <c r="F381">
        <v>4</v>
      </c>
      <c r="G381">
        <v>4</v>
      </c>
      <c r="H381">
        <v>6</v>
      </c>
      <c r="I381">
        <v>16</v>
      </c>
      <c r="J381">
        <v>19</v>
      </c>
      <c r="K381">
        <v>66</v>
      </c>
      <c r="L381">
        <v>96</v>
      </c>
      <c r="M381">
        <v>61</v>
      </c>
      <c r="N381">
        <f t="shared" si="5"/>
        <v>0</v>
      </c>
    </row>
    <row r="382" spans="1:14" x14ac:dyDescent="0.25">
      <c r="A382" s="1" t="s">
        <v>237</v>
      </c>
      <c r="B382" s="1" t="s">
        <v>166</v>
      </c>
      <c r="C382">
        <v>4</v>
      </c>
      <c r="D382">
        <v>5</v>
      </c>
      <c r="E382">
        <v>4</v>
      </c>
      <c r="F382">
        <v>4</v>
      </c>
      <c r="G382">
        <v>2</v>
      </c>
      <c r="H382">
        <v>2</v>
      </c>
      <c r="I382">
        <v>71</v>
      </c>
      <c r="J382">
        <v>99</v>
      </c>
      <c r="K382">
        <v>56</v>
      </c>
      <c r="L382">
        <v>2</v>
      </c>
      <c r="M382">
        <v>43</v>
      </c>
      <c r="N382">
        <f t="shared" si="5"/>
        <v>0</v>
      </c>
    </row>
    <row r="383" spans="1:14" x14ac:dyDescent="0.25">
      <c r="A383" s="1" t="s">
        <v>522</v>
      </c>
      <c r="B383" s="1" t="s">
        <v>288</v>
      </c>
      <c r="C383">
        <v>8</v>
      </c>
      <c r="D383">
        <v>2</v>
      </c>
      <c r="E383">
        <v>6</v>
      </c>
      <c r="F383">
        <v>2</v>
      </c>
      <c r="G383">
        <v>6</v>
      </c>
      <c r="H383">
        <v>5</v>
      </c>
      <c r="I383">
        <v>62</v>
      </c>
      <c r="J383">
        <v>49</v>
      </c>
      <c r="K383">
        <v>45</v>
      </c>
      <c r="L383">
        <v>42</v>
      </c>
      <c r="M383">
        <v>53</v>
      </c>
      <c r="N383">
        <f t="shared" si="5"/>
        <v>0</v>
      </c>
    </row>
    <row r="384" spans="1:14" x14ac:dyDescent="0.25">
      <c r="A384" s="1" t="s">
        <v>523</v>
      </c>
      <c r="B384" s="1" t="s">
        <v>279</v>
      </c>
      <c r="C384">
        <v>2</v>
      </c>
      <c r="D384">
        <v>3</v>
      </c>
      <c r="E384">
        <v>2</v>
      </c>
      <c r="F384">
        <v>5</v>
      </c>
      <c r="G384">
        <v>5</v>
      </c>
      <c r="H384">
        <v>2</v>
      </c>
      <c r="I384">
        <v>44</v>
      </c>
      <c r="J384">
        <v>30</v>
      </c>
      <c r="K384">
        <v>61</v>
      </c>
      <c r="L384">
        <v>13</v>
      </c>
      <c r="M384">
        <v>30</v>
      </c>
      <c r="N384">
        <f t="shared" si="5"/>
        <v>0</v>
      </c>
    </row>
    <row r="385" spans="1:14" x14ac:dyDescent="0.25">
      <c r="A385" s="1" t="s">
        <v>524</v>
      </c>
      <c r="B385" s="1" t="s">
        <v>99</v>
      </c>
      <c r="C385">
        <v>5</v>
      </c>
      <c r="D385">
        <v>6</v>
      </c>
      <c r="E385">
        <v>5</v>
      </c>
      <c r="F385">
        <v>3</v>
      </c>
      <c r="G385">
        <v>2</v>
      </c>
      <c r="H385">
        <v>4</v>
      </c>
      <c r="I385">
        <v>55</v>
      </c>
      <c r="J385">
        <v>18</v>
      </c>
      <c r="K385">
        <v>46</v>
      </c>
      <c r="L385">
        <v>82</v>
      </c>
      <c r="M385">
        <v>71</v>
      </c>
      <c r="N385">
        <f t="shared" si="5"/>
        <v>0</v>
      </c>
    </row>
    <row r="386" spans="1:14" x14ac:dyDescent="0.25">
      <c r="A386" s="1" t="s">
        <v>525</v>
      </c>
      <c r="B386" s="1" t="s">
        <v>526</v>
      </c>
      <c r="C386">
        <v>5</v>
      </c>
      <c r="D386">
        <v>2</v>
      </c>
      <c r="E386">
        <v>5</v>
      </c>
      <c r="F386">
        <v>6</v>
      </c>
      <c r="G386">
        <v>3</v>
      </c>
      <c r="H386">
        <v>3</v>
      </c>
      <c r="I386">
        <v>23</v>
      </c>
      <c r="J386">
        <v>10</v>
      </c>
      <c r="K386">
        <v>99</v>
      </c>
      <c r="L386">
        <v>23</v>
      </c>
      <c r="M386">
        <v>4</v>
      </c>
      <c r="N386">
        <f t="shared" ref="N386:N449" si="6">IF(AND(C386=0,D386&gt;4, AVERAGE(E386:H386) &gt; 4), 1, 0)</f>
        <v>0</v>
      </c>
    </row>
    <row r="387" spans="1:14" x14ac:dyDescent="0.25">
      <c r="A387" s="1" t="s">
        <v>527</v>
      </c>
      <c r="B387" s="1" t="s">
        <v>340</v>
      </c>
      <c r="C387">
        <v>5</v>
      </c>
      <c r="D387">
        <v>4</v>
      </c>
      <c r="E387">
        <v>3</v>
      </c>
      <c r="F387">
        <v>5</v>
      </c>
      <c r="G387">
        <v>6</v>
      </c>
      <c r="H387">
        <v>2</v>
      </c>
      <c r="I387">
        <v>72</v>
      </c>
      <c r="J387">
        <v>22</v>
      </c>
      <c r="K387">
        <v>90</v>
      </c>
      <c r="L387">
        <v>8</v>
      </c>
      <c r="M387">
        <v>61</v>
      </c>
      <c r="N387">
        <f t="shared" si="6"/>
        <v>0</v>
      </c>
    </row>
    <row r="388" spans="1:14" x14ac:dyDescent="0.25">
      <c r="A388" s="1" t="s">
        <v>528</v>
      </c>
      <c r="B388" s="1" t="s">
        <v>126</v>
      </c>
      <c r="C388">
        <v>3</v>
      </c>
      <c r="D388">
        <v>3</v>
      </c>
      <c r="E388">
        <v>6</v>
      </c>
      <c r="F388">
        <v>2</v>
      </c>
      <c r="G388">
        <v>4</v>
      </c>
      <c r="H388">
        <v>6</v>
      </c>
      <c r="I388">
        <v>95</v>
      </c>
      <c r="J388">
        <v>18</v>
      </c>
      <c r="K388">
        <v>32</v>
      </c>
      <c r="L388">
        <v>67</v>
      </c>
      <c r="M388">
        <v>36</v>
      </c>
      <c r="N388">
        <f t="shared" si="6"/>
        <v>0</v>
      </c>
    </row>
    <row r="389" spans="1:14" x14ac:dyDescent="0.25">
      <c r="A389" s="1" t="s">
        <v>529</v>
      </c>
      <c r="B389" s="1" t="s">
        <v>530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3</v>
      </c>
      <c r="I389">
        <v>99</v>
      </c>
      <c r="J389">
        <v>47</v>
      </c>
      <c r="K389">
        <v>3</v>
      </c>
      <c r="L389">
        <v>6</v>
      </c>
      <c r="M389">
        <v>59</v>
      </c>
      <c r="N389">
        <f t="shared" si="6"/>
        <v>0</v>
      </c>
    </row>
    <row r="390" spans="1:14" x14ac:dyDescent="0.25">
      <c r="A390" s="1" t="s">
        <v>531</v>
      </c>
      <c r="B390" s="1" t="s">
        <v>532</v>
      </c>
      <c r="C390">
        <v>5</v>
      </c>
      <c r="D390">
        <v>5</v>
      </c>
      <c r="E390">
        <v>3</v>
      </c>
      <c r="F390">
        <v>4</v>
      </c>
      <c r="G390">
        <v>5</v>
      </c>
      <c r="H390">
        <v>2</v>
      </c>
      <c r="I390">
        <v>97</v>
      </c>
      <c r="J390">
        <v>87</v>
      </c>
      <c r="K390">
        <v>7</v>
      </c>
      <c r="L390">
        <v>93</v>
      </c>
      <c r="M390">
        <v>19</v>
      </c>
      <c r="N390">
        <f t="shared" si="6"/>
        <v>0</v>
      </c>
    </row>
    <row r="391" spans="1:14" x14ac:dyDescent="0.25">
      <c r="A391" s="1" t="s">
        <v>533</v>
      </c>
      <c r="B391" s="1" t="s">
        <v>45</v>
      </c>
      <c r="C391">
        <v>3</v>
      </c>
      <c r="D391">
        <v>6</v>
      </c>
      <c r="E391">
        <v>6</v>
      </c>
      <c r="F391">
        <v>6</v>
      </c>
      <c r="G391">
        <v>2</v>
      </c>
      <c r="H391">
        <v>5</v>
      </c>
      <c r="I391">
        <v>57</v>
      </c>
      <c r="J391">
        <v>44</v>
      </c>
      <c r="K391">
        <v>90</v>
      </c>
      <c r="L391">
        <v>33</v>
      </c>
      <c r="M391">
        <v>78</v>
      </c>
      <c r="N391">
        <f t="shared" si="6"/>
        <v>0</v>
      </c>
    </row>
    <row r="392" spans="1:14" x14ac:dyDescent="0.25">
      <c r="A392" s="1" t="s">
        <v>534</v>
      </c>
      <c r="B392" s="1" t="s">
        <v>90</v>
      </c>
      <c r="C392">
        <v>2</v>
      </c>
      <c r="D392">
        <v>4</v>
      </c>
      <c r="E392">
        <v>5</v>
      </c>
      <c r="F392">
        <v>3</v>
      </c>
      <c r="G392">
        <v>2</v>
      </c>
      <c r="H392">
        <v>2</v>
      </c>
      <c r="I392">
        <v>35</v>
      </c>
      <c r="J392">
        <v>82</v>
      </c>
      <c r="K392">
        <v>52</v>
      </c>
      <c r="L392">
        <v>15</v>
      </c>
      <c r="M392">
        <v>51</v>
      </c>
      <c r="N392">
        <f t="shared" si="6"/>
        <v>0</v>
      </c>
    </row>
    <row r="393" spans="1:14" x14ac:dyDescent="0.25">
      <c r="A393" s="1" t="s">
        <v>535</v>
      </c>
      <c r="B393" s="1" t="s">
        <v>536</v>
      </c>
      <c r="C393">
        <v>1</v>
      </c>
      <c r="D393">
        <v>5</v>
      </c>
      <c r="E393">
        <v>5</v>
      </c>
      <c r="F393">
        <v>6</v>
      </c>
      <c r="G393">
        <v>4</v>
      </c>
      <c r="H393">
        <v>6</v>
      </c>
      <c r="I393">
        <v>19</v>
      </c>
      <c r="J393">
        <v>32</v>
      </c>
      <c r="K393">
        <v>74</v>
      </c>
      <c r="L393">
        <v>31</v>
      </c>
      <c r="M393">
        <v>58</v>
      </c>
      <c r="N393">
        <f t="shared" si="6"/>
        <v>0</v>
      </c>
    </row>
    <row r="394" spans="1:14" x14ac:dyDescent="0.25">
      <c r="A394" s="1" t="s">
        <v>537</v>
      </c>
      <c r="B394" s="1" t="s">
        <v>538</v>
      </c>
      <c r="C394">
        <v>0</v>
      </c>
      <c r="D394">
        <v>5</v>
      </c>
      <c r="E394">
        <v>2</v>
      </c>
      <c r="F394">
        <v>2</v>
      </c>
      <c r="G394">
        <v>5</v>
      </c>
      <c r="H394">
        <v>3</v>
      </c>
      <c r="I394">
        <v>45</v>
      </c>
      <c r="J394">
        <v>52</v>
      </c>
      <c r="K394">
        <v>32</v>
      </c>
      <c r="L394">
        <v>42</v>
      </c>
      <c r="M394">
        <v>33</v>
      </c>
      <c r="N394">
        <f t="shared" si="6"/>
        <v>0</v>
      </c>
    </row>
    <row r="395" spans="1:14" x14ac:dyDescent="0.25">
      <c r="A395" s="1" t="s">
        <v>539</v>
      </c>
      <c r="B395" s="1" t="s">
        <v>540</v>
      </c>
      <c r="C395">
        <v>8</v>
      </c>
      <c r="D395">
        <v>5</v>
      </c>
      <c r="E395">
        <v>6</v>
      </c>
      <c r="F395">
        <v>2</v>
      </c>
      <c r="G395">
        <v>4</v>
      </c>
      <c r="H395">
        <v>3</v>
      </c>
      <c r="I395">
        <v>78</v>
      </c>
      <c r="J395">
        <v>38</v>
      </c>
      <c r="K395">
        <v>62</v>
      </c>
      <c r="L395">
        <v>45</v>
      </c>
      <c r="M395">
        <v>55</v>
      </c>
      <c r="N395">
        <f t="shared" si="6"/>
        <v>0</v>
      </c>
    </row>
    <row r="396" spans="1:14" x14ac:dyDescent="0.25">
      <c r="A396" s="1" t="s">
        <v>541</v>
      </c>
      <c r="B396" s="1" t="s">
        <v>503</v>
      </c>
      <c r="C396">
        <v>6</v>
      </c>
      <c r="D396">
        <v>4</v>
      </c>
      <c r="E396">
        <v>2</v>
      </c>
      <c r="F396">
        <v>6</v>
      </c>
      <c r="G396">
        <v>2</v>
      </c>
      <c r="H396">
        <v>6</v>
      </c>
      <c r="I396">
        <v>20</v>
      </c>
      <c r="J396">
        <v>92</v>
      </c>
      <c r="K396">
        <v>44</v>
      </c>
      <c r="L396">
        <v>89</v>
      </c>
      <c r="M396">
        <v>79</v>
      </c>
      <c r="N396">
        <f t="shared" si="6"/>
        <v>0</v>
      </c>
    </row>
    <row r="397" spans="1:14" x14ac:dyDescent="0.25">
      <c r="A397" s="1" t="s">
        <v>542</v>
      </c>
      <c r="B397" s="1" t="s">
        <v>117</v>
      </c>
      <c r="C397">
        <v>4</v>
      </c>
      <c r="D397">
        <v>2</v>
      </c>
      <c r="E397">
        <v>2</v>
      </c>
      <c r="F397">
        <v>4</v>
      </c>
      <c r="G397">
        <v>3</v>
      </c>
      <c r="H397">
        <v>3</v>
      </c>
      <c r="I397">
        <v>36</v>
      </c>
      <c r="J397">
        <v>79</v>
      </c>
      <c r="K397">
        <v>62</v>
      </c>
      <c r="L397">
        <v>8</v>
      </c>
      <c r="M397">
        <v>47</v>
      </c>
      <c r="N397">
        <f t="shared" si="6"/>
        <v>0</v>
      </c>
    </row>
    <row r="398" spans="1:14" x14ac:dyDescent="0.25">
      <c r="A398" s="1" t="s">
        <v>543</v>
      </c>
      <c r="B398" s="1" t="s">
        <v>41</v>
      </c>
      <c r="C398">
        <v>0</v>
      </c>
      <c r="D398">
        <v>2</v>
      </c>
      <c r="E398">
        <v>2</v>
      </c>
      <c r="F398">
        <v>4</v>
      </c>
      <c r="G398">
        <v>2</v>
      </c>
      <c r="H398">
        <v>4</v>
      </c>
      <c r="I398">
        <v>24</v>
      </c>
      <c r="J398">
        <v>81</v>
      </c>
      <c r="K398">
        <v>74</v>
      </c>
      <c r="L398">
        <v>4</v>
      </c>
      <c r="M398">
        <v>92</v>
      </c>
      <c r="N398">
        <f t="shared" si="6"/>
        <v>0</v>
      </c>
    </row>
    <row r="399" spans="1:14" x14ac:dyDescent="0.25">
      <c r="A399" s="1" t="s">
        <v>544</v>
      </c>
      <c r="B399" s="1" t="s">
        <v>324</v>
      </c>
      <c r="C399">
        <v>3</v>
      </c>
      <c r="D399">
        <v>3</v>
      </c>
      <c r="E399">
        <v>5</v>
      </c>
      <c r="F399">
        <v>6</v>
      </c>
      <c r="G399">
        <v>4</v>
      </c>
      <c r="H399">
        <v>3</v>
      </c>
      <c r="I399">
        <v>68</v>
      </c>
      <c r="J399">
        <v>76</v>
      </c>
      <c r="K399">
        <v>21</v>
      </c>
      <c r="L399">
        <v>59</v>
      </c>
      <c r="M399">
        <v>66</v>
      </c>
      <c r="N399">
        <f t="shared" si="6"/>
        <v>0</v>
      </c>
    </row>
    <row r="400" spans="1:14" x14ac:dyDescent="0.25">
      <c r="A400" s="1" t="s">
        <v>545</v>
      </c>
      <c r="B400" s="1" t="s">
        <v>253</v>
      </c>
      <c r="C400">
        <v>4</v>
      </c>
      <c r="D400">
        <v>3</v>
      </c>
      <c r="E400">
        <v>2</v>
      </c>
      <c r="F400">
        <v>4</v>
      </c>
      <c r="G400">
        <v>4</v>
      </c>
      <c r="H400">
        <v>5</v>
      </c>
      <c r="I400">
        <v>70</v>
      </c>
      <c r="J400">
        <v>34</v>
      </c>
      <c r="K400">
        <v>18</v>
      </c>
      <c r="L400">
        <v>27</v>
      </c>
      <c r="M400">
        <v>70</v>
      </c>
      <c r="N400">
        <f t="shared" si="6"/>
        <v>0</v>
      </c>
    </row>
    <row r="401" spans="1:14" x14ac:dyDescent="0.25">
      <c r="A401" s="1" t="s">
        <v>546</v>
      </c>
      <c r="B401" s="1" t="s">
        <v>249</v>
      </c>
      <c r="C401">
        <v>2</v>
      </c>
      <c r="D401">
        <v>4</v>
      </c>
      <c r="E401">
        <v>2</v>
      </c>
      <c r="F401">
        <v>4</v>
      </c>
      <c r="G401">
        <v>5</v>
      </c>
      <c r="H401">
        <v>2</v>
      </c>
      <c r="I401">
        <v>9</v>
      </c>
      <c r="J401">
        <v>76</v>
      </c>
      <c r="K401">
        <v>35</v>
      </c>
      <c r="L401">
        <v>83</v>
      </c>
      <c r="M401">
        <v>13</v>
      </c>
      <c r="N401">
        <f t="shared" si="6"/>
        <v>0</v>
      </c>
    </row>
    <row r="402" spans="1:14" x14ac:dyDescent="0.25">
      <c r="A402" s="1" t="s">
        <v>547</v>
      </c>
      <c r="B402" s="1" t="s">
        <v>526</v>
      </c>
      <c r="C402">
        <v>6</v>
      </c>
      <c r="D402">
        <v>2</v>
      </c>
      <c r="E402">
        <v>4</v>
      </c>
      <c r="F402">
        <v>2</v>
      </c>
      <c r="G402">
        <v>3</v>
      </c>
      <c r="H402">
        <v>2</v>
      </c>
      <c r="I402">
        <v>63</v>
      </c>
      <c r="J402">
        <v>31</v>
      </c>
      <c r="K402">
        <v>2</v>
      </c>
      <c r="L402">
        <v>74</v>
      </c>
      <c r="M402">
        <v>15</v>
      </c>
      <c r="N402">
        <f t="shared" si="6"/>
        <v>0</v>
      </c>
    </row>
    <row r="403" spans="1:14" x14ac:dyDescent="0.25">
      <c r="A403" s="1" t="s">
        <v>548</v>
      </c>
      <c r="B403" s="1" t="s">
        <v>126</v>
      </c>
      <c r="C403">
        <v>4</v>
      </c>
      <c r="D403">
        <v>6</v>
      </c>
      <c r="E403">
        <v>3</v>
      </c>
      <c r="F403">
        <v>5</v>
      </c>
      <c r="G403">
        <v>4</v>
      </c>
      <c r="H403">
        <v>4</v>
      </c>
      <c r="I403">
        <v>15</v>
      </c>
      <c r="J403">
        <v>57</v>
      </c>
      <c r="K403">
        <v>64</v>
      </c>
      <c r="L403">
        <v>60</v>
      </c>
      <c r="M403">
        <v>60</v>
      </c>
      <c r="N403">
        <f t="shared" si="6"/>
        <v>0</v>
      </c>
    </row>
    <row r="404" spans="1:14" x14ac:dyDescent="0.25">
      <c r="A404" s="1" t="s">
        <v>549</v>
      </c>
      <c r="B404" s="1" t="s">
        <v>355</v>
      </c>
      <c r="C404">
        <v>6</v>
      </c>
      <c r="D404">
        <v>4</v>
      </c>
      <c r="E404">
        <v>4</v>
      </c>
      <c r="F404">
        <v>2</v>
      </c>
      <c r="G404">
        <v>2</v>
      </c>
      <c r="H404">
        <v>2</v>
      </c>
      <c r="I404">
        <v>26</v>
      </c>
      <c r="J404">
        <v>6</v>
      </c>
      <c r="K404">
        <v>12</v>
      </c>
      <c r="L404">
        <v>71</v>
      </c>
      <c r="M404">
        <v>85</v>
      </c>
      <c r="N404">
        <f t="shared" si="6"/>
        <v>0</v>
      </c>
    </row>
    <row r="405" spans="1:14" x14ac:dyDescent="0.25">
      <c r="A405" s="1" t="s">
        <v>550</v>
      </c>
      <c r="B405" s="1" t="s">
        <v>551</v>
      </c>
      <c r="C405">
        <v>5</v>
      </c>
      <c r="D405">
        <v>6</v>
      </c>
      <c r="E405">
        <v>2</v>
      </c>
      <c r="F405">
        <v>4</v>
      </c>
      <c r="G405">
        <v>4</v>
      </c>
      <c r="H405">
        <v>3</v>
      </c>
      <c r="I405">
        <v>3</v>
      </c>
      <c r="J405">
        <v>8</v>
      </c>
      <c r="K405">
        <v>22</v>
      </c>
      <c r="L405">
        <v>75</v>
      </c>
      <c r="M405">
        <v>52</v>
      </c>
      <c r="N405">
        <f t="shared" si="6"/>
        <v>0</v>
      </c>
    </row>
    <row r="406" spans="1:14" x14ac:dyDescent="0.25">
      <c r="A406" s="1" t="s">
        <v>552</v>
      </c>
      <c r="B406" s="1" t="s">
        <v>553</v>
      </c>
      <c r="C406">
        <v>0</v>
      </c>
      <c r="D406">
        <v>5</v>
      </c>
      <c r="E406">
        <v>2</v>
      </c>
      <c r="F406">
        <v>4</v>
      </c>
      <c r="G406">
        <v>4</v>
      </c>
      <c r="H406">
        <v>4</v>
      </c>
      <c r="I406">
        <v>68</v>
      </c>
      <c r="J406">
        <v>77</v>
      </c>
      <c r="K406">
        <v>39</v>
      </c>
      <c r="L406">
        <v>95</v>
      </c>
      <c r="M406">
        <v>42</v>
      </c>
      <c r="N406">
        <f t="shared" si="6"/>
        <v>0</v>
      </c>
    </row>
    <row r="407" spans="1:14" x14ac:dyDescent="0.25">
      <c r="A407" s="1" t="s">
        <v>554</v>
      </c>
      <c r="B407" s="1" t="s">
        <v>16</v>
      </c>
      <c r="C407">
        <v>4</v>
      </c>
      <c r="D407">
        <v>4</v>
      </c>
      <c r="E407">
        <v>3</v>
      </c>
      <c r="F407">
        <v>2</v>
      </c>
      <c r="G407">
        <v>5</v>
      </c>
      <c r="H407">
        <v>4</v>
      </c>
      <c r="I407">
        <v>65</v>
      </c>
      <c r="J407">
        <v>42</v>
      </c>
      <c r="K407">
        <v>95</v>
      </c>
      <c r="L407">
        <v>95</v>
      </c>
      <c r="M407">
        <v>95</v>
      </c>
      <c r="N407">
        <f t="shared" si="6"/>
        <v>0</v>
      </c>
    </row>
    <row r="408" spans="1:14" x14ac:dyDescent="0.25">
      <c r="A408" s="1" t="s">
        <v>555</v>
      </c>
      <c r="B408" s="1" t="s">
        <v>64</v>
      </c>
      <c r="C408">
        <v>6</v>
      </c>
      <c r="D408">
        <v>2</v>
      </c>
      <c r="E408">
        <v>2</v>
      </c>
      <c r="F408">
        <v>2</v>
      </c>
      <c r="G408">
        <v>2</v>
      </c>
      <c r="H408">
        <v>4</v>
      </c>
      <c r="I408">
        <v>32</v>
      </c>
      <c r="J408">
        <v>39</v>
      </c>
      <c r="K408">
        <v>61</v>
      </c>
      <c r="L408">
        <v>67</v>
      </c>
      <c r="M408">
        <v>14</v>
      </c>
      <c r="N408">
        <f t="shared" si="6"/>
        <v>0</v>
      </c>
    </row>
    <row r="409" spans="1:14" x14ac:dyDescent="0.25">
      <c r="A409" s="1" t="s">
        <v>466</v>
      </c>
      <c r="B409" s="1" t="s">
        <v>16</v>
      </c>
      <c r="C409">
        <v>8</v>
      </c>
      <c r="D409">
        <v>3</v>
      </c>
      <c r="E409">
        <v>5</v>
      </c>
      <c r="F409">
        <v>6</v>
      </c>
      <c r="G409">
        <v>3</v>
      </c>
      <c r="H409">
        <v>5</v>
      </c>
      <c r="I409">
        <v>7</v>
      </c>
      <c r="J409">
        <v>96</v>
      </c>
      <c r="K409">
        <v>85</v>
      </c>
      <c r="L409">
        <v>8</v>
      </c>
      <c r="M409">
        <v>46</v>
      </c>
      <c r="N409">
        <f t="shared" si="6"/>
        <v>0</v>
      </c>
    </row>
    <row r="410" spans="1:14" x14ac:dyDescent="0.25">
      <c r="A410" s="1" t="s">
        <v>556</v>
      </c>
      <c r="B410" s="1" t="s">
        <v>367</v>
      </c>
      <c r="C410">
        <v>7</v>
      </c>
      <c r="D410">
        <v>5</v>
      </c>
      <c r="E410">
        <v>5</v>
      </c>
      <c r="F410">
        <v>5</v>
      </c>
      <c r="G410">
        <v>2</v>
      </c>
      <c r="H410">
        <v>2</v>
      </c>
      <c r="I410">
        <v>35</v>
      </c>
      <c r="J410">
        <v>95</v>
      </c>
      <c r="K410">
        <v>11</v>
      </c>
      <c r="L410">
        <v>36</v>
      </c>
      <c r="M410">
        <v>19</v>
      </c>
      <c r="N410">
        <f t="shared" si="6"/>
        <v>0</v>
      </c>
    </row>
    <row r="411" spans="1:14" x14ac:dyDescent="0.25">
      <c r="A411" s="1" t="s">
        <v>557</v>
      </c>
      <c r="B411" s="1" t="s">
        <v>558</v>
      </c>
      <c r="C411">
        <v>1</v>
      </c>
      <c r="D411">
        <v>4</v>
      </c>
      <c r="E411">
        <v>4</v>
      </c>
      <c r="F411">
        <v>6</v>
      </c>
      <c r="G411">
        <v>3</v>
      </c>
      <c r="H411">
        <v>4</v>
      </c>
      <c r="I411">
        <v>73</v>
      </c>
      <c r="J411">
        <v>61</v>
      </c>
      <c r="K411">
        <v>49</v>
      </c>
      <c r="L411">
        <v>70</v>
      </c>
      <c r="M411">
        <v>52</v>
      </c>
      <c r="N411">
        <f t="shared" si="6"/>
        <v>0</v>
      </c>
    </row>
    <row r="412" spans="1:14" x14ac:dyDescent="0.25">
      <c r="A412" s="1" t="s">
        <v>559</v>
      </c>
      <c r="B412" s="1" t="s">
        <v>145</v>
      </c>
      <c r="C412">
        <v>8</v>
      </c>
      <c r="D412">
        <v>2</v>
      </c>
      <c r="E412">
        <v>5</v>
      </c>
      <c r="F412">
        <v>2</v>
      </c>
      <c r="G412">
        <v>2</v>
      </c>
      <c r="H412">
        <v>6</v>
      </c>
      <c r="I412">
        <v>52</v>
      </c>
      <c r="J412">
        <v>90</v>
      </c>
      <c r="K412">
        <v>95</v>
      </c>
      <c r="L412">
        <v>83</v>
      </c>
      <c r="M412">
        <v>23</v>
      </c>
      <c r="N412">
        <f t="shared" si="6"/>
        <v>0</v>
      </c>
    </row>
    <row r="413" spans="1:14" x14ac:dyDescent="0.25">
      <c r="A413" s="1" t="s">
        <v>418</v>
      </c>
      <c r="B413" s="1" t="s">
        <v>32</v>
      </c>
      <c r="C413">
        <v>8</v>
      </c>
      <c r="D413">
        <v>5</v>
      </c>
      <c r="E413">
        <v>6</v>
      </c>
      <c r="F413">
        <v>5</v>
      </c>
      <c r="G413">
        <v>6</v>
      </c>
      <c r="H413">
        <v>5</v>
      </c>
      <c r="I413">
        <v>5</v>
      </c>
      <c r="J413">
        <v>84</v>
      </c>
      <c r="K413">
        <v>88</v>
      </c>
      <c r="L413">
        <v>35</v>
      </c>
      <c r="M413">
        <v>40</v>
      </c>
      <c r="N413">
        <f t="shared" si="6"/>
        <v>0</v>
      </c>
    </row>
    <row r="414" spans="1:14" x14ac:dyDescent="0.25">
      <c r="A414" s="1" t="s">
        <v>123</v>
      </c>
      <c r="B414" s="1" t="s">
        <v>273</v>
      </c>
      <c r="C414">
        <v>5</v>
      </c>
      <c r="D414">
        <v>4</v>
      </c>
      <c r="E414">
        <v>6</v>
      </c>
      <c r="F414">
        <v>2</v>
      </c>
      <c r="G414">
        <v>3</v>
      </c>
      <c r="H414">
        <v>4</v>
      </c>
      <c r="I414">
        <v>53</v>
      </c>
      <c r="J414">
        <v>57</v>
      </c>
      <c r="K414">
        <v>30</v>
      </c>
      <c r="L414">
        <v>7</v>
      </c>
      <c r="M414">
        <v>52</v>
      </c>
      <c r="N414">
        <f t="shared" si="6"/>
        <v>0</v>
      </c>
    </row>
    <row r="415" spans="1:14" x14ac:dyDescent="0.25">
      <c r="A415" s="1" t="s">
        <v>560</v>
      </c>
      <c r="B415" s="1" t="s">
        <v>145</v>
      </c>
      <c r="C415">
        <v>4</v>
      </c>
      <c r="D415">
        <v>2</v>
      </c>
      <c r="E415">
        <v>4</v>
      </c>
      <c r="F415">
        <v>5</v>
      </c>
      <c r="G415">
        <v>5</v>
      </c>
      <c r="H415">
        <v>4</v>
      </c>
      <c r="I415">
        <v>52</v>
      </c>
      <c r="J415">
        <v>73</v>
      </c>
      <c r="K415">
        <v>12</v>
      </c>
      <c r="L415">
        <v>3</v>
      </c>
      <c r="M415">
        <v>7</v>
      </c>
      <c r="N415">
        <f t="shared" si="6"/>
        <v>0</v>
      </c>
    </row>
    <row r="416" spans="1:14" x14ac:dyDescent="0.25">
      <c r="A416" s="1" t="s">
        <v>561</v>
      </c>
      <c r="B416" s="1" t="s">
        <v>133</v>
      </c>
      <c r="C416">
        <v>7</v>
      </c>
      <c r="D416">
        <v>4</v>
      </c>
      <c r="E416">
        <v>3</v>
      </c>
      <c r="F416">
        <v>2</v>
      </c>
      <c r="G416">
        <v>5</v>
      </c>
      <c r="H416">
        <v>5</v>
      </c>
      <c r="I416">
        <v>41</v>
      </c>
      <c r="J416">
        <v>23</v>
      </c>
      <c r="K416">
        <v>84</v>
      </c>
      <c r="L416">
        <v>93</v>
      </c>
      <c r="M416">
        <v>6</v>
      </c>
      <c r="N416">
        <f t="shared" si="6"/>
        <v>0</v>
      </c>
    </row>
    <row r="417" spans="1:14" x14ac:dyDescent="0.25">
      <c r="A417" s="1" t="s">
        <v>562</v>
      </c>
      <c r="B417" s="1" t="s">
        <v>369</v>
      </c>
      <c r="C417">
        <v>3</v>
      </c>
      <c r="D417">
        <v>3</v>
      </c>
      <c r="E417">
        <v>4</v>
      </c>
      <c r="F417">
        <v>4</v>
      </c>
      <c r="G417">
        <v>5</v>
      </c>
      <c r="H417">
        <v>5</v>
      </c>
      <c r="I417">
        <v>44</v>
      </c>
      <c r="J417">
        <v>90</v>
      </c>
      <c r="K417">
        <v>71</v>
      </c>
      <c r="L417">
        <v>41</v>
      </c>
      <c r="M417">
        <v>60</v>
      </c>
      <c r="N417">
        <f t="shared" si="6"/>
        <v>0</v>
      </c>
    </row>
    <row r="418" spans="1:14" x14ac:dyDescent="0.25">
      <c r="A418" s="1" t="s">
        <v>563</v>
      </c>
      <c r="B418" s="1" t="s">
        <v>101</v>
      </c>
      <c r="C418">
        <v>0</v>
      </c>
      <c r="D418">
        <v>5</v>
      </c>
      <c r="E418">
        <v>2</v>
      </c>
      <c r="F418">
        <v>4</v>
      </c>
      <c r="G418">
        <v>2</v>
      </c>
      <c r="H418">
        <v>6</v>
      </c>
      <c r="I418">
        <v>27</v>
      </c>
      <c r="J418">
        <v>56</v>
      </c>
      <c r="K418">
        <v>54</v>
      </c>
      <c r="L418">
        <v>99</v>
      </c>
      <c r="M418">
        <v>27</v>
      </c>
      <c r="N418">
        <f t="shared" si="6"/>
        <v>0</v>
      </c>
    </row>
    <row r="419" spans="1:14" x14ac:dyDescent="0.25">
      <c r="A419" s="1" t="s">
        <v>564</v>
      </c>
      <c r="B419" s="1" t="s">
        <v>145</v>
      </c>
      <c r="C419">
        <v>6</v>
      </c>
      <c r="D419">
        <v>4</v>
      </c>
      <c r="E419">
        <v>5</v>
      </c>
      <c r="F419">
        <v>6</v>
      </c>
      <c r="G419">
        <v>2</v>
      </c>
      <c r="H419">
        <v>5</v>
      </c>
      <c r="I419">
        <v>56</v>
      </c>
      <c r="J419">
        <v>47</v>
      </c>
      <c r="K419">
        <v>34</v>
      </c>
      <c r="L419">
        <v>65</v>
      </c>
      <c r="M419">
        <v>87</v>
      </c>
      <c r="N419">
        <f t="shared" si="6"/>
        <v>0</v>
      </c>
    </row>
    <row r="420" spans="1:14" x14ac:dyDescent="0.25">
      <c r="A420" s="1" t="s">
        <v>565</v>
      </c>
      <c r="B420" s="1" t="s">
        <v>302</v>
      </c>
      <c r="C420">
        <v>3</v>
      </c>
      <c r="D420">
        <v>5</v>
      </c>
      <c r="E420">
        <v>6</v>
      </c>
      <c r="F420">
        <v>4</v>
      </c>
      <c r="G420">
        <v>6</v>
      </c>
      <c r="H420">
        <v>6</v>
      </c>
      <c r="I420">
        <v>79</v>
      </c>
      <c r="J420">
        <v>52</v>
      </c>
      <c r="K420">
        <v>11</v>
      </c>
      <c r="L420">
        <v>9</v>
      </c>
      <c r="M420">
        <v>83</v>
      </c>
      <c r="N420">
        <f t="shared" si="6"/>
        <v>0</v>
      </c>
    </row>
    <row r="421" spans="1:14" x14ac:dyDescent="0.25">
      <c r="A421" s="1" t="s">
        <v>566</v>
      </c>
      <c r="B421" s="1" t="s">
        <v>174</v>
      </c>
      <c r="C421">
        <v>6</v>
      </c>
      <c r="D421">
        <v>5</v>
      </c>
      <c r="E421">
        <v>5</v>
      </c>
      <c r="F421">
        <v>5</v>
      </c>
      <c r="G421">
        <v>4</v>
      </c>
      <c r="H421">
        <v>4</v>
      </c>
      <c r="I421">
        <v>34</v>
      </c>
      <c r="J421">
        <v>15</v>
      </c>
      <c r="K421">
        <v>40</v>
      </c>
      <c r="L421">
        <v>85</v>
      </c>
      <c r="M421">
        <v>52</v>
      </c>
      <c r="N421">
        <f t="shared" si="6"/>
        <v>0</v>
      </c>
    </row>
    <row r="422" spans="1:14" x14ac:dyDescent="0.25">
      <c r="A422" s="1" t="s">
        <v>567</v>
      </c>
      <c r="B422" s="1" t="s">
        <v>568</v>
      </c>
      <c r="C422">
        <v>1</v>
      </c>
      <c r="D422">
        <v>3</v>
      </c>
      <c r="E422">
        <v>4</v>
      </c>
      <c r="F422">
        <v>6</v>
      </c>
      <c r="G422">
        <v>6</v>
      </c>
      <c r="H422">
        <v>3</v>
      </c>
      <c r="I422">
        <v>52</v>
      </c>
      <c r="J422">
        <v>36</v>
      </c>
      <c r="K422">
        <v>41</v>
      </c>
      <c r="L422">
        <v>96</v>
      </c>
      <c r="M422">
        <v>66</v>
      </c>
      <c r="N422">
        <f t="shared" si="6"/>
        <v>0</v>
      </c>
    </row>
    <row r="423" spans="1:14" x14ac:dyDescent="0.25">
      <c r="A423" s="1" t="s">
        <v>569</v>
      </c>
      <c r="B423" s="1" t="s">
        <v>222</v>
      </c>
      <c r="C423">
        <v>5</v>
      </c>
      <c r="D423">
        <v>4</v>
      </c>
      <c r="E423">
        <v>6</v>
      </c>
      <c r="F423">
        <v>5</v>
      </c>
      <c r="G423">
        <v>5</v>
      </c>
      <c r="H423">
        <v>3</v>
      </c>
      <c r="I423">
        <v>41</v>
      </c>
      <c r="J423">
        <v>35</v>
      </c>
      <c r="K423">
        <v>54</v>
      </c>
      <c r="L423">
        <v>14</v>
      </c>
      <c r="M423">
        <v>29</v>
      </c>
      <c r="N423">
        <f t="shared" si="6"/>
        <v>0</v>
      </c>
    </row>
    <row r="424" spans="1:14" x14ac:dyDescent="0.25">
      <c r="A424" s="1" t="s">
        <v>570</v>
      </c>
      <c r="B424" s="1" t="s">
        <v>571</v>
      </c>
      <c r="C424">
        <v>5</v>
      </c>
      <c r="D424">
        <v>3</v>
      </c>
      <c r="E424">
        <v>5</v>
      </c>
      <c r="F424">
        <v>5</v>
      </c>
      <c r="G424">
        <v>3</v>
      </c>
      <c r="H424">
        <v>2</v>
      </c>
      <c r="I424">
        <v>25</v>
      </c>
      <c r="J424">
        <v>24</v>
      </c>
      <c r="K424">
        <v>28</v>
      </c>
      <c r="L424">
        <v>21</v>
      </c>
      <c r="M424">
        <v>24</v>
      </c>
      <c r="N424">
        <f t="shared" si="6"/>
        <v>0</v>
      </c>
    </row>
    <row r="425" spans="1:14" x14ac:dyDescent="0.25">
      <c r="A425" s="1" t="s">
        <v>572</v>
      </c>
      <c r="B425" s="1" t="s">
        <v>177</v>
      </c>
      <c r="C425">
        <v>3</v>
      </c>
      <c r="D425">
        <v>4</v>
      </c>
      <c r="E425">
        <v>2</v>
      </c>
      <c r="F425">
        <v>5</v>
      </c>
      <c r="G425">
        <v>2</v>
      </c>
      <c r="H425">
        <v>6</v>
      </c>
      <c r="I425">
        <v>80</v>
      </c>
      <c r="J425">
        <v>86</v>
      </c>
      <c r="K425">
        <v>29</v>
      </c>
      <c r="L425">
        <v>32</v>
      </c>
      <c r="M425">
        <v>85</v>
      </c>
      <c r="N425">
        <f t="shared" si="6"/>
        <v>0</v>
      </c>
    </row>
    <row r="426" spans="1:14" x14ac:dyDescent="0.25">
      <c r="A426" s="1" t="s">
        <v>573</v>
      </c>
      <c r="B426" s="1" t="s">
        <v>526</v>
      </c>
      <c r="C426">
        <v>4</v>
      </c>
      <c r="D426">
        <v>3</v>
      </c>
      <c r="E426">
        <v>5</v>
      </c>
      <c r="F426">
        <v>6</v>
      </c>
      <c r="G426">
        <v>3</v>
      </c>
      <c r="H426">
        <v>4</v>
      </c>
      <c r="I426">
        <v>68</v>
      </c>
      <c r="J426">
        <v>19</v>
      </c>
      <c r="K426">
        <v>94</v>
      </c>
      <c r="L426">
        <v>92</v>
      </c>
      <c r="M426">
        <v>62</v>
      </c>
      <c r="N426">
        <f t="shared" si="6"/>
        <v>0</v>
      </c>
    </row>
    <row r="427" spans="1:14" x14ac:dyDescent="0.25">
      <c r="A427" s="1" t="s">
        <v>574</v>
      </c>
      <c r="B427" s="1" t="s">
        <v>575</v>
      </c>
      <c r="C427">
        <v>4</v>
      </c>
      <c r="D427">
        <v>2</v>
      </c>
      <c r="E427">
        <v>5</v>
      </c>
      <c r="F427">
        <v>2</v>
      </c>
      <c r="G427">
        <v>5</v>
      </c>
      <c r="H427">
        <v>4</v>
      </c>
      <c r="I427">
        <v>74</v>
      </c>
      <c r="J427">
        <v>85</v>
      </c>
      <c r="K427">
        <v>21</v>
      </c>
      <c r="L427">
        <v>33</v>
      </c>
      <c r="M427">
        <v>9</v>
      </c>
      <c r="N427">
        <f t="shared" si="6"/>
        <v>0</v>
      </c>
    </row>
    <row r="428" spans="1:14" x14ac:dyDescent="0.25">
      <c r="A428" s="1" t="s">
        <v>403</v>
      </c>
      <c r="B428" s="1" t="s">
        <v>64</v>
      </c>
      <c r="C428">
        <v>0</v>
      </c>
      <c r="D428">
        <v>2</v>
      </c>
      <c r="E428">
        <v>3</v>
      </c>
      <c r="F428">
        <v>5</v>
      </c>
      <c r="G428">
        <v>4</v>
      </c>
      <c r="H428">
        <v>6</v>
      </c>
      <c r="I428">
        <v>40</v>
      </c>
      <c r="J428">
        <v>46</v>
      </c>
      <c r="K428">
        <v>1</v>
      </c>
      <c r="L428">
        <v>98</v>
      </c>
      <c r="M428">
        <v>39</v>
      </c>
      <c r="N428">
        <f t="shared" si="6"/>
        <v>0</v>
      </c>
    </row>
    <row r="429" spans="1:14" x14ac:dyDescent="0.25">
      <c r="A429" s="1" t="s">
        <v>576</v>
      </c>
      <c r="B429" s="1" t="s">
        <v>430</v>
      </c>
      <c r="C429">
        <v>7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1</v>
      </c>
      <c r="J429">
        <v>25</v>
      </c>
      <c r="K429">
        <v>33</v>
      </c>
      <c r="L429">
        <v>91</v>
      </c>
      <c r="M429">
        <v>60</v>
      </c>
      <c r="N429">
        <f t="shared" si="6"/>
        <v>0</v>
      </c>
    </row>
    <row r="430" spans="1:14" x14ac:dyDescent="0.25">
      <c r="A430" s="1" t="s">
        <v>577</v>
      </c>
      <c r="B430" s="1" t="s">
        <v>360</v>
      </c>
      <c r="C430">
        <v>3</v>
      </c>
      <c r="D430">
        <v>3</v>
      </c>
      <c r="E430">
        <v>6</v>
      </c>
      <c r="F430">
        <v>4</v>
      </c>
      <c r="G430">
        <v>4</v>
      </c>
      <c r="H430">
        <v>3</v>
      </c>
      <c r="I430">
        <v>87</v>
      </c>
      <c r="J430">
        <v>50</v>
      </c>
      <c r="K430">
        <v>61</v>
      </c>
      <c r="L430">
        <v>48</v>
      </c>
      <c r="M430">
        <v>86</v>
      </c>
      <c r="N430">
        <f t="shared" si="6"/>
        <v>0</v>
      </c>
    </row>
    <row r="431" spans="1:14" x14ac:dyDescent="0.25">
      <c r="A431" s="1" t="s">
        <v>578</v>
      </c>
      <c r="B431" s="1" t="s">
        <v>579</v>
      </c>
      <c r="C431">
        <v>5</v>
      </c>
      <c r="D431">
        <v>6</v>
      </c>
      <c r="E431">
        <v>4</v>
      </c>
      <c r="F431">
        <v>2</v>
      </c>
      <c r="G431">
        <v>4</v>
      </c>
      <c r="H431">
        <v>3</v>
      </c>
      <c r="I431">
        <v>100</v>
      </c>
      <c r="J431">
        <v>74</v>
      </c>
      <c r="K431">
        <v>76</v>
      </c>
      <c r="L431">
        <v>47</v>
      </c>
      <c r="M431">
        <v>29</v>
      </c>
      <c r="N431">
        <f t="shared" si="6"/>
        <v>0</v>
      </c>
    </row>
    <row r="432" spans="1:14" x14ac:dyDescent="0.25">
      <c r="A432" s="1" t="s">
        <v>580</v>
      </c>
      <c r="B432" s="1" t="s">
        <v>14</v>
      </c>
      <c r="C432">
        <v>1</v>
      </c>
      <c r="D432">
        <v>6</v>
      </c>
      <c r="E432">
        <v>5</v>
      </c>
      <c r="F432">
        <v>2</v>
      </c>
      <c r="G432">
        <v>5</v>
      </c>
      <c r="H432">
        <v>5</v>
      </c>
      <c r="I432">
        <v>59</v>
      </c>
      <c r="J432">
        <v>30</v>
      </c>
      <c r="K432">
        <v>96</v>
      </c>
      <c r="L432">
        <v>53</v>
      </c>
      <c r="M432">
        <v>87</v>
      </c>
      <c r="N432">
        <f t="shared" si="6"/>
        <v>0</v>
      </c>
    </row>
    <row r="433" spans="1:14" x14ac:dyDescent="0.25">
      <c r="A433" s="1" t="s">
        <v>581</v>
      </c>
      <c r="B433" s="1" t="s">
        <v>70</v>
      </c>
      <c r="C433">
        <v>6</v>
      </c>
      <c r="D433">
        <v>2</v>
      </c>
      <c r="E433">
        <v>6</v>
      </c>
      <c r="F433">
        <v>4</v>
      </c>
      <c r="G433">
        <v>4</v>
      </c>
      <c r="H433">
        <v>6</v>
      </c>
      <c r="I433">
        <v>51</v>
      </c>
      <c r="J433">
        <v>98</v>
      </c>
      <c r="K433">
        <v>20</v>
      </c>
      <c r="L433">
        <v>37</v>
      </c>
      <c r="M433">
        <v>54</v>
      </c>
      <c r="N433">
        <f t="shared" si="6"/>
        <v>0</v>
      </c>
    </row>
    <row r="434" spans="1:14" x14ac:dyDescent="0.25">
      <c r="A434" s="1" t="s">
        <v>380</v>
      </c>
      <c r="B434" s="1" t="s">
        <v>126</v>
      </c>
      <c r="C434">
        <v>7</v>
      </c>
      <c r="D434">
        <v>6</v>
      </c>
      <c r="E434">
        <v>2</v>
      </c>
      <c r="F434">
        <v>6</v>
      </c>
      <c r="G434">
        <v>2</v>
      </c>
      <c r="H434">
        <v>6</v>
      </c>
      <c r="I434">
        <v>75</v>
      </c>
      <c r="J434">
        <v>60</v>
      </c>
      <c r="K434">
        <v>80</v>
      </c>
      <c r="L434">
        <v>86</v>
      </c>
      <c r="M434">
        <v>91</v>
      </c>
      <c r="N434">
        <f t="shared" si="6"/>
        <v>0</v>
      </c>
    </row>
    <row r="435" spans="1:14" x14ac:dyDescent="0.25">
      <c r="A435" s="1" t="s">
        <v>582</v>
      </c>
      <c r="B435" s="1" t="s">
        <v>367</v>
      </c>
      <c r="C435">
        <v>5</v>
      </c>
      <c r="D435">
        <v>3</v>
      </c>
      <c r="E435">
        <v>2</v>
      </c>
      <c r="F435">
        <v>6</v>
      </c>
      <c r="G435">
        <v>2</v>
      </c>
      <c r="H435">
        <v>2</v>
      </c>
      <c r="I435">
        <v>28</v>
      </c>
      <c r="J435">
        <v>28</v>
      </c>
      <c r="K435">
        <v>14</v>
      </c>
      <c r="L435">
        <v>52</v>
      </c>
      <c r="M435">
        <v>35</v>
      </c>
      <c r="N435">
        <f t="shared" si="6"/>
        <v>0</v>
      </c>
    </row>
    <row r="436" spans="1:14" x14ac:dyDescent="0.25">
      <c r="A436" s="1" t="s">
        <v>583</v>
      </c>
      <c r="B436" s="1" t="s">
        <v>133</v>
      </c>
      <c r="C436">
        <v>8</v>
      </c>
      <c r="D436">
        <v>3</v>
      </c>
      <c r="E436">
        <v>5</v>
      </c>
      <c r="F436">
        <v>5</v>
      </c>
      <c r="G436">
        <v>5</v>
      </c>
      <c r="H436">
        <v>6</v>
      </c>
      <c r="I436">
        <v>63</v>
      </c>
      <c r="J436">
        <v>66</v>
      </c>
      <c r="K436">
        <v>71</v>
      </c>
      <c r="L436">
        <v>11</v>
      </c>
      <c r="M436">
        <v>57</v>
      </c>
      <c r="N436">
        <f t="shared" si="6"/>
        <v>0</v>
      </c>
    </row>
    <row r="437" spans="1:14" x14ac:dyDescent="0.25">
      <c r="A437" s="1" t="s">
        <v>584</v>
      </c>
      <c r="B437" s="1" t="s">
        <v>171</v>
      </c>
      <c r="C437">
        <v>5</v>
      </c>
      <c r="D437">
        <v>5</v>
      </c>
      <c r="E437">
        <v>5</v>
      </c>
      <c r="F437">
        <v>5</v>
      </c>
      <c r="G437">
        <v>2</v>
      </c>
      <c r="H437">
        <v>6</v>
      </c>
      <c r="I437">
        <v>45</v>
      </c>
      <c r="J437">
        <v>94</v>
      </c>
      <c r="K437">
        <v>45</v>
      </c>
      <c r="L437">
        <v>100</v>
      </c>
      <c r="M437">
        <v>98</v>
      </c>
      <c r="N437">
        <f t="shared" si="6"/>
        <v>0</v>
      </c>
    </row>
    <row r="438" spans="1:14" x14ac:dyDescent="0.25">
      <c r="A438" s="1" t="s">
        <v>585</v>
      </c>
      <c r="B438" s="1" t="s">
        <v>586</v>
      </c>
      <c r="C438">
        <v>6</v>
      </c>
      <c r="D438">
        <v>5</v>
      </c>
      <c r="E438">
        <v>4</v>
      </c>
      <c r="F438">
        <v>5</v>
      </c>
      <c r="G438">
        <v>6</v>
      </c>
      <c r="H438">
        <v>3</v>
      </c>
      <c r="I438">
        <v>90</v>
      </c>
      <c r="J438">
        <v>98</v>
      </c>
      <c r="K438">
        <v>10</v>
      </c>
      <c r="L438">
        <v>95</v>
      </c>
      <c r="M438">
        <v>63</v>
      </c>
      <c r="N438">
        <f t="shared" si="6"/>
        <v>0</v>
      </c>
    </row>
    <row r="439" spans="1:14" x14ac:dyDescent="0.25">
      <c r="A439" s="1" t="s">
        <v>587</v>
      </c>
      <c r="B439" s="1" t="s">
        <v>495</v>
      </c>
      <c r="C439">
        <v>7</v>
      </c>
      <c r="D439">
        <v>4</v>
      </c>
      <c r="E439">
        <v>6</v>
      </c>
      <c r="F439">
        <v>5</v>
      </c>
      <c r="G439">
        <v>4</v>
      </c>
      <c r="H439">
        <v>6</v>
      </c>
      <c r="I439">
        <v>3</v>
      </c>
      <c r="J439">
        <v>73</v>
      </c>
      <c r="K439">
        <v>19</v>
      </c>
      <c r="L439">
        <v>42</v>
      </c>
      <c r="M439">
        <v>88</v>
      </c>
      <c r="N439">
        <f t="shared" si="6"/>
        <v>0</v>
      </c>
    </row>
    <row r="440" spans="1:14" x14ac:dyDescent="0.25">
      <c r="A440" s="1" t="s">
        <v>588</v>
      </c>
      <c r="B440" s="1" t="s">
        <v>586</v>
      </c>
      <c r="C440">
        <v>0</v>
      </c>
      <c r="D440">
        <v>2</v>
      </c>
      <c r="E440">
        <v>3</v>
      </c>
      <c r="F440">
        <v>3</v>
      </c>
      <c r="G440">
        <v>5</v>
      </c>
      <c r="H440">
        <v>2</v>
      </c>
      <c r="I440">
        <v>82</v>
      </c>
      <c r="J440">
        <v>61</v>
      </c>
      <c r="K440">
        <v>59</v>
      </c>
      <c r="L440">
        <v>51</v>
      </c>
      <c r="M440">
        <v>71</v>
      </c>
      <c r="N440">
        <f t="shared" si="6"/>
        <v>0</v>
      </c>
    </row>
    <row r="441" spans="1:14" x14ac:dyDescent="0.25">
      <c r="A441" s="1" t="s">
        <v>235</v>
      </c>
      <c r="B441" s="1" t="s">
        <v>110</v>
      </c>
      <c r="C441">
        <v>0</v>
      </c>
      <c r="D441">
        <v>5</v>
      </c>
      <c r="E441">
        <v>6</v>
      </c>
      <c r="F441">
        <v>4</v>
      </c>
      <c r="G441">
        <v>2</v>
      </c>
      <c r="H441">
        <v>6</v>
      </c>
      <c r="I441">
        <v>8</v>
      </c>
      <c r="J441">
        <v>13</v>
      </c>
      <c r="K441">
        <v>38</v>
      </c>
      <c r="L441">
        <v>1</v>
      </c>
      <c r="M441">
        <v>39</v>
      </c>
      <c r="N441">
        <f t="shared" si="6"/>
        <v>1</v>
      </c>
    </row>
    <row r="442" spans="1:14" x14ac:dyDescent="0.25">
      <c r="A442" s="1" t="s">
        <v>589</v>
      </c>
      <c r="B442" s="1" t="s">
        <v>590</v>
      </c>
      <c r="C442">
        <v>4</v>
      </c>
      <c r="D442">
        <v>2</v>
      </c>
      <c r="E442">
        <v>4</v>
      </c>
      <c r="F442">
        <v>4</v>
      </c>
      <c r="G442">
        <v>4</v>
      </c>
      <c r="H442">
        <v>3</v>
      </c>
      <c r="I442">
        <v>25</v>
      </c>
      <c r="J442">
        <v>86</v>
      </c>
      <c r="K442">
        <v>7</v>
      </c>
      <c r="L442">
        <v>3</v>
      </c>
      <c r="M442">
        <v>94</v>
      </c>
      <c r="N442">
        <f t="shared" si="6"/>
        <v>0</v>
      </c>
    </row>
    <row r="443" spans="1:14" x14ac:dyDescent="0.25">
      <c r="A443" s="1" t="s">
        <v>591</v>
      </c>
      <c r="B443" s="1" t="s">
        <v>197</v>
      </c>
      <c r="C443">
        <v>6</v>
      </c>
      <c r="D443">
        <v>3</v>
      </c>
      <c r="E443">
        <v>3</v>
      </c>
      <c r="F443">
        <v>3</v>
      </c>
      <c r="G443">
        <v>2</v>
      </c>
      <c r="H443">
        <v>3</v>
      </c>
      <c r="I443">
        <v>53</v>
      </c>
      <c r="J443">
        <v>53</v>
      </c>
      <c r="K443">
        <v>15</v>
      </c>
      <c r="L443">
        <v>53</v>
      </c>
      <c r="M443">
        <v>80</v>
      </c>
      <c r="N443">
        <f t="shared" si="6"/>
        <v>0</v>
      </c>
    </row>
    <row r="444" spans="1:14" x14ac:dyDescent="0.25">
      <c r="A444" s="1" t="s">
        <v>592</v>
      </c>
      <c r="B444" s="1" t="s">
        <v>593</v>
      </c>
      <c r="C444">
        <v>3</v>
      </c>
      <c r="D444">
        <v>3</v>
      </c>
      <c r="E444">
        <v>4</v>
      </c>
      <c r="F444">
        <v>2</v>
      </c>
      <c r="G444">
        <v>6</v>
      </c>
      <c r="H444">
        <v>4</v>
      </c>
      <c r="I444">
        <v>22</v>
      </c>
      <c r="J444">
        <v>48</v>
      </c>
      <c r="K444">
        <v>26</v>
      </c>
      <c r="L444">
        <v>43</v>
      </c>
      <c r="M444">
        <v>10</v>
      </c>
      <c r="N444">
        <f t="shared" si="6"/>
        <v>0</v>
      </c>
    </row>
    <row r="445" spans="1:14" x14ac:dyDescent="0.25">
      <c r="A445" s="1" t="s">
        <v>594</v>
      </c>
      <c r="B445" s="1" t="s">
        <v>32</v>
      </c>
      <c r="C445">
        <v>3</v>
      </c>
      <c r="D445">
        <v>2</v>
      </c>
      <c r="E445">
        <v>4</v>
      </c>
      <c r="F445">
        <v>3</v>
      </c>
      <c r="G445">
        <v>2</v>
      </c>
      <c r="H445">
        <v>5</v>
      </c>
      <c r="I445">
        <v>90</v>
      </c>
      <c r="J445">
        <v>97</v>
      </c>
      <c r="K445">
        <v>7</v>
      </c>
      <c r="L445">
        <v>59</v>
      </c>
      <c r="M445">
        <v>100</v>
      </c>
      <c r="N445">
        <f t="shared" si="6"/>
        <v>0</v>
      </c>
    </row>
    <row r="446" spans="1:14" x14ac:dyDescent="0.25">
      <c r="A446" s="1" t="s">
        <v>595</v>
      </c>
      <c r="B446" s="1" t="s">
        <v>177</v>
      </c>
      <c r="C446">
        <v>4</v>
      </c>
      <c r="D446">
        <v>2</v>
      </c>
      <c r="E446">
        <v>4</v>
      </c>
      <c r="F446">
        <v>5</v>
      </c>
      <c r="G446">
        <v>4</v>
      </c>
      <c r="H446">
        <v>2</v>
      </c>
      <c r="I446">
        <v>9</v>
      </c>
      <c r="J446">
        <v>47</v>
      </c>
      <c r="K446">
        <v>56</v>
      </c>
      <c r="L446">
        <v>89</v>
      </c>
      <c r="M446">
        <v>55</v>
      </c>
      <c r="N446">
        <f t="shared" si="6"/>
        <v>0</v>
      </c>
    </row>
    <row r="447" spans="1:14" x14ac:dyDescent="0.25">
      <c r="A447" s="1" t="s">
        <v>596</v>
      </c>
      <c r="B447" s="1" t="s">
        <v>180</v>
      </c>
      <c r="C447">
        <v>4</v>
      </c>
      <c r="D447">
        <v>2</v>
      </c>
      <c r="E447">
        <v>2</v>
      </c>
      <c r="F447">
        <v>6</v>
      </c>
      <c r="G447">
        <v>4</v>
      </c>
      <c r="H447">
        <v>3</v>
      </c>
      <c r="I447">
        <v>47</v>
      </c>
      <c r="J447">
        <v>8</v>
      </c>
      <c r="K447">
        <v>77</v>
      </c>
      <c r="L447">
        <v>85</v>
      </c>
      <c r="M447">
        <v>10</v>
      </c>
      <c r="N447">
        <f t="shared" si="6"/>
        <v>0</v>
      </c>
    </row>
    <row r="448" spans="1:14" x14ac:dyDescent="0.25">
      <c r="A448" s="1" t="s">
        <v>597</v>
      </c>
      <c r="B448" s="1" t="s">
        <v>218</v>
      </c>
      <c r="C448">
        <v>4</v>
      </c>
      <c r="D448">
        <v>5</v>
      </c>
      <c r="E448">
        <v>4</v>
      </c>
      <c r="F448">
        <v>4</v>
      </c>
      <c r="G448">
        <v>5</v>
      </c>
      <c r="H448">
        <v>3</v>
      </c>
      <c r="I448">
        <v>59</v>
      </c>
      <c r="J448">
        <v>89</v>
      </c>
      <c r="K448">
        <v>32</v>
      </c>
      <c r="L448">
        <v>80</v>
      </c>
      <c r="M448">
        <v>38</v>
      </c>
      <c r="N448">
        <f t="shared" si="6"/>
        <v>0</v>
      </c>
    </row>
    <row r="449" spans="1:14" x14ac:dyDescent="0.25">
      <c r="A449" s="1" t="s">
        <v>598</v>
      </c>
      <c r="B449" s="1" t="s">
        <v>166</v>
      </c>
      <c r="C449">
        <v>8</v>
      </c>
      <c r="D449">
        <v>5</v>
      </c>
      <c r="E449">
        <v>5</v>
      </c>
      <c r="F449">
        <v>4</v>
      </c>
      <c r="G449">
        <v>6</v>
      </c>
      <c r="H449">
        <v>2</v>
      </c>
      <c r="I449">
        <v>60</v>
      </c>
      <c r="J449">
        <v>31</v>
      </c>
      <c r="K449">
        <v>86</v>
      </c>
      <c r="L449">
        <v>76</v>
      </c>
      <c r="M449">
        <v>64</v>
      </c>
      <c r="N449">
        <f t="shared" si="6"/>
        <v>0</v>
      </c>
    </row>
    <row r="450" spans="1:14" x14ac:dyDescent="0.25">
      <c r="A450" s="1" t="s">
        <v>599</v>
      </c>
      <c r="B450" s="1" t="s">
        <v>600</v>
      </c>
      <c r="C450">
        <v>3</v>
      </c>
      <c r="D450">
        <v>4</v>
      </c>
      <c r="E450">
        <v>3</v>
      </c>
      <c r="F450">
        <v>5</v>
      </c>
      <c r="G450">
        <v>5</v>
      </c>
      <c r="H450">
        <v>5</v>
      </c>
      <c r="I450">
        <v>53</v>
      </c>
      <c r="J450">
        <v>78</v>
      </c>
      <c r="K450">
        <v>73</v>
      </c>
      <c r="L450">
        <v>89</v>
      </c>
      <c r="M450">
        <v>32</v>
      </c>
      <c r="N450">
        <f t="shared" ref="N450:N515" si="7">IF(AND(C450=0,D450&gt;4, AVERAGE(E450:H450) &gt; 4), 1, 0)</f>
        <v>0</v>
      </c>
    </row>
    <row r="451" spans="1:14" x14ac:dyDescent="0.25">
      <c r="A451" s="1" t="s">
        <v>601</v>
      </c>
      <c r="B451" s="1" t="s">
        <v>121</v>
      </c>
      <c r="C451">
        <v>0</v>
      </c>
      <c r="D451">
        <v>4</v>
      </c>
      <c r="E451">
        <v>2</v>
      </c>
      <c r="F451">
        <v>2</v>
      </c>
      <c r="G451">
        <v>2</v>
      </c>
      <c r="H451">
        <v>6</v>
      </c>
      <c r="I451">
        <v>88</v>
      </c>
      <c r="J451">
        <v>43</v>
      </c>
      <c r="K451">
        <v>91</v>
      </c>
      <c r="L451">
        <v>4</v>
      </c>
      <c r="M451">
        <v>78</v>
      </c>
      <c r="N451">
        <f t="shared" si="7"/>
        <v>0</v>
      </c>
    </row>
    <row r="452" spans="1:14" x14ac:dyDescent="0.25">
      <c r="A452" s="1" t="s">
        <v>602</v>
      </c>
      <c r="B452" s="1" t="s">
        <v>58</v>
      </c>
      <c r="C452">
        <v>1</v>
      </c>
      <c r="D452">
        <v>5</v>
      </c>
      <c r="E452">
        <v>4</v>
      </c>
      <c r="F452">
        <v>6</v>
      </c>
      <c r="G452">
        <v>4</v>
      </c>
      <c r="H452">
        <v>2</v>
      </c>
      <c r="I452">
        <v>4</v>
      </c>
      <c r="J452">
        <v>97</v>
      </c>
      <c r="K452">
        <v>75</v>
      </c>
      <c r="L452">
        <v>86</v>
      </c>
      <c r="M452">
        <v>10</v>
      </c>
      <c r="N452">
        <f t="shared" si="7"/>
        <v>0</v>
      </c>
    </row>
    <row r="453" spans="1:14" x14ac:dyDescent="0.25">
      <c r="A453" s="1" t="s">
        <v>603</v>
      </c>
      <c r="B453" s="1" t="s">
        <v>604</v>
      </c>
      <c r="C453">
        <v>7</v>
      </c>
      <c r="D453">
        <v>4</v>
      </c>
      <c r="E453">
        <v>3</v>
      </c>
      <c r="F453">
        <v>6</v>
      </c>
      <c r="G453">
        <v>3</v>
      </c>
      <c r="H453">
        <v>2</v>
      </c>
      <c r="I453">
        <v>28</v>
      </c>
      <c r="J453">
        <v>75</v>
      </c>
      <c r="K453">
        <v>15</v>
      </c>
      <c r="L453">
        <v>6</v>
      </c>
      <c r="M453">
        <v>33</v>
      </c>
      <c r="N453">
        <f t="shared" si="7"/>
        <v>0</v>
      </c>
    </row>
    <row r="454" spans="1:14" x14ac:dyDescent="0.25">
      <c r="A454" s="1" t="s">
        <v>605</v>
      </c>
      <c r="B454" s="1" t="s">
        <v>110</v>
      </c>
      <c r="C454">
        <v>4</v>
      </c>
      <c r="D454">
        <v>2</v>
      </c>
      <c r="E454">
        <v>4</v>
      </c>
      <c r="F454">
        <v>6</v>
      </c>
      <c r="G454">
        <v>5</v>
      </c>
      <c r="H454">
        <v>5</v>
      </c>
      <c r="I454">
        <v>29</v>
      </c>
      <c r="J454">
        <v>92</v>
      </c>
      <c r="K454">
        <v>99</v>
      </c>
      <c r="L454">
        <v>79</v>
      </c>
      <c r="M454">
        <v>8</v>
      </c>
      <c r="N454">
        <f t="shared" si="7"/>
        <v>0</v>
      </c>
    </row>
    <row r="455" spans="1:14" x14ac:dyDescent="0.25">
      <c r="A455" s="1" t="s">
        <v>606</v>
      </c>
      <c r="B455" s="1" t="s">
        <v>242</v>
      </c>
      <c r="C455">
        <v>2</v>
      </c>
      <c r="D455">
        <v>5</v>
      </c>
      <c r="E455">
        <v>3</v>
      </c>
      <c r="F455">
        <v>2</v>
      </c>
      <c r="G455">
        <v>3</v>
      </c>
      <c r="H455">
        <v>6</v>
      </c>
      <c r="I455">
        <v>59</v>
      </c>
      <c r="J455">
        <v>29</v>
      </c>
      <c r="K455">
        <v>92</v>
      </c>
      <c r="L455">
        <v>96</v>
      </c>
      <c r="M455">
        <v>77</v>
      </c>
      <c r="N455">
        <f t="shared" si="7"/>
        <v>0</v>
      </c>
    </row>
    <row r="456" spans="1:14" x14ac:dyDescent="0.25">
      <c r="A456" s="1" t="s">
        <v>423</v>
      </c>
      <c r="B456" s="1" t="s">
        <v>76</v>
      </c>
      <c r="C456">
        <v>0</v>
      </c>
      <c r="D456">
        <v>6</v>
      </c>
      <c r="E456">
        <v>6</v>
      </c>
      <c r="F456">
        <v>5</v>
      </c>
      <c r="G456">
        <v>4</v>
      </c>
      <c r="H456">
        <v>3</v>
      </c>
      <c r="I456">
        <v>98</v>
      </c>
      <c r="J456">
        <v>79</v>
      </c>
      <c r="K456">
        <v>65</v>
      </c>
      <c r="L456">
        <v>41</v>
      </c>
      <c r="M456">
        <v>48</v>
      </c>
      <c r="N456">
        <f t="shared" si="7"/>
        <v>1</v>
      </c>
    </row>
    <row r="457" spans="1:14" x14ac:dyDescent="0.25">
      <c r="A457" s="1" t="s">
        <v>607</v>
      </c>
      <c r="B457" s="1" t="s">
        <v>608</v>
      </c>
      <c r="C457">
        <v>2</v>
      </c>
      <c r="D457">
        <v>2</v>
      </c>
      <c r="E457">
        <v>6</v>
      </c>
      <c r="F457">
        <v>5</v>
      </c>
      <c r="G457">
        <v>6</v>
      </c>
      <c r="H457">
        <v>3</v>
      </c>
      <c r="I457">
        <v>74</v>
      </c>
      <c r="J457">
        <v>25</v>
      </c>
      <c r="K457">
        <v>78</v>
      </c>
      <c r="L457">
        <v>6</v>
      </c>
      <c r="M457">
        <v>69</v>
      </c>
      <c r="N457">
        <f t="shared" si="7"/>
        <v>0</v>
      </c>
    </row>
    <row r="458" spans="1:14" x14ac:dyDescent="0.25">
      <c r="A458" s="1" t="s">
        <v>609</v>
      </c>
      <c r="B458" s="1" t="s">
        <v>242</v>
      </c>
      <c r="C458">
        <v>3</v>
      </c>
      <c r="D458">
        <v>2</v>
      </c>
      <c r="E458">
        <v>4</v>
      </c>
      <c r="F458">
        <v>5</v>
      </c>
      <c r="G458">
        <v>2</v>
      </c>
      <c r="H458">
        <v>5</v>
      </c>
      <c r="I458">
        <v>12</v>
      </c>
      <c r="J458">
        <v>96</v>
      </c>
      <c r="K458">
        <v>66</v>
      </c>
      <c r="L458">
        <v>17</v>
      </c>
      <c r="M458">
        <v>86</v>
      </c>
      <c r="N458">
        <f t="shared" si="7"/>
        <v>0</v>
      </c>
    </row>
    <row r="459" spans="1:14" x14ac:dyDescent="0.25">
      <c r="A459" s="1" t="s">
        <v>514</v>
      </c>
      <c r="B459" s="1" t="s">
        <v>316</v>
      </c>
      <c r="C459">
        <v>3</v>
      </c>
      <c r="D459">
        <v>5</v>
      </c>
      <c r="E459">
        <v>5</v>
      </c>
      <c r="F459">
        <v>3</v>
      </c>
      <c r="G459">
        <v>2</v>
      </c>
      <c r="H459">
        <v>2</v>
      </c>
      <c r="I459">
        <v>53</v>
      </c>
      <c r="J459">
        <v>89</v>
      </c>
      <c r="K459">
        <v>16</v>
      </c>
      <c r="L459">
        <v>27</v>
      </c>
      <c r="M459">
        <v>62</v>
      </c>
      <c r="N459">
        <f t="shared" si="7"/>
        <v>0</v>
      </c>
    </row>
    <row r="460" spans="1:14" x14ac:dyDescent="0.25">
      <c r="A460" s="1" t="s">
        <v>610</v>
      </c>
      <c r="B460" s="1" t="s">
        <v>395</v>
      </c>
      <c r="C460">
        <v>4</v>
      </c>
      <c r="D460">
        <v>3</v>
      </c>
      <c r="E460">
        <v>6</v>
      </c>
      <c r="F460">
        <v>4</v>
      </c>
      <c r="G460">
        <v>6</v>
      </c>
      <c r="H460">
        <v>6</v>
      </c>
      <c r="I460">
        <v>90</v>
      </c>
      <c r="J460">
        <v>31</v>
      </c>
      <c r="K460">
        <v>75</v>
      </c>
      <c r="L460">
        <v>1</v>
      </c>
      <c r="M460">
        <v>58</v>
      </c>
      <c r="N460">
        <f t="shared" si="7"/>
        <v>0</v>
      </c>
    </row>
    <row r="461" spans="1:14" x14ac:dyDescent="0.25">
      <c r="A461" s="1" t="s">
        <v>611</v>
      </c>
      <c r="B461" s="1" t="s">
        <v>395</v>
      </c>
      <c r="C461">
        <v>0</v>
      </c>
      <c r="D461">
        <v>3</v>
      </c>
      <c r="E461">
        <v>3</v>
      </c>
      <c r="F461">
        <v>4</v>
      </c>
      <c r="G461">
        <v>2</v>
      </c>
      <c r="H461">
        <v>4</v>
      </c>
      <c r="I461">
        <v>92</v>
      </c>
      <c r="J461">
        <v>47</v>
      </c>
      <c r="K461">
        <v>27</v>
      </c>
      <c r="L461">
        <v>40</v>
      </c>
      <c r="M461">
        <v>35</v>
      </c>
      <c r="N461">
        <f t="shared" si="7"/>
        <v>0</v>
      </c>
    </row>
    <row r="462" spans="1:14" x14ac:dyDescent="0.25">
      <c r="A462" s="1" t="s">
        <v>612</v>
      </c>
      <c r="B462" s="1" t="s">
        <v>164</v>
      </c>
      <c r="C462">
        <v>6</v>
      </c>
      <c r="D462">
        <v>4</v>
      </c>
      <c r="E462">
        <v>3</v>
      </c>
      <c r="F462">
        <v>2</v>
      </c>
      <c r="G462">
        <v>3</v>
      </c>
      <c r="H462">
        <v>5</v>
      </c>
      <c r="I462">
        <v>57</v>
      </c>
      <c r="J462">
        <v>67</v>
      </c>
      <c r="K462">
        <v>51</v>
      </c>
      <c r="L462">
        <v>92</v>
      </c>
      <c r="M462">
        <v>72</v>
      </c>
      <c r="N462">
        <f t="shared" si="7"/>
        <v>0</v>
      </c>
    </row>
    <row r="463" spans="1:14" x14ac:dyDescent="0.25">
      <c r="A463" s="1" t="s">
        <v>613</v>
      </c>
      <c r="B463" s="1" t="s">
        <v>412</v>
      </c>
      <c r="C463">
        <v>0</v>
      </c>
      <c r="D463">
        <v>6</v>
      </c>
      <c r="E463">
        <v>3</v>
      </c>
      <c r="F463">
        <v>6</v>
      </c>
      <c r="G463">
        <v>6</v>
      </c>
      <c r="H463">
        <v>4</v>
      </c>
      <c r="I463">
        <v>74</v>
      </c>
      <c r="J463">
        <v>60</v>
      </c>
      <c r="K463">
        <v>83</v>
      </c>
      <c r="L463">
        <v>39</v>
      </c>
      <c r="M463">
        <v>97</v>
      </c>
      <c r="N463">
        <f t="shared" si="7"/>
        <v>1</v>
      </c>
    </row>
    <row r="464" spans="1:14" x14ac:dyDescent="0.25">
      <c r="A464" s="1" t="s">
        <v>614</v>
      </c>
      <c r="B464" s="1" t="s">
        <v>615</v>
      </c>
      <c r="C464">
        <v>7</v>
      </c>
      <c r="D464">
        <v>6</v>
      </c>
      <c r="E464">
        <v>2</v>
      </c>
      <c r="F464">
        <v>3</v>
      </c>
      <c r="G464">
        <v>2</v>
      </c>
      <c r="H464">
        <v>3</v>
      </c>
      <c r="I464">
        <v>21</v>
      </c>
      <c r="J464">
        <v>16</v>
      </c>
      <c r="K464">
        <v>9</v>
      </c>
      <c r="L464">
        <v>49</v>
      </c>
      <c r="M464">
        <v>47</v>
      </c>
      <c r="N464">
        <f t="shared" si="7"/>
        <v>0</v>
      </c>
    </row>
    <row r="465" spans="1:14" x14ac:dyDescent="0.25">
      <c r="A465" s="1" t="s">
        <v>616</v>
      </c>
      <c r="B465" s="1" t="s">
        <v>249</v>
      </c>
      <c r="C465">
        <v>8</v>
      </c>
      <c r="D465">
        <v>3</v>
      </c>
      <c r="E465">
        <v>5</v>
      </c>
      <c r="F465">
        <v>6</v>
      </c>
      <c r="G465">
        <v>2</v>
      </c>
      <c r="H465">
        <v>4</v>
      </c>
      <c r="I465">
        <v>73</v>
      </c>
      <c r="J465">
        <v>70</v>
      </c>
      <c r="K465">
        <v>71</v>
      </c>
      <c r="L465">
        <v>84</v>
      </c>
      <c r="M465">
        <v>81</v>
      </c>
      <c r="N465">
        <f t="shared" si="7"/>
        <v>0</v>
      </c>
    </row>
    <row r="466" spans="1:14" x14ac:dyDescent="0.25">
      <c r="A466" s="1" t="s">
        <v>617</v>
      </c>
      <c r="B466" s="1" t="s">
        <v>397</v>
      </c>
      <c r="C466">
        <v>2</v>
      </c>
      <c r="D466">
        <v>4</v>
      </c>
      <c r="E466">
        <v>6</v>
      </c>
      <c r="F466">
        <v>4</v>
      </c>
      <c r="G466">
        <v>5</v>
      </c>
      <c r="H466">
        <v>2</v>
      </c>
      <c r="I466">
        <v>44</v>
      </c>
      <c r="J466">
        <v>8</v>
      </c>
      <c r="K466">
        <v>100</v>
      </c>
      <c r="L466">
        <v>54</v>
      </c>
      <c r="M466">
        <v>77</v>
      </c>
      <c r="N466">
        <f t="shared" si="7"/>
        <v>0</v>
      </c>
    </row>
    <row r="467" spans="1:14" x14ac:dyDescent="0.25">
      <c r="A467" s="1" t="s">
        <v>618</v>
      </c>
      <c r="B467" s="1" t="s">
        <v>180</v>
      </c>
      <c r="C467">
        <v>6</v>
      </c>
      <c r="D467">
        <v>3</v>
      </c>
      <c r="E467">
        <v>5</v>
      </c>
      <c r="F467">
        <v>4</v>
      </c>
      <c r="G467">
        <v>3</v>
      </c>
      <c r="H467">
        <v>2</v>
      </c>
      <c r="I467">
        <v>78</v>
      </c>
      <c r="J467">
        <v>17</v>
      </c>
      <c r="K467">
        <v>48</v>
      </c>
      <c r="L467">
        <v>42</v>
      </c>
      <c r="M467">
        <v>85</v>
      </c>
      <c r="N467">
        <f t="shared" si="7"/>
        <v>0</v>
      </c>
    </row>
    <row r="468" spans="1:14" x14ac:dyDescent="0.25">
      <c r="A468" s="1" t="s">
        <v>619</v>
      </c>
      <c r="B468" s="1" t="s">
        <v>620</v>
      </c>
      <c r="C468">
        <v>0</v>
      </c>
      <c r="D468">
        <v>3</v>
      </c>
      <c r="E468">
        <v>6</v>
      </c>
      <c r="F468">
        <v>2</v>
      </c>
      <c r="G468">
        <v>5</v>
      </c>
      <c r="H468">
        <v>2</v>
      </c>
      <c r="I468">
        <v>72</v>
      </c>
      <c r="J468">
        <v>53</v>
      </c>
      <c r="K468">
        <v>43</v>
      </c>
      <c r="L468">
        <v>72</v>
      </c>
      <c r="M468">
        <v>52</v>
      </c>
      <c r="N468">
        <f t="shared" si="7"/>
        <v>0</v>
      </c>
    </row>
    <row r="469" spans="1:14" x14ac:dyDescent="0.25">
      <c r="A469" s="1" t="s">
        <v>621</v>
      </c>
      <c r="B469" s="1" t="s">
        <v>210</v>
      </c>
      <c r="C469">
        <v>7</v>
      </c>
      <c r="D469">
        <v>5</v>
      </c>
      <c r="E469">
        <v>6</v>
      </c>
      <c r="F469">
        <v>2</v>
      </c>
      <c r="G469">
        <v>5</v>
      </c>
      <c r="H469">
        <v>4</v>
      </c>
      <c r="I469">
        <v>15</v>
      </c>
      <c r="J469">
        <v>64</v>
      </c>
      <c r="K469">
        <v>20</v>
      </c>
      <c r="L469">
        <v>59</v>
      </c>
      <c r="M469">
        <v>52</v>
      </c>
      <c r="N469">
        <f t="shared" si="7"/>
        <v>0</v>
      </c>
    </row>
    <row r="470" spans="1:14" x14ac:dyDescent="0.25">
      <c r="A470" s="1" t="s">
        <v>622</v>
      </c>
      <c r="B470" s="1" t="s">
        <v>448</v>
      </c>
      <c r="C470">
        <v>1</v>
      </c>
      <c r="D470">
        <v>2</v>
      </c>
      <c r="E470">
        <v>3</v>
      </c>
      <c r="F470">
        <v>3</v>
      </c>
      <c r="G470">
        <v>2</v>
      </c>
      <c r="H470">
        <v>6</v>
      </c>
      <c r="I470">
        <v>35</v>
      </c>
      <c r="J470">
        <v>20</v>
      </c>
      <c r="K470">
        <v>46</v>
      </c>
      <c r="L470">
        <v>84</v>
      </c>
      <c r="M470">
        <v>11</v>
      </c>
      <c r="N470">
        <f t="shared" si="7"/>
        <v>0</v>
      </c>
    </row>
    <row r="471" spans="1:14" x14ac:dyDescent="0.25">
      <c r="A471" s="1" t="s">
        <v>623</v>
      </c>
      <c r="B471" s="1" t="s">
        <v>239</v>
      </c>
      <c r="C471">
        <v>0</v>
      </c>
      <c r="D471">
        <v>2</v>
      </c>
      <c r="E471">
        <v>2</v>
      </c>
      <c r="F471">
        <v>5</v>
      </c>
      <c r="G471">
        <v>6</v>
      </c>
      <c r="H471">
        <v>2</v>
      </c>
      <c r="I471">
        <v>87</v>
      </c>
      <c r="J471">
        <v>18</v>
      </c>
      <c r="K471">
        <v>93</v>
      </c>
      <c r="L471">
        <v>62</v>
      </c>
      <c r="M471">
        <v>95</v>
      </c>
      <c r="N471">
        <f t="shared" si="7"/>
        <v>0</v>
      </c>
    </row>
    <row r="472" spans="1:14" x14ac:dyDescent="0.25">
      <c r="A472" s="1" t="s">
        <v>624</v>
      </c>
      <c r="B472" s="1" t="s">
        <v>414</v>
      </c>
      <c r="C472">
        <v>6</v>
      </c>
      <c r="D472">
        <v>2</v>
      </c>
      <c r="E472">
        <v>4</v>
      </c>
      <c r="F472">
        <v>3</v>
      </c>
      <c r="G472">
        <v>3</v>
      </c>
      <c r="H472">
        <v>2</v>
      </c>
      <c r="I472">
        <v>72</v>
      </c>
      <c r="J472">
        <v>79</v>
      </c>
      <c r="K472">
        <v>98</v>
      </c>
      <c r="L472">
        <v>86</v>
      </c>
      <c r="M472">
        <v>31</v>
      </c>
      <c r="N472">
        <f t="shared" si="7"/>
        <v>0</v>
      </c>
    </row>
    <row r="473" spans="1:14" x14ac:dyDescent="0.25">
      <c r="A473" s="1" t="s">
        <v>625</v>
      </c>
      <c r="B473" s="1" t="s">
        <v>161</v>
      </c>
      <c r="C473">
        <v>3</v>
      </c>
      <c r="D473">
        <v>3</v>
      </c>
      <c r="E473">
        <v>3</v>
      </c>
      <c r="F473">
        <v>3</v>
      </c>
      <c r="G473">
        <v>5</v>
      </c>
      <c r="H473">
        <v>4</v>
      </c>
      <c r="I473">
        <v>71</v>
      </c>
      <c r="J473">
        <v>68</v>
      </c>
      <c r="K473">
        <v>38</v>
      </c>
      <c r="L473">
        <v>8</v>
      </c>
      <c r="M473">
        <v>98</v>
      </c>
      <c r="N473">
        <f t="shared" si="7"/>
        <v>0</v>
      </c>
    </row>
    <row r="474" spans="1:14" x14ac:dyDescent="0.25">
      <c r="A474" s="1" t="s">
        <v>626</v>
      </c>
      <c r="B474" s="1" t="s">
        <v>38</v>
      </c>
      <c r="C474">
        <v>8</v>
      </c>
      <c r="D474">
        <v>2</v>
      </c>
      <c r="E474">
        <v>2</v>
      </c>
      <c r="F474">
        <v>3</v>
      </c>
      <c r="G474">
        <v>4</v>
      </c>
      <c r="H474">
        <v>4</v>
      </c>
      <c r="I474">
        <v>96</v>
      </c>
      <c r="J474">
        <v>47</v>
      </c>
      <c r="K474">
        <v>90</v>
      </c>
      <c r="L474">
        <v>24</v>
      </c>
      <c r="M474">
        <v>96</v>
      </c>
      <c r="N474">
        <f t="shared" si="7"/>
        <v>0</v>
      </c>
    </row>
    <row r="475" spans="1:14" x14ac:dyDescent="0.25">
      <c r="A475" s="1" t="s">
        <v>627</v>
      </c>
      <c r="B475" s="1" t="s">
        <v>133</v>
      </c>
      <c r="C475">
        <v>3</v>
      </c>
      <c r="D475">
        <v>3</v>
      </c>
      <c r="E475">
        <v>3</v>
      </c>
      <c r="F475">
        <v>3</v>
      </c>
      <c r="G475">
        <v>4</v>
      </c>
      <c r="H475">
        <v>5</v>
      </c>
      <c r="I475">
        <v>18</v>
      </c>
      <c r="J475">
        <v>94</v>
      </c>
      <c r="K475">
        <v>29</v>
      </c>
      <c r="L475">
        <v>50</v>
      </c>
      <c r="M475">
        <v>54</v>
      </c>
      <c r="N475">
        <f t="shared" si="7"/>
        <v>0</v>
      </c>
    </row>
    <row r="476" spans="1:14" x14ac:dyDescent="0.25">
      <c r="A476" s="1" t="s">
        <v>628</v>
      </c>
      <c r="B476" s="1" t="s">
        <v>251</v>
      </c>
      <c r="C476">
        <v>0</v>
      </c>
      <c r="D476">
        <v>5</v>
      </c>
      <c r="E476">
        <v>5</v>
      </c>
      <c r="F476">
        <v>6</v>
      </c>
      <c r="G476">
        <v>2</v>
      </c>
      <c r="H476">
        <v>5</v>
      </c>
      <c r="I476">
        <v>47</v>
      </c>
      <c r="J476">
        <v>34</v>
      </c>
      <c r="K476">
        <v>86</v>
      </c>
      <c r="L476">
        <v>56</v>
      </c>
      <c r="M476">
        <v>39</v>
      </c>
      <c r="N476">
        <f t="shared" si="7"/>
        <v>1</v>
      </c>
    </row>
    <row r="477" spans="1:14" x14ac:dyDescent="0.25">
      <c r="A477" s="1" t="s">
        <v>629</v>
      </c>
      <c r="B477" s="1" t="s">
        <v>430</v>
      </c>
      <c r="C477">
        <v>7</v>
      </c>
      <c r="D477">
        <v>5</v>
      </c>
      <c r="E477">
        <v>5</v>
      </c>
      <c r="F477">
        <v>2</v>
      </c>
      <c r="G477">
        <v>6</v>
      </c>
      <c r="H477">
        <v>6</v>
      </c>
      <c r="I477">
        <v>6</v>
      </c>
      <c r="J477">
        <v>88</v>
      </c>
      <c r="K477">
        <v>24</v>
      </c>
      <c r="L477">
        <v>3</v>
      </c>
      <c r="M477">
        <v>43</v>
      </c>
      <c r="N477">
        <f t="shared" si="7"/>
        <v>0</v>
      </c>
    </row>
    <row r="478" spans="1:14" x14ac:dyDescent="0.25">
      <c r="A478" s="1" t="s">
        <v>630</v>
      </c>
      <c r="B478" s="1" t="s">
        <v>273</v>
      </c>
      <c r="C478">
        <v>8</v>
      </c>
      <c r="D478">
        <v>4</v>
      </c>
      <c r="E478">
        <v>3</v>
      </c>
      <c r="F478">
        <v>6</v>
      </c>
      <c r="G478">
        <v>2</v>
      </c>
      <c r="H478">
        <v>6</v>
      </c>
      <c r="I478">
        <v>87</v>
      </c>
      <c r="J478">
        <v>54</v>
      </c>
      <c r="K478">
        <v>69</v>
      </c>
      <c r="L478">
        <v>96</v>
      </c>
      <c r="M478">
        <v>7</v>
      </c>
      <c r="N478">
        <f t="shared" si="7"/>
        <v>0</v>
      </c>
    </row>
    <row r="479" spans="1:14" x14ac:dyDescent="0.25">
      <c r="A479" s="1" t="s">
        <v>631</v>
      </c>
      <c r="B479" s="1" t="s">
        <v>288</v>
      </c>
      <c r="C479">
        <v>8</v>
      </c>
      <c r="D479">
        <v>3</v>
      </c>
      <c r="E479">
        <v>2</v>
      </c>
      <c r="F479">
        <v>4</v>
      </c>
      <c r="G479">
        <v>6</v>
      </c>
      <c r="H479">
        <v>6</v>
      </c>
      <c r="I479">
        <v>99</v>
      </c>
      <c r="J479">
        <v>51</v>
      </c>
      <c r="K479">
        <v>25</v>
      </c>
      <c r="L479">
        <v>89</v>
      </c>
      <c r="M479">
        <v>73</v>
      </c>
      <c r="N479">
        <f t="shared" si="7"/>
        <v>0</v>
      </c>
    </row>
    <row r="480" spans="1:14" x14ac:dyDescent="0.25">
      <c r="A480" s="1" t="s">
        <v>632</v>
      </c>
      <c r="B480" s="1" t="s">
        <v>633</v>
      </c>
      <c r="C480">
        <v>0</v>
      </c>
      <c r="D480">
        <v>4</v>
      </c>
      <c r="E480">
        <v>6</v>
      </c>
      <c r="F480">
        <v>5</v>
      </c>
      <c r="G480">
        <v>2</v>
      </c>
      <c r="H480">
        <v>4</v>
      </c>
      <c r="I480">
        <v>72</v>
      </c>
      <c r="J480">
        <v>33</v>
      </c>
      <c r="K480">
        <v>40</v>
      </c>
      <c r="L480">
        <v>62</v>
      </c>
      <c r="M480">
        <v>19</v>
      </c>
      <c r="N480">
        <f t="shared" si="7"/>
        <v>0</v>
      </c>
    </row>
    <row r="481" spans="1:14" x14ac:dyDescent="0.25">
      <c r="A481" s="1" t="s">
        <v>634</v>
      </c>
      <c r="B481" s="1" t="s">
        <v>635</v>
      </c>
      <c r="C481">
        <v>0</v>
      </c>
      <c r="D481">
        <v>4</v>
      </c>
      <c r="E481">
        <v>2</v>
      </c>
      <c r="F481">
        <v>6</v>
      </c>
      <c r="G481">
        <v>2</v>
      </c>
      <c r="H481">
        <v>5</v>
      </c>
      <c r="I481">
        <v>57</v>
      </c>
      <c r="J481">
        <v>88</v>
      </c>
      <c r="K481">
        <v>53</v>
      </c>
      <c r="L481">
        <v>42</v>
      </c>
      <c r="M481">
        <v>49</v>
      </c>
      <c r="N481">
        <f t="shared" si="7"/>
        <v>0</v>
      </c>
    </row>
    <row r="482" spans="1:14" x14ac:dyDescent="0.25">
      <c r="A482" s="1" t="s">
        <v>636</v>
      </c>
      <c r="B482" s="1" t="s">
        <v>340</v>
      </c>
      <c r="C482">
        <v>1</v>
      </c>
      <c r="D482">
        <v>4</v>
      </c>
      <c r="E482">
        <v>2</v>
      </c>
      <c r="F482">
        <v>2</v>
      </c>
      <c r="G482">
        <v>4</v>
      </c>
      <c r="H482">
        <v>2</v>
      </c>
      <c r="I482">
        <v>68</v>
      </c>
      <c r="J482">
        <v>81</v>
      </c>
      <c r="K482">
        <v>24</v>
      </c>
      <c r="L482">
        <v>15</v>
      </c>
      <c r="M482">
        <v>48</v>
      </c>
      <c r="N482">
        <f t="shared" si="7"/>
        <v>0</v>
      </c>
    </row>
    <row r="483" spans="1:14" x14ac:dyDescent="0.25">
      <c r="A483" s="1" t="s">
        <v>637</v>
      </c>
      <c r="B483" s="1" t="s">
        <v>86</v>
      </c>
      <c r="C483">
        <v>6</v>
      </c>
      <c r="D483">
        <v>4</v>
      </c>
      <c r="E483">
        <v>3</v>
      </c>
      <c r="F483">
        <v>2</v>
      </c>
      <c r="G483">
        <v>3</v>
      </c>
      <c r="H483">
        <v>3</v>
      </c>
      <c r="I483">
        <v>43</v>
      </c>
      <c r="J483">
        <v>36</v>
      </c>
      <c r="K483">
        <v>9</v>
      </c>
      <c r="L483">
        <v>88</v>
      </c>
      <c r="M483">
        <v>44</v>
      </c>
      <c r="N483">
        <f t="shared" si="7"/>
        <v>0</v>
      </c>
    </row>
    <row r="484" spans="1:14" x14ac:dyDescent="0.25">
      <c r="A484" s="1" t="s">
        <v>638</v>
      </c>
      <c r="B484" s="1" t="s">
        <v>395</v>
      </c>
      <c r="C484">
        <v>2</v>
      </c>
      <c r="D484">
        <v>6</v>
      </c>
      <c r="E484">
        <v>2</v>
      </c>
      <c r="F484">
        <v>2</v>
      </c>
      <c r="G484">
        <v>3</v>
      </c>
      <c r="H484">
        <v>3</v>
      </c>
      <c r="I484">
        <v>69</v>
      </c>
      <c r="J484">
        <v>17</v>
      </c>
      <c r="K484">
        <v>84</v>
      </c>
      <c r="L484">
        <v>87</v>
      </c>
      <c r="M484">
        <v>56</v>
      </c>
      <c r="N484">
        <f t="shared" si="7"/>
        <v>0</v>
      </c>
    </row>
    <row r="485" spans="1:14" x14ac:dyDescent="0.25">
      <c r="A485" s="1" t="s">
        <v>639</v>
      </c>
      <c r="B485" s="1" t="s">
        <v>34</v>
      </c>
      <c r="C485">
        <v>0</v>
      </c>
      <c r="D485">
        <v>6</v>
      </c>
      <c r="E485">
        <v>6</v>
      </c>
      <c r="F485">
        <v>3</v>
      </c>
      <c r="G485">
        <v>2</v>
      </c>
      <c r="H485">
        <v>5</v>
      </c>
      <c r="I485">
        <v>25</v>
      </c>
      <c r="J485">
        <v>23</v>
      </c>
      <c r="K485">
        <v>92</v>
      </c>
      <c r="L485">
        <v>37</v>
      </c>
      <c r="M485">
        <v>40</v>
      </c>
      <c r="N485">
        <f t="shared" si="7"/>
        <v>0</v>
      </c>
    </row>
    <row r="486" spans="1:14" x14ac:dyDescent="0.25">
      <c r="A486" s="1" t="s">
        <v>640</v>
      </c>
      <c r="B486" s="1" t="s">
        <v>249</v>
      </c>
      <c r="C486">
        <v>8</v>
      </c>
      <c r="D486">
        <v>4</v>
      </c>
      <c r="E486">
        <v>6</v>
      </c>
      <c r="F486">
        <v>4</v>
      </c>
      <c r="G486">
        <v>3</v>
      </c>
      <c r="H486">
        <v>2</v>
      </c>
      <c r="I486">
        <v>12</v>
      </c>
      <c r="J486">
        <v>56</v>
      </c>
      <c r="K486">
        <v>75</v>
      </c>
      <c r="L486">
        <v>76</v>
      </c>
      <c r="M486">
        <v>41</v>
      </c>
      <c r="N486">
        <f t="shared" si="7"/>
        <v>0</v>
      </c>
    </row>
    <row r="487" spans="1:14" x14ac:dyDescent="0.25">
      <c r="A487" s="1" t="s">
        <v>641</v>
      </c>
      <c r="B487" s="1" t="s">
        <v>222</v>
      </c>
      <c r="C487">
        <v>5</v>
      </c>
      <c r="D487">
        <v>2</v>
      </c>
      <c r="E487">
        <v>5</v>
      </c>
      <c r="F487">
        <v>6</v>
      </c>
      <c r="G487">
        <v>2</v>
      </c>
      <c r="H487">
        <v>5</v>
      </c>
      <c r="I487">
        <v>39</v>
      </c>
      <c r="J487">
        <v>77</v>
      </c>
      <c r="K487">
        <v>37</v>
      </c>
      <c r="L487">
        <v>72</v>
      </c>
      <c r="M487">
        <v>32</v>
      </c>
      <c r="N487">
        <f t="shared" si="7"/>
        <v>0</v>
      </c>
    </row>
    <row r="488" spans="1:14" x14ac:dyDescent="0.25">
      <c r="A488" s="1" t="s">
        <v>642</v>
      </c>
      <c r="B488" s="1" t="s">
        <v>43</v>
      </c>
      <c r="C488">
        <v>1</v>
      </c>
      <c r="D488">
        <v>3</v>
      </c>
      <c r="E488">
        <v>5</v>
      </c>
      <c r="F488">
        <v>6</v>
      </c>
      <c r="G488">
        <v>2</v>
      </c>
      <c r="H488">
        <v>5</v>
      </c>
      <c r="I488">
        <v>53</v>
      </c>
      <c r="J488">
        <v>25</v>
      </c>
      <c r="K488">
        <v>62</v>
      </c>
      <c r="L488">
        <v>74</v>
      </c>
      <c r="M488">
        <v>81</v>
      </c>
      <c r="N488">
        <f t="shared" si="7"/>
        <v>0</v>
      </c>
    </row>
    <row r="489" spans="1:14" x14ac:dyDescent="0.25">
      <c r="A489" s="1" t="s">
        <v>643</v>
      </c>
      <c r="B489" s="1" t="s">
        <v>72</v>
      </c>
      <c r="C489">
        <v>7</v>
      </c>
      <c r="D489">
        <v>6</v>
      </c>
      <c r="E489">
        <v>3</v>
      </c>
      <c r="F489">
        <v>6</v>
      </c>
      <c r="G489">
        <v>4</v>
      </c>
      <c r="H489">
        <v>2</v>
      </c>
      <c r="I489">
        <v>11</v>
      </c>
      <c r="J489">
        <v>8</v>
      </c>
      <c r="K489">
        <v>29</v>
      </c>
      <c r="L489">
        <v>7</v>
      </c>
      <c r="M489">
        <v>38</v>
      </c>
      <c r="N489">
        <f t="shared" si="7"/>
        <v>0</v>
      </c>
    </row>
    <row r="490" spans="1:14" x14ac:dyDescent="0.25">
      <c r="A490" s="1" t="s">
        <v>644</v>
      </c>
      <c r="B490" s="1" t="s">
        <v>145</v>
      </c>
      <c r="C490">
        <v>3</v>
      </c>
      <c r="D490">
        <v>4</v>
      </c>
      <c r="E490">
        <v>6</v>
      </c>
      <c r="F490">
        <v>4</v>
      </c>
      <c r="G490">
        <v>6</v>
      </c>
      <c r="H490">
        <v>2</v>
      </c>
      <c r="I490">
        <v>62</v>
      </c>
      <c r="J490">
        <v>31</v>
      </c>
      <c r="K490">
        <v>64</v>
      </c>
      <c r="L490">
        <v>1</v>
      </c>
      <c r="M490">
        <v>25</v>
      </c>
      <c r="N490">
        <f t="shared" si="7"/>
        <v>0</v>
      </c>
    </row>
    <row r="491" spans="1:14" x14ac:dyDescent="0.25">
      <c r="A491" s="1" t="s">
        <v>645</v>
      </c>
      <c r="B491" s="1" t="s">
        <v>646</v>
      </c>
      <c r="C491">
        <v>4</v>
      </c>
      <c r="D491">
        <v>4</v>
      </c>
      <c r="E491">
        <v>6</v>
      </c>
      <c r="F491">
        <v>3</v>
      </c>
      <c r="G491">
        <v>2</v>
      </c>
      <c r="H491">
        <v>3</v>
      </c>
      <c r="I491">
        <v>24</v>
      </c>
      <c r="J491">
        <v>33</v>
      </c>
      <c r="K491">
        <v>90</v>
      </c>
      <c r="L491">
        <v>28</v>
      </c>
      <c r="M491">
        <v>23</v>
      </c>
      <c r="N491">
        <f t="shared" si="7"/>
        <v>0</v>
      </c>
    </row>
    <row r="492" spans="1:14" x14ac:dyDescent="0.25">
      <c r="A492" s="1" t="s">
        <v>647</v>
      </c>
      <c r="B492" s="1" t="s">
        <v>32</v>
      </c>
      <c r="C492">
        <v>5</v>
      </c>
      <c r="D492">
        <v>6</v>
      </c>
      <c r="E492">
        <v>5</v>
      </c>
      <c r="F492">
        <v>6</v>
      </c>
      <c r="G492">
        <v>5</v>
      </c>
      <c r="H492">
        <v>4</v>
      </c>
      <c r="I492">
        <v>92</v>
      </c>
      <c r="J492">
        <v>67</v>
      </c>
      <c r="K492">
        <v>92</v>
      </c>
      <c r="L492">
        <v>79</v>
      </c>
      <c r="M492">
        <v>81</v>
      </c>
      <c r="N492">
        <f t="shared" si="7"/>
        <v>0</v>
      </c>
    </row>
    <row r="493" spans="1:14" x14ac:dyDescent="0.25">
      <c r="A493" s="1" t="s">
        <v>648</v>
      </c>
      <c r="B493" s="1" t="s">
        <v>649</v>
      </c>
      <c r="C493">
        <v>5</v>
      </c>
      <c r="D493">
        <v>3</v>
      </c>
      <c r="E493">
        <v>4</v>
      </c>
      <c r="F493">
        <v>2</v>
      </c>
      <c r="G493">
        <v>6</v>
      </c>
      <c r="H493">
        <v>6</v>
      </c>
      <c r="I493">
        <v>21</v>
      </c>
      <c r="J493">
        <v>40</v>
      </c>
      <c r="K493">
        <v>18</v>
      </c>
      <c r="L493">
        <v>81</v>
      </c>
      <c r="M493">
        <v>88</v>
      </c>
      <c r="N493">
        <f t="shared" si="7"/>
        <v>0</v>
      </c>
    </row>
    <row r="494" spans="1:14" x14ac:dyDescent="0.25">
      <c r="A494" s="1" t="s">
        <v>650</v>
      </c>
      <c r="B494" s="1" t="s">
        <v>651</v>
      </c>
      <c r="C494">
        <v>6</v>
      </c>
      <c r="D494">
        <v>2</v>
      </c>
      <c r="E494">
        <v>3</v>
      </c>
      <c r="F494">
        <v>6</v>
      </c>
      <c r="G494">
        <v>5</v>
      </c>
      <c r="H494">
        <v>4</v>
      </c>
      <c r="I494">
        <v>78</v>
      </c>
      <c r="J494">
        <v>1</v>
      </c>
      <c r="K494">
        <v>9</v>
      </c>
      <c r="L494">
        <v>33</v>
      </c>
      <c r="M494">
        <v>81</v>
      </c>
      <c r="N494">
        <f t="shared" si="7"/>
        <v>0</v>
      </c>
    </row>
    <row r="495" spans="1:14" x14ac:dyDescent="0.25">
      <c r="A495" s="1" t="s">
        <v>652</v>
      </c>
      <c r="B495" s="1" t="s">
        <v>239</v>
      </c>
      <c r="C495">
        <v>8</v>
      </c>
      <c r="D495">
        <v>2</v>
      </c>
      <c r="E495">
        <v>3</v>
      </c>
      <c r="F495">
        <v>4</v>
      </c>
      <c r="G495">
        <v>5</v>
      </c>
      <c r="H495">
        <v>4</v>
      </c>
      <c r="I495">
        <v>65</v>
      </c>
      <c r="J495">
        <v>19</v>
      </c>
      <c r="K495">
        <v>19</v>
      </c>
      <c r="L495">
        <v>8</v>
      </c>
      <c r="M495">
        <v>20</v>
      </c>
      <c r="N495">
        <f t="shared" si="7"/>
        <v>0</v>
      </c>
    </row>
    <row r="496" spans="1:14" x14ac:dyDescent="0.25">
      <c r="A496" s="1" t="s">
        <v>653</v>
      </c>
      <c r="B496" s="1" t="s">
        <v>340</v>
      </c>
      <c r="C496">
        <v>2</v>
      </c>
      <c r="D496">
        <v>2</v>
      </c>
      <c r="E496">
        <v>2</v>
      </c>
      <c r="F496">
        <v>5</v>
      </c>
      <c r="G496">
        <v>5</v>
      </c>
      <c r="H496">
        <v>4</v>
      </c>
      <c r="I496">
        <v>60</v>
      </c>
      <c r="J496">
        <v>79</v>
      </c>
      <c r="K496">
        <v>51</v>
      </c>
      <c r="L496">
        <v>40</v>
      </c>
      <c r="M496">
        <v>16</v>
      </c>
      <c r="N496">
        <f t="shared" si="7"/>
        <v>0</v>
      </c>
    </row>
    <row r="497" spans="1:14" x14ac:dyDescent="0.25">
      <c r="A497" s="1" t="s">
        <v>654</v>
      </c>
      <c r="B497" s="1" t="s">
        <v>340</v>
      </c>
      <c r="C497">
        <v>5</v>
      </c>
      <c r="D497">
        <v>2</v>
      </c>
      <c r="E497">
        <v>3</v>
      </c>
      <c r="F497">
        <v>3</v>
      </c>
      <c r="G497">
        <v>6</v>
      </c>
      <c r="H497">
        <v>3</v>
      </c>
      <c r="I497">
        <v>79</v>
      </c>
      <c r="J497">
        <v>21</v>
      </c>
      <c r="K497">
        <v>41</v>
      </c>
      <c r="L497">
        <v>39</v>
      </c>
      <c r="M497">
        <v>74</v>
      </c>
      <c r="N497">
        <f t="shared" si="7"/>
        <v>0</v>
      </c>
    </row>
    <row r="498" spans="1:14" x14ac:dyDescent="0.25">
      <c r="A498" s="1" t="s">
        <v>655</v>
      </c>
      <c r="B498" s="1" t="s">
        <v>38</v>
      </c>
      <c r="C498">
        <v>7</v>
      </c>
      <c r="D498">
        <v>2</v>
      </c>
      <c r="E498">
        <v>6</v>
      </c>
      <c r="F498">
        <v>6</v>
      </c>
      <c r="G498">
        <v>6</v>
      </c>
      <c r="H498">
        <v>5</v>
      </c>
      <c r="I498">
        <v>27</v>
      </c>
      <c r="J498">
        <v>93</v>
      </c>
      <c r="K498">
        <v>10</v>
      </c>
      <c r="L498">
        <v>43</v>
      </c>
      <c r="M498">
        <v>28</v>
      </c>
      <c r="N498">
        <f t="shared" si="7"/>
        <v>0</v>
      </c>
    </row>
    <row r="499" spans="1:14" x14ac:dyDescent="0.25">
      <c r="A499" s="1" t="s">
        <v>656</v>
      </c>
      <c r="B499" s="1" t="s">
        <v>119</v>
      </c>
      <c r="C499">
        <v>5</v>
      </c>
      <c r="D499">
        <v>4</v>
      </c>
      <c r="E499">
        <v>6</v>
      </c>
      <c r="F499">
        <v>5</v>
      </c>
      <c r="G499">
        <v>4</v>
      </c>
      <c r="H499">
        <v>4</v>
      </c>
      <c r="I499">
        <v>44</v>
      </c>
      <c r="J499">
        <v>95</v>
      </c>
      <c r="K499">
        <v>15</v>
      </c>
      <c r="L499">
        <v>66</v>
      </c>
      <c r="M499">
        <v>82</v>
      </c>
      <c r="N499">
        <f t="shared" si="7"/>
        <v>0</v>
      </c>
    </row>
    <row r="500" spans="1:14" x14ac:dyDescent="0.25">
      <c r="A500" s="1" t="s">
        <v>657</v>
      </c>
      <c r="B500" s="1" t="s">
        <v>340</v>
      </c>
      <c r="C500">
        <v>0</v>
      </c>
      <c r="D500">
        <v>6</v>
      </c>
      <c r="E500">
        <v>6</v>
      </c>
      <c r="F500">
        <v>2</v>
      </c>
      <c r="G500">
        <v>4</v>
      </c>
      <c r="H500">
        <v>3</v>
      </c>
      <c r="I500">
        <v>15</v>
      </c>
      <c r="J500">
        <v>15</v>
      </c>
      <c r="K500">
        <v>58</v>
      </c>
      <c r="L500">
        <v>15</v>
      </c>
      <c r="M500">
        <v>87</v>
      </c>
      <c r="N500">
        <f t="shared" si="7"/>
        <v>0</v>
      </c>
    </row>
    <row r="501" spans="1:14" x14ac:dyDescent="0.25">
      <c r="A501" s="1" t="s">
        <v>658</v>
      </c>
      <c r="B501" s="1" t="s">
        <v>16</v>
      </c>
      <c r="C501">
        <v>4</v>
      </c>
      <c r="D501">
        <v>6</v>
      </c>
      <c r="E501">
        <v>6</v>
      </c>
      <c r="F501">
        <v>3</v>
      </c>
      <c r="G501">
        <v>6</v>
      </c>
      <c r="H501">
        <v>2</v>
      </c>
      <c r="I501">
        <v>69</v>
      </c>
      <c r="J501">
        <v>78</v>
      </c>
      <c r="K501">
        <v>32</v>
      </c>
      <c r="L501">
        <v>73</v>
      </c>
      <c r="M501">
        <v>93</v>
      </c>
      <c r="N501">
        <f t="shared" si="7"/>
        <v>0</v>
      </c>
    </row>
    <row r="502" spans="1:14" x14ac:dyDescent="0.25">
      <c r="A502" s="1" t="s">
        <v>659</v>
      </c>
      <c r="B502" s="1" t="s">
        <v>660</v>
      </c>
      <c r="C502">
        <v>7</v>
      </c>
      <c r="D502">
        <v>3</v>
      </c>
      <c r="E502">
        <v>4</v>
      </c>
      <c r="F502">
        <v>6</v>
      </c>
      <c r="G502">
        <v>3</v>
      </c>
      <c r="H502">
        <v>6</v>
      </c>
      <c r="I502">
        <v>14</v>
      </c>
      <c r="J502">
        <v>42</v>
      </c>
      <c r="K502">
        <v>40</v>
      </c>
      <c r="L502">
        <v>48</v>
      </c>
      <c r="M502">
        <v>35</v>
      </c>
      <c r="N502">
        <f t="shared" si="7"/>
        <v>0</v>
      </c>
    </row>
    <row r="503" spans="1:14" x14ac:dyDescent="0.25">
      <c r="A503" s="1" t="s">
        <v>661</v>
      </c>
      <c r="B503" s="1" t="s">
        <v>83</v>
      </c>
      <c r="C503">
        <v>5</v>
      </c>
      <c r="D503">
        <v>2</v>
      </c>
      <c r="E503">
        <v>5</v>
      </c>
      <c r="F503">
        <v>6</v>
      </c>
      <c r="G503">
        <v>3</v>
      </c>
      <c r="H503">
        <v>3</v>
      </c>
      <c r="I503">
        <v>90</v>
      </c>
      <c r="J503">
        <v>70</v>
      </c>
      <c r="K503">
        <v>84</v>
      </c>
      <c r="L503">
        <v>62</v>
      </c>
      <c r="M503">
        <v>20</v>
      </c>
      <c r="N503">
        <f t="shared" si="7"/>
        <v>0</v>
      </c>
    </row>
    <row r="504" spans="1:14" x14ac:dyDescent="0.25">
      <c r="A504" s="1" t="s">
        <v>662</v>
      </c>
      <c r="B504" s="1" t="s">
        <v>355</v>
      </c>
      <c r="C504">
        <v>1</v>
      </c>
      <c r="D504">
        <v>6</v>
      </c>
      <c r="E504">
        <v>4</v>
      </c>
      <c r="F504">
        <v>3</v>
      </c>
      <c r="G504">
        <v>3</v>
      </c>
      <c r="H504">
        <v>6</v>
      </c>
      <c r="I504">
        <v>79</v>
      </c>
      <c r="J504">
        <v>71</v>
      </c>
      <c r="K504">
        <v>89</v>
      </c>
      <c r="L504">
        <v>26</v>
      </c>
      <c r="M504">
        <v>96</v>
      </c>
      <c r="N504">
        <f t="shared" si="7"/>
        <v>0</v>
      </c>
    </row>
    <row r="505" spans="1:14" x14ac:dyDescent="0.25">
      <c r="A505" s="1" t="s">
        <v>663</v>
      </c>
      <c r="B505" s="1" t="s">
        <v>369</v>
      </c>
      <c r="C505">
        <v>5</v>
      </c>
      <c r="D505">
        <v>5</v>
      </c>
      <c r="E505">
        <v>6</v>
      </c>
      <c r="F505">
        <v>3</v>
      </c>
      <c r="G505">
        <v>4</v>
      </c>
      <c r="H505">
        <v>2</v>
      </c>
      <c r="I505">
        <v>45</v>
      </c>
      <c r="J505">
        <v>46</v>
      </c>
      <c r="K505">
        <v>47</v>
      </c>
      <c r="L505">
        <v>70</v>
      </c>
      <c r="M505">
        <v>56</v>
      </c>
      <c r="N505">
        <f t="shared" si="7"/>
        <v>0</v>
      </c>
    </row>
    <row r="506" spans="1:14" x14ac:dyDescent="0.25">
      <c r="A506" s="1" t="s">
        <v>235</v>
      </c>
      <c r="B506" s="1" t="s">
        <v>311</v>
      </c>
      <c r="C506">
        <v>6</v>
      </c>
      <c r="D506">
        <v>5</v>
      </c>
      <c r="E506">
        <v>6</v>
      </c>
      <c r="F506">
        <v>6</v>
      </c>
      <c r="G506">
        <v>5</v>
      </c>
      <c r="H506">
        <v>3</v>
      </c>
      <c r="I506">
        <v>100</v>
      </c>
      <c r="J506">
        <v>44</v>
      </c>
      <c r="K506">
        <v>54</v>
      </c>
      <c r="L506">
        <v>75</v>
      </c>
      <c r="M506">
        <v>64</v>
      </c>
      <c r="N506">
        <f t="shared" si="7"/>
        <v>0</v>
      </c>
    </row>
    <row r="507" spans="1:14" x14ac:dyDescent="0.25">
      <c r="A507" s="1" t="s">
        <v>211</v>
      </c>
      <c r="B507" s="1" t="s">
        <v>78</v>
      </c>
      <c r="C507">
        <v>5</v>
      </c>
      <c r="D507">
        <v>6</v>
      </c>
      <c r="E507">
        <v>5</v>
      </c>
      <c r="F507">
        <v>2</v>
      </c>
      <c r="G507">
        <v>2</v>
      </c>
      <c r="H507">
        <v>2</v>
      </c>
      <c r="I507">
        <v>74</v>
      </c>
      <c r="J507">
        <v>70</v>
      </c>
      <c r="K507">
        <v>43</v>
      </c>
      <c r="L507">
        <v>43</v>
      </c>
      <c r="M507">
        <v>37</v>
      </c>
      <c r="N507">
        <f t="shared" si="7"/>
        <v>0</v>
      </c>
    </row>
    <row r="508" spans="1:14" x14ac:dyDescent="0.25">
      <c r="A508" s="1" t="s">
        <v>664</v>
      </c>
      <c r="B508" s="1" t="s">
        <v>665</v>
      </c>
      <c r="C508">
        <v>8</v>
      </c>
      <c r="D508">
        <v>3</v>
      </c>
      <c r="E508">
        <v>3</v>
      </c>
      <c r="F508">
        <v>4</v>
      </c>
      <c r="G508">
        <v>5</v>
      </c>
      <c r="H508">
        <v>5</v>
      </c>
      <c r="I508">
        <v>78</v>
      </c>
      <c r="J508">
        <v>45</v>
      </c>
      <c r="K508">
        <v>23</v>
      </c>
      <c r="L508">
        <v>91</v>
      </c>
      <c r="M508">
        <v>58</v>
      </c>
      <c r="N508">
        <f t="shared" si="7"/>
        <v>0</v>
      </c>
    </row>
    <row r="509" spans="1:14" x14ac:dyDescent="0.25">
      <c r="A509" s="1" t="s">
        <v>666</v>
      </c>
      <c r="B509" s="1" t="s">
        <v>34</v>
      </c>
      <c r="C509">
        <v>4</v>
      </c>
      <c r="D509">
        <v>5</v>
      </c>
      <c r="E509">
        <v>3</v>
      </c>
      <c r="F509">
        <v>6</v>
      </c>
      <c r="G509">
        <v>6</v>
      </c>
      <c r="H509">
        <v>3</v>
      </c>
      <c r="I509">
        <v>23</v>
      </c>
      <c r="J509">
        <v>16</v>
      </c>
      <c r="K509">
        <v>85</v>
      </c>
      <c r="L509">
        <v>82</v>
      </c>
      <c r="M509">
        <v>75</v>
      </c>
      <c r="N509">
        <f t="shared" si="7"/>
        <v>0</v>
      </c>
    </row>
    <row r="510" spans="1:14" x14ac:dyDescent="0.25">
      <c r="A510" s="1" t="s">
        <v>667</v>
      </c>
      <c r="B510" s="1" t="s">
        <v>203</v>
      </c>
      <c r="C510">
        <v>1</v>
      </c>
      <c r="D510">
        <v>2</v>
      </c>
      <c r="E510">
        <v>5</v>
      </c>
      <c r="F510">
        <v>2</v>
      </c>
      <c r="G510">
        <v>6</v>
      </c>
      <c r="H510">
        <v>6</v>
      </c>
      <c r="I510">
        <v>62</v>
      </c>
      <c r="J510">
        <v>89</v>
      </c>
      <c r="K510">
        <v>20</v>
      </c>
      <c r="L510">
        <v>56</v>
      </c>
      <c r="M510">
        <v>80</v>
      </c>
      <c r="N510">
        <f t="shared" si="7"/>
        <v>0</v>
      </c>
    </row>
    <row r="511" spans="1:14" x14ac:dyDescent="0.25">
      <c r="A511" s="1" t="s">
        <v>668</v>
      </c>
      <c r="B511" s="1" t="s">
        <v>83</v>
      </c>
      <c r="C511">
        <v>6</v>
      </c>
      <c r="D511">
        <v>6</v>
      </c>
      <c r="E511">
        <v>5</v>
      </c>
      <c r="F511">
        <v>6</v>
      </c>
      <c r="G511">
        <v>2</v>
      </c>
      <c r="H511">
        <v>4</v>
      </c>
      <c r="I511">
        <v>22</v>
      </c>
      <c r="J511">
        <v>29</v>
      </c>
      <c r="K511">
        <v>31</v>
      </c>
      <c r="L511">
        <v>9</v>
      </c>
      <c r="M511">
        <v>56</v>
      </c>
      <c r="N511">
        <f t="shared" si="7"/>
        <v>0</v>
      </c>
    </row>
    <row r="512" spans="1:14" x14ac:dyDescent="0.25">
      <c r="A512" s="1" t="s">
        <v>669</v>
      </c>
      <c r="B512" s="1" t="s">
        <v>540</v>
      </c>
      <c r="C512">
        <v>8</v>
      </c>
      <c r="D512">
        <v>3</v>
      </c>
      <c r="E512">
        <v>4</v>
      </c>
      <c r="F512">
        <v>5</v>
      </c>
      <c r="G512">
        <v>2</v>
      </c>
      <c r="H512">
        <v>4</v>
      </c>
      <c r="I512">
        <v>30</v>
      </c>
      <c r="J512">
        <v>10</v>
      </c>
      <c r="K512">
        <v>78</v>
      </c>
      <c r="L512">
        <v>57</v>
      </c>
      <c r="M512">
        <v>67</v>
      </c>
      <c r="N512">
        <f t="shared" si="7"/>
        <v>0</v>
      </c>
    </row>
    <row r="513" spans="1:14" x14ac:dyDescent="0.25">
      <c r="A513" s="1" t="s">
        <v>670</v>
      </c>
      <c r="B513" s="1" t="s">
        <v>302</v>
      </c>
      <c r="C513">
        <v>7</v>
      </c>
      <c r="D513">
        <v>6</v>
      </c>
      <c r="E513">
        <v>4</v>
      </c>
      <c r="F513">
        <v>6</v>
      </c>
      <c r="G513">
        <v>2</v>
      </c>
      <c r="H513">
        <v>2</v>
      </c>
      <c r="I513">
        <v>29</v>
      </c>
      <c r="J513">
        <v>64</v>
      </c>
      <c r="K513">
        <v>39</v>
      </c>
      <c r="L513">
        <v>62</v>
      </c>
      <c r="M513">
        <v>1</v>
      </c>
      <c r="N513">
        <f t="shared" si="7"/>
        <v>0</v>
      </c>
    </row>
    <row r="514" spans="1:14" x14ac:dyDescent="0.25">
      <c r="A514" s="1" t="s">
        <v>671</v>
      </c>
      <c r="B514" s="1" t="s">
        <v>101</v>
      </c>
      <c r="C514">
        <v>3</v>
      </c>
      <c r="D514">
        <v>2</v>
      </c>
      <c r="E514">
        <v>2</v>
      </c>
      <c r="F514">
        <v>3</v>
      </c>
      <c r="G514">
        <v>5</v>
      </c>
      <c r="H514">
        <v>4</v>
      </c>
      <c r="I514">
        <v>32</v>
      </c>
      <c r="J514">
        <v>80</v>
      </c>
      <c r="K514">
        <v>47</v>
      </c>
      <c r="L514">
        <v>98</v>
      </c>
      <c r="M514">
        <v>30</v>
      </c>
      <c r="N514">
        <f t="shared" si="7"/>
        <v>0</v>
      </c>
    </row>
    <row r="515" spans="1:14" x14ac:dyDescent="0.25">
      <c r="A515" s="1" t="s">
        <v>269</v>
      </c>
      <c r="B515" s="1" t="s">
        <v>171</v>
      </c>
      <c r="C515">
        <v>3</v>
      </c>
      <c r="D515">
        <v>5</v>
      </c>
      <c r="E515">
        <v>2</v>
      </c>
      <c r="F515">
        <v>3</v>
      </c>
      <c r="G515">
        <v>2</v>
      </c>
      <c r="H515">
        <v>6</v>
      </c>
      <c r="I515">
        <v>81</v>
      </c>
      <c r="J515">
        <v>8</v>
      </c>
      <c r="K515">
        <v>48</v>
      </c>
      <c r="L515">
        <v>7</v>
      </c>
      <c r="M515">
        <v>21</v>
      </c>
      <c r="N515">
        <f t="shared" si="7"/>
        <v>0</v>
      </c>
    </row>
  </sheetData>
  <autoFilter ref="R17:S29" xr:uid="{00000000-0001-0000-0000-000000000000}">
    <sortState xmlns:xlrd2="http://schemas.microsoft.com/office/spreadsheetml/2017/richdata2" ref="R18:S29">
      <sortCondition ref="R17:R29"/>
    </sortState>
  </autoFilter>
  <mergeCells count="1">
    <mergeCell ref="T18:T22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D95F-E3F3-46C6-8904-4926BD877FB8}">
  <dimension ref="A1:V515"/>
  <sheetViews>
    <sheetView topLeftCell="E512" zoomScale="130" zoomScaleNormal="130" workbookViewId="0">
      <selection sqref="A1:V515"/>
    </sheetView>
  </sheetViews>
  <sheetFormatPr defaultRowHeight="15" x14ac:dyDescent="0.25"/>
  <cols>
    <col min="1" max="1" width="14.85546875" bestFit="1" customWidth="1"/>
    <col min="2" max="2" width="12.140625" bestFit="1" customWidth="1"/>
    <col min="14" max="14" width="18" bestFit="1" customWidth="1"/>
    <col min="15" max="15" width="21.28515625" bestFit="1" customWidth="1"/>
    <col min="16" max="16" width="13" customWidth="1"/>
    <col min="17" max="17" width="14" customWidth="1"/>
    <col min="21" max="21" width="36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674</v>
      </c>
      <c r="O1" t="s">
        <v>675</v>
      </c>
      <c r="P1" t="s">
        <v>678</v>
      </c>
      <c r="Q1" t="s">
        <v>679</v>
      </c>
    </row>
    <row r="2" spans="1:22" x14ac:dyDescent="0.25">
      <c r="A2" s="1" t="s">
        <v>13</v>
      </c>
      <c r="B2" s="1" t="s">
        <v>14</v>
      </c>
      <c r="C2">
        <v>0</v>
      </c>
      <c r="D2">
        <v>4</v>
      </c>
      <c r="E2">
        <v>4</v>
      </c>
      <c r="F2">
        <v>5</v>
      </c>
      <c r="G2">
        <v>6</v>
      </c>
      <c r="H2">
        <v>6</v>
      </c>
      <c r="I2">
        <v>62</v>
      </c>
      <c r="J2">
        <v>13</v>
      </c>
      <c r="K2">
        <v>26</v>
      </c>
      <c r="L2">
        <v>67</v>
      </c>
      <c r="M2">
        <v>62</v>
      </c>
      <c r="N2">
        <f t="shared" ref="N2:N65" si="0">I2/10 + J2/10 + K2/10 + L2/10 + M2/10</f>
        <v>23</v>
      </c>
      <c r="O2" cm="1">
        <f t="array" ref="O2">SUM(_xlfn.XLOOKUP(E2:H2, $V$13:$V$17, $U$13:$U$17))</f>
        <v>34</v>
      </c>
      <c r="P2">
        <f t="shared" ref="P2:P65" si="1">IF(D2=6,C2+2,C2)</f>
        <v>0</v>
      </c>
      <c r="Q2" s="1">
        <f t="shared" ref="Q2:Q65" si="2">SUM(N2:P2)</f>
        <v>57</v>
      </c>
    </row>
    <row r="3" spans="1:22" x14ac:dyDescent="0.25">
      <c r="A3" s="1" t="s">
        <v>15</v>
      </c>
      <c r="B3" s="1" t="s">
        <v>16</v>
      </c>
      <c r="C3">
        <v>7</v>
      </c>
      <c r="D3">
        <v>4</v>
      </c>
      <c r="E3">
        <v>4</v>
      </c>
      <c r="F3">
        <v>2</v>
      </c>
      <c r="G3">
        <v>5</v>
      </c>
      <c r="H3">
        <v>6</v>
      </c>
      <c r="I3">
        <v>90</v>
      </c>
      <c r="J3">
        <v>8</v>
      </c>
      <c r="K3">
        <v>21</v>
      </c>
      <c r="L3">
        <v>52</v>
      </c>
      <c r="M3">
        <v>33</v>
      </c>
      <c r="N3">
        <f t="shared" si="0"/>
        <v>20.400000000000002</v>
      </c>
      <c r="O3" cm="1">
        <f t="array" ref="O3">SUM(_xlfn.XLOOKUP(E3:H3, $V$13:$V$17, $U$13:$U$17))</f>
        <v>24</v>
      </c>
      <c r="P3">
        <f t="shared" si="1"/>
        <v>7</v>
      </c>
      <c r="Q3" s="1">
        <f t="shared" si="2"/>
        <v>51.400000000000006</v>
      </c>
    </row>
    <row r="4" spans="1:22" x14ac:dyDescent="0.25">
      <c r="A4" s="1" t="s">
        <v>17</v>
      </c>
      <c r="B4" s="1" t="s">
        <v>18</v>
      </c>
      <c r="C4">
        <v>7</v>
      </c>
      <c r="D4">
        <v>4</v>
      </c>
      <c r="E4">
        <v>4</v>
      </c>
      <c r="F4">
        <v>6</v>
      </c>
      <c r="G4">
        <v>6</v>
      </c>
      <c r="H4">
        <v>5</v>
      </c>
      <c r="I4">
        <v>96</v>
      </c>
      <c r="J4">
        <v>99</v>
      </c>
      <c r="K4">
        <v>16</v>
      </c>
      <c r="L4">
        <v>85</v>
      </c>
      <c r="M4">
        <v>65</v>
      </c>
      <c r="N4">
        <f t="shared" si="0"/>
        <v>36.1</v>
      </c>
      <c r="O4" cm="1">
        <f t="array" ref="O4">SUM(_xlfn.XLOOKUP(E4:H4, $V$13:$V$17, $U$13:$U$17))</f>
        <v>34</v>
      </c>
      <c r="P4">
        <f t="shared" si="1"/>
        <v>7</v>
      </c>
      <c r="Q4" s="1">
        <f t="shared" si="2"/>
        <v>77.099999999999994</v>
      </c>
    </row>
    <row r="5" spans="1:22" x14ac:dyDescent="0.25">
      <c r="A5" s="1" t="s">
        <v>19</v>
      </c>
      <c r="B5" s="1" t="s">
        <v>20</v>
      </c>
      <c r="C5">
        <v>8</v>
      </c>
      <c r="D5">
        <v>6</v>
      </c>
      <c r="E5">
        <v>4</v>
      </c>
      <c r="F5">
        <v>4</v>
      </c>
      <c r="G5">
        <v>3</v>
      </c>
      <c r="H5">
        <v>5</v>
      </c>
      <c r="I5">
        <v>17</v>
      </c>
      <c r="J5">
        <v>100</v>
      </c>
      <c r="K5">
        <v>100</v>
      </c>
      <c r="L5">
        <v>100</v>
      </c>
      <c r="M5">
        <v>31</v>
      </c>
      <c r="N5">
        <f t="shared" si="0"/>
        <v>34.799999999999997</v>
      </c>
      <c r="O5" cm="1">
        <f t="array" ref="O5">SUM(_xlfn.XLOOKUP(E5:H5, $V$13:$V$17, $U$13:$U$17))</f>
        <v>24</v>
      </c>
      <c r="P5">
        <f t="shared" si="1"/>
        <v>10</v>
      </c>
      <c r="Q5" s="1">
        <f t="shared" si="2"/>
        <v>68.8</v>
      </c>
    </row>
    <row r="6" spans="1:22" x14ac:dyDescent="0.25">
      <c r="A6" s="1" t="s">
        <v>21</v>
      </c>
      <c r="B6" s="1" t="s">
        <v>18</v>
      </c>
      <c r="C6">
        <v>5</v>
      </c>
      <c r="D6">
        <v>4</v>
      </c>
      <c r="E6">
        <v>2</v>
      </c>
      <c r="F6">
        <v>4</v>
      </c>
      <c r="G6">
        <v>5</v>
      </c>
      <c r="H6">
        <v>4</v>
      </c>
      <c r="I6">
        <v>20</v>
      </c>
      <c r="J6">
        <v>28</v>
      </c>
      <c r="K6">
        <v>58</v>
      </c>
      <c r="L6">
        <v>86</v>
      </c>
      <c r="M6">
        <v>48</v>
      </c>
      <c r="N6">
        <f t="shared" si="0"/>
        <v>24</v>
      </c>
      <c r="O6" cm="1">
        <f t="array" ref="O6">SUM(_xlfn.XLOOKUP(E6:H6, $V$13:$V$17, $U$13:$U$17))</f>
        <v>20</v>
      </c>
      <c r="P6">
        <f t="shared" si="1"/>
        <v>5</v>
      </c>
      <c r="Q6" s="1">
        <f t="shared" si="2"/>
        <v>49</v>
      </c>
    </row>
    <row r="7" spans="1:22" x14ac:dyDescent="0.25">
      <c r="A7" s="1" t="s">
        <v>22</v>
      </c>
      <c r="B7" s="1" t="s">
        <v>23</v>
      </c>
      <c r="C7">
        <v>7</v>
      </c>
      <c r="D7">
        <v>3</v>
      </c>
      <c r="E7">
        <v>2</v>
      </c>
      <c r="F7">
        <v>2</v>
      </c>
      <c r="G7">
        <v>2</v>
      </c>
      <c r="H7">
        <v>3</v>
      </c>
      <c r="I7">
        <v>77</v>
      </c>
      <c r="J7">
        <v>10</v>
      </c>
      <c r="K7">
        <v>11</v>
      </c>
      <c r="L7">
        <v>72</v>
      </c>
      <c r="M7">
        <v>78</v>
      </c>
      <c r="N7">
        <f t="shared" si="0"/>
        <v>24.8</v>
      </c>
      <c r="O7" cm="1">
        <f t="array" ref="O7">SUM(_xlfn.XLOOKUP(E7:H7, $V$13:$V$17, $U$13:$U$17))</f>
        <v>4</v>
      </c>
      <c r="P7">
        <f t="shared" si="1"/>
        <v>7</v>
      </c>
      <c r="Q7" s="1">
        <f t="shared" si="2"/>
        <v>35.799999999999997</v>
      </c>
    </row>
    <row r="8" spans="1:22" x14ac:dyDescent="0.25">
      <c r="A8" s="1" t="s">
        <v>24</v>
      </c>
      <c r="B8" s="1" t="s">
        <v>23</v>
      </c>
      <c r="C8">
        <v>8</v>
      </c>
      <c r="D8">
        <v>6</v>
      </c>
      <c r="E8">
        <v>6</v>
      </c>
      <c r="F8">
        <v>5</v>
      </c>
      <c r="G8">
        <v>5</v>
      </c>
      <c r="H8">
        <v>2</v>
      </c>
      <c r="I8">
        <v>75</v>
      </c>
      <c r="J8">
        <v>25</v>
      </c>
      <c r="K8">
        <v>5</v>
      </c>
      <c r="L8">
        <v>3</v>
      </c>
      <c r="M8">
        <v>58</v>
      </c>
      <c r="N8">
        <f t="shared" si="0"/>
        <v>16.600000000000001</v>
      </c>
      <c r="O8" cm="1">
        <f t="array" ref="O8">SUM(_xlfn.XLOOKUP(E8:H8, $V$13:$V$17, $U$13:$U$17))</f>
        <v>26</v>
      </c>
      <c r="P8">
        <f t="shared" si="1"/>
        <v>10</v>
      </c>
      <c r="Q8" s="1">
        <f t="shared" si="2"/>
        <v>52.6</v>
      </c>
    </row>
    <row r="9" spans="1:22" x14ac:dyDescent="0.25">
      <c r="A9" s="1" t="s">
        <v>25</v>
      </c>
      <c r="B9" s="1" t="s">
        <v>26</v>
      </c>
      <c r="C9">
        <v>6</v>
      </c>
      <c r="D9">
        <v>6</v>
      </c>
      <c r="E9">
        <v>2</v>
      </c>
      <c r="F9">
        <v>5</v>
      </c>
      <c r="G9">
        <v>5</v>
      </c>
      <c r="H9">
        <v>3</v>
      </c>
      <c r="I9">
        <v>12</v>
      </c>
      <c r="J9">
        <v>17</v>
      </c>
      <c r="K9">
        <v>14</v>
      </c>
      <c r="L9">
        <v>4</v>
      </c>
      <c r="M9">
        <v>3</v>
      </c>
      <c r="N9">
        <f t="shared" si="0"/>
        <v>5</v>
      </c>
      <c r="O9" cm="1">
        <f t="array" ref="O9">SUM(_xlfn.XLOOKUP(E9:H9, $V$13:$V$17, $U$13:$U$17))</f>
        <v>20</v>
      </c>
      <c r="P9">
        <f t="shared" si="1"/>
        <v>8</v>
      </c>
      <c r="Q9" s="1">
        <f t="shared" si="2"/>
        <v>33</v>
      </c>
    </row>
    <row r="10" spans="1:22" x14ac:dyDescent="0.25">
      <c r="A10" s="1" t="s">
        <v>27</v>
      </c>
      <c r="B10" s="1" t="s">
        <v>28</v>
      </c>
      <c r="C10">
        <v>1</v>
      </c>
      <c r="D10">
        <v>6</v>
      </c>
      <c r="E10">
        <v>6</v>
      </c>
      <c r="F10">
        <v>2</v>
      </c>
      <c r="G10">
        <v>3</v>
      </c>
      <c r="H10">
        <v>6</v>
      </c>
      <c r="I10">
        <v>1</v>
      </c>
      <c r="J10">
        <v>3</v>
      </c>
      <c r="K10">
        <v>69</v>
      </c>
      <c r="L10">
        <v>89</v>
      </c>
      <c r="M10">
        <v>10</v>
      </c>
      <c r="N10">
        <f t="shared" si="0"/>
        <v>17.200000000000003</v>
      </c>
      <c r="O10" cm="1">
        <f t="array" ref="O10">SUM(_xlfn.XLOOKUP(E10:H10, $V$13:$V$17, $U$13:$U$17))</f>
        <v>24</v>
      </c>
      <c r="P10">
        <f t="shared" si="1"/>
        <v>3</v>
      </c>
      <c r="Q10" s="1">
        <f t="shared" si="2"/>
        <v>44.2</v>
      </c>
    </row>
    <row r="11" spans="1:22" x14ac:dyDescent="0.25">
      <c r="A11" s="1" t="s">
        <v>29</v>
      </c>
      <c r="B11" s="1" t="s">
        <v>30</v>
      </c>
      <c r="C11">
        <v>0</v>
      </c>
      <c r="D11">
        <v>5</v>
      </c>
      <c r="E11">
        <v>3</v>
      </c>
      <c r="F11">
        <v>6</v>
      </c>
      <c r="G11">
        <v>6</v>
      </c>
      <c r="H11">
        <v>4</v>
      </c>
      <c r="I11">
        <v>28</v>
      </c>
      <c r="J11">
        <v>53</v>
      </c>
      <c r="K11">
        <v>38</v>
      </c>
      <c r="L11">
        <v>63</v>
      </c>
      <c r="M11">
        <v>70</v>
      </c>
      <c r="N11">
        <f t="shared" si="0"/>
        <v>25.2</v>
      </c>
      <c r="O11" cm="1">
        <f t="array" ref="O11">SUM(_xlfn.XLOOKUP(E11:H11, $V$13:$V$17, $U$13:$U$17))</f>
        <v>30</v>
      </c>
      <c r="P11">
        <f t="shared" si="1"/>
        <v>0</v>
      </c>
      <c r="Q11" s="1">
        <f t="shared" si="2"/>
        <v>55.2</v>
      </c>
    </row>
    <row r="12" spans="1:22" x14ac:dyDescent="0.25">
      <c r="A12" s="1" t="s">
        <v>31</v>
      </c>
      <c r="B12" s="1" t="s">
        <v>32</v>
      </c>
      <c r="C12">
        <v>4</v>
      </c>
      <c r="D12">
        <v>3</v>
      </c>
      <c r="E12">
        <v>3</v>
      </c>
      <c r="F12">
        <v>6</v>
      </c>
      <c r="G12">
        <v>6</v>
      </c>
      <c r="H12">
        <v>2</v>
      </c>
      <c r="I12">
        <v>77</v>
      </c>
      <c r="J12">
        <v>8</v>
      </c>
      <c r="K12">
        <v>71</v>
      </c>
      <c r="L12">
        <v>88</v>
      </c>
      <c r="M12">
        <v>41</v>
      </c>
      <c r="N12">
        <f t="shared" si="0"/>
        <v>28.5</v>
      </c>
      <c r="O12" cm="1">
        <f t="array" ref="O12">SUM(_xlfn.XLOOKUP(E12:H12, $V$13:$V$17, $U$13:$U$17))</f>
        <v>24</v>
      </c>
      <c r="P12">
        <f t="shared" si="1"/>
        <v>4</v>
      </c>
      <c r="Q12" s="1">
        <f t="shared" si="2"/>
        <v>56.5</v>
      </c>
      <c r="U12" t="s">
        <v>676</v>
      </c>
      <c r="V12" t="s">
        <v>677</v>
      </c>
    </row>
    <row r="13" spans="1:22" x14ac:dyDescent="0.25">
      <c r="A13" s="1" t="s">
        <v>33</v>
      </c>
      <c r="B13" s="1" t="s">
        <v>34</v>
      </c>
      <c r="C13">
        <v>4</v>
      </c>
      <c r="D13">
        <v>6</v>
      </c>
      <c r="E13">
        <v>5</v>
      </c>
      <c r="F13">
        <v>6</v>
      </c>
      <c r="G13">
        <v>3</v>
      </c>
      <c r="H13">
        <v>6</v>
      </c>
      <c r="I13">
        <v>83</v>
      </c>
      <c r="J13">
        <v>27</v>
      </c>
      <c r="K13">
        <v>79</v>
      </c>
      <c r="L13">
        <v>20</v>
      </c>
      <c r="M13">
        <v>43</v>
      </c>
      <c r="N13">
        <f t="shared" si="0"/>
        <v>25.2</v>
      </c>
      <c r="O13" cm="1">
        <f t="array" ref="O13">SUM(_xlfn.XLOOKUP(E13:H13, $V$13:$V$17, $U$13:$U$17))</f>
        <v>32</v>
      </c>
      <c r="P13">
        <f t="shared" si="1"/>
        <v>6</v>
      </c>
      <c r="Q13" s="1">
        <f t="shared" si="2"/>
        <v>63.2</v>
      </c>
      <c r="U13">
        <v>0</v>
      </c>
      <c r="V13">
        <v>2</v>
      </c>
    </row>
    <row r="14" spans="1:22" x14ac:dyDescent="0.25">
      <c r="A14" s="1" t="s">
        <v>35</v>
      </c>
      <c r="B14" s="1" t="s">
        <v>36</v>
      </c>
      <c r="C14">
        <v>1</v>
      </c>
      <c r="D14">
        <v>3</v>
      </c>
      <c r="E14">
        <v>6</v>
      </c>
      <c r="F14">
        <v>3</v>
      </c>
      <c r="G14">
        <v>3</v>
      </c>
      <c r="H14">
        <v>2</v>
      </c>
      <c r="I14">
        <v>16</v>
      </c>
      <c r="J14">
        <v>43</v>
      </c>
      <c r="K14">
        <v>92</v>
      </c>
      <c r="L14">
        <v>54</v>
      </c>
      <c r="M14">
        <v>27</v>
      </c>
      <c r="N14">
        <f t="shared" si="0"/>
        <v>23.2</v>
      </c>
      <c r="O14" cm="1">
        <f t="array" ref="O14">SUM(_xlfn.XLOOKUP(E14:H14, $V$13:$V$17, $U$13:$U$17))</f>
        <v>18</v>
      </c>
      <c r="P14">
        <f t="shared" si="1"/>
        <v>1</v>
      </c>
      <c r="Q14" s="1">
        <f t="shared" si="2"/>
        <v>42.2</v>
      </c>
      <c r="U14">
        <v>4</v>
      </c>
      <c r="V14">
        <v>3</v>
      </c>
    </row>
    <row r="15" spans="1:22" x14ac:dyDescent="0.25">
      <c r="A15" s="1" t="s">
        <v>37</v>
      </c>
      <c r="B15" s="1" t="s">
        <v>38</v>
      </c>
      <c r="C15">
        <v>6</v>
      </c>
      <c r="D15">
        <v>6</v>
      </c>
      <c r="E15">
        <v>5</v>
      </c>
      <c r="F15">
        <v>3</v>
      </c>
      <c r="G15">
        <v>2</v>
      </c>
      <c r="H15">
        <v>6</v>
      </c>
      <c r="I15">
        <v>11</v>
      </c>
      <c r="J15">
        <v>36</v>
      </c>
      <c r="K15">
        <v>4</v>
      </c>
      <c r="L15">
        <v>41</v>
      </c>
      <c r="M15">
        <v>62</v>
      </c>
      <c r="N15">
        <f t="shared" si="0"/>
        <v>15.399999999999999</v>
      </c>
      <c r="O15" cm="1">
        <f t="array" ref="O15">SUM(_xlfn.XLOOKUP(E15:H15, $V$13:$V$17, $U$13:$U$17))</f>
        <v>22</v>
      </c>
      <c r="P15">
        <f t="shared" si="1"/>
        <v>8</v>
      </c>
      <c r="Q15" s="1">
        <f t="shared" si="2"/>
        <v>45.4</v>
      </c>
      <c r="U15">
        <v>6</v>
      </c>
      <c r="V15">
        <v>4</v>
      </c>
    </row>
    <row r="16" spans="1:22" x14ac:dyDescent="0.25">
      <c r="A16" s="1" t="s">
        <v>39</v>
      </c>
      <c r="B16" s="1" t="s">
        <v>38</v>
      </c>
      <c r="C16">
        <v>5</v>
      </c>
      <c r="D16">
        <v>2</v>
      </c>
      <c r="E16">
        <v>4</v>
      </c>
      <c r="F16">
        <v>2</v>
      </c>
      <c r="G16">
        <v>3</v>
      </c>
      <c r="H16">
        <v>5</v>
      </c>
      <c r="I16">
        <v>80</v>
      </c>
      <c r="J16">
        <v>75</v>
      </c>
      <c r="K16">
        <v>60</v>
      </c>
      <c r="L16">
        <v>54</v>
      </c>
      <c r="M16">
        <v>69</v>
      </c>
      <c r="N16">
        <f t="shared" si="0"/>
        <v>33.799999999999997</v>
      </c>
      <c r="O16" cm="1">
        <f t="array" ref="O16">SUM(_xlfn.XLOOKUP(E16:H16, $V$13:$V$17, $U$13:$U$17))</f>
        <v>18</v>
      </c>
      <c r="P16">
        <f t="shared" si="1"/>
        <v>5</v>
      </c>
      <c r="Q16" s="1">
        <f t="shared" si="2"/>
        <v>56.8</v>
      </c>
      <c r="U16">
        <v>8</v>
      </c>
      <c r="V16">
        <v>5</v>
      </c>
    </row>
    <row r="17" spans="1:22" x14ac:dyDescent="0.25">
      <c r="A17" s="1" t="s">
        <v>40</v>
      </c>
      <c r="B17" s="1" t="s">
        <v>41</v>
      </c>
      <c r="C17">
        <v>8</v>
      </c>
      <c r="D17">
        <v>6</v>
      </c>
      <c r="E17">
        <v>4</v>
      </c>
      <c r="F17">
        <v>3</v>
      </c>
      <c r="G17">
        <v>4</v>
      </c>
      <c r="H17">
        <v>5</v>
      </c>
      <c r="I17">
        <v>22</v>
      </c>
      <c r="J17">
        <v>46</v>
      </c>
      <c r="K17">
        <v>36</v>
      </c>
      <c r="L17">
        <v>35</v>
      </c>
      <c r="M17">
        <v>91</v>
      </c>
      <c r="N17">
        <f t="shared" si="0"/>
        <v>23</v>
      </c>
      <c r="O17" cm="1">
        <f t="array" ref="O17">SUM(_xlfn.XLOOKUP(E17:H17, $V$13:$V$17, $U$13:$U$17))</f>
        <v>24</v>
      </c>
      <c r="P17">
        <f t="shared" si="1"/>
        <v>10</v>
      </c>
      <c r="Q17" s="1">
        <f t="shared" si="2"/>
        <v>57</v>
      </c>
      <c r="U17">
        <v>10</v>
      </c>
      <c r="V17">
        <v>6</v>
      </c>
    </row>
    <row r="18" spans="1:22" x14ac:dyDescent="0.25">
      <c r="A18" s="1" t="s">
        <v>42</v>
      </c>
      <c r="B18" s="1" t="s">
        <v>43</v>
      </c>
      <c r="C18">
        <v>2</v>
      </c>
      <c r="D18">
        <v>5</v>
      </c>
      <c r="E18">
        <v>3</v>
      </c>
      <c r="F18">
        <v>5</v>
      </c>
      <c r="G18">
        <v>6</v>
      </c>
      <c r="H18">
        <v>3</v>
      </c>
      <c r="I18">
        <v>47</v>
      </c>
      <c r="J18">
        <v>30</v>
      </c>
      <c r="K18">
        <v>2</v>
      </c>
      <c r="L18">
        <v>45</v>
      </c>
      <c r="M18">
        <v>76</v>
      </c>
      <c r="N18">
        <f t="shared" si="0"/>
        <v>20</v>
      </c>
      <c r="O18" cm="1">
        <f t="array" ref="O18">SUM(_xlfn.XLOOKUP(E18:H18, $V$13:$V$17, $U$13:$U$17))</f>
        <v>26</v>
      </c>
      <c r="P18">
        <f t="shared" si="1"/>
        <v>2</v>
      </c>
      <c r="Q18" s="1">
        <f t="shared" si="2"/>
        <v>48</v>
      </c>
    </row>
    <row r="19" spans="1:22" x14ac:dyDescent="0.25">
      <c r="A19" s="1" t="s">
        <v>44</v>
      </c>
      <c r="B19" s="1" t="s">
        <v>45</v>
      </c>
      <c r="C19">
        <v>8</v>
      </c>
      <c r="D19">
        <v>4</v>
      </c>
      <c r="E19">
        <v>3</v>
      </c>
      <c r="F19">
        <v>4</v>
      </c>
      <c r="G19">
        <v>6</v>
      </c>
      <c r="H19">
        <v>2</v>
      </c>
      <c r="I19">
        <v>23</v>
      </c>
      <c r="J19">
        <v>49</v>
      </c>
      <c r="K19">
        <v>16</v>
      </c>
      <c r="L19">
        <v>3</v>
      </c>
      <c r="M19">
        <v>81</v>
      </c>
      <c r="N19">
        <f t="shared" si="0"/>
        <v>17.200000000000003</v>
      </c>
      <c r="O19" cm="1">
        <f t="array" ref="O19">SUM(_xlfn.XLOOKUP(E19:H19, $V$13:$V$17, $U$13:$U$17))</f>
        <v>20</v>
      </c>
      <c r="P19">
        <f t="shared" si="1"/>
        <v>8</v>
      </c>
      <c r="Q19" s="1">
        <f t="shared" si="2"/>
        <v>45.2</v>
      </c>
    </row>
    <row r="20" spans="1:22" x14ac:dyDescent="0.25">
      <c r="A20" s="1" t="s">
        <v>46</v>
      </c>
      <c r="B20" s="1" t="s">
        <v>16</v>
      </c>
      <c r="C20">
        <v>1</v>
      </c>
      <c r="D20">
        <v>6</v>
      </c>
      <c r="E20">
        <v>6</v>
      </c>
      <c r="F20">
        <v>6</v>
      </c>
      <c r="G20">
        <v>3</v>
      </c>
      <c r="H20">
        <v>2</v>
      </c>
      <c r="I20">
        <v>14</v>
      </c>
      <c r="J20">
        <v>20</v>
      </c>
      <c r="K20">
        <v>14</v>
      </c>
      <c r="L20">
        <v>64</v>
      </c>
      <c r="M20">
        <v>55</v>
      </c>
      <c r="N20">
        <f t="shared" si="0"/>
        <v>16.7</v>
      </c>
      <c r="O20" cm="1">
        <f t="array" ref="O20">SUM(_xlfn.XLOOKUP(E20:H20, $V$13:$V$17, $U$13:$U$17))</f>
        <v>24</v>
      </c>
      <c r="P20">
        <f t="shared" si="1"/>
        <v>3</v>
      </c>
      <c r="Q20" s="1">
        <f t="shared" si="2"/>
        <v>43.7</v>
      </c>
    </row>
    <row r="21" spans="1:22" x14ac:dyDescent="0.25">
      <c r="A21" s="1" t="s">
        <v>47</v>
      </c>
      <c r="B21" s="1" t="s">
        <v>48</v>
      </c>
      <c r="C21">
        <v>5</v>
      </c>
      <c r="D21">
        <v>4</v>
      </c>
      <c r="E21">
        <v>3</v>
      </c>
      <c r="F21">
        <v>3</v>
      </c>
      <c r="G21">
        <v>3</v>
      </c>
      <c r="H21">
        <v>6</v>
      </c>
      <c r="I21">
        <v>98</v>
      </c>
      <c r="J21">
        <v>48</v>
      </c>
      <c r="K21">
        <v>6</v>
      </c>
      <c r="L21">
        <v>70</v>
      </c>
      <c r="M21">
        <v>6</v>
      </c>
      <c r="N21">
        <f t="shared" si="0"/>
        <v>22.800000000000004</v>
      </c>
      <c r="O21" cm="1">
        <f t="array" ref="O21">SUM(_xlfn.XLOOKUP(E21:H21, $V$13:$V$17, $U$13:$U$17))</f>
        <v>22</v>
      </c>
      <c r="P21">
        <f t="shared" si="1"/>
        <v>5</v>
      </c>
      <c r="Q21" s="1">
        <f t="shared" si="2"/>
        <v>49.800000000000004</v>
      </c>
      <c r="U21" t="s">
        <v>680</v>
      </c>
      <c r="V21" s="1" cm="1">
        <f t="array" ref="V21">_xlfn.MODE.SNGL(ROUND(Q2:Q515, 1))</f>
        <v>55.6</v>
      </c>
    </row>
    <row r="22" spans="1:22" x14ac:dyDescent="0.25">
      <c r="A22" s="1" t="s">
        <v>49</v>
      </c>
      <c r="B22" s="1" t="s">
        <v>38</v>
      </c>
      <c r="C22">
        <v>3</v>
      </c>
      <c r="D22">
        <v>3</v>
      </c>
      <c r="E22">
        <v>2</v>
      </c>
      <c r="F22">
        <v>3</v>
      </c>
      <c r="G22">
        <v>3</v>
      </c>
      <c r="H22">
        <v>2</v>
      </c>
      <c r="I22">
        <v>38</v>
      </c>
      <c r="J22">
        <v>71</v>
      </c>
      <c r="K22">
        <v>35</v>
      </c>
      <c r="L22">
        <v>95</v>
      </c>
      <c r="M22">
        <v>84</v>
      </c>
      <c r="N22">
        <f t="shared" si="0"/>
        <v>32.299999999999997</v>
      </c>
      <c r="O22" cm="1">
        <f t="array" ref="O22">SUM(_xlfn.XLOOKUP(E22:H22, $V$13:$V$17, $U$13:$U$17))</f>
        <v>8</v>
      </c>
      <c r="P22">
        <f t="shared" si="1"/>
        <v>3</v>
      </c>
      <c r="Q22" s="1">
        <f t="shared" si="2"/>
        <v>43.3</v>
      </c>
    </row>
    <row r="23" spans="1:22" x14ac:dyDescent="0.25">
      <c r="A23" s="1" t="s">
        <v>50</v>
      </c>
      <c r="B23" s="1" t="s">
        <v>51</v>
      </c>
      <c r="C23">
        <v>7</v>
      </c>
      <c r="D23">
        <v>4</v>
      </c>
      <c r="E23">
        <v>6</v>
      </c>
      <c r="F23">
        <v>4</v>
      </c>
      <c r="G23">
        <v>6</v>
      </c>
      <c r="H23">
        <v>5</v>
      </c>
      <c r="I23">
        <v>95</v>
      </c>
      <c r="J23">
        <v>100</v>
      </c>
      <c r="K23">
        <v>100</v>
      </c>
      <c r="L23">
        <v>40</v>
      </c>
      <c r="M23">
        <v>100</v>
      </c>
      <c r="N23">
        <f t="shared" si="0"/>
        <v>43.5</v>
      </c>
      <c r="O23" cm="1">
        <f t="array" ref="O23">SUM(_xlfn.XLOOKUP(E23:H23, $V$13:$V$17, $U$13:$U$17))</f>
        <v>34</v>
      </c>
      <c r="P23">
        <f t="shared" si="1"/>
        <v>7</v>
      </c>
      <c r="Q23" s="1">
        <f t="shared" si="2"/>
        <v>84.5</v>
      </c>
    </row>
    <row r="24" spans="1:22" x14ac:dyDescent="0.25">
      <c r="A24" s="1" t="s">
        <v>52</v>
      </c>
      <c r="B24" s="1" t="s">
        <v>53</v>
      </c>
      <c r="C24">
        <v>7</v>
      </c>
      <c r="D24">
        <v>2</v>
      </c>
      <c r="E24">
        <v>4</v>
      </c>
      <c r="F24">
        <v>5</v>
      </c>
      <c r="G24">
        <v>3</v>
      </c>
      <c r="H24">
        <v>4</v>
      </c>
      <c r="I24">
        <v>59</v>
      </c>
      <c r="J24">
        <v>14</v>
      </c>
      <c r="K24">
        <v>99</v>
      </c>
      <c r="L24">
        <v>4</v>
      </c>
      <c r="M24">
        <v>3</v>
      </c>
      <c r="N24">
        <f t="shared" si="0"/>
        <v>17.900000000000002</v>
      </c>
      <c r="O24" cm="1">
        <f t="array" ref="O24">SUM(_xlfn.XLOOKUP(E24:H24, $V$13:$V$17, $U$13:$U$17))</f>
        <v>24</v>
      </c>
      <c r="P24">
        <f t="shared" si="1"/>
        <v>7</v>
      </c>
      <c r="Q24" s="1">
        <f t="shared" si="2"/>
        <v>48.900000000000006</v>
      </c>
    </row>
    <row r="25" spans="1:22" x14ac:dyDescent="0.25">
      <c r="A25" s="1" t="s">
        <v>54</v>
      </c>
      <c r="B25" s="1" t="s">
        <v>55</v>
      </c>
      <c r="C25">
        <v>3</v>
      </c>
      <c r="D25">
        <v>3</v>
      </c>
      <c r="E25">
        <v>5</v>
      </c>
      <c r="F25">
        <v>5</v>
      </c>
      <c r="G25">
        <v>2</v>
      </c>
      <c r="H25">
        <v>6</v>
      </c>
      <c r="I25">
        <v>26</v>
      </c>
      <c r="J25">
        <v>14</v>
      </c>
      <c r="K25">
        <v>18</v>
      </c>
      <c r="L25">
        <v>96</v>
      </c>
      <c r="M25">
        <v>41</v>
      </c>
      <c r="N25">
        <f t="shared" si="0"/>
        <v>19.5</v>
      </c>
      <c r="O25" cm="1">
        <f t="array" ref="O25">SUM(_xlfn.XLOOKUP(E25:H25, $V$13:$V$17, $U$13:$U$17))</f>
        <v>26</v>
      </c>
      <c r="P25">
        <f t="shared" si="1"/>
        <v>3</v>
      </c>
      <c r="Q25" s="1">
        <f t="shared" si="2"/>
        <v>48.5</v>
      </c>
    </row>
    <row r="26" spans="1:22" x14ac:dyDescent="0.25">
      <c r="A26" s="1" t="s">
        <v>56</v>
      </c>
      <c r="B26" s="1" t="s">
        <v>38</v>
      </c>
      <c r="C26">
        <v>8</v>
      </c>
      <c r="D26">
        <v>6</v>
      </c>
      <c r="E26">
        <v>3</v>
      </c>
      <c r="F26">
        <v>4</v>
      </c>
      <c r="G26">
        <v>2</v>
      </c>
      <c r="H26">
        <v>4</v>
      </c>
      <c r="I26">
        <v>8</v>
      </c>
      <c r="J26">
        <v>78</v>
      </c>
      <c r="K26">
        <v>64</v>
      </c>
      <c r="L26">
        <v>10</v>
      </c>
      <c r="M26">
        <v>55</v>
      </c>
      <c r="N26">
        <f t="shared" si="0"/>
        <v>21.5</v>
      </c>
      <c r="O26" cm="1">
        <f t="array" ref="O26">SUM(_xlfn.XLOOKUP(E26:H26, $V$13:$V$17, $U$13:$U$17))</f>
        <v>16</v>
      </c>
      <c r="P26">
        <f t="shared" si="1"/>
        <v>10</v>
      </c>
      <c r="Q26" s="1">
        <f t="shared" si="2"/>
        <v>47.5</v>
      </c>
    </row>
    <row r="27" spans="1:22" x14ac:dyDescent="0.25">
      <c r="A27" s="1" t="s">
        <v>57</v>
      </c>
      <c r="B27" s="1" t="s">
        <v>58</v>
      </c>
      <c r="C27">
        <v>3</v>
      </c>
      <c r="D27">
        <v>5</v>
      </c>
      <c r="E27">
        <v>2</v>
      </c>
      <c r="F27">
        <v>4</v>
      </c>
      <c r="G27">
        <v>3</v>
      </c>
      <c r="H27">
        <v>6</v>
      </c>
      <c r="I27">
        <v>41</v>
      </c>
      <c r="J27">
        <v>37</v>
      </c>
      <c r="K27">
        <v>5</v>
      </c>
      <c r="L27">
        <v>34</v>
      </c>
      <c r="M27">
        <v>93</v>
      </c>
      <c r="N27">
        <f t="shared" si="0"/>
        <v>21</v>
      </c>
      <c r="O27" cm="1">
        <f t="array" ref="O27">SUM(_xlfn.XLOOKUP(E27:H27, $V$13:$V$17, $U$13:$U$17))</f>
        <v>20</v>
      </c>
      <c r="P27">
        <f t="shared" si="1"/>
        <v>3</v>
      </c>
      <c r="Q27" s="1">
        <f t="shared" si="2"/>
        <v>44</v>
      </c>
    </row>
    <row r="28" spans="1:22" x14ac:dyDescent="0.25">
      <c r="A28" s="1" t="s">
        <v>59</v>
      </c>
      <c r="B28" s="1" t="s">
        <v>16</v>
      </c>
      <c r="C28">
        <v>4</v>
      </c>
      <c r="D28">
        <v>6</v>
      </c>
      <c r="E28">
        <v>4</v>
      </c>
      <c r="F28">
        <v>3</v>
      </c>
      <c r="G28">
        <v>2</v>
      </c>
      <c r="H28">
        <v>3</v>
      </c>
      <c r="I28">
        <v>60</v>
      </c>
      <c r="J28">
        <v>7</v>
      </c>
      <c r="K28">
        <v>97</v>
      </c>
      <c r="L28">
        <v>80</v>
      </c>
      <c r="M28">
        <v>43</v>
      </c>
      <c r="N28">
        <f t="shared" si="0"/>
        <v>28.7</v>
      </c>
      <c r="O28" cm="1">
        <f t="array" ref="O28">SUM(_xlfn.XLOOKUP(E28:H28, $V$13:$V$17, $U$13:$U$17))</f>
        <v>14</v>
      </c>
      <c r="P28">
        <f t="shared" si="1"/>
        <v>6</v>
      </c>
      <c r="Q28" s="1">
        <f t="shared" si="2"/>
        <v>48.7</v>
      </c>
    </row>
    <row r="29" spans="1:22" x14ac:dyDescent="0.25">
      <c r="A29" s="1" t="s">
        <v>60</v>
      </c>
      <c r="B29" s="1" t="s">
        <v>61</v>
      </c>
      <c r="C29">
        <v>1</v>
      </c>
      <c r="D29">
        <v>4</v>
      </c>
      <c r="E29">
        <v>5</v>
      </c>
      <c r="F29">
        <v>4</v>
      </c>
      <c r="G29">
        <v>2</v>
      </c>
      <c r="H29">
        <v>5</v>
      </c>
      <c r="I29">
        <v>53</v>
      </c>
      <c r="J29">
        <v>18</v>
      </c>
      <c r="K29">
        <v>94</v>
      </c>
      <c r="L29">
        <v>99</v>
      </c>
      <c r="M29">
        <v>76</v>
      </c>
      <c r="N29">
        <f t="shared" si="0"/>
        <v>34</v>
      </c>
      <c r="O29" cm="1">
        <f t="array" ref="O29">SUM(_xlfn.XLOOKUP(E29:H29, $V$13:$V$17, $U$13:$U$17))</f>
        <v>22</v>
      </c>
      <c r="P29">
        <f t="shared" si="1"/>
        <v>1</v>
      </c>
      <c r="Q29" s="1">
        <f t="shared" si="2"/>
        <v>57</v>
      </c>
    </row>
    <row r="30" spans="1:22" x14ac:dyDescent="0.25">
      <c r="A30" s="1" t="s">
        <v>62</v>
      </c>
      <c r="B30" s="1" t="s">
        <v>38</v>
      </c>
      <c r="C30">
        <v>5</v>
      </c>
      <c r="D30">
        <v>3</v>
      </c>
      <c r="E30">
        <v>3</v>
      </c>
      <c r="F30">
        <v>4</v>
      </c>
      <c r="G30">
        <v>6</v>
      </c>
      <c r="H30">
        <v>6</v>
      </c>
      <c r="I30">
        <v>84</v>
      </c>
      <c r="J30">
        <v>87</v>
      </c>
      <c r="K30">
        <v>96</v>
      </c>
      <c r="L30">
        <v>8</v>
      </c>
      <c r="M30">
        <v>17</v>
      </c>
      <c r="N30">
        <f t="shared" si="0"/>
        <v>29.200000000000003</v>
      </c>
      <c r="O30" cm="1">
        <f t="array" ref="O30">SUM(_xlfn.XLOOKUP(E30:H30, $V$13:$V$17, $U$13:$U$17))</f>
        <v>30</v>
      </c>
      <c r="P30">
        <f t="shared" si="1"/>
        <v>5</v>
      </c>
      <c r="Q30" s="1">
        <f t="shared" si="2"/>
        <v>64.2</v>
      </c>
    </row>
    <row r="31" spans="1:22" x14ac:dyDescent="0.25">
      <c r="A31" s="1" t="s">
        <v>63</v>
      </c>
      <c r="B31" s="1" t="s">
        <v>64</v>
      </c>
      <c r="C31">
        <v>2</v>
      </c>
      <c r="D31">
        <v>3</v>
      </c>
      <c r="E31">
        <v>5</v>
      </c>
      <c r="F31">
        <v>2</v>
      </c>
      <c r="G31">
        <v>2</v>
      </c>
      <c r="H31">
        <v>5</v>
      </c>
      <c r="I31">
        <v>6</v>
      </c>
      <c r="J31">
        <v>43</v>
      </c>
      <c r="K31">
        <v>53</v>
      </c>
      <c r="L31">
        <v>71</v>
      </c>
      <c r="M31">
        <v>3</v>
      </c>
      <c r="N31">
        <f t="shared" si="0"/>
        <v>17.599999999999998</v>
      </c>
      <c r="O31" cm="1">
        <f t="array" ref="O31">SUM(_xlfn.XLOOKUP(E31:H31, $V$13:$V$17, $U$13:$U$17))</f>
        <v>16</v>
      </c>
      <c r="P31">
        <f t="shared" si="1"/>
        <v>2</v>
      </c>
      <c r="Q31" s="1">
        <f t="shared" si="2"/>
        <v>35.599999999999994</v>
      </c>
    </row>
    <row r="32" spans="1:22" x14ac:dyDescent="0.25">
      <c r="A32" s="1" t="s">
        <v>65</v>
      </c>
      <c r="B32" s="1" t="s">
        <v>66</v>
      </c>
      <c r="C32">
        <v>0</v>
      </c>
      <c r="D32">
        <v>2</v>
      </c>
      <c r="E32">
        <v>6</v>
      </c>
      <c r="F32">
        <v>5</v>
      </c>
      <c r="G32">
        <v>6</v>
      </c>
      <c r="H32">
        <v>3</v>
      </c>
      <c r="I32">
        <v>89</v>
      </c>
      <c r="J32">
        <v>40</v>
      </c>
      <c r="K32">
        <v>28</v>
      </c>
      <c r="L32">
        <v>32</v>
      </c>
      <c r="M32">
        <v>47</v>
      </c>
      <c r="N32">
        <f t="shared" si="0"/>
        <v>23.599999999999998</v>
      </c>
      <c r="O32" cm="1">
        <f t="array" ref="O32">SUM(_xlfn.XLOOKUP(E32:H32, $V$13:$V$17, $U$13:$U$17))</f>
        <v>32</v>
      </c>
      <c r="P32">
        <f t="shared" si="1"/>
        <v>0</v>
      </c>
      <c r="Q32" s="1">
        <f t="shared" si="2"/>
        <v>55.599999999999994</v>
      </c>
    </row>
    <row r="33" spans="1:17" x14ac:dyDescent="0.25">
      <c r="A33" s="1" t="s">
        <v>67</v>
      </c>
      <c r="B33" s="1" t="s">
        <v>68</v>
      </c>
      <c r="C33">
        <v>0</v>
      </c>
      <c r="D33">
        <v>5</v>
      </c>
      <c r="E33">
        <v>6</v>
      </c>
      <c r="F33">
        <v>4</v>
      </c>
      <c r="G33">
        <v>4</v>
      </c>
      <c r="H33">
        <v>2</v>
      </c>
      <c r="I33">
        <v>22</v>
      </c>
      <c r="J33">
        <v>9</v>
      </c>
      <c r="K33">
        <v>1</v>
      </c>
      <c r="L33">
        <v>76</v>
      </c>
      <c r="M33">
        <v>28</v>
      </c>
      <c r="N33">
        <f t="shared" si="0"/>
        <v>13.600000000000001</v>
      </c>
      <c r="O33" cm="1">
        <f t="array" ref="O33">SUM(_xlfn.XLOOKUP(E33:H33, $V$13:$V$17, $U$13:$U$17))</f>
        <v>22</v>
      </c>
      <c r="P33">
        <f t="shared" si="1"/>
        <v>0</v>
      </c>
      <c r="Q33" s="1">
        <f t="shared" si="2"/>
        <v>35.6</v>
      </c>
    </row>
    <row r="34" spans="1:17" x14ac:dyDescent="0.25">
      <c r="A34" s="1" t="s">
        <v>69</v>
      </c>
      <c r="B34" s="1" t="s">
        <v>70</v>
      </c>
      <c r="C34">
        <v>6</v>
      </c>
      <c r="D34">
        <v>3</v>
      </c>
      <c r="E34">
        <v>2</v>
      </c>
      <c r="F34">
        <v>2</v>
      </c>
      <c r="G34">
        <v>2</v>
      </c>
      <c r="H34">
        <v>4</v>
      </c>
      <c r="I34">
        <v>82</v>
      </c>
      <c r="J34">
        <v>95</v>
      </c>
      <c r="K34">
        <v>8</v>
      </c>
      <c r="L34">
        <v>46</v>
      </c>
      <c r="M34">
        <v>76</v>
      </c>
      <c r="N34">
        <f t="shared" si="0"/>
        <v>30.700000000000003</v>
      </c>
      <c r="O34" cm="1">
        <f t="array" ref="O34">SUM(_xlfn.XLOOKUP(E34:H34, $V$13:$V$17, $U$13:$U$17))</f>
        <v>6</v>
      </c>
      <c r="P34">
        <f t="shared" si="1"/>
        <v>6</v>
      </c>
      <c r="Q34" s="1">
        <f t="shared" si="2"/>
        <v>42.7</v>
      </c>
    </row>
    <row r="35" spans="1:17" x14ac:dyDescent="0.25">
      <c r="A35" s="1" t="s">
        <v>71</v>
      </c>
      <c r="B35" s="1" t="s">
        <v>72</v>
      </c>
      <c r="C35">
        <v>7</v>
      </c>
      <c r="D35">
        <v>3</v>
      </c>
      <c r="E35">
        <v>2</v>
      </c>
      <c r="F35">
        <v>4</v>
      </c>
      <c r="G35">
        <v>4</v>
      </c>
      <c r="H35">
        <v>2</v>
      </c>
      <c r="I35">
        <v>67</v>
      </c>
      <c r="J35">
        <v>26</v>
      </c>
      <c r="K35">
        <v>50</v>
      </c>
      <c r="L35">
        <v>90</v>
      </c>
      <c r="M35">
        <v>34</v>
      </c>
      <c r="N35">
        <f t="shared" si="0"/>
        <v>26.7</v>
      </c>
      <c r="O35" cm="1">
        <f t="array" ref="O35">SUM(_xlfn.XLOOKUP(E35:H35, $V$13:$V$17, $U$13:$U$17))</f>
        <v>12</v>
      </c>
      <c r="P35">
        <f t="shared" si="1"/>
        <v>7</v>
      </c>
      <c r="Q35" s="1">
        <f t="shared" si="2"/>
        <v>45.7</v>
      </c>
    </row>
    <row r="36" spans="1:17" x14ac:dyDescent="0.25">
      <c r="A36" s="1" t="s">
        <v>73</v>
      </c>
      <c r="B36" s="1" t="s">
        <v>74</v>
      </c>
      <c r="C36">
        <v>2</v>
      </c>
      <c r="D36">
        <v>2</v>
      </c>
      <c r="E36">
        <v>6</v>
      </c>
      <c r="F36">
        <v>5</v>
      </c>
      <c r="G36">
        <v>4</v>
      </c>
      <c r="H36">
        <v>5</v>
      </c>
      <c r="I36">
        <v>34</v>
      </c>
      <c r="J36">
        <v>59</v>
      </c>
      <c r="K36">
        <v>59</v>
      </c>
      <c r="L36">
        <v>7</v>
      </c>
      <c r="M36">
        <v>1</v>
      </c>
      <c r="N36">
        <f t="shared" si="0"/>
        <v>16</v>
      </c>
      <c r="O36" cm="1">
        <f t="array" ref="O36">SUM(_xlfn.XLOOKUP(E36:H36, $V$13:$V$17, $U$13:$U$17))</f>
        <v>32</v>
      </c>
      <c r="P36">
        <f t="shared" si="1"/>
        <v>2</v>
      </c>
      <c r="Q36" s="1">
        <f t="shared" si="2"/>
        <v>50</v>
      </c>
    </row>
    <row r="37" spans="1:17" x14ac:dyDescent="0.25">
      <c r="A37" s="1" t="s">
        <v>75</v>
      </c>
      <c r="B37" s="1" t="s">
        <v>76</v>
      </c>
      <c r="C37">
        <v>4</v>
      </c>
      <c r="D37">
        <v>6</v>
      </c>
      <c r="E37">
        <v>5</v>
      </c>
      <c r="F37">
        <v>5</v>
      </c>
      <c r="G37">
        <v>6</v>
      </c>
      <c r="H37">
        <v>4</v>
      </c>
      <c r="I37">
        <v>56</v>
      </c>
      <c r="J37">
        <v>75</v>
      </c>
      <c r="K37">
        <v>51</v>
      </c>
      <c r="L37">
        <v>47</v>
      </c>
      <c r="M37">
        <v>71</v>
      </c>
      <c r="N37">
        <f t="shared" si="0"/>
        <v>30</v>
      </c>
      <c r="O37" cm="1">
        <f t="array" ref="O37">SUM(_xlfn.XLOOKUP(E37:H37, $V$13:$V$17, $U$13:$U$17))</f>
        <v>32</v>
      </c>
      <c r="P37">
        <f t="shared" si="1"/>
        <v>6</v>
      </c>
      <c r="Q37" s="1">
        <f t="shared" si="2"/>
        <v>68</v>
      </c>
    </row>
    <row r="38" spans="1:17" x14ac:dyDescent="0.25">
      <c r="A38" s="1" t="s">
        <v>77</v>
      </c>
      <c r="B38" s="1" t="s">
        <v>78</v>
      </c>
      <c r="C38">
        <v>6</v>
      </c>
      <c r="D38">
        <v>4</v>
      </c>
      <c r="E38">
        <v>5</v>
      </c>
      <c r="F38">
        <v>5</v>
      </c>
      <c r="G38">
        <v>5</v>
      </c>
      <c r="H38">
        <v>4</v>
      </c>
      <c r="I38">
        <v>70</v>
      </c>
      <c r="J38">
        <v>71</v>
      </c>
      <c r="K38">
        <v>27</v>
      </c>
      <c r="L38">
        <v>77</v>
      </c>
      <c r="M38">
        <v>13</v>
      </c>
      <c r="N38">
        <f t="shared" si="0"/>
        <v>25.8</v>
      </c>
      <c r="O38" cm="1">
        <f t="array" ref="O38">SUM(_xlfn.XLOOKUP(E38:H38, $V$13:$V$17, $U$13:$U$17))</f>
        <v>30</v>
      </c>
      <c r="P38">
        <f t="shared" si="1"/>
        <v>6</v>
      </c>
      <c r="Q38" s="1">
        <f t="shared" si="2"/>
        <v>61.8</v>
      </c>
    </row>
    <row r="39" spans="1:17" x14ac:dyDescent="0.25">
      <c r="A39" s="1" t="s">
        <v>79</v>
      </c>
      <c r="B39" s="1" t="s">
        <v>80</v>
      </c>
      <c r="C39">
        <v>2</v>
      </c>
      <c r="D39">
        <v>2</v>
      </c>
      <c r="E39">
        <v>4</v>
      </c>
      <c r="F39">
        <v>4</v>
      </c>
      <c r="G39">
        <v>4</v>
      </c>
      <c r="H39">
        <v>6</v>
      </c>
      <c r="I39">
        <v>30</v>
      </c>
      <c r="J39">
        <v>55</v>
      </c>
      <c r="K39">
        <v>59</v>
      </c>
      <c r="L39">
        <v>77</v>
      </c>
      <c r="M39">
        <v>58</v>
      </c>
      <c r="N39">
        <f t="shared" si="0"/>
        <v>27.900000000000002</v>
      </c>
      <c r="O39" cm="1">
        <f t="array" ref="O39">SUM(_xlfn.XLOOKUP(E39:H39, $V$13:$V$17, $U$13:$U$17))</f>
        <v>28</v>
      </c>
      <c r="P39">
        <f t="shared" si="1"/>
        <v>2</v>
      </c>
      <c r="Q39" s="1">
        <f t="shared" si="2"/>
        <v>57.900000000000006</v>
      </c>
    </row>
    <row r="40" spans="1:17" x14ac:dyDescent="0.25">
      <c r="A40" s="1" t="s">
        <v>81</v>
      </c>
      <c r="B40" s="1" t="s">
        <v>38</v>
      </c>
      <c r="C40">
        <v>5</v>
      </c>
      <c r="D40">
        <v>6</v>
      </c>
      <c r="E40">
        <v>6</v>
      </c>
      <c r="F40">
        <v>6</v>
      </c>
      <c r="G40">
        <v>5</v>
      </c>
      <c r="H40">
        <v>5</v>
      </c>
      <c r="I40">
        <v>57</v>
      </c>
      <c r="J40">
        <v>22</v>
      </c>
      <c r="K40">
        <v>16</v>
      </c>
      <c r="L40">
        <v>20</v>
      </c>
      <c r="M40">
        <v>67</v>
      </c>
      <c r="N40">
        <f t="shared" si="0"/>
        <v>18.2</v>
      </c>
      <c r="O40" cm="1">
        <f t="array" ref="O40">SUM(_xlfn.XLOOKUP(E40:H40, $V$13:$V$17, $U$13:$U$17))</f>
        <v>36</v>
      </c>
      <c r="P40">
        <f t="shared" si="1"/>
        <v>7</v>
      </c>
      <c r="Q40" s="1">
        <f t="shared" si="2"/>
        <v>61.2</v>
      </c>
    </row>
    <row r="41" spans="1:17" x14ac:dyDescent="0.25">
      <c r="A41" s="1" t="s">
        <v>82</v>
      </c>
      <c r="B41" s="1" t="s">
        <v>83</v>
      </c>
      <c r="C41">
        <v>6</v>
      </c>
      <c r="D41">
        <v>2</v>
      </c>
      <c r="E41">
        <v>5</v>
      </c>
      <c r="F41">
        <v>3</v>
      </c>
      <c r="G41">
        <v>3</v>
      </c>
      <c r="H41">
        <v>6</v>
      </c>
      <c r="I41">
        <v>67</v>
      </c>
      <c r="J41">
        <v>98</v>
      </c>
      <c r="K41">
        <v>28</v>
      </c>
      <c r="L41">
        <v>6</v>
      </c>
      <c r="M41">
        <v>20</v>
      </c>
      <c r="N41">
        <f t="shared" si="0"/>
        <v>21.900000000000002</v>
      </c>
      <c r="O41" cm="1">
        <f t="array" ref="O41">SUM(_xlfn.XLOOKUP(E41:H41, $V$13:$V$17, $U$13:$U$17))</f>
        <v>26</v>
      </c>
      <c r="P41">
        <f t="shared" si="1"/>
        <v>6</v>
      </c>
      <c r="Q41" s="1">
        <f t="shared" si="2"/>
        <v>53.900000000000006</v>
      </c>
    </row>
    <row r="42" spans="1:17" x14ac:dyDescent="0.25">
      <c r="A42" s="1" t="s">
        <v>84</v>
      </c>
      <c r="B42" s="1" t="s">
        <v>38</v>
      </c>
      <c r="C42">
        <v>7</v>
      </c>
      <c r="D42">
        <v>4</v>
      </c>
      <c r="E42">
        <v>6</v>
      </c>
      <c r="F42">
        <v>4</v>
      </c>
      <c r="G42">
        <v>3</v>
      </c>
      <c r="H42">
        <v>3</v>
      </c>
      <c r="I42">
        <v>12</v>
      </c>
      <c r="J42">
        <v>86</v>
      </c>
      <c r="K42">
        <v>61</v>
      </c>
      <c r="L42">
        <v>94</v>
      </c>
      <c r="M42">
        <v>74</v>
      </c>
      <c r="N42">
        <f t="shared" si="0"/>
        <v>32.699999999999996</v>
      </c>
      <c r="O42" cm="1">
        <f t="array" ref="O42">SUM(_xlfn.XLOOKUP(E42:H42, $V$13:$V$17, $U$13:$U$17))</f>
        <v>24</v>
      </c>
      <c r="P42">
        <f t="shared" si="1"/>
        <v>7</v>
      </c>
      <c r="Q42" s="1">
        <f t="shared" si="2"/>
        <v>63.699999999999996</v>
      </c>
    </row>
    <row r="43" spans="1:17" x14ac:dyDescent="0.25">
      <c r="A43" s="1" t="s">
        <v>46</v>
      </c>
      <c r="B43" s="1" t="s">
        <v>16</v>
      </c>
      <c r="C43">
        <v>0</v>
      </c>
      <c r="D43">
        <v>3</v>
      </c>
      <c r="E43">
        <v>4</v>
      </c>
      <c r="F43">
        <v>3</v>
      </c>
      <c r="G43">
        <v>5</v>
      </c>
      <c r="H43">
        <v>2</v>
      </c>
      <c r="I43">
        <v>82</v>
      </c>
      <c r="J43">
        <v>70</v>
      </c>
      <c r="K43">
        <v>18</v>
      </c>
      <c r="L43">
        <v>28</v>
      </c>
      <c r="M43">
        <v>34</v>
      </c>
      <c r="N43">
        <f t="shared" si="0"/>
        <v>23.2</v>
      </c>
      <c r="O43" cm="1">
        <f t="array" ref="O43">SUM(_xlfn.XLOOKUP(E43:H43, $V$13:$V$17, $U$13:$U$17))</f>
        <v>18</v>
      </c>
      <c r="P43">
        <f t="shared" si="1"/>
        <v>0</v>
      </c>
      <c r="Q43" s="1">
        <f t="shared" si="2"/>
        <v>41.2</v>
      </c>
    </row>
    <row r="44" spans="1:17" x14ac:dyDescent="0.25">
      <c r="A44" s="1" t="s">
        <v>85</v>
      </c>
      <c r="B44" s="1" t="s">
        <v>86</v>
      </c>
      <c r="C44">
        <v>8</v>
      </c>
      <c r="D44">
        <v>5</v>
      </c>
      <c r="E44">
        <v>4</v>
      </c>
      <c r="F44">
        <v>6</v>
      </c>
      <c r="G44">
        <v>2</v>
      </c>
      <c r="H44">
        <v>6</v>
      </c>
      <c r="I44">
        <v>32</v>
      </c>
      <c r="J44">
        <v>88</v>
      </c>
      <c r="K44">
        <v>15</v>
      </c>
      <c r="L44">
        <v>45</v>
      </c>
      <c r="M44">
        <v>24</v>
      </c>
      <c r="N44">
        <f t="shared" si="0"/>
        <v>20.399999999999999</v>
      </c>
      <c r="O44" cm="1">
        <f t="array" ref="O44">SUM(_xlfn.XLOOKUP(E44:H44, $V$13:$V$17, $U$13:$U$17))</f>
        <v>26</v>
      </c>
      <c r="P44">
        <f t="shared" si="1"/>
        <v>8</v>
      </c>
      <c r="Q44" s="1">
        <f t="shared" si="2"/>
        <v>54.4</v>
      </c>
    </row>
    <row r="45" spans="1:17" x14ac:dyDescent="0.25">
      <c r="A45" s="1" t="s">
        <v>87</v>
      </c>
      <c r="B45" s="1" t="s">
        <v>55</v>
      </c>
      <c r="C45">
        <v>2</v>
      </c>
      <c r="D45">
        <v>2</v>
      </c>
      <c r="E45">
        <v>5</v>
      </c>
      <c r="F45">
        <v>5</v>
      </c>
      <c r="G45">
        <v>2</v>
      </c>
      <c r="H45">
        <v>2</v>
      </c>
      <c r="I45">
        <v>65</v>
      </c>
      <c r="J45">
        <v>87</v>
      </c>
      <c r="K45">
        <v>53</v>
      </c>
      <c r="L45">
        <v>98</v>
      </c>
      <c r="M45">
        <v>50</v>
      </c>
      <c r="N45">
        <f t="shared" si="0"/>
        <v>35.299999999999997</v>
      </c>
      <c r="O45" cm="1">
        <f t="array" ref="O45">SUM(_xlfn.XLOOKUP(E45:H45, $V$13:$V$17, $U$13:$U$17))</f>
        <v>16</v>
      </c>
      <c r="P45">
        <f t="shared" si="1"/>
        <v>2</v>
      </c>
      <c r="Q45" s="1">
        <f t="shared" si="2"/>
        <v>53.3</v>
      </c>
    </row>
    <row r="46" spans="1:17" x14ac:dyDescent="0.25">
      <c r="A46" s="1" t="s">
        <v>88</v>
      </c>
      <c r="B46" s="1" t="s">
        <v>26</v>
      </c>
      <c r="C46">
        <v>3</v>
      </c>
      <c r="D46">
        <v>2</v>
      </c>
      <c r="E46">
        <v>3</v>
      </c>
      <c r="F46">
        <v>3</v>
      </c>
      <c r="G46">
        <v>6</v>
      </c>
      <c r="H46">
        <v>6</v>
      </c>
      <c r="I46">
        <v>10</v>
      </c>
      <c r="J46">
        <v>21</v>
      </c>
      <c r="K46">
        <v>35</v>
      </c>
      <c r="L46">
        <v>98</v>
      </c>
      <c r="M46">
        <v>21</v>
      </c>
      <c r="N46">
        <f t="shared" si="0"/>
        <v>18.5</v>
      </c>
      <c r="O46" cm="1">
        <f t="array" ref="O46">SUM(_xlfn.XLOOKUP(E46:H46, $V$13:$V$17, $U$13:$U$17))</f>
        <v>28</v>
      </c>
      <c r="P46">
        <f t="shared" si="1"/>
        <v>3</v>
      </c>
      <c r="Q46" s="1">
        <f t="shared" si="2"/>
        <v>49.5</v>
      </c>
    </row>
    <row r="47" spans="1:17" x14ac:dyDescent="0.25">
      <c r="A47" s="1" t="s">
        <v>89</v>
      </c>
      <c r="B47" s="1" t="s">
        <v>90</v>
      </c>
      <c r="C47">
        <v>2</v>
      </c>
      <c r="D47">
        <v>3</v>
      </c>
      <c r="E47">
        <v>6</v>
      </c>
      <c r="F47">
        <v>3</v>
      </c>
      <c r="G47">
        <v>6</v>
      </c>
      <c r="H47">
        <v>3</v>
      </c>
      <c r="I47">
        <v>53</v>
      </c>
      <c r="J47">
        <v>50</v>
      </c>
      <c r="K47">
        <v>16</v>
      </c>
      <c r="L47">
        <v>44</v>
      </c>
      <c r="M47">
        <v>8</v>
      </c>
      <c r="N47">
        <f t="shared" si="0"/>
        <v>17.100000000000001</v>
      </c>
      <c r="O47" cm="1">
        <f t="array" ref="O47">SUM(_xlfn.XLOOKUP(E47:H47, $V$13:$V$17, $U$13:$U$17))</f>
        <v>28</v>
      </c>
      <c r="P47">
        <f t="shared" si="1"/>
        <v>2</v>
      </c>
      <c r="Q47" s="1">
        <f t="shared" si="2"/>
        <v>47.1</v>
      </c>
    </row>
    <row r="48" spans="1:17" x14ac:dyDescent="0.25">
      <c r="A48" s="1" t="s">
        <v>91</v>
      </c>
      <c r="B48" s="1" t="s">
        <v>70</v>
      </c>
      <c r="C48">
        <v>1</v>
      </c>
      <c r="D48">
        <v>5</v>
      </c>
      <c r="E48">
        <v>3</v>
      </c>
      <c r="F48">
        <v>6</v>
      </c>
      <c r="G48">
        <v>4</v>
      </c>
      <c r="H48">
        <v>4</v>
      </c>
      <c r="I48">
        <v>38</v>
      </c>
      <c r="J48">
        <v>43</v>
      </c>
      <c r="K48">
        <v>49</v>
      </c>
      <c r="L48">
        <v>89</v>
      </c>
      <c r="M48">
        <v>16</v>
      </c>
      <c r="N48">
        <f t="shared" si="0"/>
        <v>23.5</v>
      </c>
      <c r="O48" cm="1">
        <f t="array" ref="O48">SUM(_xlfn.XLOOKUP(E48:H48, $V$13:$V$17, $U$13:$U$17))</f>
        <v>26</v>
      </c>
      <c r="P48">
        <f t="shared" si="1"/>
        <v>1</v>
      </c>
      <c r="Q48" s="1">
        <f t="shared" si="2"/>
        <v>50.5</v>
      </c>
    </row>
    <row r="49" spans="1:17" x14ac:dyDescent="0.25">
      <c r="A49" s="1" t="s">
        <v>92</v>
      </c>
      <c r="B49" s="1" t="s">
        <v>45</v>
      </c>
      <c r="C49">
        <v>6</v>
      </c>
      <c r="D49">
        <v>6</v>
      </c>
      <c r="E49">
        <v>4</v>
      </c>
      <c r="F49">
        <v>6</v>
      </c>
      <c r="G49">
        <v>5</v>
      </c>
      <c r="H49">
        <v>3</v>
      </c>
      <c r="I49">
        <v>99</v>
      </c>
      <c r="J49">
        <v>95</v>
      </c>
      <c r="K49">
        <v>48</v>
      </c>
      <c r="L49">
        <v>16</v>
      </c>
      <c r="M49">
        <v>11</v>
      </c>
      <c r="N49">
        <f t="shared" si="0"/>
        <v>26.900000000000002</v>
      </c>
      <c r="O49" cm="1">
        <f t="array" ref="O49">SUM(_xlfn.XLOOKUP(E49:H49, $V$13:$V$17, $U$13:$U$17))</f>
        <v>28</v>
      </c>
      <c r="P49">
        <f t="shared" si="1"/>
        <v>8</v>
      </c>
      <c r="Q49" s="1">
        <f t="shared" si="2"/>
        <v>62.900000000000006</v>
      </c>
    </row>
    <row r="50" spans="1:17" x14ac:dyDescent="0.25">
      <c r="A50" s="1" t="s">
        <v>93</v>
      </c>
      <c r="B50" s="1" t="s">
        <v>32</v>
      </c>
      <c r="C50">
        <v>6</v>
      </c>
      <c r="D50">
        <v>5</v>
      </c>
      <c r="E50">
        <v>6</v>
      </c>
      <c r="F50">
        <v>5</v>
      </c>
      <c r="G50">
        <v>6</v>
      </c>
      <c r="H50">
        <v>3</v>
      </c>
      <c r="I50">
        <v>78</v>
      </c>
      <c r="J50">
        <v>22</v>
      </c>
      <c r="K50">
        <v>95</v>
      </c>
      <c r="L50">
        <v>18</v>
      </c>
      <c r="M50">
        <v>15</v>
      </c>
      <c r="N50">
        <f t="shared" si="0"/>
        <v>22.8</v>
      </c>
      <c r="O50" cm="1">
        <f t="array" ref="O50">SUM(_xlfn.XLOOKUP(E50:H50, $V$13:$V$17, $U$13:$U$17))</f>
        <v>32</v>
      </c>
      <c r="P50">
        <f t="shared" si="1"/>
        <v>6</v>
      </c>
      <c r="Q50" s="1">
        <f t="shared" si="2"/>
        <v>60.8</v>
      </c>
    </row>
    <row r="51" spans="1:17" x14ac:dyDescent="0.25">
      <c r="A51" s="1" t="s">
        <v>94</v>
      </c>
      <c r="B51" s="1" t="s">
        <v>48</v>
      </c>
      <c r="C51">
        <v>6</v>
      </c>
      <c r="D51">
        <v>3</v>
      </c>
      <c r="E51">
        <v>3</v>
      </c>
      <c r="F51">
        <v>6</v>
      </c>
      <c r="G51">
        <v>4</v>
      </c>
      <c r="H51">
        <v>5</v>
      </c>
      <c r="I51">
        <v>25</v>
      </c>
      <c r="J51">
        <v>73</v>
      </c>
      <c r="K51">
        <v>78</v>
      </c>
      <c r="L51">
        <v>61</v>
      </c>
      <c r="M51">
        <v>29</v>
      </c>
      <c r="N51">
        <f t="shared" si="0"/>
        <v>26.6</v>
      </c>
      <c r="O51" cm="1">
        <f t="array" ref="O51">SUM(_xlfn.XLOOKUP(E51:H51, $V$13:$V$17, $U$13:$U$17))</f>
        <v>28</v>
      </c>
      <c r="P51">
        <f t="shared" si="1"/>
        <v>6</v>
      </c>
      <c r="Q51" s="1">
        <f t="shared" si="2"/>
        <v>60.6</v>
      </c>
    </row>
    <row r="52" spans="1:17" x14ac:dyDescent="0.25">
      <c r="A52" s="1" t="s">
        <v>95</v>
      </c>
      <c r="B52" s="1" t="s">
        <v>96</v>
      </c>
      <c r="C52">
        <v>6</v>
      </c>
      <c r="D52">
        <v>5</v>
      </c>
      <c r="E52">
        <v>5</v>
      </c>
      <c r="F52">
        <v>6</v>
      </c>
      <c r="G52">
        <v>2</v>
      </c>
      <c r="H52">
        <v>4</v>
      </c>
      <c r="I52">
        <v>65</v>
      </c>
      <c r="J52">
        <v>66</v>
      </c>
      <c r="K52">
        <v>87</v>
      </c>
      <c r="L52">
        <v>5</v>
      </c>
      <c r="M52">
        <v>65</v>
      </c>
      <c r="N52">
        <f t="shared" si="0"/>
        <v>28.799999999999997</v>
      </c>
      <c r="O52" cm="1">
        <f t="array" ref="O52">SUM(_xlfn.XLOOKUP(E52:H52, $V$13:$V$17, $U$13:$U$17))</f>
        <v>24</v>
      </c>
      <c r="P52">
        <f t="shared" si="1"/>
        <v>6</v>
      </c>
      <c r="Q52" s="1">
        <f t="shared" si="2"/>
        <v>58.8</v>
      </c>
    </row>
    <row r="53" spans="1:17" x14ac:dyDescent="0.25">
      <c r="A53" s="1" t="s">
        <v>97</v>
      </c>
      <c r="B53" s="1" t="s">
        <v>90</v>
      </c>
      <c r="C53">
        <v>8</v>
      </c>
      <c r="D53">
        <v>2</v>
      </c>
      <c r="E53">
        <v>2</v>
      </c>
      <c r="F53">
        <v>3</v>
      </c>
      <c r="G53">
        <v>4</v>
      </c>
      <c r="H53">
        <v>3</v>
      </c>
      <c r="I53">
        <v>18</v>
      </c>
      <c r="J53">
        <v>83</v>
      </c>
      <c r="K53">
        <v>86</v>
      </c>
      <c r="L53">
        <v>67</v>
      </c>
      <c r="M53">
        <v>90</v>
      </c>
      <c r="N53">
        <f t="shared" si="0"/>
        <v>34.400000000000006</v>
      </c>
      <c r="O53" cm="1">
        <f t="array" ref="O53">SUM(_xlfn.XLOOKUP(E53:H53, $V$13:$V$17, $U$13:$U$17))</f>
        <v>14</v>
      </c>
      <c r="P53">
        <f t="shared" si="1"/>
        <v>8</v>
      </c>
      <c r="Q53" s="1">
        <f t="shared" si="2"/>
        <v>56.400000000000006</v>
      </c>
    </row>
    <row r="54" spans="1:17" x14ac:dyDescent="0.25">
      <c r="A54" s="1" t="s">
        <v>98</v>
      </c>
      <c r="B54" s="1" t="s">
        <v>99</v>
      </c>
      <c r="C54">
        <v>0</v>
      </c>
      <c r="D54">
        <v>3</v>
      </c>
      <c r="E54">
        <v>4</v>
      </c>
      <c r="F54">
        <v>6</v>
      </c>
      <c r="G54">
        <v>4</v>
      </c>
      <c r="H54">
        <v>4</v>
      </c>
      <c r="I54">
        <v>41</v>
      </c>
      <c r="J54">
        <v>88</v>
      </c>
      <c r="K54">
        <v>4</v>
      </c>
      <c r="L54">
        <v>24</v>
      </c>
      <c r="M54">
        <v>37</v>
      </c>
      <c r="N54">
        <f t="shared" si="0"/>
        <v>19.400000000000002</v>
      </c>
      <c r="O54" cm="1">
        <f t="array" ref="O54">SUM(_xlfn.XLOOKUP(E54:H54, $V$13:$V$17, $U$13:$U$17))</f>
        <v>28</v>
      </c>
      <c r="P54">
        <f t="shared" si="1"/>
        <v>0</v>
      </c>
      <c r="Q54" s="1">
        <f t="shared" si="2"/>
        <v>47.400000000000006</v>
      </c>
    </row>
    <row r="55" spans="1:17" x14ac:dyDescent="0.25">
      <c r="A55" s="1" t="s">
        <v>100</v>
      </c>
      <c r="B55" s="1" t="s">
        <v>101</v>
      </c>
      <c r="C55">
        <v>7</v>
      </c>
      <c r="D55">
        <v>3</v>
      </c>
      <c r="E55">
        <v>4</v>
      </c>
      <c r="F55">
        <v>4</v>
      </c>
      <c r="G55">
        <v>5</v>
      </c>
      <c r="H55">
        <v>6</v>
      </c>
      <c r="I55">
        <v>54</v>
      </c>
      <c r="J55">
        <v>42</v>
      </c>
      <c r="K55">
        <v>82</v>
      </c>
      <c r="L55">
        <v>99</v>
      </c>
      <c r="M55">
        <v>81</v>
      </c>
      <c r="N55">
        <f t="shared" si="0"/>
        <v>35.800000000000004</v>
      </c>
      <c r="O55" cm="1">
        <f t="array" ref="O55">SUM(_xlfn.XLOOKUP(E55:H55, $V$13:$V$17, $U$13:$U$17))</f>
        <v>30</v>
      </c>
      <c r="P55">
        <f t="shared" si="1"/>
        <v>7</v>
      </c>
      <c r="Q55" s="1">
        <f t="shared" si="2"/>
        <v>72.800000000000011</v>
      </c>
    </row>
    <row r="56" spans="1:17" x14ac:dyDescent="0.25">
      <c r="A56" s="1" t="s">
        <v>102</v>
      </c>
      <c r="B56" s="1" t="s">
        <v>70</v>
      </c>
      <c r="C56">
        <v>3</v>
      </c>
      <c r="D56">
        <v>6</v>
      </c>
      <c r="E56">
        <v>5</v>
      </c>
      <c r="F56">
        <v>2</v>
      </c>
      <c r="G56">
        <v>4</v>
      </c>
      <c r="H56">
        <v>6</v>
      </c>
      <c r="I56">
        <v>51</v>
      </c>
      <c r="J56">
        <v>96</v>
      </c>
      <c r="K56">
        <v>78</v>
      </c>
      <c r="L56">
        <v>72</v>
      </c>
      <c r="M56">
        <v>39</v>
      </c>
      <c r="N56">
        <f t="shared" si="0"/>
        <v>33.6</v>
      </c>
      <c r="O56" cm="1">
        <f t="array" ref="O56">SUM(_xlfn.XLOOKUP(E56:H56, $V$13:$V$17, $U$13:$U$17))</f>
        <v>24</v>
      </c>
      <c r="P56">
        <f t="shared" si="1"/>
        <v>5</v>
      </c>
      <c r="Q56" s="1">
        <f t="shared" si="2"/>
        <v>62.6</v>
      </c>
    </row>
    <row r="57" spans="1:17" x14ac:dyDescent="0.25">
      <c r="A57" s="1" t="s">
        <v>103</v>
      </c>
      <c r="B57" s="1" t="s">
        <v>55</v>
      </c>
      <c r="C57">
        <v>8</v>
      </c>
      <c r="D57">
        <v>6</v>
      </c>
      <c r="E57">
        <v>2</v>
      </c>
      <c r="F57">
        <v>2</v>
      </c>
      <c r="G57">
        <v>6</v>
      </c>
      <c r="H57">
        <v>6</v>
      </c>
      <c r="I57">
        <v>86</v>
      </c>
      <c r="J57">
        <v>67</v>
      </c>
      <c r="K57">
        <v>94</v>
      </c>
      <c r="L57">
        <v>38</v>
      </c>
      <c r="M57">
        <v>45</v>
      </c>
      <c r="N57">
        <f t="shared" si="0"/>
        <v>33</v>
      </c>
      <c r="O57" cm="1">
        <f t="array" ref="O57">SUM(_xlfn.XLOOKUP(E57:H57, $V$13:$V$17, $U$13:$U$17))</f>
        <v>20</v>
      </c>
      <c r="P57">
        <f t="shared" si="1"/>
        <v>10</v>
      </c>
      <c r="Q57" s="1">
        <f t="shared" si="2"/>
        <v>63</v>
      </c>
    </row>
    <row r="58" spans="1:17" x14ac:dyDescent="0.25">
      <c r="A58" s="1" t="s">
        <v>104</v>
      </c>
      <c r="B58" s="1" t="s">
        <v>32</v>
      </c>
      <c r="C58">
        <v>7</v>
      </c>
      <c r="D58">
        <v>5</v>
      </c>
      <c r="E58">
        <v>6</v>
      </c>
      <c r="F58">
        <v>4</v>
      </c>
      <c r="G58">
        <v>6</v>
      </c>
      <c r="H58">
        <v>5</v>
      </c>
      <c r="I58">
        <v>15</v>
      </c>
      <c r="J58">
        <v>79</v>
      </c>
      <c r="K58">
        <v>11</v>
      </c>
      <c r="L58">
        <v>20</v>
      </c>
      <c r="M58">
        <v>58</v>
      </c>
      <c r="N58">
        <f t="shared" si="0"/>
        <v>18.3</v>
      </c>
      <c r="O58" cm="1">
        <f t="array" ref="O58">SUM(_xlfn.XLOOKUP(E58:H58, $V$13:$V$17, $U$13:$U$17))</f>
        <v>34</v>
      </c>
      <c r="P58">
        <f t="shared" si="1"/>
        <v>7</v>
      </c>
      <c r="Q58" s="1">
        <f t="shared" si="2"/>
        <v>59.3</v>
      </c>
    </row>
    <row r="59" spans="1:17" x14ac:dyDescent="0.25">
      <c r="A59" s="1" t="s">
        <v>105</v>
      </c>
      <c r="B59" s="1" t="s">
        <v>70</v>
      </c>
      <c r="C59">
        <v>3</v>
      </c>
      <c r="D59">
        <v>6</v>
      </c>
      <c r="E59">
        <v>3</v>
      </c>
      <c r="F59">
        <v>5</v>
      </c>
      <c r="G59">
        <v>5</v>
      </c>
      <c r="H59">
        <v>2</v>
      </c>
      <c r="I59">
        <v>49</v>
      </c>
      <c r="J59">
        <v>99</v>
      </c>
      <c r="K59">
        <v>78</v>
      </c>
      <c r="L59">
        <v>70</v>
      </c>
      <c r="M59">
        <v>60</v>
      </c>
      <c r="N59">
        <f t="shared" si="0"/>
        <v>35.6</v>
      </c>
      <c r="O59" cm="1">
        <f t="array" ref="O59">SUM(_xlfn.XLOOKUP(E59:H59, $V$13:$V$17, $U$13:$U$17))</f>
        <v>20</v>
      </c>
      <c r="P59">
        <f t="shared" si="1"/>
        <v>5</v>
      </c>
      <c r="Q59" s="1">
        <f t="shared" si="2"/>
        <v>60.6</v>
      </c>
    </row>
    <row r="60" spans="1:17" x14ac:dyDescent="0.25">
      <c r="A60" s="1" t="s">
        <v>106</v>
      </c>
      <c r="B60" s="1" t="s">
        <v>107</v>
      </c>
      <c r="C60">
        <v>3</v>
      </c>
      <c r="D60">
        <v>6</v>
      </c>
      <c r="E60">
        <v>3</v>
      </c>
      <c r="F60">
        <v>5</v>
      </c>
      <c r="G60">
        <v>4</v>
      </c>
      <c r="H60">
        <v>2</v>
      </c>
      <c r="I60">
        <v>94</v>
      </c>
      <c r="J60">
        <v>27</v>
      </c>
      <c r="K60">
        <v>20</v>
      </c>
      <c r="L60">
        <v>13</v>
      </c>
      <c r="M60">
        <v>49</v>
      </c>
      <c r="N60">
        <f t="shared" si="0"/>
        <v>20.300000000000004</v>
      </c>
      <c r="O60" cm="1">
        <f t="array" ref="O60">SUM(_xlfn.XLOOKUP(E60:H60, $V$13:$V$17, $U$13:$U$17))</f>
        <v>18</v>
      </c>
      <c r="P60">
        <f t="shared" si="1"/>
        <v>5</v>
      </c>
      <c r="Q60" s="1">
        <f t="shared" si="2"/>
        <v>43.300000000000004</v>
      </c>
    </row>
    <row r="61" spans="1:17" x14ac:dyDescent="0.25">
      <c r="A61" s="1" t="s">
        <v>108</v>
      </c>
      <c r="B61" s="1" t="s">
        <v>83</v>
      </c>
      <c r="C61">
        <v>8</v>
      </c>
      <c r="D61">
        <v>4</v>
      </c>
      <c r="E61">
        <v>5</v>
      </c>
      <c r="F61">
        <v>6</v>
      </c>
      <c r="G61">
        <v>6</v>
      </c>
      <c r="H61">
        <v>2</v>
      </c>
      <c r="I61">
        <v>94</v>
      </c>
      <c r="J61">
        <v>99</v>
      </c>
      <c r="K61">
        <v>87</v>
      </c>
      <c r="L61">
        <v>99</v>
      </c>
      <c r="M61">
        <v>62</v>
      </c>
      <c r="N61">
        <f t="shared" si="0"/>
        <v>44.1</v>
      </c>
      <c r="O61" cm="1">
        <f t="array" ref="O61">SUM(_xlfn.XLOOKUP(E61:H61, $V$13:$V$17, $U$13:$U$17))</f>
        <v>28</v>
      </c>
      <c r="P61">
        <f t="shared" si="1"/>
        <v>8</v>
      </c>
      <c r="Q61" s="1">
        <f t="shared" si="2"/>
        <v>80.099999999999994</v>
      </c>
    </row>
    <row r="62" spans="1:17" x14ac:dyDescent="0.25">
      <c r="A62" s="1" t="s">
        <v>109</v>
      </c>
      <c r="B62" s="1" t="s">
        <v>110</v>
      </c>
      <c r="C62">
        <v>8</v>
      </c>
      <c r="D62">
        <v>2</v>
      </c>
      <c r="E62">
        <v>4</v>
      </c>
      <c r="F62">
        <v>5</v>
      </c>
      <c r="G62">
        <v>2</v>
      </c>
      <c r="H62">
        <v>4</v>
      </c>
      <c r="I62">
        <v>20</v>
      </c>
      <c r="J62">
        <v>78</v>
      </c>
      <c r="K62">
        <v>54</v>
      </c>
      <c r="L62">
        <v>34</v>
      </c>
      <c r="M62">
        <v>95</v>
      </c>
      <c r="N62">
        <f t="shared" si="0"/>
        <v>28.1</v>
      </c>
      <c r="O62" cm="1">
        <f t="array" ref="O62">SUM(_xlfn.XLOOKUP(E62:H62, $V$13:$V$17, $U$13:$U$17))</f>
        <v>20</v>
      </c>
      <c r="P62">
        <f t="shared" si="1"/>
        <v>8</v>
      </c>
      <c r="Q62" s="1">
        <f t="shared" si="2"/>
        <v>56.1</v>
      </c>
    </row>
    <row r="63" spans="1:17" x14ac:dyDescent="0.25">
      <c r="A63" s="1" t="s">
        <v>111</v>
      </c>
      <c r="B63" s="1" t="s">
        <v>74</v>
      </c>
      <c r="C63">
        <v>5</v>
      </c>
      <c r="D63">
        <v>2</v>
      </c>
      <c r="E63">
        <v>4</v>
      </c>
      <c r="F63">
        <v>5</v>
      </c>
      <c r="G63">
        <v>5</v>
      </c>
      <c r="H63">
        <v>3</v>
      </c>
      <c r="I63">
        <v>39</v>
      </c>
      <c r="J63">
        <v>16</v>
      </c>
      <c r="K63">
        <v>8</v>
      </c>
      <c r="L63">
        <v>66</v>
      </c>
      <c r="M63">
        <v>29</v>
      </c>
      <c r="N63">
        <f t="shared" si="0"/>
        <v>15.799999999999999</v>
      </c>
      <c r="O63" cm="1">
        <f t="array" ref="O63">SUM(_xlfn.XLOOKUP(E63:H63, $V$13:$V$17, $U$13:$U$17))</f>
        <v>26</v>
      </c>
      <c r="P63">
        <f t="shared" si="1"/>
        <v>5</v>
      </c>
      <c r="Q63" s="1">
        <f t="shared" si="2"/>
        <v>46.8</v>
      </c>
    </row>
    <row r="64" spans="1:17" x14ac:dyDescent="0.25">
      <c r="A64" s="1" t="s">
        <v>112</v>
      </c>
      <c r="B64" s="1" t="s">
        <v>113</v>
      </c>
      <c r="C64">
        <v>0</v>
      </c>
      <c r="D64">
        <v>6</v>
      </c>
      <c r="E64">
        <v>3</v>
      </c>
      <c r="F64">
        <v>5</v>
      </c>
      <c r="G64">
        <v>4</v>
      </c>
      <c r="H64">
        <v>2</v>
      </c>
      <c r="I64">
        <v>77</v>
      </c>
      <c r="J64">
        <v>80</v>
      </c>
      <c r="K64">
        <v>92</v>
      </c>
      <c r="L64">
        <v>43</v>
      </c>
      <c r="M64">
        <v>100</v>
      </c>
      <c r="N64">
        <f t="shared" si="0"/>
        <v>39.200000000000003</v>
      </c>
      <c r="O64" cm="1">
        <f t="array" ref="O64">SUM(_xlfn.XLOOKUP(E64:H64, $V$13:$V$17, $U$13:$U$17))</f>
        <v>18</v>
      </c>
      <c r="P64">
        <f t="shared" si="1"/>
        <v>2</v>
      </c>
      <c r="Q64" s="1">
        <f t="shared" si="2"/>
        <v>59.2</v>
      </c>
    </row>
    <row r="65" spans="1:17" x14ac:dyDescent="0.25">
      <c r="A65" s="1" t="s">
        <v>114</v>
      </c>
      <c r="B65" s="1" t="s">
        <v>101</v>
      </c>
      <c r="C65">
        <v>1</v>
      </c>
      <c r="D65">
        <v>4</v>
      </c>
      <c r="E65">
        <v>6</v>
      </c>
      <c r="F65">
        <v>3</v>
      </c>
      <c r="G65">
        <v>4</v>
      </c>
      <c r="H65">
        <v>2</v>
      </c>
      <c r="I65">
        <v>70</v>
      </c>
      <c r="J65">
        <v>39</v>
      </c>
      <c r="K65">
        <v>65</v>
      </c>
      <c r="L65">
        <v>57</v>
      </c>
      <c r="M65">
        <v>90</v>
      </c>
      <c r="N65">
        <f t="shared" si="0"/>
        <v>32.099999999999994</v>
      </c>
      <c r="O65" cm="1">
        <f t="array" ref="O65">SUM(_xlfn.XLOOKUP(E65:H65, $V$13:$V$17, $U$13:$U$17))</f>
        <v>20</v>
      </c>
      <c r="P65">
        <f t="shared" si="1"/>
        <v>1</v>
      </c>
      <c r="Q65" s="1">
        <f t="shared" si="2"/>
        <v>53.099999999999994</v>
      </c>
    </row>
    <row r="66" spans="1:17" x14ac:dyDescent="0.25">
      <c r="A66" s="1" t="s">
        <v>115</v>
      </c>
      <c r="B66" s="1" t="s">
        <v>41</v>
      </c>
      <c r="C66">
        <v>0</v>
      </c>
      <c r="D66">
        <v>4</v>
      </c>
      <c r="E66">
        <v>5</v>
      </c>
      <c r="F66">
        <v>4</v>
      </c>
      <c r="G66">
        <v>6</v>
      </c>
      <c r="H66">
        <v>2</v>
      </c>
      <c r="I66">
        <v>4</v>
      </c>
      <c r="J66">
        <v>85</v>
      </c>
      <c r="K66">
        <v>83</v>
      </c>
      <c r="L66">
        <v>10</v>
      </c>
      <c r="M66">
        <v>33</v>
      </c>
      <c r="N66">
        <f t="shared" ref="N66:N129" si="3">I66/10 + J66/10 + K66/10 + L66/10 + M66/10</f>
        <v>21.500000000000004</v>
      </c>
      <c r="O66" cm="1">
        <f t="array" ref="O66">SUM(_xlfn.XLOOKUP(E66:H66, $V$13:$V$17, $U$13:$U$17))</f>
        <v>24</v>
      </c>
      <c r="P66">
        <f t="shared" ref="P66:P129" si="4">IF(D66=6,C66+2,C66)</f>
        <v>0</v>
      </c>
      <c r="Q66" s="1">
        <f t="shared" ref="Q66:Q129" si="5">SUM(N66:P66)</f>
        <v>45.5</v>
      </c>
    </row>
    <row r="67" spans="1:17" x14ac:dyDescent="0.25">
      <c r="A67" s="1" t="s">
        <v>116</v>
      </c>
      <c r="B67" s="1" t="s">
        <v>117</v>
      </c>
      <c r="C67">
        <v>8</v>
      </c>
      <c r="D67">
        <v>5</v>
      </c>
      <c r="E67">
        <v>5</v>
      </c>
      <c r="F67">
        <v>4</v>
      </c>
      <c r="G67">
        <v>3</v>
      </c>
      <c r="H67">
        <v>3</v>
      </c>
      <c r="I67">
        <v>80</v>
      </c>
      <c r="J67">
        <v>91</v>
      </c>
      <c r="K67">
        <v>16</v>
      </c>
      <c r="L67">
        <v>12</v>
      </c>
      <c r="M67">
        <v>73</v>
      </c>
      <c r="N67">
        <f t="shared" si="3"/>
        <v>27.200000000000003</v>
      </c>
      <c r="O67" cm="1">
        <f t="array" ref="O67">SUM(_xlfn.XLOOKUP(E67:H67, $V$13:$V$17, $U$13:$U$17))</f>
        <v>22</v>
      </c>
      <c r="P67">
        <f t="shared" si="4"/>
        <v>8</v>
      </c>
      <c r="Q67" s="1">
        <f t="shared" si="5"/>
        <v>57.2</v>
      </c>
    </row>
    <row r="68" spans="1:17" x14ac:dyDescent="0.25">
      <c r="A68" s="1" t="s">
        <v>118</v>
      </c>
      <c r="B68" s="1" t="s">
        <v>119</v>
      </c>
      <c r="C68">
        <v>6</v>
      </c>
      <c r="D68">
        <v>6</v>
      </c>
      <c r="E68">
        <v>2</v>
      </c>
      <c r="F68">
        <v>3</v>
      </c>
      <c r="G68">
        <v>6</v>
      </c>
      <c r="H68">
        <v>5</v>
      </c>
      <c r="I68">
        <v>27</v>
      </c>
      <c r="J68">
        <v>6</v>
      </c>
      <c r="K68">
        <v>19</v>
      </c>
      <c r="L68">
        <v>61</v>
      </c>
      <c r="M68">
        <v>63</v>
      </c>
      <c r="N68">
        <f t="shared" si="3"/>
        <v>17.600000000000001</v>
      </c>
      <c r="O68" cm="1">
        <f t="array" ref="O68">SUM(_xlfn.XLOOKUP(E68:H68, $V$13:$V$17, $U$13:$U$17))</f>
        <v>22</v>
      </c>
      <c r="P68">
        <f t="shared" si="4"/>
        <v>8</v>
      </c>
      <c r="Q68" s="1">
        <f t="shared" si="5"/>
        <v>47.6</v>
      </c>
    </row>
    <row r="69" spans="1:17" x14ac:dyDescent="0.25">
      <c r="A69" s="1" t="s">
        <v>120</v>
      </c>
      <c r="B69" s="1" t="s">
        <v>121</v>
      </c>
      <c r="C69">
        <v>0</v>
      </c>
      <c r="D69">
        <v>5</v>
      </c>
      <c r="E69">
        <v>5</v>
      </c>
      <c r="F69">
        <v>3</v>
      </c>
      <c r="G69">
        <v>2</v>
      </c>
      <c r="H69">
        <v>6</v>
      </c>
      <c r="I69">
        <v>26</v>
      </c>
      <c r="J69">
        <v>23</v>
      </c>
      <c r="K69">
        <v>48</v>
      </c>
      <c r="L69">
        <v>73</v>
      </c>
      <c r="M69">
        <v>63</v>
      </c>
      <c r="N69">
        <f t="shared" si="3"/>
        <v>23.3</v>
      </c>
      <c r="O69" cm="1">
        <f t="array" ref="O69">SUM(_xlfn.XLOOKUP(E69:H69, $V$13:$V$17, $U$13:$U$17))</f>
        <v>22</v>
      </c>
      <c r="P69">
        <f t="shared" si="4"/>
        <v>0</v>
      </c>
      <c r="Q69" s="1">
        <f t="shared" si="5"/>
        <v>45.3</v>
      </c>
    </row>
    <row r="70" spans="1:17" x14ac:dyDescent="0.25">
      <c r="A70" s="1" t="s">
        <v>122</v>
      </c>
      <c r="B70" s="1" t="s">
        <v>121</v>
      </c>
      <c r="C70">
        <v>8</v>
      </c>
      <c r="D70">
        <v>3</v>
      </c>
      <c r="E70">
        <v>5</v>
      </c>
      <c r="F70">
        <v>5</v>
      </c>
      <c r="G70">
        <v>6</v>
      </c>
      <c r="H70">
        <v>3</v>
      </c>
      <c r="I70">
        <v>28</v>
      </c>
      <c r="J70">
        <v>69</v>
      </c>
      <c r="K70">
        <v>99</v>
      </c>
      <c r="L70">
        <v>45</v>
      </c>
      <c r="M70">
        <v>61</v>
      </c>
      <c r="N70">
        <f t="shared" si="3"/>
        <v>30.200000000000003</v>
      </c>
      <c r="O70" cm="1">
        <f t="array" ref="O70">SUM(_xlfn.XLOOKUP(E70:H70, $V$13:$V$17, $U$13:$U$17))</f>
        <v>30</v>
      </c>
      <c r="P70">
        <f t="shared" si="4"/>
        <v>8</v>
      </c>
      <c r="Q70" s="1">
        <f t="shared" si="5"/>
        <v>68.2</v>
      </c>
    </row>
    <row r="71" spans="1:17" x14ac:dyDescent="0.25">
      <c r="A71" s="1" t="s">
        <v>123</v>
      </c>
      <c r="B71" s="1" t="s">
        <v>119</v>
      </c>
      <c r="C71">
        <v>1</v>
      </c>
      <c r="D71">
        <v>2</v>
      </c>
      <c r="E71">
        <v>3</v>
      </c>
      <c r="F71">
        <v>2</v>
      </c>
      <c r="G71">
        <v>3</v>
      </c>
      <c r="H71">
        <v>6</v>
      </c>
      <c r="I71">
        <v>51</v>
      </c>
      <c r="J71">
        <v>14</v>
      </c>
      <c r="K71">
        <v>33</v>
      </c>
      <c r="L71">
        <v>28</v>
      </c>
      <c r="M71">
        <v>43</v>
      </c>
      <c r="N71">
        <f t="shared" si="3"/>
        <v>16.900000000000002</v>
      </c>
      <c r="O71" cm="1">
        <f t="array" ref="O71">SUM(_xlfn.XLOOKUP(E71:H71, $V$13:$V$17, $U$13:$U$17))</f>
        <v>18</v>
      </c>
      <c r="P71">
        <f t="shared" si="4"/>
        <v>1</v>
      </c>
      <c r="Q71" s="1">
        <f t="shared" si="5"/>
        <v>35.900000000000006</v>
      </c>
    </row>
    <row r="72" spans="1:17" x14ac:dyDescent="0.25">
      <c r="A72" s="1" t="s">
        <v>124</v>
      </c>
      <c r="B72" s="1" t="s">
        <v>41</v>
      </c>
      <c r="C72">
        <v>3</v>
      </c>
      <c r="D72">
        <v>5</v>
      </c>
      <c r="E72">
        <v>6</v>
      </c>
      <c r="F72">
        <v>5</v>
      </c>
      <c r="G72">
        <v>2</v>
      </c>
      <c r="H72">
        <v>5</v>
      </c>
      <c r="I72">
        <v>73</v>
      </c>
      <c r="J72">
        <v>84</v>
      </c>
      <c r="K72">
        <v>48</v>
      </c>
      <c r="L72">
        <v>36</v>
      </c>
      <c r="M72">
        <v>4</v>
      </c>
      <c r="N72">
        <f t="shared" si="3"/>
        <v>24.5</v>
      </c>
      <c r="O72" cm="1">
        <f t="array" ref="O72">SUM(_xlfn.XLOOKUP(E72:H72, $V$13:$V$17, $U$13:$U$17))</f>
        <v>26</v>
      </c>
      <c r="P72">
        <f t="shared" si="4"/>
        <v>3</v>
      </c>
      <c r="Q72" s="1">
        <f t="shared" si="5"/>
        <v>53.5</v>
      </c>
    </row>
    <row r="73" spans="1:17" x14ac:dyDescent="0.25">
      <c r="A73" s="1" t="s">
        <v>125</v>
      </c>
      <c r="B73" s="1" t="s">
        <v>126</v>
      </c>
      <c r="C73">
        <v>4</v>
      </c>
      <c r="D73">
        <v>4</v>
      </c>
      <c r="E73">
        <v>5</v>
      </c>
      <c r="F73">
        <v>5</v>
      </c>
      <c r="G73">
        <v>3</v>
      </c>
      <c r="H73">
        <v>6</v>
      </c>
      <c r="I73">
        <v>44</v>
      </c>
      <c r="J73">
        <v>16</v>
      </c>
      <c r="K73">
        <v>68</v>
      </c>
      <c r="L73">
        <v>55</v>
      </c>
      <c r="M73">
        <v>66</v>
      </c>
      <c r="N73">
        <f t="shared" si="3"/>
        <v>24.9</v>
      </c>
      <c r="O73" cm="1">
        <f t="array" ref="O73">SUM(_xlfn.XLOOKUP(E73:H73, $V$13:$V$17, $U$13:$U$17))</f>
        <v>30</v>
      </c>
      <c r="P73">
        <f t="shared" si="4"/>
        <v>4</v>
      </c>
      <c r="Q73" s="1">
        <f t="shared" si="5"/>
        <v>58.9</v>
      </c>
    </row>
    <row r="74" spans="1:17" x14ac:dyDescent="0.25">
      <c r="A74" s="1" t="s">
        <v>127</v>
      </c>
      <c r="B74" s="1" t="s">
        <v>90</v>
      </c>
      <c r="C74">
        <v>2</v>
      </c>
      <c r="D74">
        <v>6</v>
      </c>
      <c r="E74">
        <v>6</v>
      </c>
      <c r="F74">
        <v>3</v>
      </c>
      <c r="G74">
        <v>6</v>
      </c>
      <c r="H74">
        <v>2</v>
      </c>
      <c r="I74">
        <v>71</v>
      </c>
      <c r="J74">
        <v>95</v>
      </c>
      <c r="K74">
        <v>90</v>
      </c>
      <c r="L74">
        <v>50</v>
      </c>
      <c r="M74">
        <v>91</v>
      </c>
      <c r="N74">
        <f t="shared" si="3"/>
        <v>39.700000000000003</v>
      </c>
      <c r="O74" cm="1">
        <f t="array" ref="O74">SUM(_xlfn.XLOOKUP(E74:H74, $V$13:$V$17, $U$13:$U$17))</f>
        <v>24</v>
      </c>
      <c r="P74">
        <f t="shared" si="4"/>
        <v>4</v>
      </c>
      <c r="Q74" s="1">
        <f t="shared" si="5"/>
        <v>67.7</v>
      </c>
    </row>
    <row r="75" spans="1:17" x14ac:dyDescent="0.25">
      <c r="A75" s="1" t="s">
        <v>128</v>
      </c>
      <c r="B75" s="1" t="s">
        <v>45</v>
      </c>
      <c r="C75">
        <v>5</v>
      </c>
      <c r="D75">
        <v>5</v>
      </c>
      <c r="E75">
        <v>2</v>
      </c>
      <c r="F75">
        <v>6</v>
      </c>
      <c r="G75">
        <v>2</v>
      </c>
      <c r="H75">
        <v>2</v>
      </c>
      <c r="I75">
        <v>90</v>
      </c>
      <c r="J75">
        <v>88</v>
      </c>
      <c r="K75">
        <v>73</v>
      </c>
      <c r="L75">
        <v>83</v>
      </c>
      <c r="M75">
        <v>51</v>
      </c>
      <c r="N75">
        <f t="shared" si="3"/>
        <v>38.500000000000007</v>
      </c>
      <c r="O75" cm="1">
        <f t="array" ref="O75">SUM(_xlfn.XLOOKUP(E75:H75, $V$13:$V$17, $U$13:$U$17))</f>
        <v>10</v>
      </c>
      <c r="P75">
        <f t="shared" si="4"/>
        <v>5</v>
      </c>
      <c r="Q75" s="1">
        <f t="shared" si="5"/>
        <v>53.500000000000007</v>
      </c>
    </row>
    <row r="76" spans="1:17" x14ac:dyDescent="0.25">
      <c r="A76" s="1" t="s">
        <v>129</v>
      </c>
      <c r="B76" s="1" t="s">
        <v>130</v>
      </c>
      <c r="C76">
        <v>1</v>
      </c>
      <c r="D76">
        <v>5</v>
      </c>
      <c r="E76">
        <v>2</v>
      </c>
      <c r="F76">
        <v>2</v>
      </c>
      <c r="G76">
        <v>3</v>
      </c>
      <c r="H76">
        <v>5</v>
      </c>
      <c r="I76">
        <v>11</v>
      </c>
      <c r="J76">
        <v>24</v>
      </c>
      <c r="K76">
        <v>35</v>
      </c>
      <c r="L76">
        <v>70</v>
      </c>
      <c r="M76">
        <v>6</v>
      </c>
      <c r="N76">
        <f t="shared" si="3"/>
        <v>14.6</v>
      </c>
      <c r="O76" cm="1">
        <f t="array" ref="O76">SUM(_xlfn.XLOOKUP(E76:H76, $V$13:$V$17, $U$13:$U$17))</f>
        <v>12</v>
      </c>
      <c r="P76">
        <f t="shared" si="4"/>
        <v>1</v>
      </c>
      <c r="Q76" s="1">
        <f t="shared" si="5"/>
        <v>27.6</v>
      </c>
    </row>
    <row r="77" spans="1:17" x14ac:dyDescent="0.25">
      <c r="A77" s="1" t="s">
        <v>131</v>
      </c>
      <c r="B77" s="1" t="s">
        <v>70</v>
      </c>
      <c r="C77">
        <v>5</v>
      </c>
      <c r="D77">
        <v>2</v>
      </c>
      <c r="E77">
        <v>2</v>
      </c>
      <c r="F77">
        <v>6</v>
      </c>
      <c r="G77">
        <v>5</v>
      </c>
      <c r="H77">
        <v>6</v>
      </c>
      <c r="I77">
        <v>44</v>
      </c>
      <c r="J77">
        <v>43</v>
      </c>
      <c r="K77">
        <v>19</v>
      </c>
      <c r="L77">
        <v>86</v>
      </c>
      <c r="M77">
        <v>18</v>
      </c>
      <c r="N77">
        <f t="shared" si="3"/>
        <v>21</v>
      </c>
      <c r="O77" cm="1">
        <f t="array" ref="O77">SUM(_xlfn.XLOOKUP(E77:H77, $V$13:$V$17, $U$13:$U$17))</f>
        <v>28</v>
      </c>
      <c r="P77">
        <f t="shared" si="4"/>
        <v>5</v>
      </c>
      <c r="Q77" s="1">
        <f t="shared" si="5"/>
        <v>54</v>
      </c>
    </row>
    <row r="78" spans="1:17" x14ac:dyDescent="0.25">
      <c r="A78" s="1" t="s">
        <v>132</v>
      </c>
      <c r="B78" s="1" t="s">
        <v>133</v>
      </c>
      <c r="C78">
        <v>2</v>
      </c>
      <c r="D78">
        <v>5</v>
      </c>
      <c r="E78">
        <v>4</v>
      </c>
      <c r="F78">
        <v>3</v>
      </c>
      <c r="G78">
        <v>6</v>
      </c>
      <c r="H78">
        <v>6</v>
      </c>
      <c r="I78">
        <v>15</v>
      </c>
      <c r="J78">
        <v>69</v>
      </c>
      <c r="K78">
        <v>48</v>
      </c>
      <c r="L78">
        <v>14</v>
      </c>
      <c r="M78">
        <v>32</v>
      </c>
      <c r="N78">
        <f t="shared" si="3"/>
        <v>17.8</v>
      </c>
      <c r="O78" cm="1">
        <f t="array" ref="O78">SUM(_xlfn.XLOOKUP(E78:H78, $V$13:$V$17, $U$13:$U$17))</f>
        <v>30</v>
      </c>
      <c r="P78">
        <f t="shared" si="4"/>
        <v>2</v>
      </c>
      <c r="Q78" s="1">
        <f t="shared" si="5"/>
        <v>49.8</v>
      </c>
    </row>
    <row r="79" spans="1:17" x14ac:dyDescent="0.25">
      <c r="A79" s="1" t="s">
        <v>134</v>
      </c>
      <c r="B79" s="1" t="s">
        <v>45</v>
      </c>
      <c r="C79">
        <v>6</v>
      </c>
      <c r="D79">
        <v>3</v>
      </c>
      <c r="E79">
        <v>4</v>
      </c>
      <c r="F79">
        <v>5</v>
      </c>
      <c r="G79">
        <v>3</v>
      </c>
      <c r="H79">
        <v>4</v>
      </c>
      <c r="I79">
        <v>38</v>
      </c>
      <c r="J79">
        <v>48</v>
      </c>
      <c r="K79">
        <v>3</v>
      </c>
      <c r="L79">
        <v>38</v>
      </c>
      <c r="M79">
        <v>91</v>
      </c>
      <c r="N79">
        <f t="shared" si="3"/>
        <v>21.799999999999997</v>
      </c>
      <c r="O79" cm="1">
        <f t="array" ref="O79">SUM(_xlfn.XLOOKUP(E79:H79, $V$13:$V$17, $U$13:$U$17))</f>
        <v>24</v>
      </c>
      <c r="P79">
        <f t="shared" si="4"/>
        <v>6</v>
      </c>
      <c r="Q79" s="1">
        <f t="shared" si="5"/>
        <v>51.8</v>
      </c>
    </row>
    <row r="80" spans="1:17" x14ac:dyDescent="0.25">
      <c r="A80" s="1" t="s">
        <v>135</v>
      </c>
      <c r="B80" s="1" t="s">
        <v>38</v>
      </c>
      <c r="C80">
        <v>3</v>
      </c>
      <c r="D80">
        <v>6</v>
      </c>
      <c r="E80">
        <v>3</v>
      </c>
      <c r="F80">
        <v>6</v>
      </c>
      <c r="G80">
        <v>3</v>
      </c>
      <c r="H80">
        <v>5</v>
      </c>
      <c r="I80">
        <v>66</v>
      </c>
      <c r="J80">
        <v>42</v>
      </c>
      <c r="K80">
        <v>40</v>
      </c>
      <c r="L80">
        <v>91</v>
      </c>
      <c r="M80">
        <v>74</v>
      </c>
      <c r="N80">
        <f t="shared" si="3"/>
        <v>31.299999999999997</v>
      </c>
      <c r="O80" cm="1">
        <f t="array" ref="O80">SUM(_xlfn.XLOOKUP(E80:H80, $V$13:$V$17, $U$13:$U$17))</f>
        <v>26</v>
      </c>
      <c r="P80">
        <f t="shared" si="4"/>
        <v>5</v>
      </c>
      <c r="Q80" s="1">
        <f t="shared" si="5"/>
        <v>62.3</v>
      </c>
    </row>
    <row r="81" spans="1:17" x14ac:dyDescent="0.25">
      <c r="A81" s="1" t="s">
        <v>136</v>
      </c>
      <c r="B81" s="1" t="s">
        <v>137</v>
      </c>
      <c r="C81">
        <v>7</v>
      </c>
      <c r="D81">
        <v>4</v>
      </c>
      <c r="E81">
        <v>2</v>
      </c>
      <c r="F81">
        <v>4</v>
      </c>
      <c r="G81">
        <v>6</v>
      </c>
      <c r="H81">
        <v>5</v>
      </c>
      <c r="I81">
        <v>28</v>
      </c>
      <c r="J81">
        <v>1</v>
      </c>
      <c r="K81">
        <v>36</v>
      </c>
      <c r="L81">
        <v>63</v>
      </c>
      <c r="M81">
        <v>49</v>
      </c>
      <c r="N81">
        <f t="shared" si="3"/>
        <v>17.700000000000003</v>
      </c>
      <c r="O81" cm="1">
        <f t="array" ref="O81">SUM(_xlfn.XLOOKUP(E81:H81, $V$13:$V$17, $U$13:$U$17))</f>
        <v>24</v>
      </c>
      <c r="P81">
        <f t="shared" si="4"/>
        <v>7</v>
      </c>
      <c r="Q81" s="1">
        <f t="shared" si="5"/>
        <v>48.7</v>
      </c>
    </row>
    <row r="82" spans="1:17" x14ac:dyDescent="0.25">
      <c r="A82" s="1" t="s">
        <v>138</v>
      </c>
      <c r="B82" s="1" t="s">
        <v>139</v>
      </c>
      <c r="C82">
        <v>0</v>
      </c>
      <c r="D82">
        <v>6</v>
      </c>
      <c r="E82">
        <v>5</v>
      </c>
      <c r="F82">
        <v>6</v>
      </c>
      <c r="G82">
        <v>5</v>
      </c>
      <c r="H82">
        <v>6</v>
      </c>
      <c r="I82">
        <v>12</v>
      </c>
      <c r="J82">
        <v>20</v>
      </c>
      <c r="K82">
        <v>10</v>
      </c>
      <c r="L82">
        <v>73</v>
      </c>
      <c r="M82">
        <v>68</v>
      </c>
      <c r="N82">
        <f t="shared" si="3"/>
        <v>18.3</v>
      </c>
      <c r="O82" cm="1">
        <f t="array" ref="O82">SUM(_xlfn.XLOOKUP(E82:H82, $V$13:$V$17, $U$13:$U$17))</f>
        <v>36</v>
      </c>
      <c r="P82">
        <f t="shared" si="4"/>
        <v>2</v>
      </c>
      <c r="Q82" s="1">
        <f t="shared" si="5"/>
        <v>56.3</v>
      </c>
    </row>
    <row r="83" spans="1:17" x14ac:dyDescent="0.25">
      <c r="A83" s="1" t="s">
        <v>140</v>
      </c>
      <c r="B83" s="1" t="s">
        <v>45</v>
      </c>
      <c r="C83">
        <v>4</v>
      </c>
      <c r="D83">
        <v>5</v>
      </c>
      <c r="E83">
        <v>4</v>
      </c>
      <c r="F83">
        <v>2</v>
      </c>
      <c r="G83">
        <v>3</v>
      </c>
      <c r="H83">
        <v>4</v>
      </c>
      <c r="I83">
        <v>21</v>
      </c>
      <c r="J83">
        <v>58</v>
      </c>
      <c r="K83">
        <v>66</v>
      </c>
      <c r="L83">
        <v>93</v>
      </c>
      <c r="M83">
        <v>89</v>
      </c>
      <c r="N83">
        <f t="shared" si="3"/>
        <v>32.700000000000003</v>
      </c>
      <c r="O83" cm="1">
        <f t="array" ref="O83">SUM(_xlfn.XLOOKUP(E83:H83, $V$13:$V$17, $U$13:$U$17))</f>
        <v>16</v>
      </c>
      <c r="P83">
        <f t="shared" si="4"/>
        <v>4</v>
      </c>
      <c r="Q83" s="1">
        <f t="shared" si="5"/>
        <v>52.7</v>
      </c>
    </row>
    <row r="84" spans="1:17" x14ac:dyDescent="0.25">
      <c r="A84" s="1" t="s">
        <v>141</v>
      </c>
      <c r="B84" s="1" t="s">
        <v>99</v>
      </c>
      <c r="C84">
        <v>0</v>
      </c>
      <c r="D84">
        <v>2</v>
      </c>
      <c r="E84">
        <v>2</v>
      </c>
      <c r="F84">
        <v>4</v>
      </c>
      <c r="G84">
        <v>3</v>
      </c>
      <c r="H84">
        <v>3</v>
      </c>
      <c r="I84">
        <v>3</v>
      </c>
      <c r="J84">
        <v>25</v>
      </c>
      <c r="K84">
        <v>93</v>
      </c>
      <c r="L84">
        <v>92</v>
      </c>
      <c r="M84">
        <v>73</v>
      </c>
      <c r="N84">
        <f t="shared" si="3"/>
        <v>28.6</v>
      </c>
      <c r="O84" cm="1">
        <f t="array" ref="O84">SUM(_xlfn.XLOOKUP(E84:H84, $V$13:$V$17, $U$13:$U$17))</f>
        <v>14</v>
      </c>
      <c r="P84">
        <f t="shared" si="4"/>
        <v>0</v>
      </c>
      <c r="Q84" s="1">
        <f t="shared" si="5"/>
        <v>42.6</v>
      </c>
    </row>
    <row r="85" spans="1:17" x14ac:dyDescent="0.25">
      <c r="A85" s="1" t="s">
        <v>142</v>
      </c>
      <c r="B85" s="1" t="s">
        <v>130</v>
      </c>
      <c r="C85">
        <v>4</v>
      </c>
      <c r="D85">
        <v>4</v>
      </c>
      <c r="E85">
        <v>2</v>
      </c>
      <c r="F85">
        <v>6</v>
      </c>
      <c r="G85">
        <v>5</v>
      </c>
      <c r="H85">
        <v>2</v>
      </c>
      <c r="I85">
        <v>81</v>
      </c>
      <c r="J85">
        <v>5</v>
      </c>
      <c r="K85">
        <v>60</v>
      </c>
      <c r="L85">
        <v>2</v>
      </c>
      <c r="M85">
        <v>91</v>
      </c>
      <c r="N85">
        <f t="shared" si="3"/>
        <v>23.9</v>
      </c>
      <c r="O85" cm="1">
        <f t="array" ref="O85">SUM(_xlfn.XLOOKUP(E85:H85, $V$13:$V$17, $U$13:$U$17))</f>
        <v>18</v>
      </c>
      <c r="P85">
        <f t="shared" si="4"/>
        <v>4</v>
      </c>
      <c r="Q85" s="1">
        <f t="shared" si="5"/>
        <v>45.9</v>
      </c>
    </row>
    <row r="86" spans="1:17" x14ac:dyDescent="0.25">
      <c r="A86" s="1" t="s">
        <v>143</v>
      </c>
      <c r="B86" s="1" t="s">
        <v>70</v>
      </c>
      <c r="C86">
        <v>1</v>
      </c>
      <c r="D86">
        <v>4</v>
      </c>
      <c r="E86">
        <v>6</v>
      </c>
      <c r="F86">
        <v>4</v>
      </c>
      <c r="G86">
        <v>3</v>
      </c>
      <c r="H86">
        <v>6</v>
      </c>
      <c r="I86">
        <v>100</v>
      </c>
      <c r="J86">
        <v>100</v>
      </c>
      <c r="K86">
        <v>100</v>
      </c>
      <c r="L86">
        <v>36</v>
      </c>
      <c r="M86">
        <v>10</v>
      </c>
      <c r="N86">
        <f t="shared" si="3"/>
        <v>34.6</v>
      </c>
      <c r="O86" cm="1">
        <f t="array" ref="O86">SUM(_xlfn.XLOOKUP(E86:H86, $V$13:$V$17, $U$13:$U$17))</f>
        <v>30</v>
      </c>
      <c r="P86">
        <f t="shared" si="4"/>
        <v>1</v>
      </c>
      <c r="Q86" s="1">
        <f t="shared" si="5"/>
        <v>65.599999999999994</v>
      </c>
    </row>
    <row r="87" spans="1:17" x14ac:dyDescent="0.25">
      <c r="A87" s="1" t="s">
        <v>144</v>
      </c>
      <c r="B87" s="1" t="s">
        <v>145</v>
      </c>
      <c r="C87">
        <v>2</v>
      </c>
      <c r="D87">
        <v>3</v>
      </c>
      <c r="E87">
        <v>3</v>
      </c>
      <c r="F87">
        <v>5</v>
      </c>
      <c r="G87">
        <v>6</v>
      </c>
      <c r="H87">
        <v>6</v>
      </c>
      <c r="I87">
        <v>32</v>
      </c>
      <c r="J87">
        <v>27</v>
      </c>
      <c r="K87">
        <v>15</v>
      </c>
      <c r="L87">
        <v>59</v>
      </c>
      <c r="M87">
        <v>26</v>
      </c>
      <c r="N87">
        <f t="shared" si="3"/>
        <v>15.9</v>
      </c>
      <c r="O87" cm="1">
        <f t="array" ref="O87">SUM(_xlfn.XLOOKUP(E87:H87, $V$13:$V$17, $U$13:$U$17))</f>
        <v>32</v>
      </c>
      <c r="P87">
        <f t="shared" si="4"/>
        <v>2</v>
      </c>
      <c r="Q87" s="1">
        <f t="shared" si="5"/>
        <v>49.9</v>
      </c>
    </row>
    <row r="88" spans="1:17" x14ac:dyDescent="0.25">
      <c r="A88" s="1" t="s">
        <v>146</v>
      </c>
      <c r="B88" s="1" t="s">
        <v>147</v>
      </c>
      <c r="C88">
        <v>3</v>
      </c>
      <c r="D88">
        <v>5</v>
      </c>
      <c r="E88">
        <v>2</v>
      </c>
      <c r="F88">
        <v>6</v>
      </c>
      <c r="G88">
        <v>3</v>
      </c>
      <c r="H88">
        <v>3</v>
      </c>
      <c r="I88">
        <v>95</v>
      </c>
      <c r="J88">
        <v>15</v>
      </c>
      <c r="K88">
        <v>44</v>
      </c>
      <c r="L88">
        <v>29</v>
      </c>
      <c r="M88">
        <v>14</v>
      </c>
      <c r="N88">
        <f t="shared" si="3"/>
        <v>19.7</v>
      </c>
      <c r="O88" cm="1">
        <f t="array" ref="O88">SUM(_xlfn.XLOOKUP(E88:H88, $V$13:$V$17, $U$13:$U$17))</f>
        <v>18</v>
      </c>
      <c r="P88">
        <f t="shared" si="4"/>
        <v>3</v>
      </c>
      <c r="Q88" s="1">
        <f t="shared" si="5"/>
        <v>40.700000000000003</v>
      </c>
    </row>
    <row r="89" spans="1:17" x14ac:dyDescent="0.25">
      <c r="A89" s="1" t="s">
        <v>148</v>
      </c>
      <c r="B89" s="1" t="s">
        <v>28</v>
      </c>
      <c r="C89">
        <v>2</v>
      </c>
      <c r="D89">
        <v>4</v>
      </c>
      <c r="E89">
        <v>2</v>
      </c>
      <c r="F89">
        <v>6</v>
      </c>
      <c r="G89">
        <v>4</v>
      </c>
      <c r="H89">
        <v>4</v>
      </c>
      <c r="I89">
        <v>84</v>
      </c>
      <c r="J89">
        <v>95</v>
      </c>
      <c r="K89">
        <v>31</v>
      </c>
      <c r="L89">
        <v>8</v>
      </c>
      <c r="M89">
        <v>54</v>
      </c>
      <c r="N89">
        <f t="shared" si="3"/>
        <v>27.200000000000003</v>
      </c>
      <c r="O89" cm="1">
        <f t="array" ref="O89">SUM(_xlfn.XLOOKUP(E89:H89, $V$13:$V$17, $U$13:$U$17))</f>
        <v>22</v>
      </c>
      <c r="P89">
        <f t="shared" si="4"/>
        <v>2</v>
      </c>
      <c r="Q89" s="1">
        <f t="shared" si="5"/>
        <v>51.2</v>
      </c>
    </row>
    <row r="90" spans="1:17" x14ac:dyDescent="0.25">
      <c r="A90" s="1" t="s">
        <v>149</v>
      </c>
      <c r="B90" s="1" t="s">
        <v>150</v>
      </c>
      <c r="C90">
        <v>5</v>
      </c>
      <c r="D90">
        <v>2</v>
      </c>
      <c r="E90">
        <v>3</v>
      </c>
      <c r="F90">
        <v>4</v>
      </c>
      <c r="G90">
        <v>3</v>
      </c>
      <c r="H90">
        <v>6</v>
      </c>
      <c r="I90">
        <v>30</v>
      </c>
      <c r="J90">
        <v>24</v>
      </c>
      <c r="K90">
        <v>66</v>
      </c>
      <c r="L90">
        <v>41</v>
      </c>
      <c r="M90">
        <v>82</v>
      </c>
      <c r="N90">
        <f t="shared" si="3"/>
        <v>24.3</v>
      </c>
      <c r="O90" cm="1">
        <f t="array" ref="O90">SUM(_xlfn.XLOOKUP(E90:H90, $V$13:$V$17, $U$13:$U$17))</f>
        <v>24</v>
      </c>
      <c r="P90">
        <f t="shared" si="4"/>
        <v>5</v>
      </c>
      <c r="Q90" s="1">
        <f t="shared" si="5"/>
        <v>53.3</v>
      </c>
    </row>
    <row r="91" spans="1:17" x14ac:dyDescent="0.25">
      <c r="A91" s="1" t="s">
        <v>151</v>
      </c>
      <c r="B91" s="1" t="s">
        <v>70</v>
      </c>
      <c r="C91">
        <v>1</v>
      </c>
      <c r="D91">
        <v>3</v>
      </c>
      <c r="E91">
        <v>6</v>
      </c>
      <c r="F91">
        <v>4</v>
      </c>
      <c r="G91">
        <v>6</v>
      </c>
      <c r="H91">
        <v>2</v>
      </c>
      <c r="I91">
        <v>30</v>
      </c>
      <c r="J91">
        <v>35</v>
      </c>
      <c r="K91">
        <v>100</v>
      </c>
      <c r="L91">
        <v>100</v>
      </c>
      <c r="M91">
        <v>100</v>
      </c>
      <c r="N91">
        <f t="shared" si="3"/>
        <v>36.5</v>
      </c>
      <c r="O91" cm="1">
        <f t="array" ref="O91">SUM(_xlfn.XLOOKUP(E91:H91, $V$13:$V$17, $U$13:$U$17))</f>
        <v>26</v>
      </c>
      <c r="P91">
        <f t="shared" si="4"/>
        <v>1</v>
      </c>
      <c r="Q91" s="1">
        <f t="shared" si="5"/>
        <v>63.5</v>
      </c>
    </row>
    <row r="92" spans="1:17" x14ac:dyDescent="0.25">
      <c r="A92" s="1" t="s">
        <v>152</v>
      </c>
      <c r="B92" s="1" t="s">
        <v>153</v>
      </c>
      <c r="C92">
        <v>1</v>
      </c>
      <c r="D92">
        <v>5</v>
      </c>
      <c r="E92">
        <v>4</v>
      </c>
      <c r="F92">
        <v>2</v>
      </c>
      <c r="G92">
        <v>5</v>
      </c>
      <c r="H92">
        <v>6</v>
      </c>
      <c r="I92">
        <v>54</v>
      </c>
      <c r="J92">
        <v>50</v>
      </c>
      <c r="K92">
        <v>9</v>
      </c>
      <c r="L92">
        <v>59</v>
      </c>
      <c r="M92">
        <v>54</v>
      </c>
      <c r="N92">
        <f t="shared" si="3"/>
        <v>22.6</v>
      </c>
      <c r="O92" cm="1">
        <f t="array" ref="O92">SUM(_xlfn.XLOOKUP(E92:H92, $V$13:$V$17, $U$13:$U$17))</f>
        <v>24</v>
      </c>
      <c r="P92">
        <f t="shared" si="4"/>
        <v>1</v>
      </c>
      <c r="Q92" s="1">
        <f t="shared" si="5"/>
        <v>47.6</v>
      </c>
    </row>
    <row r="93" spans="1:17" x14ac:dyDescent="0.25">
      <c r="A93" s="1" t="s">
        <v>154</v>
      </c>
      <c r="B93" s="1" t="s">
        <v>155</v>
      </c>
      <c r="C93">
        <v>6</v>
      </c>
      <c r="D93">
        <v>2</v>
      </c>
      <c r="E93">
        <v>3</v>
      </c>
      <c r="F93">
        <v>5</v>
      </c>
      <c r="G93">
        <v>4</v>
      </c>
      <c r="H93">
        <v>4</v>
      </c>
      <c r="I93">
        <v>50</v>
      </c>
      <c r="J93">
        <v>30</v>
      </c>
      <c r="K93">
        <v>14</v>
      </c>
      <c r="L93">
        <v>20</v>
      </c>
      <c r="M93">
        <v>88</v>
      </c>
      <c r="N93">
        <f t="shared" si="3"/>
        <v>20.200000000000003</v>
      </c>
      <c r="O93" cm="1">
        <f t="array" ref="O93">SUM(_xlfn.XLOOKUP(E93:H93, $V$13:$V$17, $U$13:$U$17))</f>
        <v>24</v>
      </c>
      <c r="P93">
        <f t="shared" si="4"/>
        <v>6</v>
      </c>
      <c r="Q93" s="1">
        <f t="shared" si="5"/>
        <v>50.2</v>
      </c>
    </row>
    <row r="94" spans="1:17" x14ac:dyDescent="0.25">
      <c r="A94" s="1" t="s">
        <v>156</v>
      </c>
      <c r="B94" s="1" t="s">
        <v>157</v>
      </c>
      <c r="C94">
        <v>6</v>
      </c>
      <c r="D94">
        <v>3</v>
      </c>
      <c r="E94">
        <v>6</v>
      </c>
      <c r="F94">
        <v>5</v>
      </c>
      <c r="G94">
        <v>4</v>
      </c>
      <c r="H94">
        <v>5</v>
      </c>
      <c r="I94">
        <v>62</v>
      </c>
      <c r="J94">
        <v>47</v>
      </c>
      <c r="K94">
        <v>19</v>
      </c>
      <c r="L94">
        <v>10</v>
      </c>
      <c r="M94">
        <v>40</v>
      </c>
      <c r="N94">
        <f t="shared" si="3"/>
        <v>17.8</v>
      </c>
      <c r="O94" cm="1">
        <f t="array" ref="O94">SUM(_xlfn.XLOOKUP(E94:H94, $V$13:$V$17, $U$13:$U$17))</f>
        <v>32</v>
      </c>
      <c r="P94">
        <f t="shared" si="4"/>
        <v>6</v>
      </c>
      <c r="Q94" s="1">
        <f t="shared" si="5"/>
        <v>55.8</v>
      </c>
    </row>
    <row r="95" spans="1:17" x14ac:dyDescent="0.25">
      <c r="A95" s="1" t="s">
        <v>158</v>
      </c>
      <c r="B95" s="1" t="s">
        <v>159</v>
      </c>
      <c r="C95">
        <v>0</v>
      </c>
      <c r="D95">
        <v>3</v>
      </c>
      <c r="E95">
        <v>6</v>
      </c>
      <c r="F95">
        <v>3</v>
      </c>
      <c r="G95">
        <v>5</v>
      </c>
      <c r="H95">
        <v>6</v>
      </c>
      <c r="I95">
        <v>12</v>
      </c>
      <c r="J95">
        <v>60</v>
      </c>
      <c r="K95">
        <v>63</v>
      </c>
      <c r="L95">
        <v>37</v>
      </c>
      <c r="M95">
        <v>71</v>
      </c>
      <c r="N95">
        <f t="shared" si="3"/>
        <v>24.299999999999997</v>
      </c>
      <c r="O95" cm="1">
        <f t="array" ref="O95">SUM(_xlfn.XLOOKUP(E95:H95, $V$13:$V$17, $U$13:$U$17))</f>
        <v>32</v>
      </c>
      <c r="P95">
        <f t="shared" si="4"/>
        <v>0</v>
      </c>
      <c r="Q95" s="1">
        <f t="shared" si="5"/>
        <v>56.3</v>
      </c>
    </row>
    <row r="96" spans="1:17" x14ac:dyDescent="0.25">
      <c r="A96" s="1" t="s">
        <v>160</v>
      </c>
      <c r="B96" s="1" t="s">
        <v>161</v>
      </c>
      <c r="C96">
        <v>2</v>
      </c>
      <c r="D96">
        <v>3</v>
      </c>
      <c r="E96">
        <v>2</v>
      </c>
      <c r="F96">
        <v>2</v>
      </c>
      <c r="G96">
        <v>3</v>
      </c>
      <c r="H96">
        <v>2</v>
      </c>
      <c r="I96">
        <v>56</v>
      </c>
      <c r="J96">
        <v>63</v>
      </c>
      <c r="K96">
        <v>26</v>
      </c>
      <c r="L96">
        <v>92</v>
      </c>
      <c r="M96">
        <v>13</v>
      </c>
      <c r="N96">
        <f t="shared" si="3"/>
        <v>24.999999999999996</v>
      </c>
      <c r="O96" cm="1">
        <f t="array" ref="O96">SUM(_xlfn.XLOOKUP(E96:H96, $V$13:$V$17, $U$13:$U$17))</f>
        <v>4</v>
      </c>
      <c r="P96">
        <f t="shared" si="4"/>
        <v>2</v>
      </c>
      <c r="Q96" s="1">
        <f t="shared" si="5"/>
        <v>30.999999999999996</v>
      </c>
    </row>
    <row r="97" spans="1:17" x14ac:dyDescent="0.25">
      <c r="A97" s="1" t="s">
        <v>162</v>
      </c>
      <c r="B97" s="1" t="s">
        <v>30</v>
      </c>
      <c r="C97">
        <v>5</v>
      </c>
      <c r="D97">
        <v>5</v>
      </c>
      <c r="E97">
        <v>6</v>
      </c>
      <c r="F97">
        <v>6</v>
      </c>
      <c r="G97">
        <v>5</v>
      </c>
      <c r="H97">
        <v>6</v>
      </c>
      <c r="I97">
        <v>45</v>
      </c>
      <c r="J97">
        <v>97</v>
      </c>
      <c r="K97">
        <v>5</v>
      </c>
      <c r="L97">
        <v>73</v>
      </c>
      <c r="M97">
        <v>12</v>
      </c>
      <c r="N97">
        <f t="shared" si="3"/>
        <v>23.2</v>
      </c>
      <c r="O97" cm="1">
        <f t="array" ref="O97">SUM(_xlfn.XLOOKUP(E97:H97, $V$13:$V$17, $U$13:$U$17))</f>
        <v>38</v>
      </c>
      <c r="P97">
        <f t="shared" si="4"/>
        <v>5</v>
      </c>
      <c r="Q97" s="1">
        <f t="shared" si="5"/>
        <v>66.2</v>
      </c>
    </row>
    <row r="98" spans="1:17" x14ac:dyDescent="0.25">
      <c r="A98" s="1" t="s">
        <v>163</v>
      </c>
      <c r="B98" s="1" t="s">
        <v>164</v>
      </c>
      <c r="C98">
        <v>2</v>
      </c>
      <c r="D98">
        <v>4</v>
      </c>
      <c r="E98">
        <v>5</v>
      </c>
      <c r="F98">
        <v>2</v>
      </c>
      <c r="G98">
        <v>4</v>
      </c>
      <c r="H98">
        <v>6</v>
      </c>
      <c r="I98">
        <v>96</v>
      </c>
      <c r="J98">
        <v>60</v>
      </c>
      <c r="K98">
        <v>4</v>
      </c>
      <c r="L98">
        <v>45</v>
      </c>
      <c r="M98">
        <v>21</v>
      </c>
      <c r="N98">
        <f t="shared" si="3"/>
        <v>22.6</v>
      </c>
      <c r="O98" cm="1">
        <f t="array" ref="O98">SUM(_xlfn.XLOOKUP(E98:H98, $V$13:$V$17, $U$13:$U$17))</f>
        <v>24</v>
      </c>
      <c r="P98">
        <f t="shared" si="4"/>
        <v>2</v>
      </c>
      <c r="Q98" s="1">
        <f t="shared" si="5"/>
        <v>48.6</v>
      </c>
    </row>
    <row r="99" spans="1:17" x14ac:dyDescent="0.25">
      <c r="A99" s="1" t="s">
        <v>165</v>
      </c>
      <c r="B99" s="1" t="s">
        <v>166</v>
      </c>
      <c r="C99">
        <v>7</v>
      </c>
      <c r="D99">
        <v>3</v>
      </c>
      <c r="E99">
        <v>3</v>
      </c>
      <c r="F99">
        <v>6</v>
      </c>
      <c r="G99">
        <v>5</v>
      </c>
      <c r="H99">
        <v>5</v>
      </c>
      <c r="I99">
        <v>57</v>
      </c>
      <c r="J99">
        <v>31</v>
      </c>
      <c r="K99">
        <v>22</v>
      </c>
      <c r="L99">
        <v>59</v>
      </c>
      <c r="M99">
        <v>61</v>
      </c>
      <c r="N99">
        <f t="shared" si="3"/>
        <v>23</v>
      </c>
      <c r="O99" cm="1">
        <f t="array" ref="O99">SUM(_xlfn.XLOOKUP(E99:H99, $V$13:$V$17, $U$13:$U$17))</f>
        <v>30</v>
      </c>
      <c r="P99">
        <f t="shared" si="4"/>
        <v>7</v>
      </c>
      <c r="Q99" s="1">
        <f t="shared" si="5"/>
        <v>60</v>
      </c>
    </row>
    <row r="100" spans="1:17" x14ac:dyDescent="0.25">
      <c r="A100" s="1" t="s">
        <v>167</v>
      </c>
      <c r="B100" s="1" t="s">
        <v>18</v>
      </c>
      <c r="C100">
        <v>5</v>
      </c>
      <c r="D100">
        <v>6</v>
      </c>
      <c r="E100">
        <v>4</v>
      </c>
      <c r="F100">
        <v>2</v>
      </c>
      <c r="G100">
        <v>5</v>
      </c>
      <c r="H100">
        <v>5</v>
      </c>
      <c r="I100">
        <v>18</v>
      </c>
      <c r="J100">
        <v>86</v>
      </c>
      <c r="K100">
        <v>25</v>
      </c>
      <c r="L100">
        <v>29</v>
      </c>
      <c r="M100">
        <v>9</v>
      </c>
      <c r="N100">
        <f t="shared" si="3"/>
        <v>16.7</v>
      </c>
      <c r="O100" cm="1">
        <f t="array" ref="O100">SUM(_xlfn.XLOOKUP(E100:H100, $V$13:$V$17, $U$13:$U$17))</f>
        <v>22</v>
      </c>
      <c r="P100">
        <f t="shared" si="4"/>
        <v>7</v>
      </c>
      <c r="Q100" s="1">
        <f t="shared" si="5"/>
        <v>45.7</v>
      </c>
    </row>
    <row r="101" spans="1:17" x14ac:dyDescent="0.25">
      <c r="A101" s="1" t="s">
        <v>168</v>
      </c>
      <c r="B101" s="1" t="s">
        <v>169</v>
      </c>
      <c r="C101">
        <v>5</v>
      </c>
      <c r="D101">
        <v>4</v>
      </c>
      <c r="E101">
        <v>6</v>
      </c>
      <c r="F101">
        <v>2</v>
      </c>
      <c r="G101">
        <v>5</v>
      </c>
      <c r="H101">
        <v>4</v>
      </c>
      <c r="I101">
        <v>93</v>
      </c>
      <c r="J101">
        <v>47</v>
      </c>
      <c r="K101">
        <v>47</v>
      </c>
      <c r="L101">
        <v>34</v>
      </c>
      <c r="M101">
        <v>39</v>
      </c>
      <c r="N101">
        <f t="shared" si="3"/>
        <v>25.999999999999996</v>
      </c>
      <c r="O101" cm="1">
        <f t="array" ref="O101">SUM(_xlfn.XLOOKUP(E101:H101, $V$13:$V$17, $U$13:$U$17))</f>
        <v>24</v>
      </c>
      <c r="P101">
        <f t="shared" si="4"/>
        <v>5</v>
      </c>
      <c r="Q101" s="1">
        <f t="shared" si="5"/>
        <v>55</v>
      </c>
    </row>
    <row r="102" spans="1:17" x14ac:dyDescent="0.25">
      <c r="A102" s="1" t="s">
        <v>170</v>
      </c>
      <c r="B102" s="1" t="s">
        <v>171</v>
      </c>
      <c r="C102">
        <v>3</v>
      </c>
      <c r="D102">
        <v>6</v>
      </c>
      <c r="E102">
        <v>2</v>
      </c>
      <c r="F102">
        <v>3</v>
      </c>
      <c r="G102">
        <v>2</v>
      </c>
      <c r="H102">
        <v>6</v>
      </c>
      <c r="I102">
        <v>89</v>
      </c>
      <c r="J102">
        <v>30</v>
      </c>
      <c r="K102">
        <v>43</v>
      </c>
      <c r="L102">
        <v>25</v>
      </c>
      <c r="M102">
        <v>1</v>
      </c>
      <c r="N102">
        <f t="shared" si="3"/>
        <v>18.8</v>
      </c>
      <c r="O102" cm="1">
        <f t="array" ref="O102">SUM(_xlfn.XLOOKUP(E102:H102, $V$13:$V$17, $U$13:$U$17))</f>
        <v>14</v>
      </c>
      <c r="P102">
        <f t="shared" si="4"/>
        <v>5</v>
      </c>
      <c r="Q102" s="1">
        <f t="shared" si="5"/>
        <v>37.799999999999997</v>
      </c>
    </row>
    <row r="103" spans="1:17" x14ac:dyDescent="0.25">
      <c r="A103" s="1" t="s">
        <v>172</v>
      </c>
      <c r="B103" s="1" t="s">
        <v>130</v>
      </c>
      <c r="C103">
        <v>6</v>
      </c>
      <c r="D103">
        <v>2</v>
      </c>
      <c r="E103">
        <v>3</v>
      </c>
      <c r="F103">
        <v>2</v>
      </c>
      <c r="G103">
        <v>3</v>
      </c>
      <c r="H103">
        <v>6</v>
      </c>
      <c r="I103">
        <v>67</v>
      </c>
      <c r="J103">
        <v>74</v>
      </c>
      <c r="K103">
        <v>49</v>
      </c>
      <c r="L103">
        <v>43</v>
      </c>
      <c r="M103">
        <v>52</v>
      </c>
      <c r="N103">
        <f t="shared" si="3"/>
        <v>28.5</v>
      </c>
      <c r="O103" cm="1">
        <f t="array" ref="O103">SUM(_xlfn.XLOOKUP(E103:H103, $V$13:$V$17, $U$13:$U$17))</f>
        <v>18</v>
      </c>
      <c r="P103">
        <f t="shared" si="4"/>
        <v>6</v>
      </c>
      <c r="Q103" s="1">
        <f t="shared" si="5"/>
        <v>52.5</v>
      </c>
    </row>
    <row r="104" spans="1:17" x14ac:dyDescent="0.25">
      <c r="A104" s="1" t="s">
        <v>173</v>
      </c>
      <c r="B104" s="1" t="s">
        <v>174</v>
      </c>
      <c r="C104">
        <v>8</v>
      </c>
      <c r="D104">
        <v>3</v>
      </c>
      <c r="E104">
        <v>2</v>
      </c>
      <c r="F104">
        <v>6</v>
      </c>
      <c r="G104">
        <v>5</v>
      </c>
      <c r="H104">
        <v>3</v>
      </c>
      <c r="I104">
        <v>41</v>
      </c>
      <c r="J104">
        <v>29</v>
      </c>
      <c r="K104">
        <v>52</v>
      </c>
      <c r="L104">
        <v>81</v>
      </c>
      <c r="M104">
        <v>26</v>
      </c>
      <c r="N104">
        <f t="shared" si="3"/>
        <v>22.9</v>
      </c>
      <c r="O104" cm="1">
        <f t="array" ref="O104">SUM(_xlfn.XLOOKUP(E104:H104, $V$13:$V$17, $U$13:$U$17))</f>
        <v>22</v>
      </c>
      <c r="P104">
        <f t="shared" si="4"/>
        <v>8</v>
      </c>
      <c r="Q104" s="1">
        <f t="shared" si="5"/>
        <v>52.9</v>
      </c>
    </row>
    <row r="105" spans="1:17" x14ac:dyDescent="0.25">
      <c r="A105" s="1" t="s">
        <v>175</v>
      </c>
      <c r="B105" s="1" t="s">
        <v>45</v>
      </c>
      <c r="C105">
        <v>8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32</v>
      </c>
      <c r="J105">
        <v>83</v>
      </c>
      <c r="K105">
        <v>14</v>
      </c>
      <c r="L105">
        <v>77</v>
      </c>
      <c r="M105">
        <v>71</v>
      </c>
      <c r="N105">
        <f t="shared" si="3"/>
        <v>27.700000000000003</v>
      </c>
      <c r="O105" cm="1">
        <f t="array" ref="O105">SUM(_xlfn.XLOOKUP(E105:H105, $V$13:$V$17, $U$13:$U$17))</f>
        <v>24</v>
      </c>
      <c r="P105">
        <f t="shared" si="4"/>
        <v>8</v>
      </c>
      <c r="Q105" s="1">
        <f t="shared" si="5"/>
        <v>59.7</v>
      </c>
    </row>
    <row r="106" spans="1:17" x14ac:dyDescent="0.25">
      <c r="A106" s="1" t="s">
        <v>176</v>
      </c>
      <c r="B106" s="1" t="s">
        <v>177</v>
      </c>
      <c r="C106">
        <v>6</v>
      </c>
      <c r="D106">
        <v>5</v>
      </c>
      <c r="E106">
        <v>2</v>
      </c>
      <c r="F106">
        <v>6</v>
      </c>
      <c r="G106">
        <v>6</v>
      </c>
      <c r="H106">
        <v>4</v>
      </c>
      <c r="I106">
        <v>48</v>
      </c>
      <c r="J106">
        <v>39</v>
      </c>
      <c r="K106">
        <v>45</v>
      </c>
      <c r="L106">
        <v>39</v>
      </c>
      <c r="M106">
        <v>59</v>
      </c>
      <c r="N106">
        <f t="shared" si="3"/>
        <v>23</v>
      </c>
      <c r="O106" cm="1">
        <f t="array" ref="O106">SUM(_xlfn.XLOOKUP(E106:H106, $V$13:$V$17, $U$13:$U$17))</f>
        <v>26</v>
      </c>
      <c r="P106">
        <f t="shared" si="4"/>
        <v>6</v>
      </c>
      <c r="Q106" s="1">
        <f t="shared" si="5"/>
        <v>55</v>
      </c>
    </row>
    <row r="107" spans="1:17" x14ac:dyDescent="0.25">
      <c r="A107" s="1" t="s">
        <v>178</v>
      </c>
      <c r="B107" s="1" t="s">
        <v>119</v>
      </c>
      <c r="C107">
        <v>1</v>
      </c>
      <c r="D107">
        <v>3</v>
      </c>
      <c r="E107">
        <v>2</v>
      </c>
      <c r="F107">
        <v>3</v>
      </c>
      <c r="G107">
        <v>5</v>
      </c>
      <c r="H107">
        <v>2</v>
      </c>
      <c r="I107">
        <v>11</v>
      </c>
      <c r="J107">
        <v>23</v>
      </c>
      <c r="K107">
        <v>92</v>
      </c>
      <c r="L107">
        <v>50</v>
      </c>
      <c r="M107">
        <v>36</v>
      </c>
      <c r="N107">
        <f t="shared" si="3"/>
        <v>21.200000000000003</v>
      </c>
      <c r="O107" cm="1">
        <f t="array" ref="O107">SUM(_xlfn.XLOOKUP(E107:H107, $V$13:$V$17, $U$13:$U$17))</f>
        <v>12</v>
      </c>
      <c r="P107">
        <f t="shared" si="4"/>
        <v>1</v>
      </c>
      <c r="Q107" s="1">
        <f t="shared" si="5"/>
        <v>34.200000000000003</v>
      </c>
    </row>
    <row r="108" spans="1:17" x14ac:dyDescent="0.25">
      <c r="A108" s="1" t="s">
        <v>179</v>
      </c>
      <c r="B108" s="1" t="s">
        <v>180</v>
      </c>
      <c r="C108">
        <v>0</v>
      </c>
      <c r="D108">
        <v>5</v>
      </c>
      <c r="E108">
        <v>3</v>
      </c>
      <c r="F108">
        <v>5</v>
      </c>
      <c r="G108">
        <v>2</v>
      </c>
      <c r="H108">
        <v>5</v>
      </c>
      <c r="I108">
        <v>20</v>
      </c>
      <c r="J108">
        <v>51</v>
      </c>
      <c r="K108">
        <v>64</v>
      </c>
      <c r="L108">
        <v>67</v>
      </c>
      <c r="M108">
        <v>72</v>
      </c>
      <c r="N108">
        <f t="shared" si="3"/>
        <v>27.4</v>
      </c>
      <c r="O108" cm="1">
        <f t="array" ref="O108">SUM(_xlfn.XLOOKUP(E108:H108, $V$13:$V$17, $U$13:$U$17))</f>
        <v>20</v>
      </c>
      <c r="P108">
        <f t="shared" si="4"/>
        <v>0</v>
      </c>
      <c r="Q108" s="1">
        <f t="shared" si="5"/>
        <v>47.4</v>
      </c>
    </row>
    <row r="109" spans="1:17" x14ac:dyDescent="0.25">
      <c r="A109" s="1" t="s">
        <v>181</v>
      </c>
      <c r="B109" s="1" t="s">
        <v>182</v>
      </c>
      <c r="C109">
        <v>7</v>
      </c>
      <c r="D109">
        <v>4</v>
      </c>
      <c r="E109">
        <v>6</v>
      </c>
      <c r="F109">
        <v>2</v>
      </c>
      <c r="G109">
        <v>5</v>
      </c>
      <c r="H109">
        <v>5</v>
      </c>
      <c r="I109">
        <v>90</v>
      </c>
      <c r="J109">
        <v>9</v>
      </c>
      <c r="K109">
        <v>61</v>
      </c>
      <c r="L109">
        <v>28</v>
      </c>
      <c r="M109">
        <v>92</v>
      </c>
      <c r="N109">
        <f t="shared" si="3"/>
        <v>28</v>
      </c>
      <c r="O109" cm="1">
        <f t="array" ref="O109">SUM(_xlfn.XLOOKUP(E109:H109, $V$13:$V$17, $U$13:$U$17))</f>
        <v>26</v>
      </c>
      <c r="P109">
        <f t="shared" si="4"/>
        <v>7</v>
      </c>
      <c r="Q109" s="1">
        <f t="shared" si="5"/>
        <v>61</v>
      </c>
    </row>
    <row r="110" spans="1:17" x14ac:dyDescent="0.25">
      <c r="A110" s="1" t="s">
        <v>183</v>
      </c>
      <c r="B110" s="1" t="s">
        <v>155</v>
      </c>
      <c r="C110">
        <v>4</v>
      </c>
      <c r="D110">
        <v>2</v>
      </c>
      <c r="E110">
        <v>6</v>
      </c>
      <c r="F110">
        <v>6</v>
      </c>
      <c r="G110">
        <v>6</v>
      </c>
      <c r="H110">
        <v>4</v>
      </c>
      <c r="I110">
        <v>91</v>
      </c>
      <c r="J110">
        <v>63</v>
      </c>
      <c r="K110">
        <v>88</v>
      </c>
      <c r="L110">
        <v>68</v>
      </c>
      <c r="M110">
        <v>75</v>
      </c>
      <c r="N110">
        <f t="shared" si="3"/>
        <v>38.5</v>
      </c>
      <c r="O110" cm="1">
        <f t="array" ref="O110">SUM(_xlfn.XLOOKUP(E110:H110, $V$13:$V$17, $U$13:$U$17))</f>
        <v>36</v>
      </c>
      <c r="P110">
        <f t="shared" si="4"/>
        <v>4</v>
      </c>
      <c r="Q110" s="1">
        <f t="shared" si="5"/>
        <v>78.5</v>
      </c>
    </row>
    <row r="111" spans="1:17" x14ac:dyDescent="0.25">
      <c r="A111" s="1" t="s">
        <v>184</v>
      </c>
      <c r="B111" s="1" t="s">
        <v>185</v>
      </c>
      <c r="C111">
        <v>3</v>
      </c>
      <c r="D111">
        <v>3</v>
      </c>
      <c r="E111">
        <v>4</v>
      </c>
      <c r="F111">
        <v>5</v>
      </c>
      <c r="G111">
        <v>6</v>
      </c>
      <c r="H111">
        <v>3</v>
      </c>
      <c r="I111">
        <v>59</v>
      </c>
      <c r="J111">
        <v>13</v>
      </c>
      <c r="K111">
        <v>14</v>
      </c>
      <c r="L111">
        <v>22</v>
      </c>
      <c r="M111">
        <v>96</v>
      </c>
      <c r="N111">
        <f t="shared" si="3"/>
        <v>20.399999999999999</v>
      </c>
      <c r="O111" cm="1">
        <f t="array" ref="O111">SUM(_xlfn.XLOOKUP(E111:H111, $V$13:$V$17, $U$13:$U$17))</f>
        <v>28</v>
      </c>
      <c r="P111">
        <f t="shared" si="4"/>
        <v>3</v>
      </c>
      <c r="Q111" s="1">
        <f t="shared" si="5"/>
        <v>51.4</v>
      </c>
    </row>
    <row r="112" spans="1:17" x14ac:dyDescent="0.25">
      <c r="A112" s="1" t="s">
        <v>186</v>
      </c>
      <c r="B112" s="1" t="s">
        <v>70</v>
      </c>
      <c r="C112">
        <v>1</v>
      </c>
      <c r="D112">
        <v>3</v>
      </c>
      <c r="E112">
        <v>3</v>
      </c>
      <c r="F112">
        <v>4</v>
      </c>
      <c r="G112">
        <v>3</v>
      </c>
      <c r="H112">
        <v>4</v>
      </c>
      <c r="I112">
        <v>7</v>
      </c>
      <c r="J112">
        <v>13</v>
      </c>
      <c r="K112">
        <v>73</v>
      </c>
      <c r="L112">
        <v>73</v>
      </c>
      <c r="M112">
        <v>78</v>
      </c>
      <c r="N112">
        <f t="shared" si="3"/>
        <v>24.400000000000002</v>
      </c>
      <c r="O112" cm="1">
        <f t="array" ref="O112">SUM(_xlfn.XLOOKUP(E112:H112, $V$13:$V$17, $U$13:$U$17))</f>
        <v>20</v>
      </c>
      <c r="P112">
        <f t="shared" si="4"/>
        <v>1</v>
      </c>
      <c r="Q112" s="1">
        <f t="shared" si="5"/>
        <v>45.400000000000006</v>
      </c>
    </row>
    <row r="113" spans="1:17" x14ac:dyDescent="0.25">
      <c r="A113" s="1" t="s">
        <v>187</v>
      </c>
      <c r="B113" s="1" t="s">
        <v>188</v>
      </c>
      <c r="C113">
        <v>7</v>
      </c>
      <c r="D113">
        <v>3</v>
      </c>
      <c r="E113">
        <v>6</v>
      </c>
      <c r="F113">
        <v>2</v>
      </c>
      <c r="G113">
        <v>4</v>
      </c>
      <c r="H113">
        <v>6</v>
      </c>
      <c r="I113">
        <v>39</v>
      </c>
      <c r="J113">
        <v>69</v>
      </c>
      <c r="K113">
        <v>10</v>
      </c>
      <c r="L113">
        <v>10</v>
      </c>
      <c r="M113">
        <v>91</v>
      </c>
      <c r="N113">
        <f t="shared" si="3"/>
        <v>21.9</v>
      </c>
      <c r="O113" cm="1">
        <f t="array" ref="O113">SUM(_xlfn.XLOOKUP(E113:H113, $V$13:$V$17, $U$13:$U$17))</f>
        <v>26</v>
      </c>
      <c r="P113">
        <f t="shared" si="4"/>
        <v>7</v>
      </c>
      <c r="Q113" s="1">
        <f t="shared" si="5"/>
        <v>54.9</v>
      </c>
    </row>
    <row r="114" spans="1:17" x14ac:dyDescent="0.25">
      <c r="A114" s="1" t="s">
        <v>189</v>
      </c>
      <c r="B114" s="1" t="s">
        <v>70</v>
      </c>
      <c r="C114">
        <v>5</v>
      </c>
      <c r="D114">
        <v>6</v>
      </c>
      <c r="E114">
        <v>4</v>
      </c>
      <c r="F114">
        <v>3</v>
      </c>
      <c r="G114">
        <v>5</v>
      </c>
      <c r="H114">
        <v>2</v>
      </c>
      <c r="I114">
        <v>18</v>
      </c>
      <c r="J114">
        <v>29</v>
      </c>
      <c r="K114">
        <v>18</v>
      </c>
      <c r="L114">
        <v>5</v>
      </c>
      <c r="M114">
        <v>64</v>
      </c>
      <c r="N114">
        <f t="shared" si="3"/>
        <v>13.4</v>
      </c>
      <c r="O114" cm="1">
        <f t="array" ref="O114">SUM(_xlfn.XLOOKUP(E114:H114, $V$13:$V$17, $U$13:$U$17))</f>
        <v>18</v>
      </c>
      <c r="P114">
        <f t="shared" si="4"/>
        <v>7</v>
      </c>
      <c r="Q114" s="1">
        <f t="shared" si="5"/>
        <v>38.4</v>
      </c>
    </row>
    <row r="115" spans="1:17" x14ac:dyDescent="0.25">
      <c r="A115" s="1" t="s">
        <v>190</v>
      </c>
      <c r="B115" s="1" t="s">
        <v>101</v>
      </c>
      <c r="C115">
        <v>3</v>
      </c>
      <c r="D115">
        <v>3</v>
      </c>
      <c r="E115">
        <v>3</v>
      </c>
      <c r="F115">
        <v>6</v>
      </c>
      <c r="G115">
        <v>2</v>
      </c>
      <c r="H115">
        <v>2</v>
      </c>
      <c r="I115">
        <v>80</v>
      </c>
      <c r="J115">
        <v>5</v>
      </c>
      <c r="K115">
        <v>4</v>
      </c>
      <c r="L115">
        <v>59</v>
      </c>
      <c r="M115">
        <v>5</v>
      </c>
      <c r="N115">
        <f t="shared" si="3"/>
        <v>15.3</v>
      </c>
      <c r="O115" cm="1">
        <f t="array" ref="O115">SUM(_xlfn.XLOOKUP(E115:H115, $V$13:$V$17, $U$13:$U$17))</f>
        <v>14</v>
      </c>
      <c r="P115">
        <f t="shared" si="4"/>
        <v>3</v>
      </c>
      <c r="Q115" s="1">
        <f t="shared" si="5"/>
        <v>32.299999999999997</v>
      </c>
    </row>
    <row r="116" spans="1:17" x14ac:dyDescent="0.25">
      <c r="A116" s="1" t="s">
        <v>191</v>
      </c>
      <c r="B116" s="1" t="s">
        <v>16</v>
      </c>
      <c r="C116">
        <v>2</v>
      </c>
      <c r="D116">
        <v>4</v>
      </c>
      <c r="E116">
        <v>6</v>
      </c>
      <c r="F116">
        <v>3</v>
      </c>
      <c r="G116">
        <v>6</v>
      </c>
      <c r="H116">
        <v>6</v>
      </c>
      <c r="I116">
        <v>72</v>
      </c>
      <c r="J116">
        <v>51</v>
      </c>
      <c r="K116">
        <v>1</v>
      </c>
      <c r="L116">
        <v>33</v>
      </c>
      <c r="M116">
        <v>91</v>
      </c>
      <c r="N116">
        <f t="shared" si="3"/>
        <v>24.799999999999997</v>
      </c>
      <c r="O116" cm="1">
        <f t="array" ref="O116">SUM(_xlfn.XLOOKUP(E116:H116, $V$13:$V$17, $U$13:$U$17))</f>
        <v>34</v>
      </c>
      <c r="P116">
        <f t="shared" si="4"/>
        <v>2</v>
      </c>
      <c r="Q116" s="1">
        <f t="shared" si="5"/>
        <v>60.8</v>
      </c>
    </row>
    <row r="117" spans="1:17" x14ac:dyDescent="0.25">
      <c r="A117" s="1" t="s">
        <v>192</v>
      </c>
      <c r="B117" s="1" t="s">
        <v>30</v>
      </c>
      <c r="C117">
        <v>1</v>
      </c>
      <c r="D117">
        <v>4</v>
      </c>
      <c r="E117">
        <v>4</v>
      </c>
      <c r="F117">
        <v>3</v>
      </c>
      <c r="G117">
        <v>3</v>
      </c>
      <c r="H117">
        <v>6</v>
      </c>
      <c r="I117">
        <v>25</v>
      </c>
      <c r="J117">
        <v>23</v>
      </c>
      <c r="K117">
        <v>20</v>
      </c>
      <c r="L117">
        <v>93</v>
      </c>
      <c r="M117">
        <v>78</v>
      </c>
      <c r="N117">
        <f t="shared" si="3"/>
        <v>23.900000000000002</v>
      </c>
      <c r="O117" cm="1">
        <f t="array" ref="O117">SUM(_xlfn.XLOOKUP(E117:H117, $V$13:$V$17, $U$13:$U$17))</f>
        <v>24</v>
      </c>
      <c r="P117">
        <f t="shared" si="4"/>
        <v>1</v>
      </c>
      <c r="Q117" s="1">
        <f t="shared" si="5"/>
        <v>48.900000000000006</v>
      </c>
    </row>
    <row r="118" spans="1:17" x14ac:dyDescent="0.25">
      <c r="A118" s="1" t="s">
        <v>148</v>
      </c>
      <c r="B118" s="1" t="s">
        <v>193</v>
      </c>
      <c r="C118">
        <v>4</v>
      </c>
      <c r="D118">
        <v>5</v>
      </c>
      <c r="E118">
        <v>5</v>
      </c>
      <c r="F118">
        <v>3</v>
      </c>
      <c r="G118">
        <v>5</v>
      </c>
      <c r="H118">
        <v>2</v>
      </c>
      <c r="I118">
        <v>79</v>
      </c>
      <c r="J118">
        <v>53</v>
      </c>
      <c r="K118">
        <v>97</v>
      </c>
      <c r="L118">
        <v>34</v>
      </c>
      <c r="M118">
        <v>92</v>
      </c>
      <c r="N118">
        <f t="shared" si="3"/>
        <v>35.5</v>
      </c>
      <c r="O118" cm="1">
        <f t="array" ref="O118">SUM(_xlfn.XLOOKUP(E118:H118, $V$13:$V$17, $U$13:$U$17))</f>
        <v>20</v>
      </c>
      <c r="P118">
        <f t="shared" si="4"/>
        <v>4</v>
      </c>
      <c r="Q118" s="1">
        <f t="shared" si="5"/>
        <v>59.5</v>
      </c>
    </row>
    <row r="119" spans="1:17" x14ac:dyDescent="0.25">
      <c r="A119" s="1" t="s">
        <v>194</v>
      </c>
      <c r="B119" s="1" t="s">
        <v>86</v>
      </c>
      <c r="C119">
        <v>4</v>
      </c>
      <c r="D119">
        <v>2</v>
      </c>
      <c r="E119">
        <v>6</v>
      </c>
      <c r="F119">
        <v>4</v>
      </c>
      <c r="G119">
        <v>3</v>
      </c>
      <c r="H119">
        <v>2</v>
      </c>
      <c r="I119">
        <v>13</v>
      </c>
      <c r="J119">
        <v>81</v>
      </c>
      <c r="K119">
        <v>58</v>
      </c>
      <c r="L119">
        <v>45</v>
      </c>
      <c r="M119">
        <v>11</v>
      </c>
      <c r="N119">
        <f t="shared" si="3"/>
        <v>20.8</v>
      </c>
      <c r="O119" cm="1">
        <f t="array" ref="O119">SUM(_xlfn.XLOOKUP(E119:H119, $V$13:$V$17, $U$13:$U$17))</f>
        <v>20</v>
      </c>
      <c r="P119">
        <f t="shared" si="4"/>
        <v>4</v>
      </c>
      <c r="Q119" s="1">
        <f t="shared" si="5"/>
        <v>44.8</v>
      </c>
    </row>
    <row r="120" spans="1:17" x14ac:dyDescent="0.25">
      <c r="A120" s="1" t="s">
        <v>195</v>
      </c>
      <c r="B120" s="1" t="s">
        <v>155</v>
      </c>
      <c r="C120">
        <v>5</v>
      </c>
      <c r="D120">
        <v>2</v>
      </c>
      <c r="E120">
        <v>3</v>
      </c>
      <c r="F120">
        <v>3</v>
      </c>
      <c r="G120">
        <v>2</v>
      </c>
      <c r="H120">
        <v>6</v>
      </c>
      <c r="I120">
        <v>93</v>
      </c>
      <c r="J120">
        <v>31</v>
      </c>
      <c r="K120">
        <v>9</v>
      </c>
      <c r="L120">
        <v>50</v>
      </c>
      <c r="M120">
        <v>41</v>
      </c>
      <c r="N120">
        <f t="shared" si="3"/>
        <v>22.4</v>
      </c>
      <c r="O120" cm="1">
        <f t="array" ref="O120">SUM(_xlfn.XLOOKUP(E120:H120, $V$13:$V$17, $U$13:$U$17))</f>
        <v>18</v>
      </c>
      <c r="P120">
        <f t="shared" si="4"/>
        <v>5</v>
      </c>
      <c r="Q120" s="1">
        <f t="shared" si="5"/>
        <v>45.4</v>
      </c>
    </row>
    <row r="121" spans="1:17" x14ac:dyDescent="0.25">
      <c r="A121" s="1" t="s">
        <v>196</v>
      </c>
      <c r="B121" s="1" t="s">
        <v>197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10</v>
      </c>
      <c r="J121">
        <v>93</v>
      </c>
      <c r="K121">
        <v>88</v>
      </c>
      <c r="L121">
        <v>23</v>
      </c>
      <c r="M121">
        <v>43</v>
      </c>
      <c r="N121">
        <f t="shared" si="3"/>
        <v>25.700000000000003</v>
      </c>
      <c r="O121" cm="1">
        <f t="array" ref="O121">SUM(_xlfn.XLOOKUP(E121:H121, $V$13:$V$17, $U$13:$U$17))</f>
        <v>0</v>
      </c>
      <c r="P121">
        <f t="shared" si="4"/>
        <v>2</v>
      </c>
      <c r="Q121" s="1">
        <f t="shared" si="5"/>
        <v>27.700000000000003</v>
      </c>
    </row>
    <row r="122" spans="1:17" x14ac:dyDescent="0.25">
      <c r="A122" s="1" t="s">
        <v>198</v>
      </c>
      <c r="B122" s="1" t="s">
        <v>199</v>
      </c>
      <c r="C122">
        <v>0</v>
      </c>
      <c r="D122">
        <v>3</v>
      </c>
      <c r="E122">
        <v>3</v>
      </c>
      <c r="F122">
        <v>2</v>
      </c>
      <c r="G122">
        <v>3</v>
      </c>
      <c r="H122">
        <v>6</v>
      </c>
      <c r="I122">
        <v>7</v>
      </c>
      <c r="J122">
        <v>69</v>
      </c>
      <c r="K122">
        <v>31</v>
      </c>
      <c r="L122">
        <v>13</v>
      </c>
      <c r="M122">
        <v>61</v>
      </c>
      <c r="N122">
        <f t="shared" si="3"/>
        <v>18.100000000000001</v>
      </c>
      <c r="O122" cm="1">
        <f t="array" ref="O122">SUM(_xlfn.XLOOKUP(E122:H122, $V$13:$V$17, $U$13:$U$17))</f>
        <v>18</v>
      </c>
      <c r="P122">
        <f t="shared" si="4"/>
        <v>0</v>
      </c>
      <c r="Q122" s="1">
        <f t="shared" si="5"/>
        <v>36.1</v>
      </c>
    </row>
    <row r="123" spans="1:17" x14ac:dyDescent="0.25">
      <c r="A123" s="1" t="s">
        <v>200</v>
      </c>
      <c r="B123" s="1" t="s">
        <v>201</v>
      </c>
      <c r="C123">
        <v>5</v>
      </c>
      <c r="D123">
        <v>3</v>
      </c>
      <c r="E123">
        <v>2</v>
      </c>
      <c r="F123">
        <v>2</v>
      </c>
      <c r="G123">
        <v>4</v>
      </c>
      <c r="H123">
        <v>6</v>
      </c>
      <c r="I123">
        <v>24</v>
      </c>
      <c r="J123">
        <v>79</v>
      </c>
      <c r="K123">
        <v>99</v>
      </c>
      <c r="L123">
        <v>6</v>
      </c>
      <c r="M123">
        <v>89</v>
      </c>
      <c r="N123">
        <f t="shared" si="3"/>
        <v>29.700000000000003</v>
      </c>
      <c r="O123" cm="1">
        <f t="array" ref="O123">SUM(_xlfn.XLOOKUP(E123:H123, $V$13:$V$17, $U$13:$U$17))</f>
        <v>16</v>
      </c>
      <c r="P123">
        <f t="shared" si="4"/>
        <v>5</v>
      </c>
      <c r="Q123" s="1">
        <f t="shared" si="5"/>
        <v>50.7</v>
      </c>
    </row>
    <row r="124" spans="1:17" x14ac:dyDescent="0.25">
      <c r="A124" s="1" t="s">
        <v>202</v>
      </c>
      <c r="B124" s="1" t="s">
        <v>203</v>
      </c>
      <c r="C124">
        <v>7</v>
      </c>
      <c r="D124">
        <v>2</v>
      </c>
      <c r="E124">
        <v>2</v>
      </c>
      <c r="F124">
        <v>4</v>
      </c>
      <c r="G124">
        <v>4</v>
      </c>
      <c r="H124">
        <v>6</v>
      </c>
      <c r="I124">
        <v>57</v>
      </c>
      <c r="J124">
        <v>11</v>
      </c>
      <c r="K124">
        <v>80</v>
      </c>
      <c r="L124">
        <v>27</v>
      </c>
      <c r="M124">
        <v>21</v>
      </c>
      <c r="N124">
        <f t="shared" si="3"/>
        <v>19.600000000000001</v>
      </c>
      <c r="O124" cm="1">
        <f t="array" ref="O124">SUM(_xlfn.XLOOKUP(E124:H124, $V$13:$V$17, $U$13:$U$17))</f>
        <v>22</v>
      </c>
      <c r="P124">
        <f t="shared" si="4"/>
        <v>7</v>
      </c>
      <c r="Q124" s="1">
        <f t="shared" si="5"/>
        <v>48.6</v>
      </c>
    </row>
    <row r="125" spans="1:17" x14ac:dyDescent="0.25">
      <c r="A125" s="1" t="s">
        <v>204</v>
      </c>
      <c r="B125" s="1" t="s">
        <v>205</v>
      </c>
      <c r="C125">
        <v>7</v>
      </c>
      <c r="D125">
        <v>6</v>
      </c>
      <c r="E125">
        <v>6</v>
      </c>
      <c r="F125">
        <v>2</v>
      </c>
      <c r="G125">
        <v>2</v>
      </c>
      <c r="H125">
        <v>4</v>
      </c>
      <c r="I125">
        <v>2</v>
      </c>
      <c r="J125">
        <v>65</v>
      </c>
      <c r="K125">
        <v>47</v>
      </c>
      <c r="L125">
        <v>64</v>
      </c>
      <c r="M125">
        <v>89</v>
      </c>
      <c r="N125">
        <f t="shared" si="3"/>
        <v>26.700000000000003</v>
      </c>
      <c r="O125" cm="1">
        <f t="array" ref="O125">SUM(_xlfn.XLOOKUP(E125:H125, $V$13:$V$17, $U$13:$U$17))</f>
        <v>16</v>
      </c>
      <c r="P125">
        <f t="shared" si="4"/>
        <v>9</v>
      </c>
      <c r="Q125" s="1">
        <f t="shared" si="5"/>
        <v>51.7</v>
      </c>
    </row>
    <row r="126" spans="1:17" x14ac:dyDescent="0.25">
      <c r="A126" s="1" t="s">
        <v>206</v>
      </c>
      <c r="B126" s="1" t="s">
        <v>155</v>
      </c>
      <c r="C126">
        <v>6</v>
      </c>
      <c r="D126">
        <v>4</v>
      </c>
      <c r="E126">
        <v>5</v>
      </c>
      <c r="F126">
        <v>3</v>
      </c>
      <c r="G126">
        <v>6</v>
      </c>
      <c r="H126">
        <v>2</v>
      </c>
      <c r="I126">
        <v>46</v>
      </c>
      <c r="J126">
        <v>75</v>
      </c>
      <c r="K126">
        <v>6</v>
      </c>
      <c r="L126">
        <v>45</v>
      </c>
      <c r="M126">
        <v>9</v>
      </c>
      <c r="N126">
        <f t="shared" si="3"/>
        <v>18.099999999999998</v>
      </c>
      <c r="O126" cm="1">
        <f t="array" ref="O126">SUM(_xlfn.XLOOKUP(E126:H126, $V$13:$V$17, $U$13:$U$17))</f>
        <v>22</v>
      </c>
      <c r="P126">
        <f t="shared" si="4"/>
        <v>6</v>
      </c>
      <c r="Q126" s="1">
        <f t="shared" si="5"/>
        <v>46.099999999999994</v>
      </c>
    </row>
    <row r="127" spans="1:17" x14ac:dyDescent="0.25">
      <c r="A127" s="1" t="s">
        <v>207</v>
      </c>
      <c r="B127" s="1" t="s">
        <v>51</v>
      </c>
      <c r="C127">
        <v>8</v>
      </c>
      <c r="D127">
        <v>3</v>
      </c>
      <c r="E127">
        <v>6</v>
      </c>
      <c r="F127">
        <v>4</v>
      </c>
      <c r="G127">
        <v>5</v>
      </c>
      <c r="H127">
        <v>2</v>
      </c>
      <c r="I127">
        <v>8</v>
      </c>
      <c r="J127">
        <v>35</v>
      </c>
      <c r="K127">
        <v>65</v>
      </c>
      <c r="L127">
        <v>30</v>
      </c>
      <c r="M127">
        <v>5</v>
      </c>
      <c r="N127">
        <f t="shared" si="3"/>
        <v>14.3</v>
      </c>
      <c r="O127" cm="1">
        <f t="array" ref="O127">SUM(_xlfn.XLOOKUP(E127:H127, $V$13:$V$17, $U$13:$U$17))</f>
        <v>24</v>
      </c>
      <c r="P127">
        <f t="shared" si="4"/>
        <v>8</v>
      </c>
      <c r="Q127" s="1">
        <f t="shared" si="5"/>
        <v>46.3</v>
      </c>
    </row>
    <row r="128" spans="1:17" x14ac:dyDescent="0.25">
      <c r="A128" s="1" t="s">
        <v>208</v>
      </c>
      <c r="B128" s="1" t="s">
        <v>30</v>
      </c>
      <c r="C128">
        <v>3</v>
      </c>
      <c r="D128">
        <v>6</v>
      </c>
      <c r="E128">
        <v>6</v>
      </c>
      <c r="F128">
        <v>3</v>
      </c>
      <c r="G128">
        <v>4</v>
      </c>
      <c r="H128">
        <v>5</v>
      </c>
      <c r="I128">
        <v>35</v>
      </c>
      <c r="J128">
        <v>1</v>
      </c>
      <c r="K128">
        <v>100</v>
      </c>
      <c r="L128">
        <v>65</v>
      </c>
      <c r="M128">
        <v>86</v>
      </c>
      <c r="N128">
        <f t="shared" si="3"/>
        <v>28.700000000000003</v>
      </c>
      <c r="O128" cm="1">
        <f t="array" ref="O128">SUM(_xlfn.XLOOKUP(E128:H128, $V$13:$V$17, $U$13:$U$17))</f>
        <v>28</v>
      </c>
      <c r="P128">
        <f t="shared" si="4"/>
        <v>5</v>
      </c>
      <c r="Q128" s="1">
        <f t="shared" si="5"/>
        <v>61.7</v>
      </c>
    </row>
    <row r="129" spans="1:17" x14ac:dyDescent="0.25">
      <c r="A129" s="1" t="s">
        <v>209</v>
      </c>
      <c r="B129" s="1" t="s">
        <v>210</v>
      </c>
      <c r="C129">
        <v>8</v>
      </c>
      <c r="D129">
        <v>3</v>
      </c>
      <c r="E129">
        <v>2</v>
      </c>
      <c r="F129">
        <v>3</v>
      </c>
      <c r="G129">
        <v>5</v>
      </c>
      <c r="H129">
        <v>5</v>
      </c>
      <c r="I129">
        <v>31</v>
      </c>
      <c r="J129">
        <v>75</v>
      </c>
      <c r="K129">
        <v>10</v>
      </c>
      <c r="L129">
        <v>37</v>
      </c>
      <c r="M129">
        <v>48</v>
      </c>
      <c r="N129">
        <f t="shared" si="3"/>
        <v>20.100000000000001</v>
      </c>
      <c r="O129" cm="1">
        <f t="array" ref="O129">SUM(_xlfn.XLOOKUP(E129:H129, $V$13:$V$17, $U$13:$U$17))</f>
        <v>20</v>
      </c>
      <c r="P129">
        <f t="shared" si="4"/>
        <v>8</v>
      </c>
      <c r="Q129" s="1">
        <f t="shared" si="5"/>
        <v>48.1</v>
      </c>
    </row>
    <row r="130" spans="1:17" x14ac:dyDescent="0.25">
      <c r="A130" s="1" t="s">
        <v>211</v>
      </c>
      <c r="B130" s="1" t="s">
        <v>78</v>
      </c>
      <c r="C130">
        <v>4</v>
      </c>
      <c r="D130">
        <v>3</v>
      </c>
      <c r="E130">
        <v>4</v>
      </c>
      <c r="F130">
        <v>2</v>
      </c>
      <c r="G130">
        <v>5</v>
      </c>
      <c r="H130">
        <v>6</v>
      </c>
      <c r="I130">
        <v>53</v>
      </c>
      <c r="J130">
        <v>74</v>
      </c>
      <c r="K130">
        <v>66</v>
      </c>
      <c r="L130">
        <v>37</v>
      </c>
      <c r="M130">
        <v>55</v>
      </c>
      <c r="N130">
        <f t="shared" ref="N130:N193" si="6">I130/10 + J130/10 + K130/10 + L130/10 + M130/10</f>
        <v>28.499999999999996</v>
      </c>
      <c r="O130" cm="1">
        <f t="array" ref="O130">SUM(_xlfn.XLOOKUP(E130:H130, $V$13:$V$17, $U$13:$U$17))</f>
        <v>24</v>
      </c>
      <c r="P130">
        <f t="shared" ref="P130:P193" si="7">IF(D130=6,C130+2,C130)</f>
        <v>4</v>
      </c>
      <c r="Q130" s="1">
        <f t="shared" ref="Q130:Q193" si="8">SUM(N130:P130)</f>
        <v>56.5</v>
      </c>
    </row>
    <row r="131" spans="1:17" x14ac:dyDescent="0.25">
      <c r="A131" s="1" t="s">
        <v>212</v>
      </c>
      <c r="B131" s="1" t="s">
        <v>101</v>
      </c>
      <c r="C131">
        <v>4</v>
      </c>
      <c r="D131">
        <v>6</v>
      </c>
      <c r="E131">
        <v>5</v>
      </c>
      <c r="F131">
        <v>3</v>
      </c>
      <c r="G131">
        <v>4</v>
      </c>
      <c r="H131">
        <v>4</v>
      </c>
      <c r="I131">
        <v>43</v>
      </c>
      <c r="J131">
        <v>49</v>
      </c>
      <c r="K131">
        <v>12</v>
      </c>
      <c r="L131">
        <v>36</v>
      </c>
      <c r="M131">
        <v>87</v>
      </c>
      <c r="N131">
        <f t="shared" si="6"/>
        <v>22.699999999999996</v>
      </c>
      <c r="O131" cm="1">
        <f t="array" ref="O131">SUM(_xlfn.XLOOKUP(E131:H131, $V$13:$V$17, $U$13:$U$17))</f>
        <v>24</v>
      </c>
      <c r="P131">
        <f t="shared" si="7"/>
        <v>6</v>
      </c>
      <c r="Q131" s="1">
        <f t="shared" si="8"/>
        <v>52.699999999999996</v>
      </c>
    </row>
    <row r="132" spans="1:17" x14ac:dyDescent="0.25">
      <c r="A132" s="1" t="s">
        <v>213</v>
      </c>
      <c r="B132" s="1" t="s">
        <v>72</v>
      </c>
      <c r="C132">
        <v>4</v>
      </c>
      <c r="D132">
        <v>4</v>
      </c>
      <c r="E132">
        <v>6</v>
      </c>
      <c r="F132">
        <v>2</v>
      </c>
      <c r="G132">
        <v>5</v>
      </c>
      <c r="H132">
        <v>2</v>
      </c>
      <c r="I132">
        <v>60</v>
      </c>
      <c r="J132">
        <v>75</v>
      </c>
      <c r="K132">
        <v>10</v>
      </c>
      <c r="L132">
        <v>59</v>
      </c>
      <c r="M132">
        <v>5</v>
      </c>
      <c r="N132">
        <f t="shared" si="6"/>
        <v>20.9</v>
      </c>
      <c r="O132" cm="1">
        <f t="array" ref="O132">SUM(_xlfn.XLOOKUP(E132:H132, $V$13:$V$17, $U$13:$U$17))</f>
        <v>18</v>
      </c>
      <c r="P132">
        <f t="shared" si="7"/>
        <v>4</v>
      </c>
      <c r="Q132" s="1">
        <f t="shared" si="8"/>
        <v>42.9</v>
      </c>
    </row>
    <row r="133" spans="1:17" x14ac:dyDescent="0.25">
      <c r="A133" s="1" t="s">
        <v>214</v>
      </c>
      <c r="B133" s="1" t="s">
        <v>197</v>
      </c>
      <c r="C133">
        <v>7</v>
      </c>
      <c r="D133">
        <v>6</v>
      </c>
      <c r="E133">
        <v>4</v>
      </c>
      <c r="F133">
        <v>2</v>
      </c>
      <c r="G133">
        <v>2</v>
      </c>
      <c r="H133">
        <v>3</v>
      </c>
      <c r="I133">
        <v>89</v>
      </c>
      <c r="J133">
        <v>29</v>
      </c>
      <c r="K133">
        <v>58</v>
      </c>
      <c r="L133">
        <v>19</v>
      </c>
      <c r="M133">
        <v>97</v>
      </c>
      <c r="N133">
        <f t="shared" si="6"/>
        <v>29.2</v>
      </c>
      <c r="O133" cm="1">
        <f t="array" ref="O133">SUM(_xlfn.XLOOKUP(E133:H133, $V$13:$V$17, $U$13:$U$17))</f>
        <v>10</v>
      </c>
      <c r="P133">
        <f t="shared" si="7"/>
        <v>9</v>
      </c>
      <c r="Q133" s="1">
        <f t="shared" si="8"/>
        <v>48.2</v>
      </c>
    </row>
    <row r="134" spans="1:17" x14ac:dyDescent="0.25">
      <c r="A134" s="1" t="s">
        <v>215</v>
      </c>
      <c r="B134" s="1" t="s">
        <v>216</v>
      </c>
      <c r="C134">
        <v>5</v>
      </c>
      <c r="D134">
        <v>6</v>
      </c>
      <c r="E134">
        <v>5</v>
      </c>
      <c r="F134">
        <v>3</v>
      </c>
      <c r="G134">
        <v>5</v>
      </c>
      <c r="H134">
        <v>3</v>
      </c>
      <c r="I134">
        <v>61</v>
      </c>
      <c r="J134">
        <v>95</v>
      </c>
      <c r="K134">
        <v>36</v>
      </c>
      <c r="L134">
        <v>86</v>
      </c>
      <c r="M134">
        <v>36</v>
      </c>
      <c r="N134">
        <f t="shared" si="6"/>
        <v>31.4</v>
      </c>
      <c r="O134" cm="1">
        <f t="array" ref="O134">SUM(_xlfn.XLOOKUP(E134:H134, $V$13:$V$17, $U$13:$U$17))</f>
        <v>24</v>
      </c>
      <c r="P134">
        <f t="shared" si="7"/>
        <v>7</v>
      </c>
      <c r="Q134" s="1">
        <f t="shared" si="8"/>
        <v>62.4</v>
      </c>
    </row>
    <row r="135" spans="1:17" x14ac:dyDescent="0.25">
      <c r="A135" s="1" t="s">
        <v>217</v>
      </c>
      <c r="B135" s="1" t="s">
        <v>218</v>
      </c>
      <c r="C135">
        <v>7</v>
      </c>
      <c r="D135">
        <v>6</v>
      </c>
      <c r="E135">
        <v>2</v>
      </c>
      <c r="F135">
        <v>3</v>
      </c>
      <c r="G135">
        <v>3</v>
      </c>
      <c r="H135">
        <v>2</v>
      </c>
      <c r="I135">
        <v>2</v>
      </c>
      <c r="J135">
        <v>9</v>
      </c>
      <c r="K135">
        <v>56</v>
      </c>
      <c r="L135">
        <v>86</v>
      </c>
      <c r="M135">
        <v>71</v>
      </c>
      <c r="N135">
        <f t="shared" si="6"/>
        <v>22.4</v>
      </c>
      <c r="O135" cm="1">
        <f t="array" ref="O135">SUM(_xlfn.XLOOKUP(E135:H135, $V$13:$V$17, $U$13:$U$17))</f>
        <v>8</v>
      </c>
      <c r="P135">
        <f t="shared" si="7"/>
        <v>9</v>
      </c>
      <c r="Q135" s="1">
        <f t="shared" si="8"/>
        <v>39.4</v>
      </c>
    </row>
    <row r="136" spans="1:17" x14ac:dyDescent="0.25">
      <c r="A136" s="1" t="s">
        <v>219</v>
      </c>
      <c r="B136" s="1" t="s">
        <v>16</v>
      </c>
      <c r="C136">
        <v>6</v>
      </c>
      <c r="D136">
        <v>2</v>
      </c>
      <c r="E136">
        <v>4</v>
      </c>
      <c r="F136">
        <v>5</v>
      </c>
      <c r="G136">
        <v>6</v>
      </c>
      <c r="H136">
        <v>4</v>
      </c>
      <c r="I136">
        <v>21</v>
      </c>
      <c r="J136">
        <v>73</v>
      </c>
      <c r="K136">
        <v>39</v>
      </c>
      <c r="L136">
        <v>28</v>
      </c>
      <c r="M136">
        <v>25</v>
      </c>
      <c r="N136">
        <f t="shared" si="6"/>
        <v>18.600000000000001</v>
      </c>
      <c r="O136" cm="1">
        <f t="array" ref="O136">SUM(_xlfn.XLOOKUP(E136:H136, $V$13:$V$17, $U$13:$U$17))</f>
        <v>30</v>
      </c>
      <c r="P136">
        <f t="shared" si="7"/>
        <v>6</v>
      </c>
      <c r="Q136" s="1">
        <f t="shared" si="8"/>
        <v>54.6</v>
      </c>
    </row>
    <row r="137" spans="1:17" x14ac:dyDescent="0.25">
      <c r="A137" s="1" t="s">
        <v>220</v>
      </c>
      <c r="B137" s="1" t="s">
        <v>130</v>
      </c>
      <c r="C137">
        <v>0</v>
      </c>
      <c r="D137">
        <v>5</v>
      </c>
      <c r="E137">
        <v>2</v>
      </c>
      <c r="F137">
        <v>4</v>
      </c>
      <c r="G137">
        <v>3</v>
      </c>
      <c r="H137">
        <v>3</v>
      </c>
      <c r="I137">
        <v>52</v>
      </c>
      <c r="J137">
        <v>74</v>
      </c>
      <c r="K137">
        <v>79</v>
      </c>
      <c r="L137">
        <v>92</v>
      </c>
      <c r="M137">
        <v>69</v>
      </c>
      <c r="N137">
        <f t="shared" si="6"/>
        <v>36.6</v>
      </c>
      <c r="O137" cm="1">
        <f t="array" ref="O137">SUM(_xlfn.XLOOKUP(E137:H137, $V$13:$V$17, $U$13:$U$17))</f>
        <v>14</v>
      </c>
      <c r="P137">
        <f t="shared" si="7"/>
        <v>0</v>
      </c>
      <c r="Q137" s="1">
        <f t="shared" si="8"/>
        <v>50.6</v>
      </c>
    </row>
    <row r="138" spans="1:17" x14ac:dyDescent="0.25">
      <c r="A138" s="1" t="s">
        <v>221</v>
      </c>
      <c r="B138" s="1" t="s">
        <v>222</v>
      </c>
      <c r="C138">
        <v>1</v>
      </c>
      <c r="D138">
        <v>2</v>
      </c>
      <c r="E138">
        <v>2</v>
      </c>
      <c r="F138">
        <v>4</v>
      </c>
      <c r="G138">
        <v>5</v>
      </c>
      <c r="H138">
        <v>3</v>
      </c>
      <c r="I138">
        <v>97</v>
      </c>
      <c r="J138">
        <v>51</v>
      </c>
      <c r="K138">
        <v>38</v>
      </c>
      <c r="L138">
        <v>17</v>
      </c>
      <c r="M138">
        <v>5</v>
      </c>
      <c r="N138">
        <f t="shared" si="6"/>
        <v>20.799999999999997</v>
      </c>
      <c r="O138" cm="1">
        <f t="array" ref="O138">SUM(_xlfn.XLOOKUP(E138:H138, $V$13:$V$17, $U$13:$U$17))</f>
        <v>18</v>
      </c>
      <c r="P138">
        <f t="shared" si="7"/>
        <v>1</v>
      </c>
      <c r="Q138" s="1">
        <f t="shared" si="8"/>
        <v>39.799999999999997</v>
      </c>
    </row>
    <row r="139" spans="1:17" x14ac:dyDescent="0.25">
      <c r="A139" s="1" t="s">
        <v>223</v>
      </c>
      <c r="B139" s="1" t="s">
        <v>145</v>
      </c>
      <c r="C139">
        <v>3</v>
      </c>
      <c r="D139">
        <v>3</v>
      </c>
      <c r="E139">
        <v>2</v>
      </c>
      <c r="F139">
        <v>5</v>
      </c>
      <c r="G139">
        <v>3</v>
      </c>
      <c r="H139">
        <v>5</v>
      </c>
      <c r="I139">
        <v>68</v>
      </c>
      <c r="J139">
        <v>38</v>
      </c>
      <c r="K139">
        <v>31</v>
      </c>
      <c r="L139">
        <v>14</v>
      </c>
      <c r="M139">
        <v>54</v>
      </c>
      <c r="N139">
        <f t="shared" si="6"/>
        <v>20.5</v>
      </c>
      <c r="O139" cm="1">
        <f t="array" ref="O139">SUM(_xlfn.XLOOKUP(E139:H139, $V$13:$V$17, $U$13:$U$17))</f>
        <v>20</v>
      </c>
      <c r="P139">
        <f t="shared" si="7"/>
        <v>3</v>
      </c>
      <c r="Q139" s="1">
        <f t="shared" si="8"/>
        <v>43.5</v>
      </c>
    </row>
    <row r="140" spans="1:17" x14ac:dyDescent="0.25">
      <c r="A140" s="1" t="s">
        <v>224</v>
      </c>
      <c r="B140" s="1" t="s">
        <v>225</v>
      </c>
      <c r="C140">
        <v>7</v>
      </c>
      <c r="D140">
        <v>6</v>
      </c>
      <c r="E140">
        <v>2</v>
      </c>
      <c r="F140">
        <v>5</v>
      </c>
      <c r="G140">
        <v>6</v>
      </c>
      <c r="H140">
        <v>5</v>
      </c>
      <c r="I140">
        <v>19</v>
      </c>
      <c r="J140">
        <v>56</v>
      </c>
      <c r="K140">
        <v>50</v>
      </c>
      <c r="L140">
        <v>43</v>
      </c>
      <c r="M140">
        <v>66</v>
      </c>
      <c r="N140">
        <f t="shared" si="6"/>
        <v>23.4</v>
      </c>
      <c r="O140" cm="1">
        <f t="array" ref="O140">SUM(_xlfn.XLOOKUP(E140:H140, $V$13:$V$17, $U$13:$U$17))</f>
        <v>26</v>
      </c>
      <c r="P140">
        <f t="shared" si="7"/>
        <v>9</v>
      </c>
      <c r="Q140" s="1">
        <f t="shared" si="8"/>
        <v>58.4</v>
      </c>
    </row>
    <row r="141" spans="1:17" x14ac:dyDescent="0.25">
      <c r="A141" s="1" t="s">
        <v>226</v>
      </c>
      <c r="B141" s="1" t="s">
        <v>74</v>
      </c>
      <c r="C141">
        <v>6</v>
      </c>
      <c r="D141">
        <v>6</v>
      </c>
      <c r="E141">
        <v>5</v>
      </c>
      <c r="F141">
        <v>3</v>
      </c>
      <c r="G141">
        <v>2</v>
      </c>
      <c r="H141">
        <v>3</v>
      </c>
      <c r="I141">
        <v>16</v>
      </c>
      <c r="J141">
        <v>95</v>
      </c>
      <c r="K141">
        <v>97</v>
      </c>
      <c r="L141">
        <v>62</v>
      </c>
      <c r="M141">
        <v>46</v>
      </c>
      <c r="N141">
        <f t="shared" si="6"/>
        <v>31.599999999999994</v>
      </c>
      <c r="O141" cm="1">
        <f t="array" ref="O141">SUM(_xlfn.XLOOKUP(E141:H141, $V$13:$V$17, $U$13:$U$17))</f>
        <v>16</v>
      </c>
      <c r="P141">
        <f t="shared" si="7"/>
        <v>8</v>
      </c>
      <c r="Q141" s="1">
        <f t="shared" si="8"/>
        <v>55.599999999999994</v>
      </c>
    </row>
    <row r="142" spans="1:17" x14ac:dyDescent="0.25">
      <c r="A142" s="1" t="s">
        <v>227</v>
      </c>
      <c r="B142" s="1" t="s">
        <v>78</v>
      </c>
      <c r="C142">
        <v>6</v>
      </c>
      <c r="D142">
        <v>5</v>
      </c>
      <c r="E142">
        <v>3</v>
      </c>
      <c r="F142">
        <v>2</v>
      </c>
      <c r="G142">
        <v>3</v>
      </c>
      <c r="H142">
        <v>5</v>
      </c>
      <c r="I142">
        <v>55</v>
      </c>
      <c r="J142">
        <v>2</v>
      </c>
      <c r="K142">
        <v>64</v>
      </c>
      <c r="L142">
        <v>13</v>
      </c>
      <c r="M142">
        <v>72</v>
      </c>
      <c r="N142">
        <f t="shared" si="6"/>
        <v>20.6</v>
      </c>
      <c r="O142" cm="1">
        <f t="array" ref="O142">SUM(_xlfn.XLOOKUP(E142:H142, $V$13:$V$17, $U$13:$U$17))</f>
        <v>16</v>
      </c>
      <c r="P142">
        <f t="shared" si="7"/>
        <v>6</v>
      </c>
      <c r="Q142" s="1">
        <f t="shared" si="8"/>
        <v>42.6</v>
      </c>
    </row>
    <row r="143" spans="1:17" x14ac:dyDescent="0.25">
      <c r="A143" s="1" t="s">
        <v>228</v>
      </c>
      <c r="B143" s="1" t="s">
        <v>166</v>
      </c>
      <c r="C143">
        <v>6</v>
      </c>
      <c r="D143">
        <v>2</v>
      </c>
      <c r="E143">
        <v>4</v>
      </c>
      <c r="F143">
        <v>3</v>
      </c>
      <c r="G143">
        <v>3</v>
      </c>
      <c r="H143">
        <v>2</v>
      </c>
      <c r="I143">
        <v>54</v>
      </c>
      <c r="J143">
        <v>83</v>
      </c>
      <c r="K143">
        <v>36</v>
      </c>
      <c r="L143">
        <v>27</v>
      </c>
      <c r="M143">
        <v>21</v>
      </c>
      <c r="N143">
        <f t="shared" si="6"/>
        <v>22.1</v>
      </c>
      <c r="O143" cm="1">
        <f t="array" ref="O143">SUM(_xlfn.XLOOKUP(E143:H143, $V$13:$V$17, $U$13:$U$17))</f>
        <v>14</v>
      </c>
      <c r="P143">
        <f t="shared" si="7"/>
        <v>6</v>
      </c>
      <c r="Q143" s="1">
        <f t="shared" si="8"/>
        <v>42.1</v>
      </c>
    </row>
    <row r="144" spans="1:17" x14ac:dyDescent="0.25">
      <c r="A144" s="1" t="s">
        <v>229</v>
      </c>
      <c r="B144" s="1" t="s">
        <v>174</v>
      </c>
      <c r="C144">
        <v>1</v>
      </c>
      <c r="D144">
        <v>5</v>
      </c>
      <c r="E144">
        <v>2</v>
      </c>
      <c r="F144">
        <v>2</v>
      </c>
      <c r="G144">
        <v>4</v>
      </c>
      <c r="H144">
        <v>5</v>
      </c>
      <c r="I144">
        <v>19</v>
      </c>
      <c r="J144">
        <v>92</v>
      </c>
      <c r="K144">
        <v>24</v>
      </c>
      <c r="L144">
        <v>32</v>
      </c>
      <c r="M144">
        <v>91</v>
      </c>
      <c r="N144">
        <f t="shared" si="6"/>
        <v>25.799999999999997</v>
      </c>
      <c r="O144" cm="1">
        <f t="array" ref="O144">SUM(_xlfn.XLOOKUP(E144:H144, $V$13:$V$17, $U$13:$U$17))</f>
        <v>14</v>
      </c>
      <c r="P144">
        <f t="shared" si="7"/>
        <v>1</v>
      </c>
      <c r="Q144" s="1">
        <f t="shared" si="8"/>
        <v>40.799999999999997</v>
      </c>
    </row>
    <row r="145" spans="1:17" x14ac:dyDescent="0.25">
      <c r="A145" s="1" t="s">
        <v>230</v>
      </c>
      <c r="B145" s="1" t="s">
        <v>137</v>
      </c>
      <c r="C145">
        <v>7</v>
      </c>
      <c r="D145">
        <v>3</v>
      </c>
      <c r="E145">
        <v>2</v>
      </c>
      <c r="F145">
        <v>3</v>
      </c>
      <c r="G145">
        <v>5</v>
      </c>
      <c r="H145">
        <v>6</v>
      </c>
      <c r="I145">
        <v>25</v>
      </c>
      <c r="J145">
        <v>14</v>
      </c>
      <c r="K145">
        <v>19</v>
      </c>
      <c r="L145">
        <v>95</v>
      </c>
      <c r="M145">
        <v>91</v>
      </c>
      <c r="N145">
        <f t="shared" si="6"/>
        <v>24.4</v>
      </c>
      <c r="O145" cm="1">
        <f t="array" ref="O145">SUM(_xlfn.XLOOKUP(E145:H145, $V$13:$V$17, $U$13:$U$17))</f>
        <v>22</v>
      </c>
      <c r="P145">
        <f t="shared" si="7"/>
        <v>7</v>
      </c>
      <c r="Q145" s="1">
        <f t="shared" si="8"/>
        <v>53.4</v>
      </c>
    </row>
    <row r="146" spans="1:17" x14ac:dyDescent="0.25">
      <c r="A146" s="1" t="s">
        <v>231</v>
      </c>
      <c r="B146" s="1" t="s">
        <v>232</v>
      </c>
      <c r="C146">
        <v>8</v>
      </c>
      <c r="D146">
        <v>4</v>
      </c>
      <c r="E146">
        <v>3</v>
      </c>
      <c r="F146">
        <v>2</v>
      </c>
      <c r="G146">
        <v>3</v>
      </c>
      <c r="H146">
        <v>4</v>
      </c>
      <c r="I146">
        <v>37</v>
      </c>
      <c r="J146">
        <v>69</v>
      </c>
      <c r="K146">
        <v>12</v>
      </c>
      <c r="L146">
        <v>17</v>
      </c>
      <c r="M146">
        <v>48</v>
      </c>
      <c r="N146">
        <f t="shared" si="6"/>
        <v>18.3</v>
      </c>
      <c r="O146" cm="1">
        <f t="array" ref="O146">SUM(_xlfn.XLOOKUP(E146:H146, $V$13:$V$17, $U$13:$U$17))</f>
        <v>14</v>
      </c>
      <c r="P146">
        <f t="shared" si="7"/>
        <v>8</v>
      </c>
      <c r="Q146" s="1">
        <f t="shared" si="8"/>
        <v>40.299999999999997</v>
      </c>
    </row>
    <row r="147" spans="1:17" x14ac:dyDescent="0.25">
      <c r="A147" s="1" t="s">
        <v>233</v>
      </c>
      <c r="B147" s="1" t="s">
        <v>145</v>
      </c>
      <c r="C147">
        <v>3</v>
      </c>
      <c r="D147">
        <v>6</v>
      </c>
      <c r="E147">
        <v>6</v>
      </c>
      <c r="F147">
        <v>6</v>
      </c>
      <c r="G147">
        <v>3</v>
      </c>
      <c r="H147">
        <v>4</v>
      </c>
      <c r="I147">
        <v>79</v>
      </c>
      <c r="J147">
        <v>23</v>
      </c>
      <c r="K147">
        <v>17</v>
      </c>
      <c r="L147">
        <v>99</v>
      </c>
      <c r="M147">
        <v>29</v>
      </c>
      <c r="N147">
        <f t="shared" si="6"/>
        <v>24.699999999999996</v>
      </c>
      <c r="O147" cm="1">
        <f t="array" ref="O147">SUM(_xlfn.XLOOKUP(E147:H147, $V$13:$V$17, $U$13:$U$17))</f>
        <v>30</v>
      </c>
      <c r="P147">
        <f t="shared" si="7"/>
        <v>5</v>
      </c>
      <c r="Q147" s="1">
        <f t="shared" si="8"/>
        <v>59.699999999999996</v>
      </c>
    </row>
    <row r="148" spans="1:17" x14ac:dyDescent="0.25">
      <c r="A148" s="1" t="s">
        <v>234</v>
      </c>
      <c r="B148" s="1" t="s">
        <v>159</v>
      </c>
      <c r="C148">
        <v>4</v>
      </c>
      <c r="D148">
        <v>5</v>
      </c>
      <c r="E148">
        <v>2</v>
      </c>
      <c r="F148">
        <v>5</v>
      </c>
      <c r="G148">
        <v>4</v>
      </c>
      <c r="H148">
        <v>3</v>
      </c>
      <c r="I148">
        <v>41</v>
      </c>
      <c r="J148">
        <v>64</v>
      </c>
      <c r="K148">
        <v>91</v>
      </c>
      <c r="L148">
        <v>82</v>
      </c>
      <c r="M148">
        <v>100</v>
      </c>
      <c r="N148">
        <f t="shared" si="6"/>
        <v>37.799999999999997</v>
      </c>
      <c r="O148" cm="1">
        <f t="array" ref="O148">SUM(_xlfn.XLOOKUP(E148:H148, $V$13:$V$17, $U$13:$U$17))</f>
        <v>18</v>
      </c>
      <c r="P148">
        <f t="shared" si="7"/>
        <v>4</v>
      </c>
      <c r="Q148" s="1">
        <f t="shared" si="8"/>
        <v>59.8</v>
      </c>
    </row>
    <row r="149" spans="1:17" x14ac:dyDescent="0.25">
      <c r="A149" s="1" t="s">
        <v>235</v>
      </c>
      <c r="B149" s="1" t="s">
        <v>101</v>
      </c>
      <c r="C149">
        <v>5</v>
      </c>
      <c r="D149">
        <v>4</v>
      </c>
      <c r="E149">
        <v>5</v>
      </c>
      <c r="F149">
        <v>2</v>
      </c>
      <c r="G149">
        <v>3</v>
      </c>
      <c r="H149">
        <v>2</v>
      </c>
      <c r="I149">
        <v>87</v>
      </c>
      <c r="J149">
        <v>45</v>
      </c>
      <c r="K149">
        <v>47</v>
      </c>
      <c r="L149">
        <v>75</v>
      </c>
      <c r="M149">
        <v>51</v>
      </c>
      <c r="N149">
        <f t="shared" si="6"/>
        <v>30.5</v>
      </c>
      <c r="O149" cm="1">
        <f t="array" ref="O149">SUM(_xlfn.XLOOKUP(E149:H149, $V$13:$V$17, $U$13:$U$17))</f>
        <v>12</v>
      </c>
      <c r="P149">
        <f t="shared" si="7"/>
        <v>5</v>
      </c>
      <c r="Q149" s="1">
        <f t="shared" si="8"/>
        <v>47.5</v>
      </c>
    </row>
    <row r="150" spans="1:17" x14ac:dyDescent="0.25">
      <c r="A150" s="1" t="s">
        <v>236</v>
      </c>
      <c r="B150" s="1" t="s">
        <v>90</v>
      </c>
      <c r="C150">
        <v>8</v>
      </c>
      <c r="D150">
        <v>3</v>
      </c>
      <c r="E150">
        <v>6</v>
      </c>
      <c r="F150">
        <v>3</v>
      </c>
      <c r="G150">
        <v>6</v>
      </c>
      <c r="H150">
        <v>2</v>
      </c>
      <c r="I150">
        <v>84</v>
      </c>
      <c r="J150">
        <v>77</v>
      </c>
      <c r="K150">
        <v>71</v>
      </c>
      <c r="L150">
        <v>71</v>
      </c>
      <c r="M150">
        <v>9</v>
      </c>
      <c r="N150">
        <f t="shared" si="6"/>
        <v>31.200000000000003</v>
      </c>
      <c r="O150" cm="1">
        <f t="array" ref="O150">SUM(_xlfn.XLOOKUP(E150:H150, $V$13:$V$17, $U$13:$U$17))</f>
        <v>24</v>
      </c>
      <c r="P150">
        <f t="shared" si="7"/>
        <v>8</v>
      </c>
      <c r="Q150" s="1">
        <f t="shared" si="8"/>
        <v>63.2</v>
      </c>
    </row>
    <row r="151" spans="1:17" x14ac:dyDescent="0.25">
      <c r="A151" s="1" t="s">
        <v>237</v>
      </c>
      <c r="B151" s="1" t="s">
        <v>90</v>
      </c>
      <c r="C151">
        <v>1</v>
      </c>
      <c r="D151">
        <v>2</v>
      </c>
      <c r="E151">
        <v>4</v>
      </c>
      <c r="F151">
        <v>4</v>
      </c>
      <c r="G151">
        <v>5</v>
      </c>
      <c r="H151">
        <v>5</v>
      </c>
      <c r="I151">
        <v>20</v>
      </c>
      <c r="J151">
        <v>93</v>
      </c>
      <c r="K151">
        <v>68</v>
      </c>
      <c r="L151">
        <v>58</v>
      </c>
      <c r="M151">
        <v>23</v>
      </c>
      <c r="N151">
        <f t="shared" si="6"/>
        <v>26.200000000000003</v>
      </c>
      <c r="O151" cm="1">
        <f t="array" ref="O151">SUM(_xlfn.XLOOKUP(E151:H151, $V$13:$V$17, $U$13:$U$17))</f>
        <v>28</v>
      </c>
      <c r="P151">
        <f t="shared" si="7"/>
        <v>1</v>
      </c>
      <c r="Q151" s="1">
        <f t="shared" si="8"/>
        <v>55.2</v>
      </c>
    </row>
    <row r="152" spans="1:17" x14ac:dyDescent="0.25">
      <c r="A152" s="1" t="s">
        <v>238</v>
      </c>
      <c r="B152" s="1" t="s">
        <v>239</v>
      </c>
      <c r="C152">
        <v>7</v>
      </c>
      <c r="D152">
        <v>5</v>
      </c>
      <c r="E152">
        <v>6</v>
      </c>
      <c r="F152">
        <v>6</v>
      </c>
      <c r="G152">
        <v>2</v>
      </c>
      <c r="H152">
        <v>5</v>
      </c>
      <c r="I152">
        <v>80</v>
      </c>
      <c r="J152">
        <v>90</v>
      </c>
      <c r="K152">
        <v>62</v>
      </c>
      <c r="L152">
        <v>97</v>
      </c>
      <c r="M152">
        <v>3</v>
      </c>
      <c r="N152">
        <f t="shared" si="6"/>
        <v>33.199999999999996</v>
      </c>
      <c r="O152" cm="1">
        <f t="array" ref="O152">SUM(_xlfn.XLOOKUP(E152:H152, $V$13:$V$17, $U$13:$U$17))</f>
        <v>28</v>
      </c>
      <c r="P152">
        <f t="shared" si="7"/>
        <v>7</v>
      </c>
      <c r="Q152" s="1">
        <f t="shared" si="8"/>
        <v>68.199999999999989</v>
      </c>
    </row>
    <row r="153" spans="1:17" x14ac:dyDescent="0.25">
      <c r="A153" s="1" t="s">
        <v>240</v>
      </c>
      <c r="B153" s="1" t="s">
        <v>232</v>
      </c>
      <c r="C153">
        <v>6</v>
      </c>
      <c r="D153">
        <v>6</v>
      </c>
      <c r="E153">
        <v>6</v>
      </c>
      <c r="F153">
        <v>4</v>
      </c>
      <c r="G153">
        <v>4</v>
      </c>
      <c r="H153">
        <v>5</v>
      </c>
      <c r="I153">
        <v>77</v>
      </c>
      <c r="J153">
        <v>40</v>
      </c>
      <c r="K153">
        <v>93</v>
      </c>
      <c r="L153">
        <v>80</v>
      </c>
      <c r="M153">
        <v>71</v>
      </c>
      <c r="N153">
        <f t="shared" si="6"/>
        <v>36.1</v>
      </c>
      <c r="O153" cm="1">
        <f t="array" ref="O153">SUM(_xlfn.XLOOKUP(E153:H153, $V$13:$V$17, $U$13:$U$17))</f>
        <v>30</v>
      </c>
      <c r="P153">
        <f t="shared" si="7"/>
        <v>8</v>
      </c>
      <c r="Q153" s="1">
        <f t="shared" si="8"/>
        <v>74.099999999999994</v>
      </c>
    </row>
    <row r="154" spans="1:17" x14ac:dyDescent="0.25">
      <c r="A154" s="1" t="s">
        <v>241</v>
      </c>
      <c r="B154" s="1" t="s">
        <v>242</v>
      </c>
      <c r="C154">
        <v>4</v>
      </c>
      <c r="D154">
        <v>6</v>
      </c>
      <c r="E154">
        <v>5</v>
      </c>
      <c r="F154">
        <v>3</v>
      </c>
      <c r="G154">
        <v>5</v>
      </c>
      <c r="H154">
        <v>4</v>
      </c>
      <c r="I154">
        <v>65</v>
      </c>
      <c r="J154">
        <v>34</v>
      </c>
      <c r="K154">
        <v>51</v>
      </c>
      <c r="L154">
        <v>38</v>
      </c>
      <c r="M154">
        <v>65</v>
      </c>
      <c r="N154">
        <f t="shared" si="6"/>
        <v>25.3</v>
      </c>
      <c r="O154" cm="1">
        <f t="array" ref="O154">SUM(_xlfn.XLOOKUP(E154:H154, $V$13:$V$17, $U$13:$U$17))</f>
        <v>26</v>
      </c>
      <c r="P154">
        <f t="shared" si="7"/>
        <v>6</v>
      </c>
      <c r="Q154" s="1">
        <f t="shared" si="8"/>
        <v>57.3</v>
      </c>
    </row>
    <row r="155" spans="1:17" x14ac:dyDescent="0.25">
      <c r="A155" s="1" t="s">
        <v>243</v>
      </c>
      <c r="B155" s="1" t="s">
        <v>244</v>
      </c>
      <c r="C155">
        <v>0</v>
      </c>
      <c r="D155">
        <v>6</v>
      </c>
      <c r="E155">
        <v>4</v>
      </c>
      <c r="F155">
        <v>3</v>
      </c>
      <c r="G155">
        <v>3</v>
      </c>
      <c r="H155">
        <v>2</v>
      </c>
      <c r="I155">
        <v>62</v>
      </c>
      <c r="J155">
        <v>62</v>
      </c>
      <c r="K155">
        <v>86</v>
      </c>
      <c r="L155">
        <v>10</v>
      </c>
      <c r="M155">
        <v>2</v>
      </c>
      <c r="N155">
        <f t="shared" si="6"/>
        <v>22.2</v>
      </c>
      <c r="O155" cm="1">
        <f t="array" ref="O155">SUM(_xlfn.XLOOKUP(E155:H155, $V$13:$V$17, $U$13:$U$17))</f>
        <v>14</v>
      </c>
      <c r="P155">
        <f t="shared" si="7"/>
        <v>2</v>
      </c>
      <c r="Q155" s="1">
        <f t="shared" si="8"/>
        <v>38.200000000000003</v>
      </c>
    </row>
    <row r="156" spans="1:17" x14ac:dyDescent="0.25">
      <c r="A156" s="1" t="s">
        <v>245</v>
      </c>
      <c r="B156" s="1" t="s">
        <v>246</v>
      </c>
      <c r="C156">
        <v>8</v>
      </c>
      <c r="D156">
        <v>5</v>
      </c>
      <c r="E156">
        <v>4</v>
      </c>
      <c r="F156">
        <v>2</v>
      </c>
      <c r="G156">
        <v>4</v>
      </c>
      <c r="H156">
        <v>2</v>
      </c>
      <c r="I156">
        <v>70</v>
      </c>
      <c r="J156">
        <v>4</v>
      </c>
      <c r="K156">
        <v>92</v>
      </c>
      <c r="L156">
        <v>91</v>
      </c>
      <c r="M156">
        <v>21</v>
      </c>
      <c r="N156">
        <f t="shared" si="6"/>
        <v>27.800000000000004</v>
      </c>
      <c r="O156" cm="1">
        <f t="array" ref="O156">SUM(_xlfn.XLOOKUP(E156:H156, $V$13:$V$17, $U$13:$U$17))</f>
        <v>12</v>
      </c>
      <c r="P156">
        <f t="shared" si="7"/>
        <v>8</v>
      </c>
      <c r="Q156" s="1">
        <f t="shared" si="8"/>
        <v>47.800000000000004</v>
      </c>
    </row>
    <row r="157" spans="1:17" x14ac:dyDescent="0.25">
      <c r="A157" s="1" t="s">
        <v>247</v>
      </c>
      <c r="B157" s="1" t="s">
        <v>164</v>
      </c>
      <c r="C157">
        <v>1</v>
      </c>
      <c r="D157">
        <v>2</v>
      </c>
      <c r="E157">
        <v>6</v>
      </c>
      <c r="F157">
        <v>5</v>
      </c>
      <c r="G157">
        <v>6</v>
      </c>
      <c r="H157">
        <v>4</v>
      </c>
      <c r="I157">
        <v>66</v>
      </c>
      <c r="J157">
        <v>78</v>
      </c>
      <c r="K157">
        <v>26</v>
      </c>
      <c r="L157">
        <v>98</v>
      </c>
      <c r="M157">
        <v>56</v>
      </c>
      <c r="N157">
        <f t="shared" si="6"/>
        <v>32.4</v>
      </c>
      <c r="O157" cm="1">
        <f t="array" ref="O157">SUM(_xlfn.XLOOKUP(E157:H157, $V$13:$V$17, $U$13:$U$17))</f>
        <v>34</v>
      </c>
      <c r="P157">
        <f t="shared" si="7"/>
        <v>1</v>
      </c>
      <c r="Q157" s="1">
        <f t="shared" si="8"/>
        <v>67.400000000000006</v>
      </c>
    </row>
    <row r="158" spans="1:17" x14ac:dyDescent="0.25">
      <c r="A158" s="1" t="s">
        <v>248</v>
      </c>
      <c r="B158" s="1" t="s">
        <v>249</v>
      </c>
      <c r="C158">
        <v>3</v>
      </c>
      <c r="D158">
        <v>4</v>
      </c>
      <c r="E158">
        <v>6</v>
      </c>
      <c r="F158">
        <v>2</v>
      </c>
      <c r="G158">
        <v>2</v>
      </c>
      <c r="H158">
        <v>5</v>
      </c>
      <c r="I158">
        <v>54</v>
      </c>
      <c r="J158">
        <v>12</v>
      </c>
      <c r="K158">
        <v>13</v>
      </c>
      <c r="L158">
        <v>21</v>
      </c>
      <c r="M158">
        <v>24</v>
      </c>
      <c r="N158">
        <f t="shared" si="6"/>
        <v>12.4</v>
      </c>
      <c r="O158" cm="1">
        <f t="array" ref="O158">SUM(_xlfn.XLOOKUP(E158:H158, $V$13:$V$17, $U$13:$U$17))</f>
        <v>18</v>
      </c>
      <c r="P158">
        <f t="shared" si="7"/>
        <v>3</v>
      </c>
      <c r="Q158" s="1">
        <f t="shared" si="8"/>
        <v>33.4</v>
      </c>
    </row>
    <row r="159" spans="1:17" x14ac:dyDescent="0.25">
      <c r="A159" s="1" t="s">
        <v>250</v>
      </c>
      <c r="B159" s="1" t="s">
        <v>251</v>
      </c>
      <c r="C159">
        <v>6</v>
      </c>
      <c r="D159">
        <v>2</v>
      </c>
      <c r="E159">
        <v>3</v>
      </c>
      <c r="F159">
        <v>3</v>
      </c>
      <c r="G159">
        <v>3</v>
      </c>
      <c r="H159">
        <v>6</v>
      </c>
      <c r="I159">
        <v>27</v>
      </c>
      <c r="J159">
        <v>2</v>
      </c>
      <c r="K159">
        <v>84</v>
      </c>
      <c r="L159">
        <v>100</v>
      </c>
      <c r="M159">
        <v>27</v>
      </c>
      <c r="N159">
        <f t="shared" si="6"/>
        <v>24</v>
      </c>
      <c r="O159" cm="1">
        <f t="array" ref="O159">SUM(_xlfn.XLOOKUP(E159:H159, $V$13:$V$17, $U$13:$U$17))</f>
        <v>22</v>
      </c>
      <c r="P159">
        <f t="shared" si="7"/>
        <v>6</v>
      </c>
      <c r="Q159" s="1">
        <f t="shared" si="8"/>
        <v>52</v>
      </c>
    </row>
    <row r="160" spans="1:17" x14ac:dyDescent="0.25">
      <c r="A160" s="1" t="s">
        <v>252</v>
      </c>
      <c r="B160" s="1" t="s">
        <v>253</v>
      </c>
      <c r="C160">
        <v>1</v>
      </c>
      <c r="D160">
        <v>4</v>
      </c>
      <c r="E160">
        <v>6</v>
      </c>
      <c r="F160">
        <v>6</v>
      </c>
      <c r="G160">
        <v>2</v>
      </c>
      <c r="H160">
        <v>3</v>
      </c>
      <c r="I160">
        <v>43</v>
      </c>
      <c r="J160">
        <v>77</v>
      </c>
      <c r="K160">
        <v>31</v>
      </c>
      <c r="L160">
        <v>88</v>
      </c>
      <c r="M160">
        <v>67</v>
      </c>
      <c r="N160">
        <f t="shared" si="6"/>
        <v>30.599999999999998</v>
      </c>
      <c r="O160" cm="1">
        <f t="array" ref="O160">SUM(_xlfn.XLOOKUP(E160:H160, $V$13:$V$17, $U$13:$U$17))</f>
        <v>24</v>
      </c>
      <c r="P160">
        <f t="shared" si="7"/>
        <v>1</v>
      </c>
      <c r="Q160" s="1">
        <f t="shared" si="8"/>
        <v>55.599999999999994</v>
      </c>
    </row>
    <row r="161" spans="1:17" x14ac:dyDescent="0.25">
      <c r="A161" s="1" t="s">
        <v>254</v>
      </c>
      <c r="B161" s="1" t="s">
        <v>28</v>
      </c>
      <c r="C161">
        <v>3</v>
      </c>
      <c r="D161">
        <v>6</v>
      </c>
      <c r="E161">
        <v>6</v>
      </c>
      <c r="F161">
        <v>4</v>
      </c>
      <c r="G161">
        <v>3</v>
      </c>
      <c r="H161">
        <v>6</v>
      </c>
      <c r="I161">
        <v>63</v>
      </c>
      <c r="J161">
        <v>36</v>
      </c>
      <c r="K161">
        <v>68</v>
      </c>
      <c r="L161">
        <v>19</v>
      </c>
      <c r="M161">
        <v>39</v>
      </c>
      <c r="N161">
        <f t="shared" si="6"/>
        <v>22.499999999999996</v>
      </c>
      <c r="O161" cm="1">
        <f t="array" ref="O161">SUM(_xlfn.XLOOKUP(E161:H161, $V$13:$V$17, $U$13:$U$17))</f>
        <v>30</v>
      </c>
      <c r="P161">
        <f t="shared" si="7"/>
        <v>5</v>
      </c>
      <c r="Q161" s="1">
        <f t="shared" si="8"/>
        <v>57.5</v>
      </c>
    </row>
    <row r="162" spans="1:17" x14ac:dyDescent="0.25">
      <c r="A162" s="1" t="s">
        <v>255</v>
      </c>
      <c r="B162" s="1" t="s">
        <v>222</v>
      </c>
      <c r="C162">
        <v>1</v>
      </c>
      <c r="D162">
        <v>2</v>
      </c>
      <c r="E162">
        <v>6</v>
      </c>
      <c r="F162">
        <v>4</v>
      </c>
      <c r="G162">
        <v>2</v>
      </c>
      <c r="H162">
        <v>2</v>
      </c>
      <c r="I162">
        <v>32</v>
      </c>
      <c r="J162">
        <v>18</v>
      </c>
      <c r="K162">
        <v>1</v>
      </c>
      <c r="L162">
        <v>56</v>
      </c>
      <c r="M162">
        <v>7</v>
      </c>
      <c r="N162">
        <f t="shared" si="6"/>
        <v>11.399999999999999</v>
      </c>
      <c r="O162" cm="1">
        <f t="array" ref="O162">SUM(_xlfn.XLOOKUP(E162:H162, $V$13:$V$17, $U$13:$U$17))</f>
        <v>16</v>
      </c>
      <c r="P162">
        <f t="shared" si="7"/>
        <v>1</v>
      </c>
      <c r="Q162" s="1">
        <f t="shared" si="8"/>
        <v>28.4</v>
      </c>
    </row>
    <row r="163" spans="1:17" x14ac:dyDescent="0.25">
      <c r="A163" s="1" t="s">
        <v>256</v>
      </c>
      <c r="B163" s="1" t="s">
        <v>78</v>
      </c>
      <c r="C163">
        <v>4</v>
      </c>
      <c r="D163">
        <v>3</v>
      </c>
      <c r="E163">
        <v>3</v>
      </c>
      <c r="F163">
        <v>2</v>
      </c>
      <c r="G163">
        <v>6</v>
      </c>
      <c r="H163">
        <v>2</v>
      </c>
      <c r="I163">
        <v>60</v>
      </c>
      <c r="J163">
        <v>64</v>
      </c>
      <c r="K163">
        <v>100</v>
      </c>
      <c r="L163">
        <v>38</v>
      </c>
      <c r="M163">
        <v>70</v>
      </c>
      <c r="N163">
        <f t="shared" si="6"/>
        <v>33.200000000000003</v>
      </c>
      <c r="O163" cm="1">
        <f t="array" ref="O163">SUM(_xlfn.XLOOKUP(E163:H163, $V$13:$V$17, $U$13:$U$17))</f>
        <v>14</v>
      </c>
      <c r="P163">
        <f t="shared" si="7"/>
        <v>4</v>
      </c>
      <c r="Q163" s="1">
        <f t="shared" si="8"/>
        <v>51.2</v>
      </c>
    </row>
    <row r="164" spans="1:17" x14ac:dyDescent="0.25">
      <c r="A164" s="1" t="s">
        <v>257</v>
      </c>
      <c r="B164" s="1" t="s">
        <v>20</v>
      </c>
      <c r="C164">
        <v>0</v>
      </c>
      <c r="D164">
        <v>6</v>
      </c>
      <c r="E164">
        <v>6</v>
      </c>
      <c r="F164">
        <v>5</v>
      </c>
      <c r="G164">
        <v>3</v>
      </c>
      <c r="H164">
        <v>2</v>
      </c>
      <c r="I164">
        <v>39</v>
      </c>
      <c r="J164">
        <v>66</v>
      </c>
      <c r="K164">
        <v>84</v>
      </c>
      <c r="L164">
        <v>47</v>
      </c>
      <c r="M164">
        <v>21</v>
      </c>
      <c r="N164">
        <f t="shared" si="6"/>
        <v>25.7</v>
      </c>
      <c r="O164" cm="1">
        <f t="array" ref="O164">SUM(_xlfn.XLOOKUP(E164:H164, $V$13:$V$17, $U$13:$U$17))</f>
        <v>22</v>
      </c>
      <c r="P164">
        <f t="shared" si="7"/>
        <v>2</v>
      </c>
      <c r="Q164" s="1">
        <f t="shared" si="8"/>
        <v>49.7</v>
      </c>
    </row>
    <row r="165" spans="1:17" x14ac:dyDescent="0.25">
      <c r="A165" s="1" t="s">
        <v>258</v>
      </c>
      <c r="B165" s="1" t="s">
        <v>180</v>
      </c>
      <c r="C165">
        <v>2</v>
      </c>
      <c r="D165">
        <v>2</v>
      </c>
      <c r="E165">
        <v>5</v>
      </c>
      <c r="F165">
        <v>2</v>
      </c>
      <c r="G165">
        <v>3</v>
      </c>
      <c r="H165">
        <v>3</v>
      </c>
      <c r="I165">
        <v>11</v>
      </c>
      <c r="J165">
        <v>88</v>
      </c>
      <c r="K165">
        <v>90</v>
      </c>
      <c r="L165">
        <v>20</v>
      </c>
      <c r="M165">
        <v>65</v>
      </c>
      <c r="N165">
        <f t="shared" si="6"/>
        <v>27.4</v>
      </c>
      <c r="O165" cm="1">
        <f t="array" ref="O165">SUM(_xlfn.XLOOKUP(E165:H165, $V$13:$V$17, $U$13:$U$17))</f>
        <v>16</v>
      </c>
      <c r="P165">
        <f t="shared" si="7"/>
        <v>2</v>
      </c>
      <c r="Q165" s="1">
        <f t="shared" si="8"/>
        <v>45.4</v>
      </c>
    </row>
    <row r="166" spans="1:17" x14ac:dyDescent="0.25">
      <c r="A166" s="1" t="s">
        <v>259</v>
      </c>
      <c r="B166" s="1" t="s">
        <v>260</v>
      </c>
      <c r="C166">
        <v>2</v>
      </c>
      <c r="D166">
        <v>5</v>
      </c>
      <c r="E166">
        <v>5</v>
      </c>
      <c r="F166">
        <v>2</v>
      </c>
      <c r="G166">
        <v>6</v>
      </c>
      <c r="H166">
        <v>2</v>
      </c>
      <c r="I166">
        <v>79</v>
      </c>
      <c r="J166">
        <v>66</v>
      </c>
      <c r="K166">
        <v>91</v>
      </c>
      <c r="L166">
        <v>30</v>
      </c>
      <c r="M166">
        <v>90</v>
      </c>
      <c r="N166">
        <f t="shared" si="6"/>
        <v>35.6</v>
      </c>
      <c r="O166" cm="1">
        <f t="array" ref="O166">SUM(_xlfn.XLOOKUP(E166:H166, $V$13:$V$17, $U$13:$U$17))</f>
        <v>18</v>
      </c>
      <c r="P166">
        <f t="shared" si="7"/>
        <v>2</v>
      </c>
      <c r="Q166" s="1">
        <f t="shared" si="8"/>
        <v>55.6</v>
      </c>
    </row>
    <row r="167" spans="1:17" x14ac:dyDescent="0.25">
      <c r="A167" s="1" t="s">
        <v>261</v>
      </c>
      <c r="B167" s="1" t="s">
        <v>218</v>
      </c>
      <c r="C167">
        <v>5</v>
      </c>
      <c r="D167">
        <v>3</v>
      </c>
      <c r="E167">
        <v>6</v>
      </c>
      <c r="F167">
        <v>3</v>
      </c>
      <c r="G167">
        <v>3</v>
      </c>
      <c r="H167">
        <v>5</v>
      </c>
      <c r="I167">
        <v>15</v>
      </c>
      <c r="J167">
        <v>21</v>
      </c>
      <c r="K167">
        <v>66</v>
      </c>
      <c r="L167">
        <v>55</v>
      </c>
      <c r="M167">
        <v>90</v>
      </c>
      <c r="N167">
        <f t="shared" si="6"/>
        <v>24.7</v>
      </c>
      <c r="O167" cm="1">
        <f t="array" ref="O167">SUM(_xlfn.XLOOKUP(E167:H167, $V$13:$V$17, $U$13:$U$17))</f>
        <v>26</v>
      </c>
      <c r="P167">
        <f t="shared" si="7"/>
        <v>5</v>
      </c>
      <c r="Q167" s="1">
        <f t="shared" si="8"/>
        <v>55.7</v>
      </c>
    </row>
    <row r="168" spans="1:17" x14ac:dyDescent="0.25">
      <c r="A168" s="1" t="s">
        <v>262</v>
      </c>
      <c r="B168" s="1" t="s">
        <v>41</v>
      </c>
      <c r="C168">
        <v>4</v>
      </c>
      <c r="D168">
        <v>3</v>
      </c>
      <c r="E168">
        <v>6</v>
      </c>
      <c r="F168">
        <v>6</v>
      </c>
      <c r="G168">
        <v>4</v>
      </c>
      <c r="H168">
        <v>4</v>
      </c>
      <c r="I168">
        <v>15</v>
      </c>
      <c r="J168">
        <v>36</v>
      </c>
      <c r="K168">
        <v>51</v>
      </c>
      <c r="L168">
        <v>10</v>
      </c>
      <c r="M168">
        <v>68</v>
      </c>
      <c r="N168">
        <f t="shared" si="6"/>
        <v>18</v>
      </c>
      <c r="O168" cm="1">
        <f t="array" ref="O168">SUM(_xlfn.XLOOKUP(E168:H168, $V$13:$V$17, $U$13:$U$17))</f>
        <v>32</v>
      </c>
      <c r="P168">
        <f t="shared" si="7"/>
        <v>4</v>
      </c>
      <c r="Q168" s="1">
        <f t="shared" si="8"/>
        <v>54</v>
      </c>
    </row>
    <row r="169" spans="1:17" x14ac:dyDescent="0.25">
      <c r="A169" s="1" t="s">
        <v>263</v>
      </c>
      <c r="B169" s="1" t="s">
        <v>78</v>
      </c>
      <c r="C169">
        <v>5</v>
      </c>
      <c r="D169">
        <v>5</v>
      </c>
      <c r="E169">
        <v>6</v>
      </c>
      <c r="F169">
        <v>6</v>
      </c>
      <c r="G169">
        <v>6</v>
      </c>
      <c r="H169">
        <v>6</v>
      </c>
      <c r="I169">
        <v>63</v>
      </c>
      <c r="J169">
        <v>88</v>
      </c>
      <c r="K169">
        <v>72</v>
      </c>
      <c r="L169">
        <v>90</v>
      </c>
      <c r="M169">
        <v>83</v>
      </c>
      <c r="N169">
        <f t="shared" si="6"/>
        <v>39.6</v>
      </c>
      <c r="O169" cm="1">
        <f t="array" ref="O169">SUM(_xlfn.XLOOKUP(E169:H169, $V$13:$V$17, $U$13:$U$17))</f>
        <v>40</v>
      </c>
      <c r="P169">
        <f t="shared" si="7"/>
        <v>5</v>
      </c>
      <c r="Q169" s="1">
        <f t="shared" si="8"/>
        <v>84.6</v>
      </c>
    </row>
    <row r="170" spans="1:17" x14ac:dyDescent="0.25">
      <c r="A170" s="1" t="s">
        <v>264</v>
      </c>
      <c r="B170" s="1" t="s">
        <v>246</v>
      </c>
      <c r="C170">
        <v>8</v>
      </c>
      <c r="D170">
        <v>3</v>
      </c>
      <c r="E170">
        <v>5</v>
      </c>
      <c r="F170">
        <v>5</v>
      </c>
      <c r="G170">
        <v>5</v>
      </c>
      <c r="H170">
        <v>6</v>
      </c>
      <c r="I170">
        <v>55</v>
      </c>
      <c r="J170">
        <v>10</v>
      </c>
      <c r="K170">
        <v>80</v>
      </c>
      <c r="L170">
        <v>8</v>
      </c>
      <c r="M170">
        <v>78</v>
      </c>
      <c r="N170">
        <f t="shared" si="6"/>
        <v>23.1</v>
      </c>
      <c r="O170" cm="1">
        <f t="array" ref="O170">SUM(_xlfn.XLOOKUP(E170:H170, $V$13:$V$17, $U$13:$U$17))</f>
        <v>34</v>
      </c>
      <c r="P170">
        <f t="shared" si="7"/>
        <v>8</v>
      </c>
      <c r="Q170" s="1">
        <f t="shared" si="8"/>
        <v>65.099999999999994</v>
      </c>
    </row>
    <row r="171" spans="1:17" x14ac:dyDescent="0.25">
      <c r="A171" s="1" t="s">
        <v>265</v>
      </c>
      <c r="B171" s="1" t="s">
        <v>16</v>
      </c>
      <c r="C171">
        <v>7</v>
      </c>
      <c r="D171">
        <v>3</v>
      </c>
      <c r="E171">
        <v>5</v>
      </c>
      <c r="F171">
        <v>4</v>
      </c>
      <c r="G171">
        <v>5</v>
      </c>
      <c r="H171">
        <v>6</v>
      </c>
      <c r="I171">
        <v>24</v>
      </c>
      <c r="J171">
        <v>82</v>
      </c>
      <c r="K171">
        <v>37</v>
      </c>
      <c r="L171">
        <v>7</v>
      </c>
      <c r="M171">
        <v>12</v>
      </c>
      <c r="N171">
        <f t="shared" si="6"/>
        <v>16.2</v>
      </c>
      <c r="O171" cm="1">
        <f t="array" ref="O171">SUM(_xlfn.XLOOKUP(E171:H171, $V$13:$V$17, $U$13:$U$17))</f>
        <v>32</v>
      </c>
      <c r="P171">
        <f t="shared" si="7"/>
        <v>7</v>
      </c>
      <c r="Q171" s="1">
        <f t="shared" si="8"/>
        <v>55.2</v>
      </c>
    </row>
    <row r="172" spans="1:17" x14ac:dyDescent="0.25">
      <c r="A172" s="1" t="s">
        <v>266</v>
      </c>
      <c r="B172" s="1" t="s">
        <v>199</v>
      </c>
      <c r="C172">
        <v>0</v>
      </c>
      <c r="D172">
        <v>2</v>
      </c>
      <c r="E172">
        <v>3</v>
      </c>
      <c r="F172">
        <v>4</v>
      </c>
      <c r="G172">
        <v>6</v>
      </c>
      <c r="H172">
        <v>6</v>
      </c>
      <c r="I172">
        <v>19</v>
      </c>
      <c r="J172">
        <v>82</v>
      </c>
      <c r="K172">
        <v>75</v>
      </c>
      <c r="L172">
        <v>35</v>
      </c>
      <c r="M172">
        <v>75</v>
      </c>
      <c r="N172">
        <f t="shared" si="6"/>
        <v>28.6</v>
      </c>
      <c r="O172" cm="1">
        <f t="array" ref="O172">SUM(_xlfn.XLOOKUP(E172:H172, $V$13:$V$17, $U$13:$U$17))</f>
        <v>30</v>
      </c>
      <c r="P172">
        <f t="shared" si="7"/>
        <v>0</v>
      </c>
      <c r="Q172" s="1">
        <f t="shared" si="8"/>
        <v>58.6</v>
      </c>
    </row>
    <row r="173" spans="1:17" x14ac:dyDescent="0.25">
      <c r="A173" s="1" t="s">
        <v>267</v>
      </c>
      <c r="B173" s="1" t="s">
        <v>239</v>
      </c>
      <c r="C173">
        <v>5</v>
      </c>
      <c r="D173">
        <v>3</v>
      </c>
      <c r="E173">
        <v>5</v>
      </c>
      <c r="F173">
        <v>3</v>
      </c>
      <c r="G173">
        <v>3</v>
      </c>
      <c r="H173">
        <v>2</v>
      </c>
      <c r="I173">
        <v>33</v>
      </c>
      <c r="J173">
        <v>10</v>
      </c>
      <c r="K173">
        <v>92</v>
      </c>
      <c r="L173">
        <v>74</v>
      </c>
      <c r="M173">
        <v>79</v>
      </c>
      <c r="N173">
        <f t="shared" si="6"/>
        <v>28.799999999999997</v>
      </c>
      <c r="O173" cm="1">
        <f t="array" ref="O173">SUM(_xlfn.XLOOKUP(E173:H173, $V$13:$V$17, $U$13:$U$17))</f>
        <v>16</v>
      </c>
      <c r="P173">
        <f t="shared" si="7"/>
        <v>5</v>
      </c>
      <c r="Q173" s="1">
        <f t="shared" si="8"/>
        <v>49.8</v>
      </c>
    </row>
    <row r="174" spans="1:17" x14ac:dyDescent="0.25">
      <c r="A174" s="1" t="s">
        <v>268</v>
      </c>
      <c r="B174" s="1" t="s">
        <v>101</v>
      </c>
      <c r="C174">
        <v>4</v>
      </c>
      <c r="D174">
        <v>5</v>
      </c>
      <c r="E174">
        <v>5</v>
      </c>
      <c r="F174">
        <v>3</v>
      </c>
      <c r="G174">
        <v>4</v>
      </c>
      <c r="H174">
        <v>4</v>
      </c>
      <c r="I174">
        <v>94</v>
      </c>
      <c r="J174">
        <v>21</v>
      </c>
      <c r="K174">
        <v>58</v>
      </c>
      <c r="L174">
        <v>60</v>
      </c>
      <c r="M174">
        <v>36</v>
      </c>
      <c r="N174">
        <f t="shared" si="6"/>
        <v>26.900000000000002</v>
      </c>
      <c r="O174" cm="1">
        <f t="array" ref="O174">SUM(_xlfn.XLOOKUP(E174:H174, $V$13:$V$17, $U$13:$U$17))</f>
        <v>24</v>
      </c>
      <c r="P174">
        <f t="shared" si="7"/>
        <v>4</v>
      </c>
      <c r="Q174" s="1">
        <f t="shared" si="8"/>
        <v>54.900000000000006</v>
      </c>
    </row>
    <row r="175" spans="1:17" x14ac:dyDescent="0.25">
      <c r="A175" s="1" t="s">
        <v>269</v>
      </c>
      <c r="B175" s="1" t="s">
        <v>205</v>
      </c>
      <c r="C175">
        <v>1</v>
      </c>
      <c r="D175">
        <v>2</v>
      </c>
      <c r="E175">
        <v>6</v>
      </c>
      <c r="F175">
        <v>4</v>
      </c>
      <c r="G175">
        <v>6</v>
      </c>
      <c r="H175">
        <v>5</v>
      </c>
      <c r="I175">
        <v>5</v>
      </c>
      <c r="J175">
        <v>79</v>
      </c>
      <c r="K175">
        <v>31</v>
      </c>
      <c r="L175">
        <v>60</v>
      </c>
      <c r="M175">
        <v>44</v>
      </c>
      <c r="N175">
        <f t="shared" si="6"/>
        <v>21.9</v>
      </c>
      <c r="O175" cm="1">
        <f t="array" ref="O175">SUM(_xlfn.XLOOKUP(E175:H175, $V$13:$V$17, $U$13:$U$17))</f>
        <v>34</v>
      </c>
      <c r="P175">
        <f t="shared" si="7"/>
        <v>1</v>
      </c>
      <c r="Q175" s="1">
        <f t="shared" si="8"/>
        <v>56.9</v>
      </c>
    </row>
    <row r="176" spans="1:17" x14ac:dyDescent="0.25">
      <c r="A176" s="1" t="s">
        <v>270</v>
      </c>
      <c r="B176" s="1" t="s">
        <v>210</v>
      </c>
      <c r="C176">
        <v>0</v>
      </c>
      <c r="D176">
        <v>4</v>
      </c>
      <c r="E176">
        <v>4</v>
      </c>
      <c r="F176">
        <v>6</v>
      </c>
      <c r="G176">
        <v>4</v>
      </c>
      <c r="H176">
        <v>4</v>
      </c>
      <c r="I176">
        <v>60</v>
      </c>
      <c r="J176">
        <v>36</v>
      </c>
      <c r="K176">
        <v>6</v>
      </c>
      <c r="L176">
        <v>48</v>
      </c>
      <c r="M176">
        <v>31</v>
      </c>
      <c r="N176">
        <f t="shared" si="6"/>
        <v>18.100000000000001</v>
      </c>
      <c r="O176" cm="1">
        <f t="array" ref="O176">SUM(_xlfn.XLOOKUP(E176:H176, $V$13:$V$17, $U$13:$U$17))</f>
        <v>28</v>
      </c>
      <c r="P176">
        <f t="shared" si="7"/>
        <v>0</v>
      </c>
      <c r="Q176" s="1">
        <f t="shared" si="8"/>
        <v>46.1</v>
      </c>
    </row>
    <row r="177" spans="1:17" x14ac:dyDescent="0.25">
      <c r="A177" s="1" t="s">
        <v>271</v>
      </c>
      <c r="B177" s="1" t="s">
        <v>30</v>
      </c>
      <c r="C177">
        <v>6</v>
      </c>
      <c r="D177">
        <v>3</v>
      </c>
      <c r="E177">
        <v>2</v>
      </c>
      <c r="F177">
        <v>2</v>
      </c>
      <c r="G177">
        <v>6</v>
      </c>
      <c r="H177">
        <v>6</v>
      </c>
      <c r="I177">
        <v>47</v>
      </c>
      <c r="J177">
        <v>36</v>
      </c>
      <c r="K177">
        <v>64</v>
      </c>
      <c r="L177">
        <v>67</v>
      </c>
      <c r="M177">
        <v>13</v>
      </c>
      <c r="N177">
        <f t="shared" si="6"/>
        <v>22.700000000000003</v>
      </c>
      <c r="O177" cm="1">
        <f t="array" ref="O177">SUM(_xlfn.XLOOKUP(E177:H177, $V$13:$V$17, $U$13:$U$17))</f>
        <v>20</v>
      </c>
      <c r="P177">
        <f t="shared" si="7"/>
        <v>6</v>
      </c>
      <c r="Q177" s="1">
        <f t="shared" si="8"/>
        <v>48.7</v>
      </c>
    </row>
    <row r="178" spans="1:17" x14ac:dyDescent="0.25">
      <c r="A178" s="1" t="s">
        <v>272</v>
      </c>
      <c r="B178" s="1" t="s">
        <v>273</v>
      </c>
      <c r="C178">
        <v>0</v>
      </c>
      <c r="D178">
        <v>5</v>
      </c>
      <c r="E178">
        <v>5</v>
      </c>
      <c r="F178">
        <v>3</v>
      </c>
      <c r="G178">
        <v>3</v>
      </c>
      <c r="H178">
        <v>4</v>
      </c>
      <c r="I178">
        <v>92</v>
      </c>
      <c r="J178">
        <v>58</v>
      </c>
      <c r="K178">
        <v>73</v>
      </c>
      <c r="L178">
        <v>53</v>
      </c>
      <c r="M178">
        <v>68</v>
      </c>
      <c r="N178">
        <f t="shared" si="6"/>
        <v>34.4</v>
      </c>
      <c r="O178" cm="1">
        <f t="array" ref="O178">SUM(_xlfn.XLOOKUP(E178:H178, $V$13:$V$17, $U$13:$U$17))</f>
        <v>22</v>
      </c>
      <c r="P178">
        <f t="shared" si="7"/>
        <v>0</v>
      </c>
      <c r="Q178" s="1">
        <f t="shared" si="8"/>
        <v>56.4</v>
      </c>
    </row>
    <row r="179" spans="1:17" x14ac:dyDescent="0.25">
      <c r="A179" s="1" t="s">
        <v>274</v>
      </c>
      <c r="B179" s="1" t="s">
        <v>16</v>
      </c>
      <c r="C179">
        <v>3</v>
      </c>
      <c r="D179">
        <v>5</v>
      </c>
      <c r="E179">
        <v>4</v>
      </c>
      <c r="F179">
        <v>6</v>
      </c>
      <c r="G179">
        <v>6</v>
      </c>
      <c r="H179">
        <v>4</v>
      </c>
      <c r="I179">
        <v>70</v>
      </c>
      <c r="J179">
        <v>3</v>
      </c>
      <c r="K179">
        <v>92</v>
      </c>
      <c r="L179">
        <v>40</v>
      </c>
      <c r="M179">
        <v>41</v>
      </c>
      <c r="N179">
        <f t="shared" si="6"/>
        <v>24.6</v>
      </c>
      <c r="O179" cm="1">
        <f t="array" ref="O179">SUM(_xlfn.XLOOKUP(E179:H179, $V$13:$V$17, $U$13:$U$17))</f>
        <v>32</v>
      </c>
      <c r="P179">
        <f t="shared" si="7"/>
        <v>3</v>
      </c>
      <c r="Q179" s="1">
        <f t="shared" si="8"/>
        <v>59.6</v>
      </c>
    </row>
    <row r="180" spans="1:17" x14ac:dyDescent="0.25">
      <c r="A180" s="1" t="s">
        <v>275</v>
      </c>
      <c r="B180" s="1" t="s">
        <v>126</v>
      </c>
      <c r="C180">
        <v>5</v>
      </c>
      <c r="D180">
        <v>2</v>
      </c>
      <c r="E180">
        <v>4</v>
      </c>
      <c r="F180">
        <v>6</v>
      </c>
      <c r="G180">
        <v>5</v>
      </c>
      <c r="H180">
        <v>3</v>
      </c>
      <c r="I180">
        <v>78</v>
      </c>
      <c r="J180">
        <v>78</v>
      </c>
      <c r="K180">
        <v>90</v>
      </c>
      <c r="L180">
        <v>83</v>
      </c>
      <c r="M180">
        <v>63</v>
      </c>
      <c r="N180">
        <f t="shared" si="6"/>
        <v>39.200000000000003</v>
      </c>
      <c r="O180" cm="1">
        <f t="array" ref="O180">SUM(_xlfn.XLOOKUP(E180:H180, $V$13:$V$17, $U$13:$U$17))</f>
        <v>28</v>
      </c>
      <c r="P180">
        <f t="shared" si="7"/>
        <v>5</v>
      </c>
      <c r="Q180" s="1">
        <f t="shared" si="8"/>
        <v>72.2</v>
      </c>
    </row>
    <row r="181" spans="1:17" x14ac:dyDescent="0.25">
      <c r="A181" s="1" t="s">
        <v>276</v>
      </c>
      <c r="B181" s="1" t="s">
        <v>180</v>
      </c>
      <c r="C181">
        <v>0</v>
      </c>
      <c r="D181">
        <v>6</v>
      </c>
      <c r="E181">
        <v>5</v>
      </c>
      <c r="F181">
        <v>6</v>
      </c>
      <c r="G181">
        <v>6</v>
      </c>
      <c r="H181">
        <v>6</v>
      </c>
      <c r="I181">
        <v>43</v>
      </c>
      <c r="J181">
        <v>3</v>
      </c>
      <c r="K181">
        <v>56</v>
      </c>
      <c r="L181">
        <v>52</v>
      </c>
      <c r="M181">
        <v>41</v>
      </c>
      <c r="N181">
        <f t="shared" si="6"/>
        <v>19.5</v>
      </c>
      <c r="O181" cm="1">
        <f t="array" ref="O181">SUM(_xlfn.XLOOKUP(E181:H181, $V$13:$V$17, $U$13:$U$17))</f>
        <v>38</v>
      </c>
      <c r="P181">
        <f t="shared" si="7"/>
        <v>2</v>
      </c>
      <c r="Q181" s="1">
        <f t="shared" si="8"/>
        <v>59.5</v>
      </c>
    </row>
    <row r="182" spans="1:17" x14ac:dyDescent="0.25">
      <c r="A182" s="1" t="s">
        <v>277</v>
      </c>
      <c r="B182" s="1" t="s">
        <v>161</v>
      </c>
      <c r="C182">
        <v>1</v>
      </c>
      <c r="D182">
        <v>4</v>
      </c>
      <c r="E182">
        <v>4</v>
      </c>
      <c r="F182">
        <v>3</v>
      </c>
      <c r="G182">
        <v>6</v>
      </c>
      <c r="H182">
        <v>6</v>
      </c>
      <c r="I182">
        <v>33</v>
      </c>
      <c r="J182">
        <v>38</v>
      </c>
      <c r="K182">
        <v>27</v>
      </c>
      <c r="L182">
        <v>60</v>
      </c>
      <c r="M182">
        <v>80</v>
      </c>
      <c r="N182">
        <f t="shared" si="6"/>
        <v>23.8</v>
      </c>
      <c r="O182" cm="1">
        <f t="array" ref="O182">SUM(_xlfn.XLOOKUP(E182:H182, $V$13:$V$17, $U$13:$U$17))</f>
        <v>30</v>
      </c>
      <c r="P182">
        <f t="shared" si="7"/>
        <v>1</v>
      </c>
      <c r="Q182" s="1">
        <f t="shared" si="8"/>
        <v>54.8</v>
      </c>
    </row>
    <row r="183" spans="1:17" x14ac:dyDescent="0.25">
      <c r="A183" s="1" t="s">
        <v>278</v>
      </c>
      <c r="B183" s="1" t="s">
        <v>279</v>
      </c>
      <c r="C183">
        <v>5</v>
      </c>
      <c r="D183">
        <v>6</v>
      </c>
      <c r="E183">
        <v>2</v>
      </c>
      <c r="F183">
        <v>5</v>
      </c>
      <c r="G183">
        <v>5</v>
      </c>
      <c r="H183">
        <v>5</v>
      </c>
      <c r="I183">
        <v>80</v>
      </c>
      <c r="J183">
        <v>54</v>
      </c>
      <c r="K183">
        <v>22</v>
      </c>
      <c r="L183">
        <v>26</v>
      </c>
      <c r="M183">
        <v>62</v>
      </c>
      <c r="N183">
        <f t="shared" si="6"/>
        <v>24.400000000000002</v>
      </c>
      <c r="O183" cm="1">
        <f t="array" ref="O183">SUM(_xlfn.XLOOKUP(E183:H183, $V$13:$V$17, $U$13:$U$17))</f>
        <v>24</v>
      </c>
      <c r="P183">
        <f t="shared" si="7"/>
        <v>7</v>
      </c>
      <c r="Q183" s="1">
        <f t="shared" si="8"/>
        <v>55.400000000000006</v>
      </c>
    </row>
    <row r="184" spans="1:17" x14ac:dyDescent="0.25">
      <c r="A184" s="1" t="s">
        <v>280</v>
      </c>
      <c r="B184" s="1" t="s">
        <v>159</v>
      </c>
      <c r="C184">
        <v>6</v>
      </c>
      <c r="D184">
        <v>6</v>
      </c>
      <c r="E184">
        <v>2</v>
      </c>
      <c r="F184">
        <v>4</v>
      </c>
      <c r="G184">
        <v>5</v>
      </c>
      <c r="H184">
        <v>2</v>
      </c>
      <c r="I184">
        <v>34</v>
      </c>
      <c r="J184">
        <v>92</v>
      </c>
      <c r="K184">
        <v>51</v>
      </c>
      <c r="L184">
        <v>32</v>
      </c>
      <c r="M184">
        <v>80</v>
      </c>
      <c r="N184">
        <f t="shared" si="6"/>
        <v>28.9</v>
      </c>
      <c r="O184" cm="1">
        <f t="array" ref="O184">SUM(_xlfn.XLOOKUP(E184:H184, $V$13:$V$17, $U$13:$U$17))</f>
        <v>14</v>
      </c>
      <c r="P184">
        <f t="shared" si="7"/>
        <v>8</v>
      </c>
      <c r="Q184" s="1">
        <f t="shared" si="8"/>
        <v>50.9</v>
      </c>
    </row>
    <row r="185" spans="1:17" x14ac:dyDescent="0.25">
      <c r="A185" s="1" t="s">
        <v>281</v>
      </c>
      <c r="B185" s="1" t="s">
        <v>41</v>
      </c>
      <c r="C185">
        <v>8</v>
      </c>
      <c r="D185">
        <v>2</v>
      </c>
      <c r="E185">
        <v>4</v>
      </c>
      <c r="F185">
        <v>2</v>
      </c>
      <c r="G185">
        <v>6</v>
      </c>
      <c r="H185">
        <v>5</v>
      </c>
      <c r="I185">
        <v>17</v>
      </c>
      <c r="J185">
        <v>29</v>
      </c>
      <c r="K185">
        <v>83</v>
      </c>
      <c r="L185">
        <v>9</v>
      </c>
      <c r="M185">
        <v>54</v>
      </c>
      <c r="N185">
        <f t="shared" si="6"/>
        <v>19.200000000000003</v>
      </c>
      <c r="O185" cm="1">
        <f t="array" ref="O185">SUM(_xlfn.XLOOKUP(E185:H185, $V$13:$V$17, $U$13:$U$17))</f>
        <v>24</v>
      </c>
      <c r="P185">
        <f t="shared" si="7"/>
        <v>8</v>
      </c>
      <c r="Q185" s="1">
        <f t="shared" si="8"/>
        <v>51.2</v>
      </c>
    </row>
    <row r="186" spans="1:17" x14ac:dyDescent="0.25">
      <c r="A186" s="1" t="s">
        <v>282</v>
      </c>
      <c r="B186" s="1" t="s">
        <v>41</v>
      </c>
      <c r="C186">
        <v>1</v>
      </c>
      <c r="D186">
        <v>5</v>
      </c>
      <c r="E186">
        <v>6</v>
      </c>
      <c r="F186">
        <v>4</v>
      </c>
      <c r="G186">
        <v>3</v>
      </c>
      <c r="H186">
        <v>2</v>
      </c>
      <c r="I186">
        <v>14</v>
      </c>
      <c r="J186">
        <v>49</v>
      </c>
      <c r="K186">
        <v>64</v>
      </c>
      <c r="L186">
        <v>36</v>
      </c>
      <c r="M186">
        <v>2</v>
      </c>
      <c r="N186">
        <f t="shared" si="6"/>
        <v>16.5</v>
      </c>
      <c r="O186" cm="1">
        <f t="array" ref="O186">SUM(_xlfn.XLOOKUP(E186:H186, $V$13:$V$17, $U$13:$U$17))</f>
        <v>20</v>
      </c>
      <c r="P186">
        <f t="shared" si="7"/>
        <v>1</v>
      </c>
      <c r="Q186" s="1">
        <f t="shared" si="8"/>
        <v>37.5</v>
      </c>
    </row>
    <row r="187" spans="1:17" x14ac:dyDescent="0.25">
      <c r="A187" s="1" t="s">
        <v>283</v>
      </c>
      <c r="B187" s="1" t="s">
        <v>242</v>
      </c>
      <c r="C187">
        <v>6</v>
      </c>
      <c r="D187">
        <v>6</v>
      </c>
      <c r="E187">
        <v>3</v>
      </c>
      <c r="F187">
        <v>6</v>
      </c>
      <c r="G187">
        <v>2</v>
      </c>
      <c r="H187">
        <v>3</v>
      </c>
      <c r="I187">
        <v>27</v>
      </c>
      <c r="J187">
        <v>64</v>
      </c>
      <c r="K187">
        <v>47</v>
      </c>
      <c r="L187">
        <v>11</v>
      </c>
      <c r="M187">
        <v>24</v>
      </c>
      <c r="N187">
        <f t="shared" si="6"/>
        <v>17.3</v>
      </c>
      <c r="O187" cm="1">
        <f t="array" ref="O187">SUM(_xlfn.XLOOKUP(E187:H187, $V$13:$V$17, $U$13:$U$17))</f>
        <v>18</v>
      </c>
      <c r="P187">
        <f t="shared" si="7"/>
        <v>8</v>
      </c>
      <c r="Q187" s="1">
        <f t="shared" si="8"/>
        <v>43.3</v>
      </c>
    </row>
    <row r="188" spans="1:17" x14ac:dyDescent="0.25">
      <c r="A188" s="1" t="s">
        <v>284</v>
      </c>
      <c r="B188" s="1" t="s">
        <v>166</v>
      </c>
      <c r="C188">
        <v>3</v>
      </c>
      <c r="D188">
        <v>5</v>
      </c>
      <c r="E188">
        <v>3</v>
      </c>
      <c r="F188">
        <v>2</v>
      </c>
      <c r="G188">
        <v>6</v>
      </c>
      <c r="H188">
        <v>6</v>
      </c>
      <c r="I188">
        <v>77</v>
      </c>
      <c r="J188">
        <v>9</v>
      </c>
      <c r="K188">
        <v>73</v>
      </c>
      <c r="L188">
        <v>35</v>
      </c>
      <c r="M188">
        <v>96</v>
      </c>
      <c r="N188">
        <f t="shared" si="6"/>
        <v>29</v>
      </c>
      <c r="O188" cm="1">
        <f t="array" ref="O188">SUM(_xlfn.XLOOKUP(E188:H188, $V$13:$V$17, $U$13:$U$17))</f>
        <v>24</v>
      </c>
      <c r="P188">
        <f t="shared" si="7"/>
        <v>3</v>
      </c>
      <c r="Q188" s="1">
        <f t="shared" si="8"/>
        <v>56</v>
      </c>
    </row>
    <row r="189" spans="1:17" x14ac:dyDescent="0.25">
      <c r="A189" s="1" t="s">
        <v>285</v>
      </c>
      <c r="B189" s="1" t="s">
        <v>286</v>
      </c>
      <c r="C189">
        <v>2</v>
      </c>
      <c r="D189">
        <v>5</v>
      </c>
      <c r="E189">
        <v>4</v>
      </c>
      <c r="F189">
        <v>4</v>
      </c>
      <c r="G189">
        <v>2</v>
      </c>
      <c r="H189">
        <v>5</v>
      </c>
      <c r="I189">
        <v>46</v>
      </c>
      <c r="J189">
        <v>15</v>
      </c>
      <c r="K189">
        <v>67</v>
      </c>
      <c r="L189">
        <v>56</v>
      </c>
      <c r="M189">
        <v>9</v>
      </c>
      <c r="N189">
        <f t="shared" si="6"/>
        <v>19.299999999999997</v>
      </c>
      <c r="O189" cm="1">
        <f t="array" ref="O189">SUM(_xlfn.XLOOKUP(E189:H189, $V$13:$V$17, $U$13:$U$17))</f>
        <v>20</v>
      </c>
      <c r="P189">
        <f t="shared" si="7"/>
        <v>2</v>
      </c>
      <c r="Q189" s="1">
        <f t="shared" si="8"/>
        <v>41.3</v>
      </c>
    </row>
    <row r="190" spans="1:17" x14ac:dyDescent="0.25">
      <c r="A190" s="1" t="s">
        <v>287</v>
      </c>
      <c r="B190" s="1" t="s">
        <v>288</v>
      </c>
      <c r="C190">
        <v>3</v>
      </c>
      <c r="D190">
        <v>4</v>
      </c>
      <c r="E190">
        <v>6</v>
      </c>
      <c r="F190">
        <v>3</v>
      </c>
      <c r="G190">
        <v>2</v>
      </c>
      <c r="H190">
        <v>2</v>
      </c>
      <c r="I190">
        <v>79</v>
      </c>
      <c r="J190">
        <v>70</v>
      </c>
      <c r="K190">
        <v>42</v>
      </c>
      <c r="L190">
        <v>36</v>
      </c>
      <c r="M190">
        <v>76</v>
      </c>
      <c r="N190">
        <f t="shared" si="6"/>
        <v>30.300000000000004</v>
      </c>
      <c r="O190" cm="1">
        <f t="array" ref="O190">SUM(_xlfn.XLOOKUP(E190:H190, $V$13:$V$17, $U$13:$U$17))</f>
        <v>14</v>
      </c>
      <c r="P190">
        <f t="shared" si="7"/>
        <v>3</v>
      </c>
      <c r="Q190" s="1">
        <f t="shared" si="8"/>
        <v>47.300000000000004</v>
      </c>
    </row>
    <row r="191" spans="1:17" x14ac:dyDescent="0.25">
      <c r="A191" s="1" t="s">
        <v>289</v>
      </c>
      <c r="B191" s="1" t="s">
        <v>30</v>
      </c>
      <c r="C191">
        <v>3</v>
      </c>
      <c r="D191">
        <v>6</v>
      </c>
      <c r="E191">
        <v>3</v>
      </c>
      <c r="F191">
        <v>6</v>
      </c>
      <c r="G191">
        <v>2</v>
      </c>
      <c r="H191">
        <v>5</v>
      </c>
      <c r="I191">
        <v>25</v>
      </c>
      <c r="J191">
        <v>78</v>
      </c>
      <c r="K191">
        <v>36</v>
      </c>
      <c r="L191">
        <v>67</v>
      </c>
      <c r="M191">
        <v>37</v>
      </c>
      <c r="N191">
        <f t="shared" si="6"/>
        <v>24.3</v>
      </c>
      <c r="O191" cm="1">
        <f t="array" ref="O191">SUM(_xlfn.XLOOKUP(E191:H191, $V$13:$V$17, $U$13:$U$17))</f>
        <v>22</v>
      </c>
      <c r="P191">
        <f t="shared" si="7"/>
        <v>5</v>
      </c>
      <c r="Q191" s="1">
        <f t="shared" si="8"/>
        <v>51.3</v>
      </c>
    </row>
    <row r="192" spans="1:17" x14ac:dyDescent="0.25">
      <c r="A192" s="1" t="s">
        <v>290</v>
      </c>
      <c r="B192" s="1" t="s">
        <v>78</v>
      </c>
      <c r="C192">
        <v>4</v>
      </c>
      <c r="D192">
        <v>5</v>
      </c>
      <c r="E192">
        <v>4</v>
      </c>
      <c r="F192">
        <v>6</v>
      </c>
      <c r="G192">
        <v>5</v>
      </c>
      <c r="H192">
        <v>2</v>
      </c>
      <c r="I192">
        <v>53</v>
      </c>
      <c r="J192">
        <v>61</v>
      </c>
      <c r="K192">
        <v>85</v>
      </c>
      <c r="L192">
        <v>8</v>
      </c>
      <c r="M192">
        <v>76</v>
      </c>
      <c r="N192">
        <f t="shared" si="6"/>
        <v>28.299999999999997</v>
      </c>
      <c r="O192" cm="1">
        <f t="array" ref="O192">SUM(_xlfn.XLOOKUP(E192:H192, $V$13:$V$17, $U$13:$U$17))</f>
        <v>24</v>
      </c>
      <c r="P192">
        <f t="shared" si="7"/>
        <v>4</v>
      </c>
      <c r="Q192" s="1">
        <f t="shared" si="8"/>
        <v>56.3</v>
      </c>
    </row>
    <row r="193" spans="1:17" x14ac:dyDescent="0.25">
      <c r="A193" s="1" t="s">
        <v>264</v>
      </c>
      <c r="B193" s="1" t="s">
        <v>246</v>
      </c>
      <c r="C193">
        <v>7</v>
      </c>
      <c r="D193">
        <v>2</v>
      </c>
      <c r="E193">
        <v>4</v>
      </c>
      <c r="F193">
        <v>3</v>
      </c>
      <c r="G193">
        <v>6</v>
      </c>
      <c r="H193">
        <v>3</v>
      </c>
      <c r="I193">
        <v>13</v>
      </c>
      <c r="J193">
        <v>89</v>
      </c>
      <c r="K193">
        <v>20</v>
      </c>
      <c r="L193">
        <v>2</v>
      </c>
      <c r="M193">
        <v>36</v>
      </c>
      <c r="N193">
        <f t="shared" si="6"/>
        <v>16</v>
      </c>
      <c r="O193" cm="1">
        <f t="array" ref="O193">SUM(_xlfn.XLOOKUP(E193:H193, $V$13:$V$17, $U$13:$U$17))</f>
        <v>24</v>
      </c>
      <c r="P193">
        <f t="shared" si="7"/>
        <v>7</v>
      </c>
      <c r="Q193" s="1">
        <f t="shared" si="8"/>
        <v>47</v>
      </c>
    </row>
    <row r="194" spans="1:17" x14ac:dyDescent="0.25">
      <c r="A194" s="1" t="s">
        <v>291</v>
      </c>
      <c r="B194" s="1" t="s">
        <v>222</v>
      </c>
      <c r="C194">
        <v>3</v>
      </c>
      <c r="D194">
        <v>5</v>
      </c>
      <c r="E194">
        <v>5</v>
      </c>
      <c r="F194">
        <v>2</v>
      </c>
      <c r="G194">
        <v>5</v>
      </c>
      <c r="H194">
        <v>2</v>
      </c>
      <c r="I194">
        <v>25</v>
      </c>
      <c r="J194">
        <v>46</v>
      </c>
      <c r="K194">
        <v>91</v>
      </c>
      <c r="L194">
        <v>75</v>
      </c>
      <c r="M194">
        <v>91</v>
      </c>
      <c r="N194">
        <f t="shared" ref="N194:N257" si="9">I194/10 + J194/10 + K194/10 + L194/10 + M194/10</f>
        <v>32.799999999999997</v>
      </c>
      <c r="O194" cm="1">
        <f t="array" ref="O194">SUM(_xlfn.XLOOKUP(E194:H194, $V$13:$V$17, $U$13:$U$17))</f>
        <v>16</v>
      </c>
      <c r="P194">
        <f t="shared" ref="P194:P257" si="10">IF(D194=6,C194+2,C194)</f>
        <v>3</v>
      </c>
      <c r="Q194" s="1">
        <f t="shared" ref="Q194:Q257" si="11">SUM(N194:P194)</f>
        <v>51.8</v>
      </c>
    </row>
    <row r="195" spans="1:17" x14ac:dyDescent="0.25">
      <c r="A195" s="1" t="s">
        <v>292</v>
      </c>
      <c r="B195" s="1" t="s">
        <v>225</v>
      </c>
      <c r="C195">
        <v>7</v>
      </c>
      <c r="D195">
        <v>6</v>
      </c>
      <c r="E195">
        <v>4</v>
      </c>
      <c r="F195">
        <v>5</v>
      </c>
      <c r="G195">
        <v>4</v>
      </c>
      <c r="H195">
        <v>6</v>
      </c>
      <c r="I195">
        <v>52</v>
      </c>
      <c r="J195">
        <v>32</v>
      </c>
      <c r="K195">
        <v>57</v>
      </c>
      <c r="L195">
        <v>58</v>
      </c>
      <c r="M195">
        <v>67</v>
      </c>
      <c r="N195">
        <f t="shared" si="9"/>
        <v>26.6</v>
      </c>
      <c r="O195" cm="1">
        <f t="array" ref="O195">SUM(_xlfn.XLOOKUP(E195:H195, $V$13:$V$17, $U$13:$U$17))</f>
        <v>30</v>
      </c>
      <c r="P195">
        <f t="shared" si="10"/>
        <v>9</v>
      </c>
      <c r="Q195" s="1">
        <f t="shared" si="11"/>
        <v>65.599999999999994</v>
      </c>
    </row>
    <row r="196" spans="1:17" x14ac:dyDescent="0.25">
      <c r="A196" s="1" t="s">
        <v>293</v>
      </c>
      <c r="B196" s="1" t="s">
        <v>239</v>
      </c>
      <c r="C196">
        <v>7</v>
      </c>
      <c r="D196">
        <v>6</v>
      </c>
      <c r="E196">
        <v>4</v>
      </c>
      <c r="F196">
        <v>6</v>
      </c>
      <c r="G196">
        <v>6</v>
      </c>
      <c r="H196">
        <v>5</v>
      </c>
      <c r="I196">
        <v>85</v>
      </c>
      <c r="J196">
        <v>37</v>
      </c>
      <c r="K196">
        <v>73</v>
      </c>
      <c r="L196">
        <v>73</v>
      </c>
      <c r="M196">
        <v>19</v>
      </c>
      <c r="N196">
        <f t="shared" si="9"/>
        <v>28.7</v>
      </c>
      <c r="O196" cm="1">
        <f t="array" ref="O196">SUM(_xlfn.XLOOKUP(E196:H196, $V$13:$V$17, $U$13:$U$17))</f>
        <v>34</v>
      </c>
      <c r="P196">
        <f t="shared" si="10"/>
        <v>9</v>
      </c>
      <c r="Q196" s="1">
        <f t="shared" si="11"/>
        <v>71.7</v>
      </c>
    </row>
    <row r="197" spans="1:17" x14ac:dyDescent="0.25">
      <c r="A197" s="1" t="s">
        <v>294</v>
      </c>
      <c r="B197" s="1" t="s">
        <v>28</v>
      </c>
      <c r="C197">
        <v>8</v>
      </c>
      <c r="D197">
        <v>3</v>
      </c>
      <c r="E197">
        <v>3</v>
      </c>
      <c r="F197">
        <v>4</v>
      </c>
      <c r="G197">
        <v>3</v>
      </c>
      <c r="H197">
        <v>5</v>
      </c>
      <c r="I197">
        <v>96</v>
      </c>
      <c r="J197">
        <v>17</v>
      </c>
      <c r="K197">
        <v>94</v>
      </c>
      <c r="L197">
        <v>90</v>
      </c>
      <c r="M197">
        <v>1</v>
      </c>
      <c r="N197">
        <f t="shared" si="9"/>
        <v>29.8</v>
      </c>
      <c r="O197" cm="1">
        <f t="array" ref="O197">SUM(_xlfn.XLOOKUP(E197:H197, $V$13:$V$17, $U$13:$U$17))</f>
        <v>22</v>
      </c>
      <c r="P197">
        <f t="shared" si="10"/>
        <v>8</v>
      </c>
      <c r="Q197" s="1">
        <f t="shared" si="11"/>
        <v>59.8</v>
      </c>
    </row>
    <row r="198" spans="1:17" x14ac:dyDescent="0.25">
      <c r="A198" s="1" t="s">
        <v>295</v>
      </c>
      <c r="B198" s="1" t="s">
        <v>180</v>
      </c>
      <c r="C198">
        <v>2</v>
      </c>
      <c r="D198">
        <v>3</v>
      </c>
      <c r="E198">
        <v>6</v>
      </c>
      <c r="F198">
        <v>4</v>
      </c>
      <c r="G198">
        <v>5</v>
      </c>
      <c r="H198">
        <v>6</v>
      </c>
      <c r="I198">
        <v>68</v>
      </c>
      <c r="J198">
        <v>10</v>
      </c>
      <c r="K198">
        <v>64</v>
      </c>
      <c r="L198">
        <v>85</v>
      </c>
      <c r="M198">
        <v>26</v>
      </c>
      <c r="N198">
        <f t="shared" si="9"/>
        <v>25.3</v>
      </c>
      <c r="O198" cm="1">
        <f t="array" ref="O198">SUM(_xlfn.XLOOKUP(E198:H198, $V$13:$V$17, $U$13:$U$17))</f>
        <v>34</v>
      </c>
      <c r="P198">
        <f t="shared" si="10"/>
        <v>2</v>
      </c>
      <c r="Q198" s="1">
        <f t="shared" si="11"/>
        <v>61.3</v>
      </c>
    </row>
    <row r="199" spans="1:17" x14ac:dyDescent="0.25">
      <c r="A199" s="1" t="s">
        <v>296</v>
      </c>
      <c r="B199" s="1" t="s">
        <v>222</v>
      </c>
      <c r="C199">
        <v>7</v>
      </c>
      <c r="D199">
        <v>2</v>
      </c>
      <c r="E199">
        <v>2</v>
      </c>
      <c r="F199">
        <v>6</v>
      </c>
      <c r="G199">
        <v>5</v>
      </c>
      <c r="H199">
        <v>3</v>
      </c>
      <c r="I199">
        <v>45</v>
      </c>
      <c r="J199">
        <v>81</v>
      </c>
      <c r="K199">
        <v>28</v>
      </c>
      <c r="L199">
        <v>11</v>
      </c>
      <c r="M199">
        <v>25</v>
      </c>
      <c r="N199">
        <f t="shared" si="9"/>
        <v>19</v>
      </c>
      <c r="O199" cm="1">
        <f t="array" ref="O199">SUM(_xlfn.XLOOKUP(E199:H199, $V$13:$V$17, $U$13:$U$17))</f>
        <v>22</v>
      </c>
      <c r="P199">
        <f t="shared" si="10"/>
        <v>7</v>
      </c>
      <c r="Q199" s="1">
        <f t="shared" si="11"/>
        <v>48</v>
      </c>
    </row>
    <row r="200" spans="1:17" x14ac:dyDescent="0.25">
      <c r="A200" s="1" t="s">
        <v>297</v>
      </c>
      <c r="B200" s="1" t="s">
        <v>161</v>
      </c>
      <c r="C200">
        <v>3</v>
      </c>
      <c r="D200">
        <v>2</v>
      </c>
      <c r="E200">
        <v>3</v>
      </c>
      <c r="F200">
        <v>2</v>
      </c>
      <c r="G200">
        <v>5</v>
      </c>
      <c r="H200">
        <v>4</v>
      </c>
      <c r="I200">
        <v>85</v>
      </c>
      <c r="J200">
        <v>28</v>
      </c>
      <c r="K200">
        <v>36</v>
      </c>
      <c r="L200">
        <v>9</v>
      </c>
      <c r="M200">
        <v>95</v>
      </c>
      <c r="N200">
        <f t="shared" si="9"/>
        <v>25.3</v>
      </c>
      <c r="O200" cm="1">
        <f t="array" ref="O200">SUM(_xlfn.XLOOKUP(E200:H200, $V$13:$V$17, $U$13:$U$17))</f>
        <v>18</v>
      </c>
      <c r="P200">
        <f t="shared" si="10"/>
        <v>3</v>
      </c>
      <c r="Q200" s="1">
        <f t="shared" si="11"/>
        <v>46.3</v>
      </c>
    </row>
    <row r="201" spans="1:17" x14ac:dyDescent="0.25">
      <c r="A201" s="1" t="s">
        <v>298</v>
      </c>
      <c r="B201" s="1" t="s">
        <v>299</v>
      </c>
      <c r="C201">
        <v>4</v>
      </c>
      <c r="D201">
        <v>3</v>
      </c>
      <c r="E201">
        <v>6</v>
      </c>
      <c r="F201">
        <v>4</v>
      </c>
      <c r="G201">
        <v>4</v>
      </c>
      <c r="H201">
        <v>3</v>
      </c>
      <c r="I201">
        <v>48</v>
      </c>
      <c r="J201">
        <v>71</v>
      </c>
      <c r="K201">
        <v>40</v>
      </c>
      <c r="L201">
        <v>67</v>
      </c>
      <c r="M201">
        <v>83</v>
      </c>
      <c r="N201">
        <f t="shared" si="9"/>
        <v>30.9</v>
      </c>
      <c r="O201" cm="1">
        <f t="array" ref="O201">SUM(_xlfn.XLOOKUP(E201:H201, $V$13:$V$17, $U$13:$U$17))</f>
        <v>26</v>
      </c>
      <c r="P201">
        <f t="shared" si="10"/>
        <v>4</v>
      </c>
      <c r="Q201" s="1">
        <f t="shared" si="11"/>
        <v>60.9</v>
      </c>
    </row>
    <row r="202" spans="1:17" x14ac:dyDescent="0.25">
      <c r="A202" s="1" t="s">
        <v>300</v>
      </c>
      <c r="B202" s="1" t="s">
        <v>242</v>
      </c>
      <c r="C202">
        <v>0</v>
      </c>
      <c r="D202">
        <v>5</v>
      </c>
      <c r="E202">
        <v>6</v>
      </c>
      <c r="F202">
        <v>4</v>
      </c>
      <c r="G202">
        <v>4</v>
      </c>
      <c r="H202">
        <v>5</v>
      </c>
      <c r="I202">
        <v>70</v>
      </c>
      <c r="J202">
        <v>42</v>
      </c>
      <c r="K202">
        <v>47</v>
      </c>
      <c r="L202">
        <v>24</v>
      </c>
      <c r="M202">
        <v>40</v>
      </c>
      <c r="N202">
        <f t="shared" si="9"/>
        <v>22.299999999999997</v>
      </c>
      <c r="O202" cm="1">
        <f t="array" ref="O202">SUM(_xlfn.XLOOKUP(E202:H202, $V$13:$V$17, $U$13:$U$17))</f>
        <v>30</v>
      </c>
      <c r="P202">
        <f t="shared" si="10"/>
        <v>0</v>
      </c>
      <c r="Q202" s="1">
        <f t="shared" si="11"/>
        <v>52.3</v>
      </c>
    </row>
    <row r="203" spans="1:17" x14ac:dyDescent="0.25">
      <c r="A203" s="1" t="s">
        <v>301</v>
      </c>
      <c r="B203" s="1" t="s">
        <v>302</v>
      </c>
      <c r="C203">
        <v>8</v>
      </c>
      <c r="D203">
        <v>4</v>
      </c>
      <c r="E203">
        <v>5</v>
      </c>
      <c r="F203">
        <v>4</v>
      </c>
      <c r="G203">
        <v>4</v>
      </c>
      <c r="H203">
        <v>5</v>
      </c>
      <c r="I203">
        <v>83</v>
      </c>
      <c r="J203">
        <v>18</v>
      </c>
      <c r="K203">
        <v>29</v>
      </c>
      <c r="L203">
        <v>17</v>
      </c>
      <c r="M203">
        <v>9</v>
      </c>
      <c r="N203">
        <f t="shared" si="9"/>
        <v>15.600000000000001</v>
      </c>
      <c r="O203" cm="1">
        <f t="array" ref="O203">SUM(_xlfn.XLOOKUP(E203:H203, $V$13:$V$17, $U$13:$U$17))</f>
        <v>28</v>
      </c>
      <c r="P203">
        <f t="shared" si="10"/>
        <v>8</v>
      </c>
      <c r="Q203" s="1">
        <f t="shared" si="11"/>
        <v>51.6</v>
      </c>
    </row>
    <row r="204" spans="1:17" x14ac:dyDescent="0.25">
      <c r="A204" s="1" t="s">
        <v>303</v>
      </c>
      <c r="B204" s="1" t="s">
        <v>90</v>
      </c>
      <c r="C204">
        <v>1</v>
      </c>
      <c r="D204">
        <v>6</v>
      </c>
      <c r="E204">
        <v>4</v>
      </c>
      <c r="F204">
        <v>6</v>
      </c>
      <c r="G204">
        <v>3</v>
      </c>
      <c r="H204">
        <v>2</v>
      </c>
      <c r="I204">
        <v>48</v>
      </c>
      <c r="J204">
        <v>65</v>
      </c>
      <c r="K204">
        <v>86</v>
      </c>
      <c r="L204">
        <v>18</v>
      </c>
      <c r="M204">
        <v>88</v>
      </c>
      <c r="N204">
        <f t="shared" si="9"/>
        <v>30.5</v>
      </c>
      <c r="O204" cm="1">
        <f t="array" ref="O204">SUM(_xlfn.XLOOKUP(E204:H204, $V$13:$V$17, $U$13:$U$17))</f>
        <v>20</v>
      </c>
      <c r="P204">
        <f t="shared" si="10"/>
        <v>3</v>
      </c>
      <c r="Q204" s="1">
        <f t="shared" si="11"/>
        <v>53.5</v>
      </c>
    </row>
    <row r="205" spans="1:17" x14ac:dyDescent="0.25">
      <c r="A205" s="1" t="s">
        <v>304</v>
      </c>
      <c r="B205" s="1" t="s">
        <v>70</v>
      </c>
      <c r="C205">
        <v>4</v>
      </c>
      <c r="D205">
        <v>5</v>
      </c>
      <c r="E205">
        <v>3</v>
      </c>
      <c r="F205">
        <v>5</v>
      </c>
      <c r="G205">
        <v>5</v>
      </c>
      <c r="H205">
        <v>2</v>
      </c>
      <c r="I205">
        <v>70</v>
      </c>
      <c r="J205">
        <v>20</v>
      </c>
      <c r="K205">
        <v>38</v>
      </c>
      <c r="L205">
        <v>18</v>
      </c>
      <c r="M205">
        <v>65</v>
      </c>
      <c r="N205">
        <f t="shared" si="9"/>
        <v>21.1</v>
      </c>
      <c r="O205" cm="1">
        <f t="array" ref="O205">SUM(_xlfn.XLOOKUP(E205:H205, $V$13:$V$17, $U$13:$U$17))</f>
        <v>20</v>
      </c>
      <c r="P205">
        <f t="shared" si="10"/>
        <v>4</v>
      </c>
      <c r="Q205" s="1">
        <f t="shared" si="11"/>
        <v>45.1</v>
      </c>
    </row>
    <row r="206" spans="1:17" x14ac:dyDescent="0.25">
      <c r="A206" s="1" t="s">
        <v>305</v>
      </c>
      <c r="B206" s="1" t="s">
        <v>306</v>
      </c>
      <c r="C206">
        <v>2</v>
      </c>
      <c r="D206">
        <v>2</v>
      </c>
      <c r="E206">
        <v>6</v>
      </c>
      <c r="F206">
        <v>5</v>
      </c>
      <c r="G206">
        <v>2</v>
      </c>
      <c r="H206">
        <v>6</v>
      </c>
      <c r="I206">
        <v>74</v>
      </c>
      <c r="J206">
        <v>61</v>
      </c>
      <c r="K206">
        <v>24</v>
      </c>
      <c r="L206">
        <v>72</v>
      </c>
      <c r="M206">
        <v>41</v>
      </c>
      <c r="N206">
        <f t="shared" si="9"/>
        <v>27.200000000000003</v>
      </c>
      <c r="O206" cm="1">
        <f t="array" ref="O206">SUM(_xlfn.XLOOKUP(E206:H206, $V$13:$V$17, $U$13:$U$17))</f>
        <v>28</v>
      </c>
      <c r="P206">
        <f t="shared" si="10"/>
        <v>2</v>
      </c>
      <c r="Q206" s="1">
        <f t="shared" si="11"/>
        <v>57.2</v>
      </c>
    </row>
    <row r="207" spans="1:17" x14ac:dyDescent="0.25">
      <c r="A207" s="1" t="s">
        <v>125</v>
      </c>
      <c r="B207" s="1" t="s">
        <v>307</v>
      </c>
      <c r="C207">
        <v>2</v>
      </c>
      <c r="D207">
        <v>2</v>
      </c>
      <c r="E207">
        <v>4</v>
      </c>
      <c r="F207">
        <v>4</v>
      </c>
      <c r="G207">
        <v>4</v>
      </c>
      <c r="H207">
        <v>3</v>
      </c>
      <c r="I207">
        <v>18</v>
      </c>
      <c r="J207">
        <v>50</v>
      </c>
      <c r="K207">
        <v>99</v>
      </c>
      <c r="L207">
        <v>35</v>
      </c>
      <c r="M207">
        <v>8</v>
      </c>
      <c r="N207">
        <f t="shared" si="9"/>
        <v>21</v>
      </c>
      <c r="O207" cm="1">
        <f t="array" ref="O207">SUM(_xlfn.XLOOKUP(E207:H207, $V$13:$V$17, $U$13:$U$17))</f>
        <v>22</v>
      </c>
      <c r="P207">
        <f t="shared" si="10"/>
        <v>2</v>
      </c>
      <c r="Q207" s="1">
        <f t="shared" si="11"/>
        <v>45</v>
      </c>
    </row>
    <row r="208" spans="1:17" x14ac:dyDescent="0.25">
      <c r="A208" s="1" t="s">
        <v>308</v>
      </c>
      <c r="B208" s="1" t="s">
        <v>166</v>
      </c>
      <c r="C208">
        <v>6</v>
      </c>
      <c r="D208">
        <v>6</v>
      </c>
      <c r="E208">
        <v>4</v>
      </c>
      <c r="F208">
        <v>3</v>
      </c>
      <c r="G208">
        <v>6</v>
      </c>
      <c r="H208">
        <v>2</v>
      </c>
      <c r="I208">
        <v>68</v>
      </c>
      <c r="J208">
        <v>82</v>
      </c>
      <c r="K208">
        <v>74</v>
      </c>
      <c r="L208">
        <v>4</v>
      </c>
      <c r="M208">
        <v>9</v>
      </c>
      <c r="N208">
        <f t="shared" si="9"/>
        <v>23.699999999999996</v>
      </c>
      <c r="O208" cm="1">
        <f t="array" ref="O208">SUM(_xlfn.XLOOKUP(E208:H208, $V$13:$V$17, $U$13:$U$17))</f>
        <v>20</v>
      </c>
      <c r="P208">
        <f t="shared" si="10"/>
        <v>8</v>
      </c>
      <c r="Q208" s="1">
        <f t="shared" si="11"/>
        <v>51.699999999999996</v>
      </c>
    </row>
    <row r="209" spans="1:17" x14ac:dyDescent="0.25">
      <c r="A209" s="1" t="s">
        <v>309</v>
      </c>
      <c r="B209" s="1" t="s">
        <v>239</v>
      </c>
      <c r="C209">
        <v>3</v>
      </c>
      <c r="D209">
        <v>4</v>
      </c>
      <c r="E209">
        <v>2</v>
      </c>
      <c r="F209">
        <v>2</v>
      </c>
      <c r="G209">
        <v>6</v>
      </c>
      <c r="H209">
        <v>4</v>
      </c>
      <c r="I209">
        <v>48</v>
      </c>
      <c r="J209">
        <v>56</v>
      </c>
      <c r="K209">
        <v>97</v>
      </c>
      <c r="L209">
        <v>34</v>
      </c>
      <c r="M209">
        <v>50</v>
      </c>
      <c r="N209">
        <f t="shared" si="9"/>
        <v>28.499999999999996</v>
      </c>
      <c r="O209" cm="1">
        <f t="array" ref="O209">SUM(_xlfn.XLOOKUP(E209:H209, $V$13:$V$17, $U$13:$U$17))</f>
        <v>16</v>
      </c>
      <c r="P209">
        <f t="shared" si="10"/>
        <v>3</v>
      </c>
      <c r="Q209" s="1">
        <f t="shared" si="11"/>
        <v>47.5</v>
      </c>
    </row>
    <row r="210" spans="1:17" x14ac:dyDescent="0.25">
      <c r="A210" s="1" t="s">
        <v>310</v>
      </c>
      <c r="B210" s="1" t="s">
        <v>311</v>
      </c>
      <c r="C210">
        <v>2</v>
      </c>
      <c r="D210">
        <v>5</v>
      </c>
      <c r="E210">
        <v>5</v>
      </c>
      <c r="F210">
        <v>5</v>
      </c>
      <c r="G210">
        <v>3</v>
      </c>
      <c r="H210">
        <v>2</v>
      </c>
      <c r="I210">
        <v>69</v>
      </c>
      <c r="J210">
        <v>49</v>
      </c>
      <c r="K210">
        <v>67</v>
      </c>
      <c r="L210">
        <v>20</v>
      </c>
      <c r="M210">
        <v>3</v>
      </c>
      <c r="N210">
        <f t="shared" si="9"/>
        <v>20.8</v>
      </c>
      <c r="O210" cm="1">
        <f t="array" ref="O210">SUM(_xlfn.XLOOKUP(E210:H210, $V$13:$V$17, $U$13:$U$17))</f>
        <v>20</v>
      </c>
      <c r="P210">
        <f t="shared" si="10"/>
        <v>2</v>
      </c>
      <c r="Q210" s="1">
        <f t="shared" si="11"/>
        <v>42.8</v>
      </c>
    </row>
    <row r="211" spans="1:17" x14ac:dyDescent="0.25">
      <c r="A211" s="1" t="s">
        <v>312</v>
      </c>
      <c r="B211" s="1" t="s">
        <v>313</v>
      </c>
      <c r="C211">
        <v>5</v>
      </c>
      <c r="D211">
        <v>2</v>
      </c>
      <c r="E211">
        <v>4</v>
      </c>
      <c r="F211">
        <v>5</v>
      </c>
      <c r="G211">
        <v>6</v>
      </c>
      <c r="H211">
        <v>4</v>
      </c>
      <c r="I211">
        <v>68</v>
      </c>
      <c r="J211">
        <v>37</v>
      </c>
      <c r="K211">
        <v>91</v>
      </c>
      <c r="L211">
        <v>56</v>
      </c>
      <c r="M211">
        <v>46</v>
      </c>
      <c r="N211">
        <f t="shared" si="9"/>
        <v>29.800000000000004</v>
      </c>
      <c r="O211" cm="1">
        <f t="array" ref="O211">SUM(_xlfn.XLOOKUP(E211:H211, $V$13:$V$17, $U$13:$U$17))</f>
        <v>30</v>
      </c>
      <c r="P211">
        <f t="shared" si="10"/>
        <v>5</v>
      </c>
      <c r="Q211" s="1">
        <f t="shared" si="11"/>
        <v>64.800000000000011</v>
      </c>
    </row>
    <row r="212" spans="1:17" x14ac:dyDescent="0.25">
      <c r="A212" s="1" t="s">
        <v>314</v>
      </c>
      <c r="B212" s="1" t="s">
        <v>249</v>
      </c>
      <c r="C212">
        <v>7</v>
      </c>
      <c r="D212">
        <v>2</v>
      </c>
      <c r="E212">
        <v>2</v>
      </c>
      <c r="F212">
        <v>3</v>
      </c>
      <c r="G212">
        <v>6</v>
      </c>
      <c r="H212">
        <v>5</v>
      </c>
      <c r="I212">
        <v>11</v>
      </c>
      <c r="J212">
        <v>6</v>
      </c>
      <c r="K212">
        <v>24</v>
      </c>
      <c r="L212">
        <v>72</v>
      </c>
      <c r="M212">
        <v>17</v>
      </c>
      <c r="N212">
        <f t="shared" si="9"/>
        <v>13</v>
      </c>
      <c r="O212" cm="1">
        <f t="array" ref="O212">SUM(_xlfn.XLOOKUP(E212:H212, $V$13:$V$17, $U$13:$U$17))</f>
        <v>22</v>
      </c>
      <c r="P212">
        <f t="shared" si="10"/>
        <v>7</v>
      </c>
      <c r="Q212" s="1">
        <f t="shared" si="11"/>
        <v>42</v>
      </c>
    </row>
    <row r="213" spans="1:17" x14ac:dyDescent="0.25">
      <c r="A213" s="1" t="s">
        <v>315</v>
      </c>
      <c r="B213" s="1" t="s">
        <v>316</v>
      </c>
      <c r="C213">
        <v>2</v>
      </c>
      <c r="D213">
        <v>2</v>
      </c>
      <c r="E213">
        <v>6</v>
      </c>
      <c r="F213">
        <v>2</v>
      </c>
      <c r="G213">
        <v>2</v>
      </c>
      <c r="H213">
        <v>4</v>
      </c>
      <c r="I213">
        <v>13</v>
      </c>
      <c r="J213">
        <v>7</v>
      </c>
      <c r="K213">
        <v>71</v>
      </c>
      <c r="L213">
        <v>64</v>
      </c>
      <c r="M213">
        <v>96</v>
      </c>
      <c r="N213">
        <f t="shared" si="9"/>
        <v>25.1</v>
      </c>
      <c r="O213" cm="1">
        <f t="array" ref="O213">SUM(_xlfn.XLOOKUP(E213:H213, $V$13:$V$17, $U$13:$U$17))</f>
        <v>16</v>
      </c>
      <c r="P213">
        <f t="shared" si="10"/>
        <v>2</v>
      </c>
      <c r="Q213" s="1">
        <f t="shared" si="11"/>
        <v>43.1</v>
      </c>
    </row>
    <row r="214" spans="1:17" x14ac:dyDescent="0.25">
      <c r="A214" s="1" t="s">
        <v>317</v>
      </c>
      <c r="B214" s="1" t="s">
        <v>232</v>
      </c>
      <c r="C214">
        <v>8</v>
      </c>
      <c r="D214">
        <v>4</v>
      </c>
      <c r="E214">
        <v>5</v>
      </c>
      <c r="F214">
        <v>5</v>
      </c>
      <c r="G214">
        <v>3</v>
      </c>
      <c r="H214">
        <v>4</v>
      </c>
      <c r="I214">
        <v>92</v>
      </c>
      <c r="J214">
        <v>71</v>
      </c>
      <c r="K214">
        <v>26</v>
      </c>
      <c r="L214">
        <v>42</v>
      </c>
      <c r="M214">
        <v>46</v>
      </c>
      <c r="N214">
        <f t="shared" si="9"/>
        <v>27.699999999999996</v>
      </c>
      <c r="O214" cm="1">
        <f t="array" ref="O214">SUM(_xlfn.XLOOKUP(E214:H214, $V$13:$V$17, $U$13:$U$17))</f>
        <v>26</v>
      </c>
      <c r="P214">
        <f t="shared" si="10"/>
        <v>8</v>
      </c>
      <c r="Q214" s="1">
        <f t="shared" si="11"/>
        <v>61.699999999999996</v>
      </c>
    </row>
    <row r="215" spans="1:17" x14ac:dyDescent="0.25">
      <c r="A215" s="1" t="s">
        <v>318</v>
      </c>
      <c r="B215" s="1" t="s">
        <v>279</v>
      </c>
      <c r="C215">
        <v>5</v>
      </c>
      <c r="D215">
        <v>6</v>
      </c>
      <c r="E215">
        <v>2</v>
      </c>
      <c r="F215">
        <v>6</v>
      </c>
      <c r="G215">
        <v>6</v>
      </c>
      <c r="H215">
        <v>5</v>
      </c>
      <c r="I215">
        <v>79</v>
      </c>
      <c r="J215">
        <v>19</v>
      </c>
      <c r="K215">
        <v>23</v>
      </c>
      <c r="L215">
        <v>18</v>
      </c>
      <c r="M215">
        <v>13</v>
      </c>
      <c r="N215">
        <f t="shared" si="9"/>
        <v>15.200000000000003</v>
      </c>
      <c r="O215" cm="1">
        <f t="array" ref="O215">SUM(_xlfn.XLOOKUP(E215:H215, $V$13:$V$17, $U$13:$U$17))</f>
        <v>28</v>
      </c>
      <c r="P215">
        <f t="shared" si="10"/>
        <v>7</v>
      </c>
      <c r="Q215" s="1">
        <f t="shared" si="11"/>
        <v>50.2</v>
      </c>
    </row>
    <row r="216" spans="1:17" x14ac:dyDescent="0.25">
      <c r="A216" s="1" t="s">
        <v>319</v>
      </c>
      <c r="B216" s="1" t="s">
        <v>197</v>
      </c>
      <c r="C216">
        <v>3</v>
      </c>
      <c r="D216">
        <v>2</v>
      </c>
      <c r="E216">
        <v>5</v>
      </c>
      <c r="F216">
        <v>3</v>
      </c>
      <c r="G216">
        <v>5</v>
      </c>
      <c r="H216">
        <v>2</v>
      </c>
      <c r="I216">
        <v>47</v>
      </c>
      <c r="J216">
        <v>7</v>
      </c>
      <c r="K216">
        <v>72</v>
      </c>
      <c r="L216">
        <v>74</v>
      </c>
      <c r="M216">
        <v>85</v>
      </c>
      <c r="N216">
        <f t="shared" si="9"/>
        <v>28.5</v>
      </c>
      <c r="O216" cm="1">
        <f t="array" ref="O216">SUM(_xlfn.XLOOKUP(E216:H216, $V$13:$V$17, $U$13:$U$17))</f>
        <v>20</v>
      </c>
      <c r="P216">
        <f t="shared" si="10"/>
        <v>3</v>
      </c>
      <c r="Q216" s="1">
        <f t="shared" si="11"/>
        <v>51.5</v>
      </c>
    </row>
    <row r="217" spans="1:17" x14ac:dyDescent="0.25">
      <c r="A217" s="1" t="s">
        <v>320</v>
      </c>
      <c r="B217" s="1" t="s">
        <v>145</v>
      </c>
      <c r="C217">
        <v>1</v>
      </c>
      <c r="D217">
        <v>6</v>
      </c>
      <c r="E217">
        <v>2</v>
      </c>
      <c r="F217">
        <v>5</v>
      </c>
      <c r="G217">
        <v>6</v>
      </c>
      <c r="H217">
        <v>3</v>
      </c>
      <c r="I217">
        <v>74</v>
      </c>
      <c r="J217">
        <v>64</v>
      </c>
      <c r="K217">
        <v>17</v>
      </c>
      <c r="L217">
        <v>76</v>
      </c>
      <c r="M217">
        <v>23</v>
      </c>
      <c r="N217">
        <f t="shared" si="9"/>
        <v>25.400000000000002</v>
      </c>
      <c r="O217" cm="1">
        <f t="array" ref="O217">SUM(_xlfn.XLOOKUP(E217:H217, $V$13:$V$17, $U$13:$U$17))</f>
        <v>22</v>
      </c>
      <c r="P217">
        <f t="shared" si="10"/>
        <v>3</v>
      </c>
      <c r="Q217" s="1">
        <f t="shared" si="11"/>
        <v>50.400000000000006</v>
      </c>
    </row>
    <row r="218" spans="1:17" x14ac:dyDescent="0.25">
      <c r="A218" s="1" t="s">
        <v>321</v>
      </c>
      <c r="B218" s="1" t="s">
        <v>322</v>
      </c>
      <c r="C218">
        <v>3</v>
      </c>
      <c r="D218">
        <v>4</v>
      </c>
      <c r="E218">
        <v>2</v>
      </c>
      <c r="F218">
        <v>4</v>
      </c>
      <c r="G218">
        <v>5</v>
      </c>
      <c r="H218">
        <v>6</v>
      </c>
      <c r="I218">
        <v>47</v>
      </c>
      <c r="J218">
        <v>80</v>
      </c>
      <c r="K218">
        <v>34</v>
      </c>
      <c r="L218">
        <v>4</v>
      </c>
      <c r="M218">
        <v>81</v>
      </c>
      <c r="N218">
        <f t="shared" si="9"/>
        <v>24.599999999999994</v>
      </c>
      <c r="O218" cm="1">
        <f t="array" ref="O218">SUM(_xlfn.XLOOKUP(E218:H218, $V$13:$V$17, $U$13:$U$17))</f>
        <v>24</v>
      </c>
      <c r="P218">
        <f t="shared" si="10"/>
        <v>3</v>
      </c>
      <c r="Q218" s="1">
        <f t="shared" si="11"/>
        <v>51.599999999999994</v>
      </c>
    </row>
    <row r="219" spans="1:17" x14ac:dyDescent="0.25">
      <c r="A219" s="1" t="s">
        <v>323</v>
      </c>
      <c r="B219" s="1" t="s">
        <v>324</v>
      </c>
      <c r="C219">
        <v>3</v>
      </c>
      <c r="D219">
        <v>4</v>
      </c>
      <c r="E219">
        <v>3</v>
      </c>
      <c r="F219">
        <v>2</v>
      </c>
      <c r="G219">
        <v>4</v>
      </c>
      <c r="H219">
        <v>4</v>
      </c>
      <c r="I219">
        <v>14</v>
      </c>
      <c r="J219">
        <v>35</v>
      </c>
      <c r="K219">
        <v>43</v>
      </c>
      <c r="L219">
        <v>57</v>
      </c>
      <c r="M219">
        <v>34</v>
      </c>
      <c r="N219">
        <f t="shared" si="9"/>
        <v>18.299999999999997</v>
      </c>
      <c r="O219" cm="1">
        <f t="array" ref="O219">SUM(_xlfn.XLOOKUP(E219:H219, $V$13:$V$17, $U$13:$U$17))</f>
        <v>16</v>
      </c>
      <c r="P219">
        <f t="shared" si="10"/>
        <v>3</v>
      </c>
      <c r="Q219" s="1">
        <f t="shared" si="11"/>
        <v>37.299999999999997</v>
      </c>
    </row>
    <row r="220" spans="1:17" x14ac:dyDescent="0.25">
      <c r="A220" s="1" t="s">
        <v>325</v>
      </c>
      <c r="B220" s="1" t="s">
        <v>326</v>
      </c>
      <c r="C220">
        <v>7</v>
      </c>
      <c r="D220">
        <v>3</v>
      </c>
      <c r="E220">
        <v>3</v>
      </c>
      <c r="F220">
        <v>2</v>
      </c>
      <c r="G220">
        <v>6</v>
      </c>
      <c r="H220">
        <v>5</v>
      </c>
      <c r="I220">
        <v>84</v>
      </c>
      <c r="J220">
        <v>70</v>
      </c>
      <c r="K220">
        <v>57</v>
      </c>
      <c r="L220">
        <v>62</v>
      </c>
      <c r="M220">
        <v>1</v>
      </c>
      <c r="N220">
        <f t="shared" si="9"/>
        <v>27.400000000000002</v>
      </c>
      <c r="O220" cm="1">
        <f t="array" ref="O220">SUM(_xlfn.XLOOKUP(E220:H220, $V$13:$V$17, $U$13:$U$17))</f>
        <v>22</v>
      </c>
      <c r="P220">
        <f t="shared" si="10"/>
        <v>7</v>
      </c>
      <c r="Q220" s="1">
        <f t="shared" si="11"/>
        <v>56.400000000000006</v>
      </c>
    </row>
    <row r="221" spans="1:17" x14ac:dyDescent="0.25">
      <c r="A221" s="1" t="s">
        <v>108</v>
      </c>
      <c r="B221" s="1" t="s">
        <v>327</v>
      </c>
      <c r="C221">
        <v>1</v>
      </c>
      <c r="D221">
        <v>5</v>
      </c>
      <c r="E221">
        <v>3</v>
      </c>
      <c r="F221">
        <v>5</v>
      </c>
      <c r="G221">
        <v>2</v>
      </c>
      <c r="H221">
        <v>4</v>
      </c>
      <c r="I221">
        <v>42</v>
      </c>
      <c r="J221">
        <v>82</v>
      </c>
      <c r="K221">
        <v>89</v>
      </c>
      <c r="L221">
        <v>2</v>
      </c>
      <c r="M221">
        <v>41</v>
      </c>
      <c r="N221">
        <f t="shared" si="9"/>
        <v>25.599999999999994</v>
      </c>
      <c r="O221" cm="1">
        <f t="array" ref="O221">SUM(_xlfn.XLOOKUP(E221:H221, $V$13:$V$17, $U$13:$U$17))</f>
        <v>18</v>
      </c>
      <c r="P221">
        <f t="shared" si="10"/>
        <v>1</v>
      </c>
      <c r="Q221" s="1">
        <f t="shared" si="11"/>
        <v>44.599999999999994</v>
      </c>
    </row>
    <row r="222" spans="1:17" x14ac:dyDescent="0.25">
      <c r="A222" s="1" t="s">
        <v>328</v>
      </c>
      <c r="B222" s="1" t="s">
        <v>68</v>
      </c>
      <c r="C222">
        <v>0</v>
      </c>
      <c r="D222">
        <v>6</v>
      </c>
      <c r="E222">
        <v>6</v>
      </c>
      <c r="F222">
        <v>4</v>
      </c>
      <c r="G222">
        <v>4</v>
      </c>
      <c r="H222">
        <v>3</v>
      </c>
      <c r="I222">
        <v>25</v>
      </c>
      <c r="J222">
        <v>40</v>
      </c>
      <c r="K222">
        <v>61</v>
      </c>
      <c r="L222">
        <v>59</v>
      </c>
      <c r="M222">
        <v>88</v>
      </c>
      <c r="N222">
        <f t="shared" si="9"/>
        <v>27.3</v>
      </c>
      <c r="O222" cm="1">
        <f t="array" ref="O222">SUM(_xlfn.XLOOKUP(E222:H222, $V$13:$V$17, $U$13:$U$17))</f>
        <v>26</v>
      </c>
      <c r="P222">
        <f t="shared" si="10"/>
        <v>2</v>
      </c>
      <c r="Q222" s="1">
        <f t="shared" si="11"/>
        <v>55.3</v>
      </c>
    </row>
    <row r="223" spans="1:17" x14ac:dyDescent="0.25">
      <c r="A223" s="1" t="s">
        <v>329</v>
      </c>
      <c r="B223" s="1" t="s">
        <v>188</v>
      </c>
      <c r="C223">
        <v>2</v>
      </c>
      <c r="D223">
        <v>4</v>
      </c>
      <c r="E223">
        <v>3</v>
      </c>
      <c r="F223">
        <v>3</v>
      </c>
      <c r="G223">
        <v>3</v>
      </c>
      <c r="H223">
        <v>2</v>
      </c>
      <c r="I223">
        <v>76</v>
      </c>
      <c r="J223">
        <v>21</v>
      </c>
      <c r="K223">
        <v>59</v>
      </c>
      <c r="L223">
        <v>79</v>
      </c>
      <c r="M223">
        <v>33</v>
      </c>
      <c r="N223">
        <f t="shared" si="9"/>
        <v>26.8</v>
      </c>
      <c r="O223" cm="1">
        <f t="array" ref="O223">SUM(_xlfn.XLOOKUP(E223:H223, $V$13:$V$17, $U$13:$U$17))</f>
        <v>12</v>
      </c>
      <c r="P223">
        <f t="shared" si="10"/>
        <v>2</v>
      </c>
      <c r="Q223" s="1">
        <f t="shared" si="11"/>
        <v>40.799999999999997</v>
      </c>
    </row>
    <row r="224" spans="1:17" x14ac:dyDescent="0.25">
      <c r="A224" s="1" t="s">
        <v>330</v>
      </c>
      <c r="B224" s="1" t="s">
        <v>30</v>
      </c>
      <c r="C224">
        <v>3</v>
      </c>
      <c r="D224">
        <v>6</v>
      </c>
      <c r="E224">
        <v>5</v>
      </c>
      <c r="F224">
        <v>2</v>
      </c>
      <c r="G224">
        <v>5</v>
      </c>
      <c r="H224">
        <v>4</v>
      </c>
      <c r="I224">
        <v>18</v>
      </c>
      <c r="J224">
        <v>33</v>
      </c>
      <c r="K224">
        <v>57</v>
      </c>
      <c r="L224">
        <v>34</v>
      </c>
      <c r="M224">
        <v>74</v>
      </c>
      <c r="N224">
        <f t="shared" si="9"/>
        <v>21.6</v>
      </c>
      <c r="O224" cm="1">
        <f t="array" ref="O224">SUM(_xlfn.XLOOKUP(E224:H224, $V$13:$V$17, $U$13:$U$17))</f>
        <v>22</v>
      </c>
      <c r="P224">
        <f t="shared" si="10"/>
        <v>5</v>
      </c>
      <c r="Q224" s="1">
        <f t="shared" si="11"/>
        <v>48.6</v>
      </c>
    </row>
    <row r="225" spans="1:17" x14ac:dyDescent="0.25">
      <c r="A225" s="1" t="s">
        <v>131</v>
      </c>
      <c r="B225" s="1" t="s">
        <v>171</v>
      </c>
      <c r="C225">
        <v>8</v>
      </c>
      <c r="D225">
        <v>4</v>
      </c>
      <c r="E225">
        <v>3</v>
      </c>
      <c r="F225">
        <v>2</v>
      </c>
      <c r="G225">
        <v>6</v>
      </c>
      <c r="H225">
        <v>5</v>
      </c>
      <c r="I225">
        <v>67</v>
      </c>
      <c r="J225">
        <v>34</v>
      </c>
      <c r="K225">
        <v>96</v>
      </c>
      <c r="L225">
        <v>61</v>
      </c>
      <c r="M225">
        <v>40</v>
      </c>
      <c r="N225">
        <f t="shared" si="9"/>
        <v>29.799999999999997</v>
      </c>
      <c r="O225" cm="1">
        <f t="array" ref="O225">SUM(_xlfn.XLOOKUP(E225:H225, $V$13:$V$17, $U$13:$U$17))</f>
        <v>22</v>
      </c>
      <c r="P225">
        <f t="shared" si="10"/>
        <v>8</v>
      </c>
      <c r="Q225" s="1">
        <f t="shared" si="11"/>
        <v>59.8</v>
      </c>
    </row>
    <row r="226" spans="1:17" x14ac:dyDescent="0.25">
      <c r="A226" s="1" t="s">
        <v>265</v>
      </c>
      <c r="B226" s="1" t="s">
        <v>16</v>
      </c>
      <c r="C226">
        <v>5</v>
      </c>
      <c r="D226">
        <v>4</v>
      </c>
      <c r="E226">
        <v>4</v>
      </c>
      <c r="F226">
        <v>6</v>
      </c>
      <c r="G226">
        <v>4</v>
      </c>
      <c r="H226">
        <v>5</v>
      </c>
      <c r="I226">
        <v>39</v>
      </c>
      <c r="J226">
        <v>12</v>
      </c>
      <c r="K226">
        <v>100</v>
      </c>
      <c r="L226">
        <v>47</v>
      </c>
      <c r="M226">
        <v>42</v>
      </c>
      <c r="N226">
        <f t="shared" si="9"/>
        <v>24</v>
      </c>
      <c r="O226" cm="1">
        <f t="array" ref="O226">SUM(_xlfn.XLOOKUP(E226:H226, $V$13:$V$17, $U$13:$U$17))</f>
        <v>30</v>
      </c>
      <c r="P226">
        <f t="shared" si="10"/>
        <v>5</v>
      </c>
      <c r="Q226" s="1">
        <f t="shared" si="11"/>
        <v>59</v>
      </c>
    </row>
    <row r="227" spans="1:17" x14ac:dyDescent="0.25">
      <c r="A227" s="1" t="s">
        <v>331</v>
      </c>
      <c r="B227" s="1" t="s">
        <v>155</v>
      </c>
      <c r="C227">
        <v>0</v>
      </c>
      <c r="D227">
        <v>3</v>
      </c>
      <c r="E227">
        <v>2</v>
      </c>
      <c r="F227">
        <v>4</v>
      </c>
      <c r="G227">
        <v>4</v>
      </c>
      <c r="H227">
        <v>2</v>
      </c>
      <c r="I227">
        <v>88</v>
      </c>
      <c r="J227">
        <v>79</v>
      </c>
      <c r="K227">
        <v>26</v>
      </c>
      <c r="L227">
        <v>8</v>
      </c>
      <c r="M227">
        <v>70</v>
      </c>
      <c r="N227">
        <f t="shared" si="9"/>
        <v>27.100000000000005</v>
      </c>
      <c r="O227" cm="1">
        <f t="array" ref="O227">SUM(_xlfn.XLOOKUP(E227:H227, $V$13:$V$17, $U$13:$U$17))</f>
        <v>12</v>
      </c>
      <c r="P227">
        <f t="shared" si="10"/>
        <v>0</v>
      </c>
      <c r="Q227" s="1">
        <f t="shared" si="11"/>
        <v>39.100000000000009</v>
      </c>
    </row>
    <row r="228" spans="1:17" x14ac:dyDescent="0.25">
      <c r="A228" s="1" t="s">
        <v>332</v>
      </c>
      <c r="B228" s="1" t="s">
        <v>117</v>
      </c>
      <c r="C228">
        <v>1</v>
      </c>
      <c r="D228">
        <v>2</v>
      </c>
      <c r="E228">
        <v>2</v>
      </c>
      <c r="F228">
        <v>6</v>
      </c>
      <c r="G228">
        <v>6</v>
      </c>
      <c r="H228">
        <v>3</v>
      </c>
      <c r="I228">
        <v>83</v>
      </c>
      <c r="J228">
        <v>76</v>
      </c>
      <c r="K228">
        <v>52</v>
      </c>
      <c r="L228">
        <v>43</v>
      </c>
      <c r="M228">
        <v>64</v>
      </c>
      <c r="N228">
        <f t="shared" si="9"/>
        <v>31.800000000000004</v>
      </c>
      <c r="O228" cm="1">
        <f t="array" ref="O228">SUM(_xlfn.XLOOKUP(E228:H228, $V$13:$V$17, $U$13:$U$17))</f>
        <v>24</v>
      </c>
      <c r="P228">
        <f t="shared" si="10"/>
        <v>1</v>
      </c>
      <c r="Q228" s="1">
        <f t="shared" si="11"/>
        <v>56.800000000000004</v>
      </c>
    </row>
    <row r="229" spans="1:17" x14ac:dyDescent="0.25">
      <c r="A229" s="1" t="s">
        <v>333</v>
      </c>
      <c r="B229" s="1" t="s">
        <v>216</v>
      </c>
      <c r="C229">
        <v>1</v>
      </c>
      <c r="D229">
        <v>6</v>
      </c>
      <c r="E229">
        <v>6</v>
      </c>
      <c r="F229">
        <v>3</v>
      </c>
      <c r="G229">
        <v>6</v>
      </c>
      <c r="H229">
        <v>4</v>
      </c>
      <c r="I229">
        <v>54</v>
      </c>
      <c r="J229">
        <v>50</v>
      </c>
      <c r="K229">
        <v>36</v>
      </c>
      <c r="L229">
        <v>23</v>
      </c>
      <c r="M229">
        <v>9</v>
      </c>
      <c r="N229">
        <f t="shared" si="9"/>
        <v>17.2</v>
      </c>
      <c r="O229" cm="1">
        <f t="array" ref="O229">SUM(_xlfn.XLOOKUP(E229:H229, $V$13:$V$17, $U$13:$U$17))</f>
        <v>30</v>
      </c>
      <c r="P229">
        <f t="shared" si="10"/>
        <v>3</v>
      </c>
      <c r="Q229" s="1">
        <f t="shared" si="11"/>
        <v>50.2</v>
      </c>
    </row>
    <row r="230" spans="1:17" x14ac:dyDescent="0.25">
      <c r="A230" s="1" t="s">
        <v>334</v>
      </c>
      <c r="B230" s="1" t="s">
        <v>242</v>
      </c>
      <c r="C230">
        <v>0</v>
      </c>
      <c r="D230">
        <v>3</v>
      </c>
      <c r="E230">
        <v>4</v>
      </c>
      <c r="F230">
        <v>6</v>
      </c>
      <c r="G230">
        <v>3</v>
      </c>
      <c r="H230">
        <v>5</v>
      </c>
      <c r="I230">
        <v>49</v>
      </c>
      <c r="J230">
        <v>31</v>
      </c>
      <c r="K230">
        <v>34</v>
      </c>
      <c r="L230">
        <v>22</v>
      </c>
      <c r="M230">
        <v>76</v>
      </c>
      <c r="N230">
        <f t="shared" si="9"/>
        <v>21.200000000000003</v>
      </c>
      <c r="O230" cm="1">
        <f t="array" ref="O230">SUM(_xlfn.XLOOKUP(E230:H230, $V$13:$V$17, $U$13:$U$17))</f>
        <v>28</v>
      </c>
      <c r="P230">
        <f t="shared" si="10"/>
        <v>0</v>
      </c>
      <c r="Q230" s="1">
        <f t="shared" si="11"/>
        <v>49.2</v>
      </c>
    </row>
    <row r="231" spans="1:17" x14ac:dyDescent="0.25">
      <c r="A231" s="1" t="s">
        <v>335</v>
      </c>
      <c r="B231" s="1" t="s">
        <v>177</v>
      </c>
      <c r="C231">
        <v>1</v>
      </c>
      <c r="D231">
        <v>3</v>
      </c>
      <c r="E231">
        <v>2</v>
      </c>
      <c r="F231">
        <v>2</v>
      </c>
      <c r="G231">
        <v>2</v>
      </c>
      <c r="H231">
        <v>3</v>
      </c>
      <c r="I231">
        <v>71</v>
      </c>
      <c r="J231">
        <v>20</v>
      </c>
      <c r="K231">
        <v>46</v>
      </c>
      <c r="L231">
        <v>6</v>
      </c>
      <c r="M231">
        <v>22</v>
      </c>
      <c r="N231">
        <f t="shared" si="9"/>
        <v>16.5</v>
      </c>
      <c r="O231" cm="1">
        <f t="array" ref="O231">SUM(_xlfn.XLOOKUP(E231:H231, $V$13:$V$17, $U$13:$U$17))</f>
        <v>4</v>
      </c>
      <c r="P231">
        <f t="shared" si="10"/>
        <v>1</v>
      </c>
      <c r="Q231" s="1">
        <f t="shared" si="11"/>
        <v>21.5</v>
      </c>
    </row>
    <row r="232" spans="1:17" x14ac:dyDescent="0.25">
      <c r="A232" s="1" t="s">
        <v>336</v>
      </c>
      <c r="B232" s="1" t="s">
        <v>210</v>
      </c>
      <c r="C232">
        <v>8</v>
      </c>
      <c r="D232">
        <v>5</v>
      </c>
      <c r="E232">
        <v>6</v>
      </c>
      <c r="F232">
        <v>4</v>
      </c>
      <c r="G232">
        <v>5</v>
      </c>
      <c r="H232">
        <v>4</v>
      </c>
      <c r="I232">
        <v>5</v>
      </c>
      <c r="J232">
        <v>48</v>
      </c>
      <c r="K232">
        <v>2</v>
      </c>
      <c r="L232">
        <v>12</v>
      </c>
      <c r="M232">
        <v>15</v>
      </c>
      <c r="N232">
        <f t="shared" si="9"/>
        <v>8.1999999999999993</v>
      </c>
      <c r="O232" cm="1">
        <f t="array" ref="O232">SUM(_xlfn.XLOOKUP(E232:H232, $V$13:$V$17, $U$13:$U$17))</f>
        <v>30</v>
      </c>
      <c r="P232">
        <f t="shared" si="10"/>
        <v>8</v>
      </c>
      <c r="Q232" s="1">
        <f t="shared" si="11"/>
        <v>46.2</v>
      </c>
    </row>
    <row r="233" spans="1:17" x14ac:dyDescent="0.25">
      <c r="A233" s="1" t="s">
        <v>337</v>
      </c>
      <c r="B233" s="1" t="s">
        <v>338</v>
      </c>
      <c r="C233">
        <v>7</v>
      </c>
      <c r="D233">
        <v>4</v>
      </c>
      <c r="E233">
        <v>3</v>
      </c>
      <c r="F233">
        <v>4</v>
      </c>
      <c r="G233">
        <v>6</v>
      </c>
      <c r="H233">
        <v>6</v>
      </c>
      <c r="I233">
        <v>27</v>
      </c>
      <c r="J233">
        <v>12</v>
      </c>
      <c r="K233">
        <v>19</v>
      </c>
      <c r="L233">
        <v>10</v>
      </c>
      <c r="M233">
        <v>66</v>
      </c>
      <c r="N233">
        <f t="shared" si="9"/>
        <v>13.4</v>
      </c>
      <c r="O233" cm="1">
        <f t="array" ref="O233">SUM(_xlfn.XLOOKUP(E233:H233, $V$13:$V$17, $U$13:$U$17))</f>
        <v>30</v>
      </c>
      <c r="P233">
        <f t="shared" si="10"/>
        <v>7</v>
      </c>
      <c r="Q233" s="1">
        <f t="shared" si="11"/>
        <v>50.4</v>
      </c>
    </row>
    <row r="234" spans="1:17" x14ac:dyDescent="0.25">
      <c r="A234" s="1" t="s">
        <v>339</v>
      </c>
      <c r="B234" s="1" t="s">
        <v>340</v>
      </c>
      <c r="C234">
        <v>6</v>
      </c>
      <c r="D234">
        <v>2</v>
      </c>
      <c r="E234">
        <v>5</v>
      </c>
      <c r="F234">
        <v>3</v>
      </c>
      <c r="G234">
        <v>5</v>
      </c>
      <c r="H234">
        <v>3</v>
      </c>
      <c r="I234">
        <v>95</v>
      </c>
      <c r="J234">
        <v>12</v>
      </c>
      <c r="K234">
        <v>76</v>
      </c>
      <c r="L234">
        <v>52</v>
      </c>
      <c r="M234">
        <v>36</v>
      </c>
      <c r="N234">
        <f t="shared" si="9"/>
        <v>27.099999999999998</v>
      </c>
      <c r="O234" cm="1">
        <f t="array" ref="O234">SUM(_xlfn.XLOOKUP(E234:H234, $V$13:$V$17, $U$13:$U$17))</f>
        <v>24</v>
      </c>
      <c r="P234">
        <f t="shared" si="10"/>
        <v>6</v>
      </c>
      <c r="Q234" s="1">
        <f t="shared" si="11"/>
        <v>57.099999999999994</v>
      </c>
    </row>
    <row r="235" spans="1:17" x14ac:dyDescent="0.25">
      <c r="A235" s="1" t="s">
        <v>341</v>
      </c>
      <c r="B235" s="1" t="s">
        <v>177</v>
      </c>
      <c r="C235">
        <v>4</v>
      </c>
      <c r="D235">
        <v>6</v>
      </c>
      <c r="E235">
        <v>4</v>
      </c>
      <c r="F235">
        <v>5</v>
      </c>
      <c r="G235">
        <v>5</v>
      </c>
      <c r="H235">
        <v>2</v>
      </c>
      <c r="I235">
        <v>48</v>
      </c>
      <c r="J235">
        <v>9</v>
      </c>
      <c r="K235">
        <v>45</v>
      </c>
      <c r="L235">
        <v>10</v>
      </c>
      <c r="M235">
        <v>3</v>
      </c>
      <c r="N235">
        <f t="shared" si="9"/>
        <v>11.5</v>
      </c>
      <c r="O235" cm="1">
        <f t="array" ref="O235">SUM(_xlfn.XLOOKUP(E235:H235, $V$13:$V$17, $U$13:$U$17))</f>
        <v>22</v>
      </c>
      <c r="P235">
        <f t="shared" si="10"/>
        <v>6</v>
      </c>
      <c r="Q235" s="1">
        <f t="shared" si="11"/>
        <v>39.5</v>
      </c>
    </row>
    <row r="236" spans="1:17" x14ac:dyDescent="0.25">
      <c r="A236" s="1" t="s">
        <v>342</v>
      </c>
      <c r="B236" s="1" t="s">
        <v>343</v>
      </c>
      <c r="C236">
        <v>2</v>
      </c>
      <c r="D236">
        <v>5</v>
      </c>
      <c r="E236">
        <v>2</v>
      </c>
      <c r="F236">
        <v>4</v>
      </c>
      <c r="G236">
        <v>4</v>
      </c>
      <c r="H236">
        <v>4</v>
      </c>
      <c r="I236">
        <v>46</v>
      </c>
      <c r="J236">
        <v>58</v>
      </c>
      <c r="K236">
        <v>72</v>
      </c>
      <c r="L236">
        <v>83</v>
      </c>
      <c r="M236">
        <v>48</v>
      </c>
      <c r="N236">
        <f t="shared" si="9"/>
        <v>30.7</v>
      </c>
      <c r="O236" cm="1">
        <f t="array" ref="O236">SUM(_xlfn.XLOOKUP(E236:H236, $V$13:$V$17, $U$13:$U$17))</f>
        <v>18</v>
      </c>
      <c r="P236">
        <f t="shared" si="10"/>
        <v>2</v>
      </c>
      <c r="Q236" s="1">
        <f t="shared" si="11"/>
        <v>50.7</v>
      </c>
    </row>
    <row r="237" spans="1:17" x14ac:dyDescent="0.25">
      <c r="A237" s="1" t="s">
        <v>344</v>
      </c>
      <c r="B237" s="1" t="s">
        <v>345</v>
      </c>
      <c r="C237">
        <v>7</v>
      </c>
      <c r="D237">
        <v>3</v>
      </c>
      <c r="E237">
        <v>3</v>
      </c>
      <c r="F237">
        <v>3</v>
      </c>
      <c r="G237">
        <v>3</v>
      </c>
      <c r="H237">
        <v>6</v>
      </c>
      <c r="I237">
        <v>72</v>
      </c>
      <c r="J237">
        <v>40</v>
      </c>
      <c r="K237">
        <v>54</v>
      </c>
      <c r="L237">
        <v>44</v>
      </c>
      <c r="M237">
        <v>78</v>
      </c>
      <c r="N237">
        <f t="shared" si="9"/>
        <v>28.8</v>
      </c>
      <c r="O237" cm="1">
        <f t="array" ref="O237">SUM(_xlfn.XLOOKUP(E237:H237, $V$13:$V$17, $U$13:$U$17))</f>
        <v>22</v>
      </c>
      <c r="P237">
        <f t="shared" si="10"/>
        <v>7</v>
      </c>
      <c r="Q237" s="1">
        <f t="shared" si="11"/>
        <v>57.8</v>
      </c>
    </row>
    <row r="238" spans="1:17" x14ac:dyDescent="0.25">
      <c r="A238" s="1" t="s">
        <v>346</v>
      </c>
      <c r="B238" s="1" t="s">
        <v>347</v>
      </c>
      <c r="C238">
        <v>4</v>
      </c>
      <c r="D238">
        <v>4</v>
      </c>
      <c r="E238">
        <v>5</v>
      </c>
      <c r="F238">
        <v>2</v>
      </c>
      <c r="G238">
        <v>3</v>
      </c>
      <c r="H238">
        <v>5</v>
      </c>
      <c r="I238">
        <v>80</v>
      </c>
      <c r="J238">
        <v>63</v>
      </c>
      <c r="K238">
        <v>36</v>
      </c>
      <c r="L238">
        <v>13</v>
      </c>
      <c r="M238">
        <v>38</v>
      </c>
      <c r="N238">
        <f t="shared" si="9"/>
        <v>23.000000000000004</v>
      </c>
      <c r="O238" cm="1">
        <f t="array" ref="O238">SUM(_xlfn.XLOOKUP(E238:H238, $V$13:$V$17, $U$13:$U$17))</f>
        <v>20</v>
      </c>
      <c r="P238">
        <f t="shared" si="10"/>
        <v>4</v>
      </c>
      <c r="Q238" s="1">
        <f t="shared" si="11"/>
        <v>47</v>
      </c>
    </row>
    <row r="239" spans="1:17" x14ac:dyDescent="0.25">
      <c r="A239" s="1" t="s">
        <v>348</v>
      </c>
      <c r="B239" s="1" t="s">
        <v>210</v>
      </c>
      <c r="C239">
        <v>7</v>
      </c>
      <c r="D239">
        <v>5</v>
      </c>
      <c r="E239">
        <v>3</v>
      </c>
      <c r="F239">
        <v>2</v>
      </c>
      <c r="G239">
        <v>5</v>
      </c>
      <c r="H239">
        <v>3</v>
      </c>
      <c r="I239">
        <v>89</v>
      </c>
      <c r="J239">
        <v>97</v>
      </c>
      <c r="K239">
        <v>66</v>
      </c>
      <c r="L239">
        <v>5</v>
      </c>
      <c r="M239">
        <v>68</v>
      </c>
      <c r="N239">
        <f t="shared" si="9"/>
        <v>32.5</v>
      </c>
      <c r="O239" cm="1">
        <f t="array" ref="O239">SUM(_xlfn.XLOOKUP(E239:H239, $V$13:$V$17, $U$13:$U$17))</f>
        <v>16</v>
      </c>
      <c r="P239">
        <f t="shared" si="10"/>
        <v>7</v>
      </c>
      <c r="Q239" s="1">
        <f t="shared" si="11"/>
        <v>55.5</v>
      </c>
    </row>
    <row r="240" spans="1:17" x14ac:dyDescent="0.25">
      <c r="A240" s="1" t="s">
        <v>349</v>
      </c>
      <c r="B240" s="1" t="s">
        <v>350</v>
      </c>
      <c r="C240">
        <v>8</v>
      </c>
      <c r="D240">
        <v>3</v>
      </c>
      <c r="E240">
        <v>5</v>
      </c>
      <c r="F240">
        <v>3</v>
      </c>
      <c r="G240">
        <v>6</v>
      </c>
      <c r="H240">
        <v>6</v>
      </c>
      <c r="I240">
        <v>98</v>
      </c>
      <c r="J240">
        <v>27</v>
      </c>
      <c r="K240">
        <v>75</v>
      </c>
      <c r="L240">
        <v>69</v>
      </c>
      <c r="M240">
        <v>29</v>
      </c>
      <c r="N240">
        <f t="shared" si="9"/>
        <v>29.799999999999997</v>
      </c>
      <c r="O240" cm="1">
        <f t="array" ref="O240">SUM(_xlfn.XLOOKUP(E240:H240, $V$13:$V$17, $U$13:$U$17))</f>
        <v>32</v>
      </c>
      <c r="P240">
        <f t="shared" si="10"/>
        <v>8</v>
      </c>
      <c r="Q240" s="1">
        <f t="shared" si="11"/>
        <v>69.8</v>
      </c>
    </row>
    <row r="241" spans="1:17" x14ac:dyDescent="0.25">
      <c r="A241" s="1" t="s">
        <v>351</v>
      </c>
      <c r="B241" s="1" t="s">
        <v>45</v>
      </c>
      <c r="C241">
        <v>2</v>
      </c>
      <c r="D241">
        <v>2</v>
      </c>
      <c r="E241">
        <v>3</v>
      </c>
      <c r="F241">
        <v>4</v>
      </c>
      <c r="G241">
        <v>2</v>
      </c>
      <c r="H241">
        <v>6</v>
      </c>
      <c r="I241">
        <v>43</v>
      </c>
      <c r="J241">
        <v>45</v>
      </c>
      <c r="K241">
        <v>16</v>
      </c>
      <c r="L241">
        <v>56</v>
      </c>
      <c r="M241">
        <v>7</v>
      </c>
      <c r="N241">
        <f t="shared" si="9"/>
        <v>16.7</v>
      </c>
      <c r="O241" cm="1">
        <f t="array" ref="O241">SUM(_xlfn.XLOOKUP(E241:H241, $V$13:$V$17, $U$13:$U$17))</f>
        <v>20</v>
      </c>
      <c r="P241">
        <f t="shared" si="10"/>
        <v>2</v>
      </c>
      <c r="Q241" s="1">
        <f t="shared" si="11"/>
        <v>38.700000000000003</v>
      </c>
    </row>
    <row r="242" spans="1:17" x14ac:dyDescent="0.25">
      <c r="A242" s="1" t="s">
        <v>352</v>
      </c>
      <c r="B242" s="1" t="s">
        <v>193</v>
      </c>
      <c r="C242">
        <v>7</v>
      </c>
      <c r="D242">
        <v>6</v>
      </c>
      <c r="E242">
        <v>6</v>
      </c>
      <c r="F242">
        <v>2</v>
      </c>
      <c r="G242">
        <v>3</v>
      </c>
      <c r="H242">
        <v>6</v>
      </c>
      <c r="I242">
        <v>19</v>
      </c>
      <c r="J242">
        <v>5</v>
      </c>
      <c r="K242">
        <v>76</v>
      </c>
      <c r="L242">
        <v>74</v>
      </c>
      <c r="M242">
        <v>16</v>
      </c>
      <c r="N242">
        <f t="shared" si="9"/>
        <v>19</v>
      </c>
      <c r="O242" cm="1">
        <f t="array" ref="O242">SUM(_xlfn.XLOOKUP(E242:H242, $V$13:$V$17, $U$13:$U$17))</f>
        <v>24</v>
      </c>
      <c r="P242">
        <f t="shared" si="10"/>
        <v>9</v>
      </c>
      <c r="Q242" s="1">
        <f t="shared" si="11"/>
        <v>52</v>
      </c>
    </row>
    <row r="243" spans="1:17" x14ac:dyDescent="0.25">
      <c r="A243" s="1" t="s">
        <v>353</v>
      </c>
      <c r="B243" s="1" t="s">
        <v>86</v>
      </c>
      <c r="C243">
        <v>2</v>
      </c>
      <c r="D243">
        <v>3</v>
      </c>
      <c r="E243">
        <v>2</v>
      </c>
      <c r="F243">
        <v>5</v>
      </c>
      <c r="G243">
        <v>5</v>
      </c>
      <c r="H243">
        <v>4</v>
      </c>
      <c r="I243">
        <v>60</v>
      </c>
      <c r="J243">
        <v>48</v>
      </c>
      <c r="K243">
        <v>73</v>
      </c>
      <c r="L243">
        <v>93</v>
      </c>
      <c r="M243">
        <v>51</v>
      </c>
      <c r="N243">
        <f t="shared" si="9"/>
        <v>32.5</v>
      </c>
      <c r="O243" cm="1">
        <f t="array" ref="O243">SUM(_xlfn.XLOOKUP(E243:H243, $V$13:$V$17, $U$13:$U$17))</f>
        <v>22</v>
      </c>
      <c r="P243">
        <f t="shared" si="10"/>
        <v>2</v>
      </c>
      <c r="Q243" s="1">
        <f t="shared" si="11"/>
        <v>56.5</v>
      </c>
    </row>
    <row r="244" spans="1:17" x14ac:dyDescent="0.25">
      <c r="A244" s="1" t="s">
        <v>354</v>
      </c>
      <c r="B244" s="1" t="s">
        <v>355</v>
      </c>
      <c r="C244">
        <v>4</v>
      </c>
      <c r="D244">
        <v>6</v>
      </c>
      <c r="E244">
        <v>3</v>
      </c>
      <c r="F244">
        <v>6</v>
      </c>
      <c r="G244">
        <v>5</v>
      </c>
      <c r="H244">
        <v>6</v>
      </c>
      <c r="I244">
        <v>82</v>
      </c>
      <c r="J244">
        <v>21</v>
      </c>
      <c r="K244">
        <v>64</v>
      </c>
      <c r="L244">
        <v>61</v>
      </c>
      <c r="M244">
        <v>93</v>
      </c>
      <c r="N244">
        <f t="shared" si="9"/>
        <v>32.099999999999994</v>
      </c>
      <c r="O244" cm="1">
        <f t="array" ref="O244">SUM(_xlfn.XLOOKUP(E244:H244, $V$13:$V$17, $U$13:$U$17))</f>
        <v>32</v>
      </c>
      <c r="P244">
        <f t="shared" si="10"/>
        <v>6</v>
      </c>
      <c r="Q244" s="1">
        <f t="shared" si="11"/>
        <v>70.099999999999994</v>
      </c>
    </row>
    <row r="245" spans="1:17" x14ac:dyDescent="0.25">
      <c r="A245" s="1" t="s">
        <v>356</v>
      </c>
      <c r="B245" s="1" t="s">
        <v>357</v>
      </c>
      <c r="C245">
        <v>2</v>
      </c>
      <c r="D245">
        <v>4</v>
      </c>
      <c r="E245">
        <v>2</v>
      </c>
      <c r="F245">
        <v>4</v>
      </c>
      <c r="G245">
        <v>3</v>
      </c>
      <c r="H245">
        <v>4</v>
      </c>
      <c r="I245">
        <v>65</v>
      </c>
      <c r="J245">
        <v>50</v>
      </c>
      <c r="K245">
        <v>15</v>
      </c>
      <c r="L245">
        <v>67</v>
      </c>
      <c r="M245">
        <v>88</v>
      </c>
      <c r="N245">
        <f t="shared" si="9"/>
        <v>28.5</v>
      </c>
      <c r="O245" cm="1">
        <f t="array" ref="O245">SUM(_xlfn.XLOOKUP(E245:H245, $V$13:$V$17, $U$13:$U$17))</f>
        <v>16</v>
      </c>
      <c r="P245">
        <f t="shared" si="10"/>
        <v>2</v>
      </c>
      <c r="Q245" s="1">
        <f t="shared" si="11"/>
        <v>46.5</v>
      </c>
    </row>
    <row r="246" spans="1:17" x14ac:dyDescent="0.25">
      <c r="A246" s="1" t="s">
        <v>358</v>
      </c>
      <c r="B246" s="1" t="s">
        <v>174</v>
      </c>
      <c r="C246">
        <v>8</v>
      </c>
      <c r="D246">
        <v>3</v>
      </c>
      <c r="E246">
        <v>6</v>
      </c>
      <c r="F246">
        <v>3</v>
      </c>
      <c r="G246">
        <v>6</v>
      </c>
      <c r="H246">
        <v>3</v>
      </c>
      <c r="I246">
        <v>85</v>
      </c>
      <c r="J246">
        <v>68</v>
      </c>
      <c r="K246">
        <v>59</v>
      </c>
      <c r="L246">
        <v>5</v>
      </c>
      <c r="M246">
        <v>29</v>
      </c>
      <c r="N246">
        <f t="shared" si="9"/>
        <v>24.6</v>
      </c>
      <c r="O246" cm="1">
        <f t="array" ref="O246">SUM(_xlfn.XLOOKUP(E246:H246, $V$13:$V$17, $U$13:$U$17))</f>
        <v>28</v>
      </c>
      <c r="P246">
        <f t="shared" si="10"/>
        <v>8</v>
      </c>
      <c r="Q246" s="1">
        <f t="shared" si="11"/>
        <v>60.6</v>
      </c>
    </row>
    <row r="247" spans="1:17" x14ac:dyDescent="0.25">
      <c r="A247" s="1" t="s">
        <v>359</v>
      </c>
      <c r="B247" s="1" t="s">
        <v>360</v>
      </c>
      <c r="C247">
        <v>7</v>
      </c>
      <c r="D247">
        <v>6</v>
      </c>
      <c r="E247">
        <v>2</v>
      </c>
      <c r="F247">
        <v>3</v>
      </c>
      <c r="G247">
        <v>2</v>
      </c>
      <c r="H247">
        <v>2</v>
      </c>
      <c r="I247">
        <v>91</v>
      </c>
      <c r="J247">
        <v>65</v>
      </c>
      <c r="K247">
        <v>12</v>
      </c>
      <c r="L247">
        <v>78</v>
      </c>
      <c r="M247">
        <v>87</v>
      </c>
      <c r="N247">
        <f t="shared" si="9"/>
        <v>33.299999999999997</v>
      </c>
      <c r="O247" cm="1">
        <f t="array" ref="O247">SUM(_xlfn.XLOOKUP(E247:H247, $V$13:$V$17, $U$13:$U$17))</f>
        <v>4</v>
      </c>
      <c r="P247">
        <f t="shared" si="10"/>
        <v>9</v>
      </c>
      <c r="Q247" s="1">
        <f t="shared" si="11"/>
        <v>46.3</v>
      </c>
    </row>
    <row r="248" spans="1:17" x14ac:dyDescent="0.25">
      <c r="A248" s="1" t="s">
        <v>361</v>
      </c>
      <c r="B248" s="1" t="s">
        <v>362</v>
      </c>
      <c r="C248">
        <v>2</v>
      </c>
      <c r="D248">
        <v>6</v>
      </c>
      <c r="E248">
        <v>6</v>
      </c>
      <c r="F248">
        <v>6</v>
      </c>
      <c r="G248">
        <v>2</v>
      </c>
      <c r="H248">
        <v>3</v>
      </c>
      <c r="I248">
        <v>65</v>
      </c>
      <c r="J248">
        <v>28</v>
      </c>
      <c r="K248">
        <v>80</v>
      </c>
      <c r="L248">
        <v>55</v>
      </c>
      <c r="M248">
        <v>60</v>
      </c>
      <c r="N248">
        <f t="shared" si="9"/>
        <v>28.8</v>
      </c>
      <c r="O248" cm="1">
        <f t="array" ref="O248">SUM(_xlfn.XLOOKUP(E248:H248, $V$13:$V$17, $U$13:$U$17))</f>
        <v>24</v>
      </c>
      <c r="P248">
        <f t="shared" si="10"/>
        <v>4</v>
      </c>
      <c r="Q248" s="1">
        <f t="shared" si="11"/>
        <v>56.8</v>
      </c>
    </row>
    <row r="249" spans="1:17" x14ac:dyDescent="0.25">
      <c r="A249" s="1" t="s">
        <v>363</v>
      </c>
      <c r="B249" s="1" t="s">
        <v>139</v>
      </c>
      <c r="C249">
        <v>4</v>
      </c>
      <c r="D249">
        <v>4</v>
      </c>
      <c r="E249">
        <v>2</v>
      </c>
      <c r="F249">
        <v>3</v>
      </c>
      <c r="G249">
        <v>3</v>
      </c>
      <c r="H249">
        <v>5</v>
      </c>
      <c r="I249">
        <v>14</v>
      </c>
      <c r="J249">
        <v>4</v>
      </c>
      <c r="K249">
        <v>93</v>
      </c>
      <c r="L249">
        <v>36</v>
      </c>
      <c r="M249">
        <v>26</v>
      </c>
      <c r="N249">
        <f t="shared" si="9"/>
        <v>17.3</v>
      </c>
      <c r="O249" cm="1">
        <f t="array" ref="O249">SUM(_xlfn.XLOOKUP(E249:H249, $V$13:$V$17, $U$13:$U$17))</f>
        <v>16</v>
      </c>
      <c r="P249">
        <f t="shared" si="10"/>
        <v>4</v>
      </c>
      <c r="Q249" s="1">
        <f t="shared" si="11"/>
        <v>37.299999999999997</v>
      </c>
    </row>
    <row r="250" spans="1:17" x14ac:dyDescent="0.25">
      <c r="A250" s="1" t="s">
        <v>364</v>
      </c>
      <c r="B250" s="1" t="s">
        <v>203</v>
      </c>
      <c r="C250">
        <v>0</v>
      </c>
      <c r="D250">
        <v>6</v>
      </c>
      <c r="E250">
        <v>2</v>
      </c>
      <c r="F250">
        <v>6</v>
      </c>
      <c r="G250">
        <v>5</v>
      </c>
      <c r="H250">
        <v>6</v>
      </c>
      <c r="I250">
        <v>15</v>
      </c>
      <c r="J250">
        <v>42</v>
      </c>
      <c r="K250">
        <v>90</v>
      </c>
      <c r="L250">
        <v>14</v>
      </c>
      <c r="M250">
        <v>88</v>
      </c>
      <c r="N250">
        <f t="shared" si="9"/>
        <v>24.9</v>
      </c>
      <c r="O250" cm="1">
        <f t="array" ref="O250">SUM(_xlfn.XLOOKUP(E250:H250, $V$13:$V$17, $U$13:$U$17))</f>
        <v>28</v>
      </c>
      <c r="P250">
        <f t="shared" si="10"/>
        <v>2</v>
      </c>
      <c r="Q250" s="1">
        <f t="shared" si="11"/>
        <v>54.9</v>
      </c>
    </row>
    <row r="251" spans="1:17" x14ac:dyDescent="0.25">
      <c r="A251" s="1" t="s">
        <v>365</v>
      </c>
      <c r="B251" s="1" t="s">
        <v>16</v>
      </c>
      <c r="C251">
        <v>8</v>
      </c>
      <c r="D251">
        <v>5</v>
      </c>
      <c r="E251">
        <v>4</v>
      </c>
      <c r="F251">
        <v>4</v>
      </c>
      <c r="G251">
        <v>4</v>
      </c>
      <c r="H251">
        <v>3</v>
      </c>
      <c r="I251">
        <v>39</v>
      </c>
      <c r="J251">
        <v>45</v>
      </c>
      <c r="K251">
        <v>68</v>
      </c>
      <c r="L251">
        <v>26</v>
      </c>
      <c r="M251">
        <v>30</v>
      </c>
      <c r="N251">
        <f t="shared" si="9"/>
        <v>20.8</v>
      </c>
      <c r="O251" cm="1">
        <f t="array" ref="O251">SUM(_xlfn.XLOOKUP(E251:H251, $V$13:$V$17, $U$13:$U$17))</f>
        <v>22</v>
      </c>
      <c r="P251">
        <f t="shared" si="10"/>
        <v>8</v>
      </c>
      <c r="Q251" s="1">
        <f t="shared" si="11"/>
        <v>50.8</v>
      </c>
    </row>
    <row r="252" spans="1:17" x14ac:dyDescent="0.25">
      <c r="A252" s="1" t="s">
        <v>366</v>
      </c>
      <c r="B252" s="1" t="s">
        <v>367</v>
      </c>
      <c r="C252">
        <v>3</v>
      </c>
      <c r="D252">
        <v>6</v>
      </c>
      <c r="E252">
        <v>3</v>
      </c>
      <c r="F252">
        <v>4</v>
      </c>
      <c r="G252">
        <v>3</v>
      </c>
      <c r="H252">
        <v>5</v>
      </c>
      <c r="I252">
        <v>86</v>
      </c>
      <c r="J252">
        <v>46</v>
      </c>
      <c r="K252">
        <v>9</v>
      </c>
      <c r="L252">
        <v>68</v>
      </c>
      <c r="M252">
        <v>39</v>
      </c>
      <c r="N252">
        <f t="shared" si="9"/>
        <v>24.799999999999997</v>
      </c>
      <c r="O252" cm="1">
        <f t="array" ref="O252">SUM(_xlfn.XLOOKUP(E252:H252, $V$13:$V$17, $U$13:$U$17))</f>
        <v>22</v>
      </c>
      <c r="P252">
        <f t="shared" si="10"/>
        <v>5</v>
      </c>
      <c r="Q252" s="1">
        <f t="shared" si="11"/>
        <v>51.8</v>
      </c>
    </row>
    <row r="253" spans="1:17" x14ac:dyDescent="0.25">
      <c r="A253" s="1" t="s">
        <v>368</v>
      </c>
      <c r="B253" s="1" t="s">
        <v>369</v>
      </c>
      <c r="C253">
        <v>7</v>
      </c>
      <c r="D253">
        <v>4</v>
      </c>
      <c r="E253">
        <v>6</v>
      </c>
      <c r="F253">
        <v>6</v>
      </c>
      <c r="G253">
        <v>6</v>
      </c>
      <c r="H253">
        <v>2</v>
      </c>
      <c r="I253">
        <v>17</v>
      </c>
      <c r="J253">
        <v>16</v>
      </c>
      <c r="K253">
        <v>12</v>
      </c>
      <c r="L253">
        <v>54</v>
      </c>
      <c r="M253">
        <v>91</v>
      </c>
      <c r="N253">
        <f t="shared" si="9"/>
        <v>19</v>
      </c>
      <c r="O253" cm="1">
        <f t="array" ref="O253">SUM(_xlfn.XLOOKUP(E253:H253, $V$13:$V$17, $U$13:$U$17))</f>
        <v>30</v>
      </c>
      <c r="P253">
        <f t="shared" si="10"/>
        <v>7</v>
      </c>
      <c r="Q253" s="1">
        <f t="shared" si="11"/>
        <v>56</v>
      </c>
    </row>
    <row r="254" spans="1:17" x14ac:dyDescent="0.25">
      <c r="A254" s="1" t="s">
        <v>370</v>
      </c>
      <c r="B254" s="1" t="s">
        <v>371</v>
      </c>
      <c r="C254">
        <v>4</v>
      </c>
      <c r="D254">
        <v>2</v>
      </c>
      <c r="E254">
        <v>4</v>
      </c>
      <c r="F254">
        <v>3</v>
      </c>
      <c r="G254">
        <v>5</v>
      </c>
      <c r="H254">
        <v>2</v>
      </c>
      <c r="I254">
        <v>68</v>
      </c>
      <c r="J254">
        <v>87</v>
      </c>
      <c r="K254">
        <v>48</v>
      </c>
      <c r="L254">
        <v>54</v>
      </c>
      <c r="M254">
        <v>39</v>
      </c>
      <c r="N254">
        <f t="shared" si="9"/>
        <v>29.6</v>
      </c>
      <c r="O254" cm="1">
        <f t="array" ref="O254">SUM(_xlfn.XLOOKUP(E254:H254, $V$13:$V$17, $U$13:$U$17))</f>
        <v>18</v>
      </c>
      <c r="P254">
        <f t="shared" si="10"/>
        <v>4</v>
      </c>
      <c r="Q254" s="1">
        <f t="shared" si="11"/>
        <v>51.6</v>
      </c>
    </row>
    <row r="255" spans="1:17" x14ac:dyDescent="0.25">
      <c r="A255" s="1" t="s">
        <v>372</v>
      </c>
      <c r="B255" s="1" t="s">
        <v>180</v>
      </c>
      <c r="C255">
        <v>8</v>
      </c>
      <c r="D255">
        <v>3</v>
      </c>
      <c r="E255">
        <v>5</v>
      </c>
      <c r="F255">
        <v>2</v>
      </c>
      <c r="G255">
        <v>5</v>
      </c>
      <c r="H255">
        <v>3</v>
      </c>
      <c r="I255">
        <v>99</v>
      </c>
      <c r="J255">
        <v>90</v>
      </c>
      <c r="K255">
        <v>59</v>
      </c>
      <c r="L255">
        <v>78</v>
      </c>
      <c r="M255">
        <v>93</v>
      </c>
      <c r="N255">
        <f t="shared" si="9"/>
        <v>41.899999999999991</v>
      </c>
      <c r="O255" cm="1">
        <f t="array" ref="O255">SUM(_xlfn.XLOOKUP(E255:H255, $V$13:$V$17, $U$13:$U$17))</f>
        <v>20</v>
      </c>
      <c r="P255">
        <f t="shared" si="10"/>
        <v>8</v>
      </c>
      <c r="Q255" s="1">
        <f t="shared" si="11"/>
        <v>69.899999999999991</v>
      </c>
    </row>
    <row r="256" spans="1:17" x14ac:dyDescent="0.25">
      <c r="A256" s="1" t="s">
        <v>373</v>
      </c>
      <c r="B256" s="1" t="s">
        <v>357</v>
      </c>
      <c r="C256">
        <v>1</v>
      </c>
      <c r="D256">
        <v>6</v>
      </c>
      <c r="E256">
        <v>6</v>
      </c>
      <c r="F256">
        <v>5</v>
      </c>
      <c r="G256">
        <v>3</v>
      </c>
      <c r="H256">
        <v>6</v>
      </c>
      <c r="I256">
        <v>58</v>
      </c>
      <c r="J256">
        <v>93</v>
      </c>
      <c r="K256">
        <v>93</v>
      </c>
      <c r="L256">
        <v>82</v>
      </c>
      <c r="M256">
        <v>17</v>
      </c>
      <c r="N256">
        <f t="shared" si="9"/>
        <v>34.300000000000004</v>
      </c>
      <c r="O256" cm="1">
        <f t="array" ref="O256">SUM(_xlfn.XLOOKUP(E256:H256, $V$13:$V$17, $U$13:$U$17))</f>
        <v>32</v>
      </c>
      <c r="P256">
        <f t="shared" si="10"/>
        <v>3</v>
      </c>
      <c r="Q256" s="1">
        <f t="shared" si="11"/>
        <v>69.300000000000011</v>
      </c>
    </row>
    <row r="257" spans="1:17" x14ac:dyDescent="0.25">
      <c r="A257" s="1" t="s">
        <v>374</v>
      </c>
      <c r="B257" s="1" t="s">
        <v>327</v>
      </c>
      <c r="C257">
        <v>6</v>
      </c>
      <c r="D257">
        <v>4</v>
      </c>
      <c r="E257">
        <v>5</v>
      </c>
      <c r="F257">
        <v>3</v>
      </c>
      <c r="G257">
        <v>2</v>
      </c>
      <c r="H257">
        <v>2</v>
      </c>
      <c r="I257">
        <v>38</v>
      </c>
      <c r="J257">
        <v>13</v>
      </c>
      <c r="K257">
        <v>62</v>
      </c>
      <c r="L257">
        <v>22</v>
      </c>
      <c r="M257">
        <v>14</v>
      </c>
      <c r="N257">
        <f t="shared" si="9"/>
        <v>14.9</v>
      </c>
      <c r="O257" cm="1">
        <f t="array" ref="O257">SUM(_xlfn.XLOOKUP(E257:H257, $V$13:$V$17, $U$13:$U$17))</f>
        <v>12</v>
      </c>
      <c r="P257">
        <f t="shared" si="10"/>
        <v>6</v>
      </c>
      <c r="Q257" s="1">
        <f t="shared" si="11"/>
        <v>32.9</v>
      </c>
    </row>
    <row r="258" spans="1:17" x14ac:dyDescent="0.25">
      <c r="A258" s="1" t="s">
        <v>375</v>
      </c>
      <c r="B258" s="1" t="s">
        <v>205</v>
      </c>
      <c r="C258">
        <v>6</v>
      </c>
      <c r="D258">
        <v>6</v>
      </c>
      <c r="E258">
        <v>3</v>
      </c>
      <c r="F258">
        <v>6</v>
      </c>
      <c r="G258">
        <v>6</v>
      </c>
      <c r="H258">
        <v>2</v>
      </c>
      <c r="I258">
        <v>1</v>
      </c>
      <c r="J258">
        <v>34</v>
      </c>
      <c r="K258">
        <v>76</v>
      </c>
      <c r="L258">
        <v>39</v>
      </c>
      <c r="M258">
        <v>56</v>
      </c>
      <c r="N258">
        <f t="shared" ref="N258:N321" si="12">I258/10 + J258/10 + K258/10 + L258/10 + M258/10</f>
        <v>20.6</v>
      </c>
      <c r="O258" cm="1">
        <f t="array" ref="O258">SUM(_xlfn.XLOOKUP(E258:H258, $V$13:$V$17, $U$13:$U$17))</f>
        <v>24</v>
      </c>
      <c r="P258">
        <f t="shared" ref="P258:P321" si="13">IF(D258=6,C258+2,C258)</f>
        <v>8</v>
      </c>
      <c r="Q258" s="1">
        <f t="shared" ref="Q258:Q321" si="14">SUM(N258:P258)</f>
        <v>52.6</v>
      </c>
    </row>
    <row r="259" spans="1:17" x14ac:dyDescent="0.25">
      <c r="A259" s="1" t="s">
        <v>376</v>
      </c>
      <c r="B259" s="1" t="s">
        <v>38</v>
      </c>
      <c r="C259">
        <v>3</v>
      </c>
      <c r="D259">
        <v>5</v>
      </c>
      <c r="E259">
        <v>3</v>
      </c>
      <c r="F259">
        <v>6</v>
      </c>
      <c r="G259">
        <v>2</v>
      </c>
      <c r="H259">
        <v>4</v>
      </c>
      <c r="I259">
        <v>91</v>
      </c>
      <c r="J259">
        <v>99</v>
      </c>
      <c r="K259">
        <v>61</v>
      </c>
      <c r="L259">
        <v>2</v>
      </c>
      <c r="M259">
        <v>52</v>
      </c>
      <c r="N259">
        <f t="shared" si="12"/>
        <v>30.5</v>
      </c>
      <c r="O259" cm="1">
        <f t="array" ref="O259">SUM(_xlfn.XLOOKUP(E259:H259, $V$13:$V$17, $U$13:$U$17))</f>
        <v>20</v>
      </c>
      <c r="P259">
        <f t="shared" si="13"/>
        <v>3</v>
      </c>
      <c r="Q259" s="1">
        <f t="shared" si="14"/>
        <v>53.5</v>
      </c>
    </row>
    <row r="260" spans="1:17" x14ac:dyDescent="0.25">
      <c r="A260" s="1" t="s">
        <v>377</v>
      </c>
      <c r="B260" s="1" t="s">
        <v>180</v>
      </c>
      <c r="C260">
        <v>3</v>
      </c>
      <c r="D260">
        <v>4</v>
      </c>
      <c r="E260">
        <v>6</v>
      </c>
      <c r="F260">
        <v>2</v>
      </c>
      <c r="G260">
        <v>2</v>
      </c>
      <c r="H260">
        <v>4</v>
      </c>
      <c r="I260">
        <v>2</v>
      </c>
      <c r="J260">
        <v>85</v>
      </c>
      <c r="K260">
        <v>51</v>
      </c>
      <c r="L260">
        <v>87</v>
      </c>
      <c r="M260">
        <v>27</v>
      </c>
      <c r="N260">
        <f t="shared" si="12"/>
        <v>25.2</v>
      </c>
      <c r="O260" cm="1">
        <f t="array" ref="O260">SUM(_xlfn.XLOOKUP(E260:H260, $V$13:$V$17, $U$13:$U$17))</f>
        <v>16</v>
      </c>
      <c r="P260">
        <f t="shared" si="13"/>
        <v>3</v>
      </c>
      <c r="Q260" s="1">
        <f t="shared" si="14"/>
        <v>44.2</v>
      </c>
    </row>
    <row r="261" spans="1:17" x14ac:dyDescent="0.25">
      <c r="A261" s="1" t="s">
        <v>378</v>
      </c>
      <c r="B261" s="1" t="s">
        <v>30</v>
      </c>
      <c r="C261">
        <v>6</v>
      </c>
      <c r="D261">
        <v>3</v>
      </c>
      <c r="E261">
        <v>3</v>
      </c>
      <c r="F261">
        <v>6</v>
      </c>
      <c r="G261">
        <v>6</v>
      </c>
      <c r="H261">
        <v>3</v>
      </c>
      <c r="I261">
        <v>78</v>
      </c>
      <c r="J261">
        <v>57</v>
      </c>
      <c r="K261">
        <v>69</v>
      </c>
      <c r="L261">
        <v>18</v>
      </c>
      <c r="M261">
        <v>87</v>
      </c>
      <c r="N261">
        <f t="shared" si="12"/>
        <v>30.9</v>
      </c>
      <c r="O261" cm="1">
        <f t="array" ref="O261">SUM(_xlfn.XLOOKUP(E261:H261, $V$13:$V$17, $U$13:$U$17))</f>
        <v>28</v>
      </c>
      <c r="P261">
        <f t="shared" si="13"/>
        <v>6</v>
      </c>
      <c r="Q261" s="1">
        <f t="shared" si="14"/>
        <v>64.900000000000006</v>
      </c>
    </row>
    <row r="262" spans="1:17" x14ac:dyDescent="0.25">
      <c r="A262" s="1" t="s">
        <v>379</v>
      </c>
      <c r="B262" s="1" t="s">
        <v>180</v>
      </c>
      <c r="C262">
        <v>3</v>
      </c>
      <c r="D262">
        <v>5</v>
      </c>
      <c r="E262">
        <v>4</v>
      </c>
      <c r="F262">
        <v>5</v>
      </c>
      <c r="G262">
        <v>6</v>
      </c>
      <c r="H262">
        <v>4</v>
      </c>
      <c r="I262">
        <v>64</v>
      </c>
      <c r="J262">
        <v>35</v>
      </c>
      <c r="K262">
        <v>42</v>
      </c>
      <c r="L262">
        <v>54</v>
      </c>
      <c r="M262">
        <v>15</v>
      </c>
      <c r="N262">
        <f t="shared" si="12"/>
        <v>21</v>
      </c>
      <c r="O262" cm="1">
        <f t="array" ref="O262">SUM(_xlfn.XLOOKUP(E262:H262, $V$13:$V$17, $U$13:$U$17))</f>
        <v>30</v>
      </c>
      <c r="P262">
        <f t="shared" si="13"/>
        <v>3</v>
      </c>
      <c r="Q262" s="1">
        <f t="shared" si="14"/>
        <v>54</v>
      </c>
    </row>
    <row r="263" spans="1:17" x14ac:dyDescent="0.25">
      <c r="A263" s="1" t="s">
        <v>380</v>
      </c>
      <c r="B263" s="1" t="s">
        <v>381</v>
      </c>
      <c r="C263">
        <v>3</v>
      </c>
      <c r="D263">
        <v>2</v>
      </c>
      <c r="E263">
        <v>2</v>
      </c>
      <c r="F263">
        <v>4</v>
      </c>
      <c r="G263">
        <v>3</v>
      </c>
      <c r="H263">
        <v>5</v>
      </c>
      <c r="I263">
        <v>40</v>
      </c>
      <c r="J263">
        <v>28</v>
      </c>
      <c r="K263">
        <v>88</v>
      </c>
      <c r="L263">
        <v>11</v>
      </c>
      <c r="M263">
        <v>9</v>
      </c>
      <c r="N263">
        <f t="shared" si="12"/>
        <v>17.600000000000001</v>
      </c>
      <c r="O263" cm="1">
        <f t="array" ref="O263">SUM(_xlfn.XLOOKUP(E263:H263, $V$13:$V$17, $U$13:$U$17))</f>
        <v>18</v>
      </c>
      <c r="P263">
        <f t="shared" si="13"/>
        <v>3</v>
      </c>
      <c r="Q263" s="1">
        <f t="shared" si="14"/>
        <v>38.6</v>
      </c>
    </row>
    <row r="264" spans="1:17" x14ac:dyDescent="0.25">
      <c r="A264" s="1" t="s">
        <v>382</v>
      </c>
      <c r="B264" s="1" t="s">
        <v>45</v>
      </c>
      <c r="C264">
        <v>2</v>
      </c>
      <c r="D264">
        <v>5</v>
      </c>
      <c r="E264">
        <v>3</v>
      </c>
      <c r="F264">
        <v>4</v>
      </c>
      <c r="G264">
        <v>6</v>
      </c>
      <c r="H264">
        <v>3</v>
      </c>
      <c r="I264">
        <v>8</v>
      </c>
      <c r="J264">
        <v>46</v>
      </c>
      <c r="K264">
        <v>55</v>
      </c>
      <c r="L264">
        <v>39</v>
      </c>
      <c r="M264">
        <v>21</v>
      </c>
      <c r="N264">
        <f t="shared" si="12"/>
        <v>16.899999999999999</v>
      </c>
      <c r="O264" cm="1">
        <f t="array" ref="O264">SUM(_xlfn.XLOOKUP(E264:H264, $V$13:$V$17, $U$13:$U$17))</f>
        <v>24</v>
      </c>
      <c r="P264">
        <f t="shared" si="13"/>
        <v>2</v>
      </c>
      <c r="Q264" s="1">
        <f t="shared" si="14"/>
        <v>42.9</v>
      </c>
    </row>
    <row r="265" spans="1:17" x14ac:dyDescent="0.25">
      <c r="A265" s="1" t="s">
        <v>383</v>
      </c>
      <c r="B265" s="1" t="s">
        <v>384</v>
      </c>
      <c r="C265">
        <v>2</v>
      </c>
      <c r="D265">
        <v>5</v>
      </c>
      <c r="E265">
        <v>3</v>
      </c>
      <c r="F265">
        <v>6</v>
      </c>
      <c r="G265">
        <v>3</v>
      </c>
      <c r="H265">
        <v>3</v>
      </c>
      <c r="I265">
        <v>86</v>
      </c>
      <c r="J265">
        <v>36</v>
      </c>
      <c r="K265">
        <v>76</v>
      </c>
      <c r="L265">
        <v>91</v>
      </c>
      <c r="M265">
        <v>19</v>
      </c>
      <c r="N265">
        <f t="shared" si="12"/>
        <v>30.799999999999997</v>
      </c>
      <c r="O265" cm="1">
        <f t="array" ref="O265">SUM(_xlfn.XLOOKUP(E265:H265, $V$13:$V$17, $U$13:$U$17))</f>
        <v>22</v>
      </c>
      <c r="P265">
        <f t="shared" si="13"/>
        <v>2</v>
      </c>
      <c r="Q265" s="1">
        <f t="shared" si="14"/>
        <v>54.8</v>
      </c>
    </row>
    <row r="266" spans="1:17" x14ac:dyDescent="0.25">
      <c r="A266" s="1" t="s">
        <v>385</v>
      </c>
      <c r="B266" s="1" t="s">
        <v>288</v>
      </c>
      <c r="C266">
        <v>0</v>
      </c>
      <c r="D266">
        <v>4</v>
      </c>
      <c r="E266">
        <v>3</v>
      </c>
      <c r="F266">
        <v>5</v>
      </c>
      <c r="G266">
        <v>2</v>
      </c>
      <c r="H266">
        <v>6</v>
      </c>
      <c r="I266">
        <v>86</v>
      </c>
      <c r="J266">
        <v>76</v>
      </c>
      <c r="K266">
        <v>17</v>
      </c>
      <c r="L266">
        <v>68</v>
      </c>
      <c r="M266">
        <v>39</v>
      </c>
      <c r="N266">
        <f t="shared" si="12"/>
        <v>28.599999999999998</v>
      </c>
      <c r="O266" cm="1">
        <f t="array" ref="O266">SUM(_xlfn.XLOOKUP(E266:H266, $V$13:$V$17, $U$13:$U$17))</f>
        <v>22</v>
      </c>
      <c r="P266">
        <f t="shared" si="13"/>
        <v>0</v>
      </c>
      <c r="Q266" s="1">
        <f t="shared" si="14"/>
        <v>50.599999999999994</v>
      </c>
    </row>
    <row r="267" spans="1:17" x14ac:dyDescent="0.25">
      <c r="A267" s="1" t="s">
        <v>386</v>
      </c>
      <c r="B267" s="1" t="s">
        <v>311</v>
      </c>
      <c r="C267">
        <v>8</v>
      </c>
      <c r="D267">
        <v>4</v>
      </c>
      <c r="E267">
        <v>5</v>
      </c>
      <c r="F267">
        <v>5</v>
      </c>
      <c r="G267">
        <v>4</v>
      </c>
      <c r="H267">
        <v>5</v>
      </c>
      <c r="I267">
        <v>7</v>
      </c>
      <c r="J267">
        <v>8</v>
      </c>
      <c r="K267">
        <v>77</v>
      </c>
      <c r="L267">
        <v>77</v>
      </c>
      <c r="M267">
        <v>21</v>
      </c>
      <c r="N267">
        <f t="shared" si="12"/>
        <v>19</v>
      </c>
      <c r="O267" cm="1">
        <f t="array" ref="O267">SUM(_xlfn.XLOOKUP(E267:H267, $V$13:$V$17, $U$13:$U$17))</f>
        <v>30</v>
      </c>
      <c r="P267">
        <f t="shared" si="13"/>
        <v>8</v>
      </c>
      <c r="Q267" s="1">
        <f t="shared" si="14"/>
        <v>57</v>
      </c>
    </row>
    <row r="268" spans="1:17" x14ac:dyDescent="0.25">
      <c r="A268" s="1" t="s">
        <v>387</v>
      </c>
      <c r="B268" s="1" t="s">
        <v>388</v>
      </c>
      <c r="C268">
        <v>8</v>
      </c>
      <c r="D268">
        <v>2</v>
      </c>
      <c r="E268">
        <v>6</v>
      </c>
      <c r="F268">
        <v>4</v>
      </c>
      <c r="G268">
        <v>3</v>
      </c>
      <c r="H268">
        <v>2</v>
      </c>
      <c r="I268">
        <v>77</v>
      </c>
      <c r="J268">
        <v>98</v>
      </c>
      <c r="K268">
        <v>4</v>
      </c>
      <c r="L268">
        <v>85</v>
      </c>
      <c r="M268">
        <v>63</v>
      </c>
      <c r="N268">
        <f t="shared" si="12"/>
        <v>32.699999999999996</v>
      </c>
      <c r="O268" cm="1">
        <f t="array" ref="O268">SUM(_xlfn.XLOOKUP(E268:H268, $V$13:$V$17, $U$13:$U$17))</f>
        <v>20</v>
      </c>
      <c r="P268">
        <f t="shared" si="13"/>
        <v>8</v>
      </c>
      <c r="Q268" s="1">
        <f t="shared" si="14"/>
        <v>60.699999999999996</v>
      </c>
    </row>
    <row r="269" spans="1:17" x14ac:dyDescent="0.25">
      <c r="A269" s="1" t="s">
        <v>389</v>
      </c>
      <c r="B269" s="1" t="s">
        <v>324</v>
      </c>
      <c r="C269">
        <v>6</v>
      </c>
      <c r="D269">
        <v>4</v>
      </c>
      <c r="E269">
        <v>6</v>
      </c>
      <c r="F269">
        <v>3</v>
      </c>
      <c r="G269">
        <v>3</v>
      </c>
      <c r="H269">
        <v>3</v>
      </c>
      <c r="I269">
        <v>9</v>
      </c>
      <c r="J269">
        <v>15</v>
      </c>
      <c r="K269">
        <v>6</v>
      </c>
      <c r="L269">
        <v>65</v>
      </c>
      <c r="M269">
        <v>75</v>
      </c>
      <c r="N269">
        <f t="shared" si="12"/>
        <v>17</v>
      </c>
      <c r="O269" cm="1">
        <f t="array" ref="O269">SUM(_xlfn.XLOOKUP(E269:H269, $V$13:$V$17, $U$13:$U$17))</f>
        <v>22</v>
      </c>
      <c r="P269">
        <f t="shared" si="13"/>
        <v>6</v>
      </c>
      <c r="Q269" s="1">
        <f t="shared" si="14"/>
        <v>45</v>
      </c>
    </row>
    <row r="270" spans="1:17" x14ac:dyDescent="0.25">
      <c r="A270" s="1" t="s">
        <v>390</v>
      </c>
      <c r="B270" s="1" t="s">
        <v>391</v>
      </c>
      <c r="C270">
        <v>0</v>
      </c>
      <c r="D270">
        <v>5</v>
      </c>
      <c r="E270">
        <v>3</v>
      </c>
      <c r="F270">
        <v>3</v>
      </c>
      <c r="G270">
        <v>3</v>
      </c>
      <c r="H270">
        <v>5</v>
      </c>
      <c r="I270">
        <v>27</v>
      </c>
      <c r="J270">
        <v>30</v>
      </c>
      <c r="K270">
        <v>23</v>
      </c>
      <c r="L270">
        <v>16</v>
      </c>
      <c r="M270">
        <v>21</v>
      </c>
      <c r="N270">
        <f t="shared" si="12"/>
        <v>11.7</v>
      </c>
      <c r="O270" cm="1">
        <f t="array" ref="O270">SUM(_xlfn.XLOOKUP(E270:H270, $V$13:$V$17, $U$13:$U$17))</f>
        <v>20</v>
      </c>
      <c r="P270">
        <f t="shared" si="13"/>
        <v>0</v>
      </c>
      <c r="Q270" s="1">
        <f t="shared" si="14"/>
        <v>31.7</v>
      </c>
    </row>
    <row r="271" spans="1:17" x14ac:dyDescent="0.25">
      <c r="A271" s="1" t="s">
        <v>392</v>
      </c>
      <c r="B271" s="1" t="s">
        <v>16</v>
      </c>
      <c r="C271">
        <v>5</v>
      </c>
      <c r="D271">
        <v>2</v>
      </c>
      <c r="E271">
        <v>5</v>
      </c>
      <c r="F271">
        <v>5</v>
      </c>
      <c r="G271">
        <v>6</v>
      </c>
      <c r="H271">
        <v>5</v>
      </c>
      <c r="I271">
        <v>17</v>
      </c>
      <c r="J271">
        <v>23</v>
      </c>
      <c r="K271">
        <v>33</v>
      </c>
      <c r="L271">
        <v>16</v>
      </c>
      <c r="M271">
        <v>62</v>
      </c>
      <c r="N271">
        <f t="shared" si="12"/>
        <v>15.100000000000001</v>
      </c>
      <c r="O271" cm="1">
        <f t="array" ref="O271">SUM(_xlfn.XLOOKUP(E271:H271, $V$13:$V$17, $U$13:$U$17))</f>
        <v>34</v>
      </c>
      <c r="P271">
        <f t="shared" si="13"/>
        <v>5</v>
      </c>
      <c r="Q271" s="1">
        <f t="shared" si="14"/>
        <v>54.1</v>
      </c>
    </row>
    <row r="272" spans="1:17" x14ac:dyDescent="0.25">
      <c r="A272" s="1" t="s">
        <v>393</v>
      </c>
      <c r="B272" s="1" t="s">
        <v>251</v>
      </c>
      <c r="C272">
        <v>2</v>
      </c>
      <c r="D272">
        <v>5</v>
      </c>
      <c r="E272">
        <v>3</v>
      </c>
      <c r="F272">
        <v>6</v>
      </c>
      <c r="G272">
        <v>6</v>
      </c>
      <c r="H272">
        <v>2</v>
      </c>
      <c r="I272">
        <v>87</v>
      </c>
      <c r="J272">
        <v>23</v>
      </c>
      <c r="K272">
        <v>15</v>
      </c>
      <c r="L272">
        <v>44</v>
      </c>
      <c r="M272">
        <v>30</v>
      </c>
      <c r="N272">
        <f t="shared" si="12"/>
        <v>19.899999999999999</v>
      </c>
      <c r="O272" cm="1">
        <f t="array" ref="O272">SUM(_xlfn.XLOOKUP(E272:H272, $V$13:$V$17, $U$13:$U$17))</f>
        <v>24</v>
      </c>
      <c r="P272">
        <f t="shared" si="13"/>
        <v>2</v>
      </c>
      <c r="Q272" s="1">
        <f t="shared" si="14"/>
        <v>45.9</v>
      </c>
    </row>
    <row r="273" spans="1:17" x14ac:dyDescent="0.25">
      <c r="A273" s="1" t="s">
        <v>394</v>
      </c>
      <c r="B273" s="1" t="s">
        <v>395</v>
      </c>
      <c r="C273">
        <v>2</v>
      </c>
      <c r="D273">
        <v>6</v>
      </c>
      <c r="E273">
        <v>3</v>
      </c>
      <c r="F273">
        <v>3</v>
      </c>
      <c r="G273">
        <v>3</v>
      </c>
      <c r="H273">
        <v>6</v>
      </c>
      <c r="I273">
        <v>83</v>
      </c>
      <c r="J273">
        <v>27</v>
      </c>
      <c r="K273">
        <v>18</v>
      </c>
      <c r="L273">
        <v>41</v>
      </c>
      <c r="M273">
        <v>94</v>
      </c>
      <c r="N273">
        <f t="shared" si="12"/>
        <v>26.299999999999997</v>
      </c>
      <c r="O273" cm="1">
        <f t="array" ref="O273">SUM(_xlfn.XLOOKUP(E273:H273, $V$13:$V$17, $U$13:$U$17))</f>
        <v>22</v>
      </c>
      <c r="P273">
        <f t="shared" si="13"/>
        <v>4</v>
      </c>
      <c r="Q273" s="1">
        <f t="shared" si="14"/>
        <v>52.3</v>
      </c>
    </row>
    <row r="274" spans="1:17" x14ac:dyDescent="0.25">
      <c r="A274" s="1" t="s">
        <v>396</v>
      </c>
      <c r="B274" s="1" t="s">
        <v>397</v>
      </c>
      <c r="C274">
        <v>5</v>
      </c>
      <c r="D274">
        <v>5</v>
      </c>
      <c r="E274">
        <v>5</v>
      </c>
      <c r="F274">
        <v>2</v>
      </c>
      <c r="G274">
        <v>4</v>
      </c>
      <c r="H274">
        <v>5</v>
      </c>
      <c r="I274">
        <v>35</v>
      </c>
      <c r="J274">
        <v>16</v>
      </c>
      <c r="K274">
        <v>94</v>
      </c>
      <c r="L274">
        <v>87</v>
      </c>
      <c r="M274">
        <v>38</v>
      </c>
      <c r="N274">
        <f t="shared" si="12"/>
        <v>27</v>
      </c>
      <c r="O274" cm="1">
        <f t="array" ref="O274">SUM(_xlfn.XLOOKUP(E274:H274, $V$13:$V$17, $U$13:$U$17))</f>
        <v>22</v>
      </c>
      <c r="P274">
        <f t="shared" si="13"/>
        <v>5</v>
      </c>
      <c r="Q274" s="1">
        <f t="shared" si="14"/>
        <v>54</v>
      </c>
    </row>
    <row r="275" spans="1:17" x14ac:dyDescent="0.25">
      <c r="A275" s="1" t="s">
        <v>398</v>
      </c>
      <c r="B275" s="1" t="s">
        <v>399</v>
      </c>
      <c r="C275">
        <v>0</v>
      </c>
      <c r="D275">
        <v>5</v>
      </c>
      <c r="E275">
        <v>3</v>
      </c>
      <c r="F275">
        <v>3</v>
      </c>
      <c r="G275">
        <v>2</v>
      </c>
      <c r="H275">
        <v>2</v>
      </c>
      <c r="I275">
        <v>92</v>
      </c>
      <c r="J275">
        <v>79</v>
      </c>
      <c r="K275">
        <v>94</v>
      </c>
      <c r="L275">
        <v>42</v>
      </c>
      <c r="M275">
        <v>95</v>
      </c>
      <c r="N275">
        <f t="shared" si="12"/>
        <v>40.200000000000003</v>
      </c>
      <c r="O275" cm="1">
        <f t="array" ref="O275">SUM(_xlfn.XLOOKUP(E275:H275, $V$13:$V$17, $U$13:$U$17))</f>
        <v>8</v>
      </c>
      <c r="P275">
        <f t="shared" si="13"/>
        <v>0</v>
      </c>
      <c r="Q275" s="1">
        <f t="shared" si="14"/>
        <v>48.2</v>
      </c>
    </row>
    <row r="276" spans="1:17" x14ac:dyDescent="0.25">
      <c r="A276" s="1" t="s">
        <v>75</v>
      </c>
      <c r="B276" s="1" t="s">
        <v>76</v>
      </c>
      <c r="C276">
        <v>5</v>
      </c>
      <c r="D276">
        <v>3</v>
      </c>
      <c r="E276">
        <v>5</v>
      </c>
      <c r="F276">
        <v>3</v>
      </c>
      <c r="G276">
        <v>6</v>
      </c>
      <c r="H276">
        <v>6</v>
      </c>
      <c r="I276">
        <v>82</v>
      </c>
      <c r="J276">
        <v>7</v>
      </c>
      <c r="K276">
        <v>24</v>
      </c>
      <c r="L276">
        <v>80</v>
      </c>
      <c r="M276">
        <v>33</v>
      </c>
      <c r="N276">
        <f t="shared" si="12"/>
        <v>22.599999999999998</v>
      </c>
      <c r="O276" cm="1">
        <f t="array" ref="O276">SUM(_xlfn.XLOOKUP(E276:H276, $V$13:$V$17, $U$13:$U$17))</f>
        <v>32</v>
      </c>
      <c r="P276">
        <f t="shared" si="13"/>
        <v>5</v>
      </c>
      <c r="Q276" s="1">
        <f t="shared" si="14"/>
        <v>59.599999999999994</v>
      </c>
    </row>
    <row r="277" spans="1:17" x14ac:dyDescent="0.25">
      <c r="A277" s="1" t="s">
        <v>400</v>
      </c>
      <c r="B277" s="1" t="s">
        <v>101</v>
      </c>
      <c r="C277">
        <v>6</v>
      </c>
      <c r="D277">
        <v>4</v>
      </c>
      <c r="E277">
        <v>6</v>
      </c>
      <c r="F277">
        <v>6</v>
      </c>
      <c r="G277">
        <v>4</v>
      </c>
      <c r="H277">
        <v>4</v>
      </c>
      <c r="I277">
        <v>94</v>
      </c>
      <c r="J277">
        <v>44</v>
      </c>
      <c r="K277">
        <v>96</v>
      </c>
      <c r="L277">
        <v>9</v>
      </c>
      <c r="M277">
        <v>97</v>
      </c>
      <c r="N277">
        <f t="shared" si="12"/>
        <v>34</v>
      </c>
      <c r="O277" cm="1">
        <f t="array" ref="O277">SUM(_xlfn.XLOOKUP(E277:H277, $V$13:$V$17, $U$13:$U$17))</f>
        <v>32</v>
      </c>
      <c r="P277">
        <f t="shared" si="13"/>
        <v>6</v>
      </c>
      <c r="Q277" s="1">
        <f t="shared" si="14"/>
        <v>72</v>
      </c>
    </row>
    <row r="278" spans="1:17" x14ac:dyDescent="0.25">
      <c r="A278" s="1" t="s">
        <v>401</v>
      </c>
      <c r="B278" s="1" t="s">
        <v>402</v>
      </c>
      <c r="C278">
        <v>3</v>
      </c>
      <c r="D278">
        <v>5</v>
      </c>
      <c r="E278">
        <v>3</v>
      </c>
      <c r="F278">
        <v>6</v>
      </c>
      <c r="G278">
        <v>4</v>
      </c>
      <c r="H278">
        <v>2</v>
      </c>
      <c r="I278">
        <v>32</v>
      </c>
      <c r="J278">
        <v>50</v>
      </c>
      <c r="K278">
        <v>94</v>
      </c>
      <c r="L278">
        <v>52</v>
      </c>
      <c r="M278">
        <v>100</v>
      </c>
      <c r="N278">
        <f t="shared" si="12"/>
        <v>32.799999999999997</v>
      </c>
      <c r="O278" cm="1">
        <f t="array" ref="O278">SUM(_xlfn.XLOOKUP(E278:H278, $V$13:$V$17, $U$13:$U$17))</f>
        <v>20</v>
      </c>
      <c r="P278">
        <f t="shared" si="13"/>
        <v>3</v>
      </c>
      <c r="Q278" s="1">
        <f t="shared" si="14"/>
        <v>55.8</v>
      </c>
    </row>
    <row r="279" spans="1:17" x14ac:dyDescent="0.25">
      <c r="A279" s="1" t="s">
        <v>403</v>
      </c>
      <c r="B279" s="1" t="s">
        <v>64</v>
      </c>
      <c r="C279">
        <v>3</v>
      </c>
      <c r="D279">
        <v>2</v>
      </c>
      <c r="E279">
        <v>3</v>
      </c>
      <c r="F279">
        <v>5</v>
      </c>
      <c r="G279">
        <v>3</v>
      </c>
      <c r="H279">
        <v>6</v>
      </c>
      <c r="I279">
        <v>84</v>
      </c>
      <c r="J279">
        <v>53</v>
      </c>
      <c r="K279">
        <v>73</v>
      </c>
      <c r="L279">
        <v>7</v>
      </c>
      <c r="M279">
        <v>3</v>
      </c>
      <c r="N279">
        <f t="shared" si="12"/>
        <v>22</v>
      </c>
      <c r="O279" cm="1">
        <f t="array" ref="O279">SUM(_xlfn.XLOOKUP(E279:H279, $V$13:$V$17, $U$13:$U$17))</f>
        <v>26</v>
      </c>
      <c r="P279">
        <f t="shared" si="13"/>
        <v>3</v>
      </c>
      <c r="Q279" s="1">
        <f t="shared" si="14"/>
        <v>51</v>
      </c>
    </row>
    <row r="280" spans="1:17" x14ac:dyDescent="0.25">
      <c r="A280" s="1" t="s">
        <v>404</v>
      </c>
      <c r="B280" s="1" t="s">
        <v>397</v>
      </c>
      <c r="C280">
        <v>2</v>
      </c>
      <c r="D280">
        <v>2</v>
      </c>
      <c r="E280">
        <v>5</v>
      </c>
      <c r="F280">
        <v>5</v>
      </c>
      <c r="G280">
        <v>5</v>
      </c>
      <c r="H280">
        <v>4</v>
      </c>
      <c r="I280">
        <v>88</v>
      </c>
      <c r="J280">
        <v>37</v>
      </c>
      <c r="K280">
        <v>50</v>
      </c>
      <c r="L280">
        <v>19</v>
      </c>
      <c r="M280">
        <v>28</v>
      </c>
      <c r="N280">
        <f t="shared" si="12"/>
        <v>22.2</v>
      </c>
      <c r="O280" cm="1">
        <f t="array" ref="O280">SUM(_xlfn.XLOOKUP(E280:H280, $V$13:$V$17, $U$13:$U$17))</f>
        <v>30</v>
      </c>
      <c r="P280">
        <f t="shared" si="13"/>
        <v>2</v>
      </c>
      <c r="Q280" s="1">
        <f t="shared" si="14"/>
        <v>54.2</v>
      </c>
    </row>
    <row r="281" spans="1:17" x14ac:dyDescent="0.25">
      <c r="A281" s="1" t="s">
        <v>405</v>
      </c>
      <c r="B281" s="1" t="s">
        <v>197</v>
      </c>
      <c r="C281">
        <v>7</v>
      </c>
      <c r="D281">
        <v>2</v>
      </c>
      <c r="E281">
        <v>3</v>
      </c>
      <c r="F281">
        <v>5</v>
      </c>
      <c r="G281">
        <v>5</v>
      </c>
      <c r="H281">
        <v>2</v>
      </c>
      <c r="I281">
        <v>26</v>
      </c>
      <c r="J281">
        <v>30</v>
      </c>
      <c r="K281">
        <v>96</v>
      </c>
      <c r="L281">
        <v>59</v>
      </c>
      <c r="M281">
        <v>28</v>
      </c>
      <c r="N281">
        <f t="shared" si="12"/>
        <v>23.900000000000002</v>
      </c>
      <c r="O281" cm="1">
        <f t="array" ref="O281">SUM(_xlfn.XLOOKUP(E281:H281, $V$13:$V$17, $U$13:$U$17))</f>
        <v>20</v>
      </c>
      <c r="P281">
        <f t="shared" si="13"/>
        <v>7</v>
      </c>
      <c r="Q281" s="1">
        <f t="shared" si="14"/>
        <v>50.900000000000006</v>
      </c>
    </row>
    <row r="282" spans="1:17" x14ac:dyDescent="0.25">
      <c r="A282" s="1" t="s">
        <v>406</v>
      </c>
      <c r="B282" s="1" t="s">
        <v>38</v>
      </c>
      <c r="C282">
        <v>0</v>
      </c>
      <c r="D282">
        <v>5</v>
      </c>
      <c r="E282">
        <v>6</v>
      </c>
      <c r="F282">
        <v>2</v>
      </c>
      <c r="G282">
        <v>2</v>
      </c>
      <c r="H282">
        <v>3</v>
      </c>
      <c r="I282">
        <v>50</v>
      </c>
      <c r="J282">
        <v>5</v>
      </c>
      <c r="K282">
        <v>14</v>
      </c>
      <c r="L282">
        <v>44</v>
      </c>
      <c r="M282">
        <v>45</v>
      </c>
      <c r="N282">
        <f t="shared" si="12"/>
        <v>15.8</v>
      </c>
      <c r="O282" cm="1">
        <f t="array" ref="O282">SUM(_xlfn.XLOOKUP(E282:H282, $V$13:$V$17, $U$13:$U$17))</f>
        <v>14</v>
      </c>
      <c r="P282">
        <f t="shared" si="13"/>
        <v>0</v>
      </c>
      <c r="Q282" s="1">
        <f t="shared" si="14"/>
        <v>29.8</v>
      </c>
    </row>
    <row r="283" spans="1:17" x14ac:dyDescent="0.25">
      <c r="A283" s="1" t="s">
        <v>407</v>
      </c>
      <c r="B283" s="1" t="s">
        <v>395</v>
      </c>
      <c r="C283">
        <v>5</v>
      </c>
      <c r="D283">
        <v>5</v>
      </c>
      <c r="E283">
        <v>5</v>
      </c>
      <c r="F283">
        <v>4</v>
      </c>
      <c r="G283">
        <v>6</v>
      </c>
      <c r="H283">
        <v>5</v>
      </c>
      <c r="I283">
        <v>73</v>
      </c>
      <c r="J283">
        <v>49</v>
      </c>
      <c r="K283">
        <v>54</v>
      </c>
      <c r="L283">
        <v>67</v>
      </c>
      <c r="M283">
        <v>5</v>
      </c>
      <c r="N283">
        <f t="shared" si="12"/>
        <v>24.8</v>
      </c>
      <c r="O283" cm="1">
        <f t="array" ref="O283">SUM(_xlfn.XLOOKUP(E283:H283, $V$13:$V$17, $U$13:$U$17))</f>
        <v>32</v>
      </c>
      <c r="P283">
        <f t="shared" si="13"/>
        <v>5</v>
      </c>
      <c r="Q283" s="1">
        <f t="shared" si="14"/>
        <v>61.8</v>
      </c>
    </row>
    <row r="284" spans="1:17" x14ac:dyDescent="0.25">
      <c r="A284" s="1" t="s">
        <v>408</v>
      </c>
      <c r="B284" s="1" t="s">
        <v>316</v>
      </c>
      <c r="C284">
        <v>2</v>
      </c>
      <c r="D284">
        <v>3</v>
      </c>
      <c r="E284">
        <v>4</v>
      </c>
      <c r="F284">
        <v>2</v>
      </c>
      <c r="G284">
        <v>5</v>
      </c>
      <c r="H284">
        <v>6</v>
      </c>
      <c r="I284">
        <v>100</v>
      </c>
      <c r="J284">
        <v>13</v>
      </c>
      <c r="K284">
        <v>93</v>
      </c>
      <c r="L284">
        <v>32</v>
      </c>
      <c r="M284">
        <v>23</v>
      </c>
      <c r="N284">
        <f t="shared" si="12"/>
        <v>26.1</v>
      </c>
      <c r="O284" cm="1">
        <f t="array" ref="O284">SUM(_xlfn.XLOOKUP(E284:H284, $V$13:$V$17, $U$13:$U$17))</f>
        <v>24</v>
      </c>
      <c r="P284">
        <f t="shared" si="13"/>
        <v>2</v>
      </c>
      <c r="Q284" s="1">
        <f t="shared" si="14"/>
        <v>52.1</v>
      </c>
    </row>
    <row r="285" spans="1:17" x14ac:dyDescent="0.25">
      <c r="A285" s="1" t="s">
        <v>408</v>
      </c>
      <c r="B285" s="1" t="s">
        <v>409</v>
      </c>
      <c r="C285">
        <v>6</v>
      </c>
      <c r="D285">
        <v>4</v>
      </c>
      <c r="E285">
        <v>4</v>
      </c>
      <c r="F285">
        <v>3</v>
      </c>
      <c r="G285">
        <v>2</v>
      </c>
      <c r="H285">
        <v>5</v>
      </c>
      <c r="I285">
        <v>52</v>
      </c>
      <c r="J285">
        <v>46</v>
      </c>
      <c r="K285">
        <v>54</v>
      </c>
      <c r="L285">
        <v>22</v>
      </c>
      <c r="M285">
        <v>42</v>
      </c>
      <c r="N285">
        <f t="shared" si="12"/>
        <v>21.6</v>
      </c>
      <c r="O285" cm="1">
        <f t="array" ref="O285">SUM(_xlfn.XLOOKUP(E285:H285, $V$13:$V$17, $U$13:$U$17))</f>
        <v>18</v>
      </c>
      <c r="P285">
        <f t="shared" si="13"/>
        <v>6</v>
      </c>
      <c r="Q285" s="1">
        <f t="shared" si="14"/>
        <v>45.6</v>
      </c>
    </row>
    <row r="286" spans="1:17" x14ac:dyDescent="0.25">
      <c r="A286" s="1" t="s">
        <v>410</v>
      </c>
      <c r="B286" s="1" t="s">
        <v>70</v>
      </c>
      <c r="C286">
        <v>2</v>
      </c>
      <c r="D286">
        <v>5</v>
      </c>
      <c r="E286">
        <v>6</v>
      </c>
      <c r="F286">
        <v>4</v>
      </c>
      <c r="G286">
        <v>6</v>
      </c>
      <c r="H286">
        <v>3</v>
      </c>
      <c r="I286">
        <v>88</v>
      </c>
      <c r="J286">
        <v>14</v>
      </c>
      <c r="K286">
        <v>98</v>
      </c>
      <c r="L286">
        <v>46</v>
      </c>
      <c r="M286">
        <v>66</v>
      </c>
      <c r="N286">
        <f t="shared" si="12"/>
        <v>31.200000000000003</v>
      </c>
      <c r="O286" cm="1">
        <f t="array" ref="O286">SUM(_xlfn.XLOOKUP(E286:H286, $V$13:$V$17, $U$13:$U$17))</f>
        <v>30</v>
      </c>
      <c r="P286">
        <f t="shared" si="13"/>
        <v>2</v>
      </c>
      <c r="Q286" s="1">
        <f t="shared" si="14"/>
        <v>63.2</v>
      </c>
    </row>
    <row r="287" spans="1:17" x14ac:dyDescent="0.25">
      <c r="A287" s="1" t="s">
        <v>411</v>
      </c>
      <c r="B287" s="1" t="s">
        <v>412</v>
      </c>
      <c r="C287">
        <v>3</v>
      </c>
      <c r="D287">
        <v>2</v>
      </c>
      <c r="E287">
        <v>4</v>
      </c>
      <c r="F287">
        <v>2</v>
      </c>
      <c r="G287">
        <v>6</v>
      </c>
      <c r="H287">
        <v>6</v>
      </c>
      <c r="I287">
        <v>85</v>
      </c>
      <c r="J287">
        <v>91</v>
      </c>
      <c r="K287">
        <v>9</v>
      </c>
      <c r="L287">
        <v>9</v>
      </c>
      <c r="M287">
        <v>53</v>
      </c>
      <c r="N287">
        <f t="shared" si="12"/>
        <v>24.7</v>
      </c>
      <c r="O287" cm="1">
        <f t="array" ref="O287">SUM(_xlfn.XLOOKUP(E287:H287, $V$13:$V$17, $U$13:$U$17))</f>
        <v>26</v>
      </c>
      <c r="P287">
        <f t="shared" si="13"/>
        <v>3</v>
      </c>
      <c r="Q287" s="1">
        <f t="shared" si="14"/>
        <v>53.7</v>
      </c>
    </row>
    <row r="288" spans="1:17" x14ac:dyDescent="0.25">
      <c r="A288" s="1" t="s">
        <v>413</v>
      </c>
      <c r="B288" s="1" t="s">
        <v>414</v>
      </c>
      <c r="C288">
        <v>3</v>
      </c>
      <c r="D288">
        <v>4</v>
      </c>
      <c r="E288">
        <v>4</v>
      </c>
      <c r="F288">
        <v>4</v>
      </c>
      <c r="G288">
        <v>3</v>
      </c>
      <c r="H288">
        <v>3</v>
      </c>
      <c r="I288">
        <v>93</v>
      </c>
      <c r="J288">
        <v>12</v>
      </c>
      <c r="K288">
        <v>63</v>
      </c>
      <c r="L288">
        <v>3</v>
      </c>
      <c r="M288">
        <v>60</v>
      </c>
      <c r="N288">
        <f t="shared" si="12"/>
        <v>23.1</v>
      </c>
      <c r="O288" cm="1">
        <f t="array" ref="O288">SUM(_xlfn.XLOOKUP(E288:H288, $V$13:$V$17, $U$13:$U$17))</f>
        <v>20</v>
      </c>
      <c r="P288">
        <f t="shared" si="13"/>
        <v>3</v>
      </c>
      <c r="Q288" s="1">
        <f t="shared" si="14"/>
        <v>46.1</v>
      </c>
    </row>
    <row r="289" spans="1:17" x14ac:dyDescent="0.25">
      <c r="A289" s="1" t="s">
        <v>40</v>
      </c>
      <c r="B289" s="1" t="s">
        <v>43</v>
      </c>
      <c r="C289">
        <v>0</v>
      </c>
      <c r="D289">
        <v>6</v>
      </c>
      <c r="E289">
        <v>3</v>
      </c>
      <c r="F289">
        <v>5</v>
      </c>
      <c r="G289">
        <v>6</v>
      </c>
      <c r="H289">
        <v>3</v>
      </c>
      <c r="I289">
        <v>67</v>
      </c>
      <c r="J289">
        <v>66</v>
      </c>
      <c r="K289">
        <v>56</v>
      </c>
      <c r="L289">
        <v>41</v>
      </c>
      <c r="M289">
        <v>26</v>
      </c>
      <c r="N289">
        <f t="shared" si="12"/>
        <v>25.6</v>
      </c>
      <c r="O289" cm="1">
        <f t="array" ref="O289">SUM(_xlfn.XLOOKUP(E289:H289, $V$13:$V$17, $U$13:$U$17))</f>
        <v>26</v>
      </c>
      <c r="P289">
        <f t="shared" si="13"/>
        <v>2</v>
      </c>
      <c r="Q289" s="1">
        <f t="shared" si="14"/>
        <v>53.6</v>
      </c>
    </row>
    <row r="290" spans="1:17" x14ac:dyDescent="0.25">
      <c r="A290" s="1" t="s">
        <v>415</v>
      </c>
      <c r="B290" s="1" t="s">
        <v>416</v>
      </c>
      <c r="C290">
        <v>4</v>
      </c>
      <c r="D290">
        <v>5</v>
      </c>
      <c r="E290">
        <v>6</v>
      </c>
      <c r="F290">
        <v>5</v>
      </c>
      <c r="G290">
        <v>2</v>
      </c>
      <c r="H290">
        <v>4</v>
      </c>
      <c r="I290">
        <v>65</v>
      </c>
      <c r="J290">
        <v>75</v>
      </c>
      <c r="K290">
        <v>95</v>
      </c>
      <c r="L290">
        <v>100</v>
      </c>
      <c r="M290">
        <v>89</v>
      </c>
      <c r="N290">
        <f t="shared" si="12"/>
        <v>42.4</v>
      </c>
      <c r="O290" cm="1">
        <f t="array" ref="O290">SUM(_xlfn.XLOOKUP(E290:H290, $V$13:$V$17, $U$13:$U$17))</f>
        <v>24</v>
      </c>
      <c r="P290">
        <f t="shared" si="13"/>
        <v>4</v>
      </c>
      <c r="Q290" s="1">
        <f t="shared" si="14"/>
        <v>70.400000000000006</v>
      </c>
    </row>
    <row r="291" spans="1:17" x14ac:dyDescent="0.25">
      <c r="A291" s="1" t="s">
        <v>417</v>
      </c>
      <c r="B291" s="1" t="s">
        <v>110</v>
      </c>
      <c r="C291">
        <v>1</v>
      </c>
      <c r="D291">
        <v>3</v>
      </c>
      <c r="E291">
        <v>5</v>
      </c>
      <c r="F291">
        <v>2</v>
      </c>
      <c r="G291">
        <v>2</v>
      </c>
      <c r="H291">
        <v>5</v>
      </c>
      <c r="I291">
        <v>45</v>
      </c>
      <c r="J291">
        <v>30</v>
      </c>
      <c r="K291">
        <v>64</v>
      </c>
      <c r="L291">
        <v>95</v>
      </c>
      <c r="M291">
        <v>83</v>
      </c>
      <c r="N291">
        <f t="shared" si="12"/>
        <v>31.7</v>
      </c>
      <c r="O291" cm="1">
        <f t="array" ref="O291">SUM(_xlfn.XLOOKUP(E291:H291, $V$13:$V$17, $U$13:$U$17))</f>
        <v>16</v>
      </c>
      <c r="P291">
        <f t="shared" si="13"/>
        <v>1</v>
      </c>
      <c r="Q291" s="1">
        <f t="shared" si="14"/>
        <v>48.7</v>
      </c>
    </row>
    <row r="292" spans="1:17" x14ac:dyDescent="0.25">
      <c r="A292" s="1" t="s">
        <v>418</v>
      </c>
      <c r="B292" s="1" t="s">
        <v>171</v>
      </c>
      <c r="C292">
        <v>4</v>
      </c>
      <c r="D292">
        <v>6</v>
      </c>
      <c r="E292">
        <v>4</v>
      </c>
      <c r="F292">
        <v>2</v>
      </c>
      <c r="G292">
        <v>3</v>
      </c>
      <c r="H292">
        <v>5</v>
      </c>
      <c r="I292">
        <v>40</v>
      </c>
      <c r="J292">
        <v>80</v>
      </c>
      <c r="K292">
        <v>8</v>
      </c>
      <c r="L292">
        <v>99</v>
      </c>
      <c r="M292">
        <v>20</v>
      </c>
      <c r="N292">
        <f t="shared" si="12"/>
        <v>24.700000000000003</v>
      </c>
      <c r="O292" cm="1">
        <f t="array" ref="O292">SUM(_xlfn.XLOOKUP(E292:H292, $V$13:$V$17, $U$13:$U$17))</f>
        <v>18</v>
      </c>
      <c r="P292">
        <f t="shared" si="13"/>
        <v>6</v>
      </c>
      <c r="Q292" s="1">
        <f t="shared" si="14"/>
        <v>48.7</v>
      </c>
    </row>
    <row r="293" spans="1:17" x14ac:dyDescent="0.25">
      <c r="A293" s="1" t="s">
        <v>419</v>
      </c>
      <c r="B293" s="1" t="s">
        <v>260</v>
      </c>
      <c r="C293">
        <v>6</v>
      </c>
      <c r="D293">
        <v>3</v>
      </c>
      <c r="E293">
        <v>6</v>
      </c>
      <c r="F293">
        <v>2</v>
      </c>
      <c r="G293">
        <v>4</v>
      </c>
      <c r="H293">
        <v>6</v>
      </c>
      <c r="I293">
        <v>47</v>
      </c>
      <c r="J293">
        <v>54</v>
      </c>
      <c r="K293">
        <v>40</v>
      </c>
      <c r="L293">
        <v>83</v>
      </c>
      <c r="M293">
        <v>16</v>
      </c>
      <c r="N293">
        <f t="shared" si="12"/>
        <v>24.000000000000004</v>
      </c>
      <c r="O293" cm="1">
        <f t="array" ref="O293">SUM(_xlfn.XLOOKUP(E293:H293, $V$13:$V$17, $U$13:$U$17))</f>
        <v>26</v>
      </c>
      <c r="P293">
        <f t="shared" si="13"/>
        <v>6</v>
      </c>
      <c r="Q293" s="1">
        <f t="shared" si="14"/>
        <v>56</v>
      </c>
    </row>
    <row r="294" spans="1:17" x14ac:dyDescent="0.25">
      <c r="A294" s="1" t="s">
        <v>420</v>
      </c>
      <c r="B294" s="1" t="s">
        <v>188</v>
      </c>
      <c r="C294">
        <v>3</v>
      </c>
      <c r="D294">
        <v>2</v>
      </c>
      <c r="E294">
        <v>4</v>
      </c>
      <c r="F294">
        <v>5</v>
      </c>
      <c r="G294">
        <v>4</v>
      </c>
      <c r="H294">
        <v>6</v>
      </c>
      <c r="I294">
        <v>99</v>
      </c>
      <c r="J294">
        <v>60</v>
      </c>
      <c r="K294">
        <v>96</v>
      </c>
      <c r="L294">
        <v>89</v>
      </c>
      <c r="M294">
        <v>29</v>
      </c>
      <c r="N294">
        <f t="shared" si="12"/>
        <v>37.299999999999997</v>
      </c>
      <c r="O294" cm="1">
        <f t="array" ref="O294">SUM(_xlfn.XLOOKUP(E294:H294, $V$13:$V$17, $U$13:$U$17))</f>
        <v>30</v>
      </c>
      <c r="P294">
        <f t="shared" si="13"/>
        <v>3</v>
      </c>
      <c r="Q294" s="1">
        <f t="shared" si="14"/>
        <v>70.3</v>
      </c>
    </row>
    <row r="295" spans="1:17" x14ac:dyDescent="0.25">
      <c r="A295" s="1" t="s">
        <v>421</v>
      </c>
      <c r="B295" s="1" t="s">
        <v>249</v>
      </c>
      <c r="C295">
        <v>8</v>
      </c>
      <c r="D295">
        <v>2</v>
      </c>
      <c r="E295">
        <v>2</v>
      </c>
      <c r="F295">
        <v>4</v>
      </c>
      <c r="G295">
        <v>3</v>
      </c>
      <c r="H295">
        <v>5</v>
      </c>
      <c r="I295">
        <v>83</v>
      </c>
      <c r="J295">
        <v>29</v>
      </c>
      <c r="K295">
        <v>91</v>
      </c>
      <c r="L295">
        <v>26</v>
      </c>
      <c r="M295">
        <v>21</v>
      </c>
      <c r="N295">
        <f t="shared" si="12"/>
        <v>25.000000000000004</v>
      </c>
      <c r="O295" cm="1">
        <f t="array" ref="O295">SUM(_xlfn.XLOOKUP(E295:H295, $V$13:$V$17, $U$13:$U$17))</f>
        <v>18</v>
      </c>
      <c r="P295">
        <f t="shared" si="13"/>
        <v>8</v>
      </c>
      <c r="Q295" s="1">
        <f t="shared" si="14"/>
        <v>51</v>
      </c>
    </row>
    <row r="296" spans="1:17" x14ac:dyDescent="0.25">
      <c r="A296" s="1" t="s">
        <v>422</v>
      </c>
      <c r="B296" s="1" t="s">
        <v>340</v>
      </c>
      <c r="C296">
        <v>0</v>
      </c>
      <c r="D296">
        <v>4</v>
      </c>
      <c r="E296">
        <v>3</v>
      </c>
      <c r="F296">
        <v>6</v>
      </c>
      <c r="G296">
        <v>5</v>
      </c>
      <c r="H296">
        <v>5</v>
      </c>
      <c r="I296">
        <v>5</v>
      </c>
      <c r="J296">
        <v>26</v>
      </c>
      <c r="K296">
        <v>6</v>
      </c>
      <c r="L296">
        <v>82</v>
      </c>
      <c r="M296">
        <v>94</v>
      </c>
      <c r="N296">
        <f t="shared" si="12"/>
        <v>21.299999999999997</v>
      </c>
      <c r="O296" cm="1">
        <f t="array" ref="O296">SUM(_xlfn.XLOOKUP(E296:H296, $V$13:$V$17, $U$13:$U$17))</f>
        <v>30</v>
      </c>
      <c r="P296">
        <f t="shared" si="13"/>
        <v>0</v>
      </c>
      <c r="Q296" s="1">
        <f t="shared" si="14"/>
        <v>51.3</v>
      </c>
    </row>
    <row r="297" spans="1:17" x14ac:dyDescent="0.25">
      <c r="A297" s="1" t="s">
        <v>423</v>
      </c>
      <c r="B297" s="1" t="s">
        <v>76</v>
      </c>
      <c r="C297">
        <v>5</v>
      </c>
      <c r="D297">
        <v>3</v>
      </c>
      <c r="E297">
        <v>3</v>
      </c>
      <c r="F297">
        <v>3</v>
      </c>
      <c r="G297">
        <v>4</v>
      </c>
      <c r="H297">
        <v>3</v>
      </c>
      <c r="I297">
        <v>97</v>
      </c>
      <c r="J297">
        <v>83</v>
      </c>
      <c r="K297">
        <v>27</v>
      </c>
      <c r="L297">
        <v>61</v>
      </c>
      <c r="M297">
        <v>34</v>
      </c>
      <c r="N297">
        <f t="shared" si="12"/>
        <v>30.199999999999996</v>
      </c>
      <c r="O297" cm="1">
        <f t="array" ref="O297">SUM(_xlfn.XLOOKUP(E297:H297, $V$13:$V$17, $U$13:$U$17))</f>
        <v>18</v>
      </c>
      <c r="P297">
        <f t="shared" si="13"/>
        <v>5</v>
      </c>
      <c r="Q297" s="1">
        <f t="shared" si="14"/>
        <v>53.199999999999996</v>
      </c>
    </row>
    <row r="298" spans="1:17" x14ac:dyDescent="0.25">
      <c r="A298" s="1" t="s">
        <v>424</v>
      </c>
      <c r="B298" s="1" t="s">
        <v>425</v>
      </c>
      <c r="C298">
        <v>8</v>
      </c>
      <c r="D298">
        <v>5</v>
      </c>
      <c r="E298">
        <v>4</v>
      </c>
      <c r="F298">
        <v>6</v>
      </c>
      <c r="G298">
        <v>6</v>
      </c>
      <c r="H298">
        <v>5</v>
      </c>
      <c r="I298">
        <v>37</v>
      </c>
      <c r="J298">
        <v>52</v>
      </c>
      <c r="K298">
        <v>6</v>
      </c>
      <c r="L298">
        <v>34</v>
      </c>
      <c r="M298">
        <v>84</v>
      </c>
      <c r="N298">
        <f t="shared" si="12"/>
        <v>21.3</v>
      </c>
      <c r="O298" cm="1">
        <f t="array" ref="O298">SUM(_xlfn.XLOOKUP(E298:H298, $V$13:$V$17, $U$13:$U$17))</f>
        <v>34</v>
      </c>
      <c r="P298">
        <f t="shared" si="13"/>
        <v>8</v>
      </c>
      <c r="Q298" s="1">
        <f t="shared" si="14"/>
        <v>63.3</v>
      </c>
    </row>
    <row r="299" spans="1:17" x14ac:dyDescent="0.25">
      <c r="A299" s="1" t="s">
        <v>426</v>
      </c>
      <c r="B299" s="1" t="s">
        <v>427</v>
      </c>
      <c r="C299">
        <v>5</v>
      </c>
      <c r="D299">
        <v>2</v>
      </c>
      <c r="E299">
        <v>5</v>
      </c>
      <c r="F299">
        <v>3</v>
      </c>
      <c r="G299">
        <v>5</v>
      </c>
      <c r="H299">
        <v>5</v>
      </c>
      <c r="I299">
        <v>30</v>
      </c>
      <c r="J299">
        <v>42</v>
      </c>
      <c r="K299">
        <v>80</v>
      </c>
      <c r="L299">
        <v>74</v>
      </c>
      <c r="M299">
        <v>75</v>
      </c>
      <c r="N299">
        <f t="shared" si="12"/>
        <v>30.1</v>
      </c>
      <c r="O299" cm="1">
        <f t="array" ref="O299">SUM(_xlfn.XLOOKUP(E299:H299, $V$13:$V$17, $U$13:$U$17))</f>
        <v>28</v>
      </c>
      <c r="P299">
        <f t="shared" si="13"/>
        <v>5</v>
      </c>
      <c r="Q299" s="1">
        <f t="shared" si="14"/>
        <v>63.1</v>
      </c>
    </row>
    <row r="300" spans="1:17" x14ac:dyDescent="0.25">
      <c r="A300" s="1" t="s">
        <v>428</v>
      </c>
      <c r="B300" s="1" t="s">
        <v>429</v>
      </c>
      <c r="C300">
        <v>3</v>
      </c>
      <c r="D300">
        <v>2</v>
      </c>
      <c r="E300">
        <v>5</v>
      </c>
      <c r="F300">
        <v>5</v>
      </c>
      <c r="G300">
        <v>2</v>
      </c>
      <c r="H300">
        <v>2</v>
      </c>
      <c r="I300">
        <v>81</v>
      </c>
      <c r="J300">
        <v>88</v>
      </c>
      <c r="K300">
        <v>99</v>
      </c>
      <c r="L300">
        <v>75</v>
      </c>
      <c r="M300">
        <v>60</v>
      </c>
      <c r="N300">
        <f t="shared" si="12"/>
        <v>40.299999999999997</v>
      </c>
      <c r="O300" cm="1">
        <f t="array" ref="O300">SUM(_xlfn.XLOOKUP(E300:H300, $V$13:$V$17, $U$13:$U$17))</f>
        <v>16</v>
      </c>
      <c r="P300">
        <f t="shared" si="13"/>
        <v>3</v>
      </c>
      <c r="Q300" s="1">
        <f t="shared" si="14"/>
        <v>59.3</v>
      </c>
    </row>
    <row r="301" spans="1:17" x14ac:dyDescent="0.25">
      <c r="A301" s="1" t="s">
        <v>428</v>
      </c>
      <c r="B301" s="1" t="s">
        <v>430</v>
      </c>
      <c r="C301">
        <v>3</v>
      </c>
      <c r="D301">
        <v>6</v>
      </c>
      <c r="E301">
        <v>2</v>
      </c>
      <c r="F301">
        <v>5</v>
      </c>
      <c r="G301">
        <v>6</v>
      </c>
      <c r="H301">
        <v>4</v>
      </c>
      <c r="I301">
        <v>36</v>
      </c>
      <c r="J301">
        <v>63</v>
      </c>
      <c r="K301">
        <v>40</v>
      </c>
      <c r="L301">
        <v>82</v>
      </c>
      <c r="M301">
        <v>89</v>
      </c>
      <c r="N301">
        <f t="shared" si="12"/>
        <v>31</v>
      </c>
      <c r="O301" cm="1">
        <f t="array" ref="O301">SUM(_xlfn.XLOOKUP(E301:H301, $V$13:$V$17, $U$13:$U$17))</f>
        <v>24</v>
      </c>
      <c r="P301">
        <f t="shared" si="13"/>
        <v>5</v>
      </c>
      <c r="Q301" s="1">
        <f t="shared" si="14"/>
        <v>60</v>
      </c>
    </row>
    <row r="302" spans="1:17" x14ac:dyDescent="0.25">
      <c r="A302" s="1" t="s">
        <v>431</v>
      </c>
      <c r="B302" s="1" t="s">
        <v>242</v>
      </c>
      <c r="C302">
        <v>0</v>
      </c>
      <c r="D302">
        <v>6</v>
      </c>
      <c r="E302">
        <v>3</v>
      </c>
      <c r="F302">
        <v>2</v>
      </c>
      <c r="G302">
        <v>3</v>
      </c>
      <c r="H302">
        <v>5</v>
      </c>
      <c r="I302">
        <v>27</v>
      </c>
      <c r="J302">
        <v>62</v>
      </c>
      <c r="K302">
        <v>56</v>
      </c>
      <c r="L302">
        <v>66</v>
      </c>
      <c r="M302">
        <v>92</v>
      </c>
      <c r="N302">
        <f t="shared" si="12"/>
        <v>30.3</v>
      </c>
      <c r="O302" cm="1">
        <f t="array" ref="O302">SUM(_xlfn.XLOOKUP(E302:H302, $V$13:$V$17, $U$13:$U$17))</f>
        <v>16</v>
      </c>
      <c r="P302">
        <f t="shared" si="13"/>
        <v>2</v>
      </c>
      <c r="Q302" s="1">
        <f t="shared" si="14"/>
        <v>48.3</v>
      </c>
    </row>
    <row r="303" spans="1:17" x14ac:dyDescent="0.25">
      <c r="A303" s="1" t="s">
        <v>432</v>
      </c>
      <c r="B303" s="1" t="s">
        <v>429</v>
      </c>
      <c r="C303">
        <v>8</v>
      </c>
      <c r="D303">
        <v>5</v>
      </c>
      <c r="E303">
        <v>5</v>
      </c>
      <c r="F303">
        <v>5</v>
      </c>
      <c r="G303">
        <v>4</v>
      </c>
      <c r="H303">
        <v>6</v>
      </c>
      <c r="I303">
        <v>65</v>
      </c>
      <c r="J303">
        <v>57</v>
      </c>
      <c r="K303">
        <v>24</v>
      </c>
      <c r="L303">
        <v>97</v>
      </c>
      <c r="M303">
        <v>47</v>
      </c>
      <c r="N303">
        <f t="shared" si="12"/>
        <v>28.999999999999996</v>
      </c>
      <c r="O303" cm="1">
        <f t="array" ref="O303">SUM(_xlfn.XLOOKUP(E303:H303, $V$13:$V$17, $U$13:$U$17))</f>
        <v>32</v>
      </c>
      <c r="P303">
        <f t="shared" si="13"/>
        <v>8</v>
      </c>
      <c r="Q303" s="1">
        <f t="shared" si="14"/>
        <v>69</v>
      </c>
    </row>
    <row r="304" spans="1:17" x14ac:dyDescent="0.25">
      <c r="A304" s="1" t="s">
        <v>433</v>
      </c>
      <c r="B304" s="1" t="s">
        <v>434</v>
      </c>
      <c r="C304">
        <v>5</v>
      </c>
      <c r="D304">
        <v>2</v>
      </c>
      <c r="E304">
        <v>6</v>
      </c>
      <c r="F304">
        <v>4</v>
      </c>
      <c r="G304">
        <v>5</v>
      </c>
      <c r="H304">
        <v>6</v>
      </c>
      <c r="I304">
        <v>35</v>
      </c>
      <c r="J304">
        <v>77</v>
      </c>
      <c r="K304">
        <v>82</v>
      </c>
      <c r="L304">
        <v>42</v>
      </c>
      <c r="M304">
        <v>17</v>
      </c>
      <c r="N304">
        <f t="shared" si="12"/>
        <v>25.299999999999997</v>
      </c>
      <c r="O304" cm="1">
        <f t="array" ref="O304">SUM(_xlfn.XLOOKUP(E304:H304, $V$13:$V$17, $U$13:$U$17))</f>
        <v>34</v>
      </c>
      <c r="P304">
        <f t="shared" si="13"/>
        <v>5</v>
      </c>
      <c r="Q304" s="1">
        <f t="shared" si="14"/>
        <v>64.3</v>
      </c>
    </row>
    <row r="305" spans="1:17" x14ac:dyDescent="0.25">
      <c r="A305" s="1" t="s">
        <v>435</v>
      </c>
      <c r="B305" s="1" t="s">
        <v>436</v>
      </c>
      <c r="C305">
        <v>3</v>
      </c>
      <c r="D305">
        <v>5</v>
      </c>
      <c r="E305">
        <v>5</v>
      </c>
      <c r="F305">
        <v>2</v>
      </c>
      <c r="G305">
        <v>3</v>
      </c>
      <c r="H305">
        <v>6</v>
      </c>
      <c r="I305">
        <v>47</v>
      </c>
      <c r="J305">
        <v>52</v>
      </c>
      <c r="K305">
        <v>43</v>
      </c>
      <c r="L305">
        <v>47</v>
      </c>
      <c r="M305">
        <v>3</v>
      </c>
      <c r="N305">
        <f t="shared" si="12"/>
        <v>19.2</v>
      </c>
      <c r="O305" cm="1">
        <f t="array" ref="O305">SUM(_xlfn.XLOOKUP(E305:H305, $V$13:$V$17, $U$13:$U$17))</f>
        <v>22</v>
      </c>
      <c r="P305">
        <f t="shared" si="13"/>
        <v>3</v>
      </c>
      <c r="Q305" s="1">
        <f t="shared" si="14"/>
        <v>44.2</v>
      </c>
    </row>
    <row r="306" spans="1:17" x14ac:dyDescent="0.25">
      <c r="A306" s="1" t="s">
        <v>437</v>
      </c>
      <c r="B306" s="1" t="s">
        <v>438</v>
      </c>
      <c r="C306">
        <v>5</v>
      </c>
      <c r="D306">
        <v>2</v>
      </c>
      <c r="E306">
        <v>6</v>
      </c>
      <c r="F306">
        <v>3</v>
      </c>
      <c r="G306">
        <v>3</v>
      </c>
      <c r="H306">
        <v>5</v>
      </c>
      <c r="I306">
        <v>69</v>
      </c>
      <c r="J306">
        <v>15</v>
      </c>
      <c r="K306">
        <v>39</v>
      </c>
      <c r="L306">
        <v>69</v>
      </c>
      <c r="M306">
        <v>39</v>
      </c>
      <c r="N306">
        <f t="shared" si="12"/>
        <v>23.1</v>
      </c>
      <c r="O306" cm="1">
        <f t="array" ref="O306">SUM(_xlfn.XLOOKUP(E306:H306, $V$13:$V$17, $U$13:$U$17))</f>
        <v>26</v>
      </c>
      <c r="P306">
        <f t="shared" si="13"/>
        <v>5</v>
      </c>
      <c r="Q306" s="1">
        <f t="shared" si="14"/>
        <v>54.1</v>
      </c>
    </row>
    <row r="307" spans="1:17" x14ac:dyDescent="0.25">
      <c r="A307" s="1" t="s">
        <v>439</v>
      </c>
      <c r="B307" s="1" t="s">
        <v>395</v>
      </c>
      <c r="C307">
        <v>0</v>
      </c>
      <c r="D307">
        <v>3</v>
      </c>
      <c r="E307">
        <v>6</v>
      </c>
      <c r="F307">
        <v>4</v>
      </c>
      <c r="G307">
        <v>3</v>
      </c>
      <c r="H307">
        <v>6</v>
      </c>
      <c r="I307">
        <v>35</v>
      </c>
      <c r="J307">
        <v>41</v>
      </c>
      <c r="K307">
        <v>92</v>
      </c>
      <c r="L307">
        <v>96</v>
      </c>
      <c r="M307">
        <v>19</v>
      </c>
      <c r="N307">
        <f t="shared" si="12"/>
        <v>28.299999999999997</v>
      </c>
      <c r="O307" cm="1">
        <f t="array" ref="O307">SUM(_xlfn.XLOOKUP(E307:H307, $V$13:$V$17, $U$13:$U$17))</f>
        <v>30</v>
      </c>
      <c r="P307">
        <f t="shared" si="13"/>
        <v>0</v>
      </c>
      <c r="Q307" s="1">
        <f t="shared" si="14"/>
        <v>58.3</v>
      </c>
    </row>
    <row r="308" spans="1:17" x14ac:dyDescent="0.25">
      <c r="A308" s="1" t="s">
        <v>440</v>
      </c>
      <c r="B308" s="1" t="s">
        <v>251</v>
      </c>
      <c r="C308">
        <v>1</v>
      </c>
      <c r="D308">
        <v>6</v>
      </c>
      <c r="E308">
        <v>6</v>
      </c>
      <c r="F308">
        <v>5</v>
      </c>
      <c r="G308">
        <v>3</v>
      </c>
      <c r="H308">
        <v>6</v>
      </c>
      <c r="I308">
        <v>8</v>
      </c>
      <c r="J308">
        <v>17</v>
      </c>
      <c r="K308">
        <v>37</v>
      </c>
      <c r="L308">
        <v>10</v>
      </c>
      <c r="M308">
        <v>56</v>
      </c>
      <c r="N308">
        <f t="shared" si="12"/>
        <v>12.8</v>
      </c>
      <c r="O308" cm="1">
        <f t="array" ref="O308">SUM(_xlfn.XLOOKUP(E308:H308, $V$13:$V$17, $U$13:$U$17))</f>
        <v>32</v>
      </c>
      <c r="P308">
        <f t="shared" si="13"/>
        <v>3</v>
      </c>
      <c r="Q308" s="1">
        <f t="shared" si="14"/>
        <v>47.8</v>
      </c>
    </row>
    <row r="309" spans="1:17" x14ac:dyDescent="0.25">
      <c r="A309" s="1" t="s">
        <v>441</v>
      </c>
      <c r="B309" s="1" t="s">
        <v>177</v>
      </c>
      <c r="C309">
        <v>2</v>
      </c>
      <c r="D309">
        <v>5</v>
      </c>
      <c r="E309">
        <v>6</v>
      </c>
      <c r="F309">
        <v>2</v>
      </c>
      <c r="G309">
        <v>5</v>
      </c>
      <c r="H309">
        <v>3</v>
      </c>
      <c r="I309">
        <v>44</v>
      </c>
      <c r="J309">
        <v>32</v>
      </c>
      <c r="K309">
        <v>4</v>
      </c>
      <c r="L309">
        <v>95</v>
      </c>
      <c r="M309">
        <v>55</v>
      </c>
      <c r="N309">
        <f t="shared" si="12"/>
        <v>23</v>
      </c>
      <c r="O309" cm="1">
        <f t="array" ref="O309">SUM(_xlfn.XLOOKUP(E309:H309, $V$13:$V$17, $U$13:$U$17))</f>
        <v>22</v>
      </c>
      <c r="P309">
        <f t="shared" si="13"/>
        <v>2</v>
      </c>
      <c r="Q309" s="1">
        <f t="shared" si="14"/>
        <v>47</v>
      </c>
    </row>
    <row r="310" spans="1:17" x14ac:dyDescent="0.25">
      <c r="A310" s="1" t="s">
        <v>442</v>
      </c>
      <c r="B310" s="1" t="s">
        <v>70</v>
      </c>
      <c r="C310">
        <v>0</v>
      </c>
      <c r="D310">
        <v>6</v>
      </c>
      <c r="E310">
        <v>4</v>
      </c>
      <c r="F310">
        <v>2</v>
      </c>
      <c r="G310">
        <v>4</v>
      </c>
      <c r="H310">
        <v>5</v>
      </c>
      <c r="I310">
        <v>72</v>
      </c>
      <c r="J310">
        <v>100</v>
      </c>
      <c r="K310">
        <v>96</v>
      </c>
      <c r="L310">
        <v>5</v>
      </c>
      <c r="M310">
        <v>41</v>
      </c>
      <c r="N310">
        <f t="shared" si="12"/>
        <v>31.4</v>
      </c>
      <c r="O310" cm="1">
        <f t="array" ref="O310">SUM(_xlfn.XLOOKUP(E310:H310, $V$13:$V$17, $U$13:$U$17))</f>
        <v>20</v>
      </c>
      <c r="P310">
        <f t="shared" si="13"/>
        <v>2</v>
      </c>
      <c r="Q310" s="1">
        <f t="shared" si="14"/>
        <v>53.4</v>
      </c>
    </row>
    <row r="311" spans="1:17" x14ac:dyDescent="0.25">
      <c r="A311" s="1" t="s">
        <v>443</v>
      </c>
      <c r="B311" s="1" t="s">
        <v>357</v>
      </c>
      <c r="C311">
        <v>2</v>
      </c>
      <c r="D311">
        <v>6</v>
      </c>
      <c r="E311">
        <v>6</v>
      </c>
      <c r="F311">
        <v>4</v>
      </c>
      <c r="G311">
        <v>6</v>
      </c>
      <c r="H311">
        <v>2</v>
      </c>
      <c r="I311">
        <v>68</v>
      </c>
      <c r="J311">
        <v>15</v>
      </c>
      <c r="K311">
        <v>53</v>
      </c>
      <c r="L311">
        <v>47</v>
      </c>
      <c r="M311">
        <v>8</v>
      </c>
      <c r="N311">
        <f t="shared" si="12"/>
        <v>19.100000000000001</v>
      </c>
      <c r="O311" cm="1">
        <f t="array" ref="O311">SUM(_xlfn.XLOOKUP(E311:H311, $V$13:$V$17, $U$13:$U$17))</f>
        <v>26</v>
      </c>
      <c r="P311">
        <f t="shared" si="13"/>
        <v>4</v>
      </c>
      <c r="Q311" s="1">
        <f t="shared" si="14"/>
        <v>49.1</v>
      </c>
    </row>
    <row r="312" spans="1:17" x14ac:dyDescent="0.25">
      <c r="A312" s="1" t="s">
        <v>444</v>
      </c>
      <c r="B312" s="1" t="s">
        <v>445</v>
      </c>
      <c r="C312">
        <v>0</v>
      </c>
      <c r="D312">
        <v>3</v>
      </c>
      <c r="E312">
        <v>5</v>
      </c>
      <c r="F312">
        <v>2</v>
      </c>
      <c r="G312">
        <v>3</v>
      </c>
      <c r="H312">
        <v>6</v>
      </c>
      <c r="I312">
        <v>33</v>
      </c>
      <c r="J312">
        <v>86</v>
      </c>
      <c r="K312">
        <v>90</v>
      </c>
      <c r="L312">
        <v>78</v>
      </c>
      <c r="M312">
        <v>15</v>
      </c>
      <c r="N312">
        <f t="shared" si="12"/>
        <v>30.2</v>
      </c>
      <c r="O312" cm="1">
        <f t="array" ref="O312">SUM(_xlfn.XLOOKUP(E312:H312, $V$13:$V$17, $U$13:$U$17))</f>
        <v>22</v>
      </c>
      <c r="P312">
        <f t="shared" si="13"/>
        <v>0</v>
      </c>
      <c r="Q312" s="1">
        <f t="shared" si="14"/>
        <v>52.2</v>
      </c>
    </row>
    <row r="313" spans="1:17" x14ac:dyDescent="0.25">
      <c r="A313" s="1" t="s">
        <v>446</v>
      </c>
      <c r="B313" s="1" t="s">
        <v>30</v>
      </c>
      <c r="C313">
        <v>3</v>
      </c>
      <c r="D313">
        <v>2</v>
      </c>
      <c r="E313">
        <v>5</v>
      </c>
      <c r="F313">
        <v>3</v>
      </c>
      <c r="G313">
        <v>3</v>
      </c>
      <c r="H313">
        <v>4</v>
      </c>
      <c r="I313">
        <v>95</v>
      </c>
      <c r="J313">
        <v>25</v>
      </c>
      <c r="K313">
        <v>48</v>
      </c>
      <c r="L313">
        <v>27</v>
      </c>
      <c r="M313">
        <v>23</v>
      </c>
      <c r="N313">
        <f t="shared" si="12"/>
        <v>21.8</v>
      </c>
      <c r="O313" cm="1">
        <f t="array" ref="O313">SUM(_xlfn.XLOOKUP(E313:H313, $V$13:$V$17, $U$13:$U$17))</f>
        <v>22</v>
      </c>
      <c r="P313">
        <f t="shared" si="13"/>
        <v>3</v>
      </c>
      <c r="Q313" s="1">
        <f t="shared" si="14"/>
        <v>46.8</v>
      </c>
    </row>
    <row r="314" spans="1:17" x14ac:dyDescent="0.25">
      <c r="A314" s="1" t="s">
        <v>400</v>
      </c>
      <c r="B314" s="1" t="s">
        <v>409</v>
      </c>
      <c r="C314">
        <v>0</v>
      </c>
      <c r="D314">
        <v>4</v>
      </c>
      <c r="E314">
        <v>5</v>
      </c>
      <c r="F314">
        <v>6</v>
      </c>
      <c r="G314">
        <v>3</v>
      </c>
      <c r="H314">
        <v>5</v>
      </c>
      <c r="I314">
        <v>66</v>
      </c>
      <c r="J314">
        <v>31</v>
      </c>
      <c r="K314">
        <v>5</v>
      </c>
      <c r="L314">
        <v>9</v>
      </c>
      <c r="M314">
        <v>38</v>
      </c>
      <c r="N314">
        <f t="shared" si="12"/>
        <v>14.899999999999999</v>
      </c>
      <c r="O314" cm="1">
        <f t="array" ref="O314">SUM(_xlfn.XLOOKUP(E314:H314, $V$13:$V$17, $U$13:$U$17))</f>
        <v>30</v>
      </c>
      <c r="P314">
        <f t="shared" si="13"/>
        <v>0</v>
      </c>
      <c r="Q314" s="1">
        <f t="shared" si="14"/>
        <v>44.9</v>
      </c>
    </row>
    <row r="315" spans="1:17" x14ac:dyDescent="0.25">
      <c r="A315" s="1" t="s">
        <v>447</v>
      </c>
      <c r="B315" s="1" t="s">
        <v>448</v>
      </c>
      <c r="C315">
        <v>0</v>
      </c>
      <c r="D315">
        <v>4</v>
      </c>
      <c r="E315">
        <v>4</v>
      </c>
      <c r="F315">
        <v>5</v>
      </c>
      <c r="G315">
        <v>4</v>
      </c>
      <c r="H315">
        <v>3</v>
      </c>
      <c r="I315">
        <v>82</v>
      </c>
      <c r="J315">
        <v>31</v>
      </c>
      <c r="K315">
        <v>77</v>
      </c>
      <c r="L315">
        <v>49</v>
      </c>
      <c r="M315">
        <v>81</v>
      </c>
      <c r="N315">
        <f t="shared" si="12"/>
        <v>32</v>
      </c>
      <c r="O315" cm="1">
        <f t="array" ref="O315">SUM(_xlfn.XLOOKUP(E315:H315, $V$13:$V$17, $U$13:$U$17))</f>
        <v>24</v>
      </c>
      <c r="P315">
        <f t="shared" si="13"/>
        <v>0</v>
      </c>
      <c r="Q315" s="1">
        <f t="shared" si="14"/>
        <v>56</v>
      </c>
    </row>
    <row r="316" spans="1:17" x14ac:dyDescent="0.25">
      <c r="A316" s="1" t="s">
        <v>449</v>
      </c>
      <c r="B316" s="1" t="s">
        <v>34</v>
      </c>
      <c r="C316">
        <v>5</v>
      </c>
      <c r="D316">
        <v>2</v>
      </c>
      <c r="E316">
        <v>3</v>
      </c>
      <c r="F316">
        <v>2</v>
      </c>
      <c r="G316">
        <v>4</v>
      </c>
      <c r="H316">
        <v>3</v>
      </c>
      <c r="I316">
        <v>53</v>
      </c>
      <c r="J316">
        <v>95</v>
      </c>
      <c r="K316">
        <v>23</v>
      </c>
      <c r="L316">
        <v>16</v>
      </c>
      <c r="M316">
        <v>90</v>
      </c>
      <c r="N316">
        <f t="shared" si="12"/>
        <v>27.700000000000003</v>
      </c>
      <c r="O316" cm="1">
        <f t="array" ref="O316">SUM(_xlfn.XLOOKUP(E316:H316, $V$13:$V$17, $U$13:$U$17))</f>
        <v>14</v>
      </c>
      <c r="P316">
        <f t="shared" si="13"/>
        <v>5</v>
      </c>
      <c r="Q316" s="1">
        <f t="shared" si="14"/>
        <v>46.7</v>
      </c>
    </row>
    <row r="317" spans="1:17" x14ac:dyDescent="0.25">
      <c r="A317" s="1" t="s">
        <v>450</v>
      </c>
      <c r="B317" s="1" t="s">
        <v>395</v>
      </c>
      <c r="C317">
        <v>7</v>
      </c>
      <c r="D317">
        <v>2</v>
      </c>
      <c r="E317">
        <v>4</v>
      </c>
      <c r="F317">
        <v>3</v>
      </c>
      <c r="G317">
        <v>4</v>
      </c>
      <c r="H317">
        <v>2</v>
      </c>
      <c r="I317">
        <v>58</v>
      </c>
      <c r="J317">
        <v>56</v>
      </c>
      <c r="K317">
        <v>47</v>
      </c>
      <c r="L317">
        <v>61</v>
      </c>
      <c r="M317">
        <v>69</v>
      </c>
      <c r="N317">
        <f t="shared" si="12"/>
        <v>29.099999999999994</v>
      </c>
      <c r="O317" cm="1">
        <f t="array" ref="O317">SUM(_xlfn.XLOOKUP(E317:H317, $V$13:$V$17, $U$13:$U$17))</f>
        <v>16</v>
      </c>
      <c r="P317">
        <f t="shared" si="13"/>
        <v>7</v>
      </c>
      <c r="Q317" s="1">
        <f t="shared" si="14"/>
        <v>52.099999999999994</v>
      </c>
    </row>
    <row r="318" spans="1:17" x14ac:dyDescent="0.25">
      <c r="A318" s="1" t="s">
        <v>163</v>
      </c>
      <c r="B318" s="1" t="s">
        <v>164</v>
      </c>
      <c r="C318">
        <v>6</v>
      </c>
      <c r="D318">
        <v>6</v>
      </c>
      <c r="E318">
        <v>4</v>
      </c>
      <c r="F318">
        <v>3</v>
      </c>
      <c r="G318">
        <v>2</v>
      </c>
      <c r="H318">
        <v>3</v>
      </c>
      <c r="I318">
        <v>88</v>
      </c>
      <c r="J318">
        <v>10</v>
      </c>
      <c r="K318">
        <v>92</v>
      </c>
      <c r="L318">
        <v>82</v>
      </c>
      <c r="M318">
        <v>2</v>
      </c>
      <c r="N318">
        <f t="shared" si="12"/>
        <v>27.4</v>
      </c>
      <c r="O318" cm="1">
        <f t="array" ref="O318">SUM(_xlfn.XLOOKUP(E318:H318, $V$13:$V$17, $U$13:$U$17))</f>
        <v>14</v>
      </c>
      <c r="P318">
        <f t="shared" si="13"/>
        <v>8</v>
      </c>
      <c r="Q318" s="1">
        <f t="shared" si="14"/>
        <v>49.4</v>
      </c>
    </row>
    <row r="319" spans="1:17" x14ac:dyDescent="0.25">
      <c r="A319" s="1" t="s">
        <v>451</v>
      </c>
      <c r="B319" s="1" t="s">
        <v>23</v>
      </c>
      <c r="C319">
        <v>6</v>
      </c>
      <c r="D319">
        <v>4</v>
      </c>
      <c r="E319">
        <v>2</v>
      </c>
      <c r="F319">
        <v>3</v>
      </c>
      <c r="G319">
        <v>5</v>
      </c>
      <c r="H319">
        <v>4</v>
      </c>
      <c r="I319">
        <v>50</v>
      </c>
      <c r="J319">
        <v>3</v>
      </c>
      <c r="K319">
        <v>27</v>
      </c>
      <c r="L319">
        <v>70</v>
      </c>
      <c r="M319">
        <v>25</v>
      </c>
      <c r="N319">
        <f t="shared" si="12"/>
        <v>17.5</v>
      </c>
      <c r="O319" cm="1">
        <f t="array" ref="O319">SUM(_xlfn.XLOOKUP(E319:H319, $V$13:$V$17, $U$13:$U$17))</f>
        <v>18</v>
      </c>
      <c r="P319">
        <f t="shared" si="13"/>
        <v>6</v>
      </c>
      <c r="Q319" s="1">
        <f t="shared" si="14"/>
        <v>41.5</v>
      </c>
    </row>
    <row r="320" spans="1:17" x14ac:dyDescent="0.25">
      <c r="A320" s="1" t="s">
        <v>283</v>
      </c>
      <c r="B320" s="1" t="s">
        <v>452</v>
      </c>
      <c r="C320">
        <v>8</v>
      </c>
      <c r="D320">
        <v>2</v>
      </c>
      <c r="E320">
        <v>5</v>
      </c>
      <c r="F320">
        <v>3</v>
      </c>
      <c r="G320">
        <v>2</v>
      </c>
      <c r="H320">
        <v>3</v>
      </c>
      <c r="I320">
        <v>93</v>
      </c>
      <c r="J320">
        <v>98</v>
      </c>
      <c r="K320">
        <v>43</v>
      </c>
      <c r="L320">
        <v>97</v>
      </c>
      <c r="M320">
        <v>90</v>
      </c>
      <c r="N320">
        <f t="shared" si="12"/>
        <v>42.1</v>
      </c>
      <c r="O320" cm="1">
        <f t="array" ref="O320">SUM(_xlfn.XLOOKUP(E320:H320, $V$13:$V$17, $U$13:$U$17))</f>
        <v>16</v>
      </c>
      <c r="P320">
        <f t="shared" si="13"/>
        <v>8</v>
      </c>
      <c r="Q320" s="1">
        <f t="shared" si="14"/>
        <v>66.099999999999994</v>
      </c>
    </row>
    <row r="321" spans="1:17" x14ac:dyDescent="0.25">
      <c r="A321" s="1" t="s">
        <v>453</v>
      </c>
      <c r="B321" s="1" t="s">
        <v>130</v>
      </c>
      <c r="C321">
        <v>6</v>
      </c>
      <c r="D321">
        <v>4</v>
      </c>
      <c r="E321">
        <v>4</v>
      </c>
      <c r="F321">
        <v>5</v>
      </c>
      <c r="G321">
        <v>2</v>
      </c>
      <c r="H321">
        <v>4</v>
      </c>
      <c r="I321">
        <v>41</v>
      </c>
      <c r="J321">
        <v>62</v>
      </c>
      <c r="K321">
        <v>60</v>
      </c>
      <c r="L321">
        <v>18</v>
      </c>
      <c r="M321">
        <v>83</v>
      </c>
      <c r="N321">
        <f t="shared" si="12"/>
        <v>26.400000000000002</v>
      </c>
      <c r="O321" cm="1">
        <f t="array" ref="O321">SUM(_xlfn.XLOOKUP(E321:H321, $V$13:$V$17, $U$13:$U$17))</f>
        <v>20</v>
      </c>
      <c r="P321">
        <f t="shared" si="13"/>
        <v>6</v>
      </c>
      <c r="Q321" s="1">
        <f t="shared" si="14"/>
        <v>52.400000000000006</v>
      </c>
    </row>
    <row r="322" spans="1:17" x14ac:dyDescent="0.25">
      <c r="A322" s="1" t="s">
        <v>454</v>
      </c>
      <c r="B322" s="1" t="s">
        <v>369</v>
      </c>
      <c r="C322">
        <v>3</v>
      </c>
      <c r="D322">
        <v>2</v>
      </c>
      <c r="E322">
        <v>3</v>
      </c>
      <c r="F322">
        <v>4</v>
      </c>
      <c r="G322">
        <v>2</v>
      </c>
      <c r="H322">
        <v>4</v>
      </c>
      <c r="I322">
        <v>90</v>
      </c>
      <c r="J322">
        <v>26</v>
      </c>
      <c r="K322">
        <v>50</v>
      </c>
      <c r="L322">
        <v>74</v>
      </c>
      <c r="M322">
        <v>53</v>
      </c>
      <c r="N322">
        <f t="shared" ref="N322:N385" si="15">I322/10 + J322/10 + K322/10 + L322/10 + M322/10</f>
        <v>29.3</v>
      </c>
      <c r="O322" cm="1">
        <f t="array" ref="O322">SUM(_xlfn.XLOOKUP(E322:H322, $V$13:$V$17, $U$13:$U$17))</f>
        <v>16</v>
      </c>
      <c r="P322">
        <f t="shared" ref="P322:P385" si="16">IF(D322=6,C322+2,C322)</f>
        <v>3</v>
      </c>
      <c r="Q322" s="1">
        <f t="shared" ref="Q322:Q385" si="17">SUM(N322:P322)</f>
        <v>48.3</v>
      </c>
    </row>
    <row r="323" spans="1:17" x14ac:dyDescent="0.25">
      <c r="A323" s="1" t="s">
        <v>455</v>
      </c>
      <c r="B323" s="1" t="s">
        <v>369</v>
      </c>
      <c r="C323">
        <v>4</v>
      </c>
      <c r="D323">
        <v>4</v>
      </c>
      <c r="E323">
        <v>3</v>
      </c>
      <c r="F323">
        <v>2</v>
      </c>
      <c r="G323">
        <v>3</v>
      </c>
      <c r="H323">
        <v>2</v>
      </c>
      <c r="I323">
        <v>31</v>
      </c>
      <c r="J323">
        <v>59</v>
      </c>
      <c r="K323">
        <v>7</v>
      </c>
      <c r="L323">
        <v>38</v>
      </c>
      <c r="M323">
        <v>24</v>
      </c>
      <c r="N323">
        <f t="shared" si="15"/>
        <v>15.9</v>
      </c>
      <c r="O323" cm="1">
        <f t="array" ref="O323">SUM(_xlfn.XLOOKUP(E323:H323, $V$13:$V$17, $U$13:$U$17))</f>
        <v>8</v>
      </c>
      <c r="P323">
        <f t="shared" si="16"/>
        <v>4</v>
      </c>
      <c r="Q323" s="1">
        <f t="shared" si="17"/>
        <v>27.9</v>
      </c>
    </row>
    <row r="324" spans="1:17" x14ac:dyDescent="0.25">
      <c r="A324" s="1" t="s">
        <v>456</v>
      </c>
      <c r="B324" s="1" t="s">
        <v>159</v>
      </c>
      <c r="C324">
        <v>6</v>
      </c>
      <c r="D324">
        <v>6</v>
      </c>
      <c r="E324">
        <v>6</v>
      </c>
      <c r="F324">
        <v>2</v>
      </c>
      <c r="G324">
        <v>3</v>
      </c>
      <c r="H324">
        <v>2</v>
      </c>
      <c r="I324">
        <v>56</v>
      </c>
      <c r="J324">
        <v>34</v>
      </c>
      <c r="K324">
        <v>52</v>
      </c>
      <c r="L324">
        <v>30</v>
      </c>
      <c r="M324">
        <v>94</v>
      </c>
      <c r="N324">
        <f t="shared" si="15"/>
        <v>26.6</v>
      </c>
      <c r="O324" cm="1">
        <f t="array" ref="O324">SUM(_xlfn.XLOOKUP(E324:H324, $V$13:$V$17, $U$13:$U$17))</f>
        <v>14</v>
      </c>
      <c r="P324">
        <f t="shared" si="16"/>
        <v>8</v>
      </c>
      <c r="Q324" s="1">
        <f t="shared" si="17"/>
        <v>48.6</v>
      </c>
    </row>
    <row r="325" spans="1:17" x14ac:dyDescent="0.25">
      <c r="A325" s="1" t="s">
        <v>457</v>
      </c>
      <c r="B325" s="1" t="s">
        <v>409</v>
      </c>
      <c r="C325">
        <v>0</v>
      </c>
      <c r="D325">
        <v>3</v>
      </c>
      <c r="E325">
        <v>6</v>
      </c>
      <c r="F325">
        <v>4</v>
      </c>
      <c r="G325">
        <v>6</v>
      </c>
      <c r="H325">
        <v>3</v>
      </c>
      <c r="I325">
        <v>13</v>
      </c>
      <c r="J325">
        <v>42</v>
      </c>
      <c r="K325">
        <v>23</v>
      </c>
      <c r="L325">
        <v>14</v>
      </c>
      <c r="M325">
        <v>73</v>
      </c>
      <c r="N325">
        <f t="shared" si="15"/>
        <v>16.5</v>
      </c>
      <c r="O325" cm="1">
        <f t="array" ref="O325">SUM(_xlfn.XLOOKUP(E325:H325, $V$13:$V$17, $U$13:$U$17))</f>
        <v>30</v>
      </c>
      <c r="P325">
        <f t="shared" si="16"/>
        <v>0</v>
      </c>
      <c r="Q325" s="1">
        <f t="shared" si="17"/>
        <v>46.5</v>
      </c>
    </row>
    <row r="326" spans="1:17" x14ac:dyDescent="0.25">
      <c r="A326" s="1" t="s">
        <v>458</v>
      </c>
      <c r="B326" s="1" t="s">
        <v>74</v>
      </c>
      <c r="C326">
        <v>2</v>
      </c>
      <c r="D326">
        <v>3</v>
      </c>
      <c r="E326">
        <v>6</v>
      </c>
      <c r="F326">
        <v>6</v>
      </c>
      <c r="G326">
        <v>4</v>
      </c>
      <c r="H326">
        <v>4</v>
      </c>
      <c r="I326">
        <v>61</v>
      </c>
      <c r="J326">
        <v>3</v>
      </c>
      <c r="K326">
        <v>88</v>
      </c>
      <c r="L326">
        <v>72</v>
      </c>
      <c r="M326">
        <v>84</v>
      </c>
      <c r="N326">
        <f t="shared" si="15"/>
        <v>30.799999999999997</v>
      </c>
      <c r="O326" cm="1">
        <f t="array" ref="O326">SUM(_xlfn.XLOOKUP(E326:H326, $V$13:$V$17, $U$13:$U$17))</f>
        <v>32</v>
      </c>
      <c r="P326">
        <f t="shared" si="16"/>
        <v>2</v>
      </c>
      <c r="Q326" s="1">
        <f t="shared" si="17"/>
        <v>64.8</v>
      </c>
    </row>
    <row r="327" spans="1:17" x14ac:dyDescent="0.25">
      <c r="A327" s="1" t="s">
        <v>459</v>
      </c>
      <c r="B327" s="1" t="s">
        <v>130</v>
      </c>
      <c r="C327">
        <v>6</v>
      </c>
      <c r="D327">
        <v>4</v>
      </c>
      <c r="E327">
        <v>4</v>
      </c>
      <c r="F327">
        <v>2</v>
      </c>
      <c r="G327">
        <v>4</v>
      </c>
      <c r="H327">
        <v>2</v>
      </c>
      <c r="I327">
        <v>30</v>
      </c>
      <c r="J327">
        <v>28</v>
      </c>
      <c r="K327">
        <v>30</v>
      </c>
      <c r="L327">
        <v>66</v>
      </c>
      <c r="M327">
        <v>98</v>
      </c>
      <c r="N327">
        <f t="shared" si="15"/>
        <v>25.200000000000003</v>
      </c>
      <c r="O327" cm="1">
        <f t="array" ref="O327">SUM(_xlfn.XLOOKUP(E327:H327, $V$13:$V$17, $U$13:$U$17))</f>
        <v>12</v>
      </c>
      <c r="P327">
        <f t="shared" si="16"/>
        <v>6</v>
      </c>
      <c r="Q327" s="1">
        <f t="shared" si="17"/>
        <v>43.2</v>
      </c>
    </row>
    <row r="328" spans="1:17" x14ac:dyDescent="0.25">
      <c r="A328" s="1" t="s">
        <v>460</v>
      </c>
      <c r="B328" s="1" t="s">
        <v>130</v>
      </c>
      <c r="C328">
        <v>4</v>
      </c>
      <c r="D328">
        <v>4</v>
      </c>
      <c r="E328">
        <v>4</v>
      </c>
      <c r="F328">
        <v>6</v>
      </c>
      <c r="G328">
        <v>6</v>
      </c>
      <c r="H328">
        <v>2</v>
      </c>
      <c r="I328">
        <v>80</v>
      </c>
      <c r="J328">
        <v>75</v>
      </c>
      <c r="K328">
        <v>57</v>
      </c>
      <c r="L328">
        <v>43</v>
      </c>
      <c r="M328">
        <v>92</v>
      </c>
      <c r="N328">
        <f t="shared" si="15"/>
        <v>34.700000000000003</v>
      </c>
      <c r="O328" cm="1">
        <f t="array" ref="O328">SUM(_xlfn.XLOOKUP(E328:H328, $V$13:$V$17, $U$13:$U$17))</f>
        <v>26</v>
      </c>
      <c r="P328">
        <f t="shared" si="16"/>
        <v>4</v>
      </c>
      <c r="Q328" s="1">
        <f t="shared" si="17"/>
        <v>64.7</v>
      </c>
    </row>
    <row r="329" spans="1:17" x14ac:dyDescent="0.25">
      <c r="A329" s="1" t="s">
        <v>461</v>
      </c>
      <c r="B329" s="1" t="s">
        <v>28</v>
      </c>
      <c r="C329">
        <v>2</v>
      </c>
      <c r="D329">
        <v>4</v>
      </c>
      <c r="E329">
        <v>5</v>
      </c>
      <c r="F329">
        <v>2</v>
      </c>
      <c r="G329">
        <v>5</v>
      </c>
      <c r="H329">
        <v>2</v>
      </c>
      <c r="I329">
        <v>26</v>
      </c>
      <c r="J329">
        <v>69</v>
      </c>
      <c r="K329">
        <v>46</v>
      </c>
      <c r="L329">
        <v>57</v>
      </c>
      <c r="M329">
        <v>91</v>
      </c>
      <c r="N329">
        <f t="shared" si="15"/>
        <v>28.9</v>
      </c>
      <c r="O329" cm="1">
        <f t="array" ref="O329">SUM(_xlfn.XLOOKUP(E329:H329, $V$13:$V$17, $U$13:$U$17))</f>
        <v>16</v>
      </c>
      <c r="P329">
        <f t="shared" si="16"/>
        <v>2</v>
      </c>
      <c r="Q329" s="1">
        <f t="shared" si="17"/>
        <v>46.9</v>
      </c>
    </row>
    <row r="330" spans="1:17" x14ac:dyDescent="0.25">
      <c r="A330" s="1" t="s">
        <v>462</v>
      </c>
      <c r="B330" s="1" t="s">
        <v>463</v>
      </c>
      <c r="C330">
        <v>4</v>
      </c>
      <c r="D330">
        <v>3</v>
      </c>
      <c r="E330">
        <v>5</v>
      </c>
      <c r="F330">
        <v>5</v>
      </c>
      <c r="G330">
        <v>3</v>
      </c>
      <c r="H330">
        <v>3</v>
      </c>
      <c r="I330">
        <v>5</v>
      </c>
      <c r="J330">
        <v>44</v>
      </c>
      <c r="K330">
        <v>37</v>
      </c>
      <c r="L330">
        <v>5</v>
      </c>
      <c r="M330">
        <v>62</v>
      </c>
      <c r="N330">
        <f t="shared" si="15"/>
        <v>15.3</v>
      </c>
      <c r="O330" cm="1">
        <f t="array" ref="O330">SUM(_xlfn.XLOOKUP(E330:H330, $V$13:$V$17, $U$13:$U$17))</f>
        <v>24</v>
      </c>
      <c r="P330">
        <f t="shared" si="16"/>
        <v>4</v>
      </c>
      <c r="Q330" s="1">
        <f t="shared" si="17"/>
        <v>43.3</v>
      </c>
    </row>
    <row r="331" spans="1:17" x14ac:dyDescent="0.25">
      <c r="A331" s="1" t="s">
        <v>464</v>
      </c>
      <c r="B331" s="1" t="s">
        <v>445</v>
      </c>
      <c r="C331">
        <v>6</v>
      </c>
      <c r="D331">
        <v>3</v>
      </c>
      <c r="E331">
        <v>5</v>
      </c>
      <c r="F331">
        <v>5</v>
      </c>
      <c r="G331">
        <v>2</v>
      </c>
      <c r="H331">
        <v>6</v>
      </c>
      <c r="I331">
        <v>56</v>
      </c>
      <c r="J331">
        <v>90</v>
      </c>
      <c r="K331">
        <v>35</v>
      </c>
      <c r="L331">
        <v>68</v>
      </c>
      <c r="M331">
        <v>48</v>
      </c>
      <c r="N331">
        <f t="shared" si="15"/>
        <v>29.700000000000003</v>
      </c>
      <c r="O331" cm="1">
        <f t="array" ref="O331">SUM(_xlfn.XLOOKUP(E331:H331, $V$13:$V$17, $U$13:$U$17))</f>
        <v>26</v>
      </c>
      <c r="P331">
        <f t="shared" si="16"/>
        <v>6</v>
      </c>
      <c r="Q331" s="1">
        <f t="shared" si="17"/>
        <v>61.7</v>
      </c>
    </row>
    <row r="332" spans="1:17" x14ac:dyDescent="0.25">
      <c r="A332" s="1" t="s">
        <v>465</v>
      </c>
      <c r="B332" s="1" t="s">
        <v>239</v>
      </c>
      <c r="C332">
        <v>4</v>
      </c>
      <c r="D332">
        <v>3</v>
      </c>
      <c r="E332">
        <v>6</v>
      </c>
      <c r="F332">
        <v>2</v>
      </c>
      <c r="G332">
        <v>3</v>
      </c>
      <c r="H332">
        <v>3</v>
      </c>
      <c r="I332">
        <v>7</v>
      </c>
      <c r="J332">
        <v>15</v>
      </c>
      <c r="K332">
        <v>62</v>
      </c>
      <c r="L332">
        <v>9</v>
      </c>
      <c r="M332">
        <v>43</v>
      </c>
      <c r="N332">
        <f t="shared" si="15"/>
        <v>13.600000000000001</v>
      </c>
      <c r="O332" cm="1">
        <f t="array" ref="O332">SUM(_xlfn.XLOOKUP(E332:H332, $V$13:$V$17, $U$13:$U$17))</f>
        <v>18</v>
      </c>
      <c r="P332">
        <f t="shared" si="16"/>
        <v>4</v>
      </c>
      <c r="Q332" s="1">
        <f t="shared" si="17"/>
        <v>35.6</v>
      </c>
    </row>
    <row r="333" spans="1:17" x14ac:dyDescent="0.25">
      <c r="A333" s="1" t="s">
        <v>466</v>
      </c>
      <c r="B333" s="1" t="s">
        <v>16</v>
      </c>
      <c r="C333">
        <v>3</v>
      </c>
      <c r="D333">
        <v>6</v>
      </c>
      <c r="E333">
        <v>6</v>
      </c>
      <c r="F333">
        <v>6</v>
      </c>
      <c r="G333">
        <v>4</v>
      </c>
      <c r="H333">
        <v>5</v>
      </c>
      <c r="I333">
        <v>27</v>
      </c>
      <c r="J333">
        <v>73</v>
      </c>
      <c r="K333">
        <v>63</v>
      </c>
      <c r="L333">
        <v>14</v>
      </c>
      <c r="M333">
        <v>72</v>
      </c>
      <c r="N333">
        <f t="shared" si="15"/>
        <v>24.9</v>
      </c>
      <c r="O333" cm="1">
        <f t="array" ref="O333">SUM(_xlfn.XLOOKUP(E333:H333, $V$13:$V$17, $U$13:$U$17))</f>
        <v>34</v>
      </c>
      <c r="P333">
        <f t="shared" si="16"/>
        <v>5</v>
      </c>
      <c r="Q333" s="1">
        <f t="shared" si="17"/>
        <v>63.9</v>
      </c>
    </row>
    <row r="334" spans="1:17" x14ac:dyDescent="0.25">
      <c r="A334" s="1" t="s">
        <v>467</v>
      </c>
      <c r="B334" s="1" t="s">
        <v>395</v>
      </c>
      <c r="C334">
        <v>1</v>
      </c>
      <c r="D334">
        <v>6</v>
      </c>
      <c r="E334">
        <v>5</v>
      </c>
      <c r="F334">
        <v>2</v>
      </c>
      <c r="G334">
        <v>2</v>
      </c>
      <c r="H334">
        <v>3</v>
      </c>
      <c r="I334">
        <v>70</v>
      </c>
      <c r="J334">
        <v>59</v>
      </c>
      <c r="K334">
        <v>15</v>
      </c>
      <c r="L334">
        <v>13</v>
      </c>
      <c r="M334">
        <v>66</v>
      </c>
      <c r="N334">
        <f t="shared" si="15"/>
        <v>22.3</v>
      </c>
      <c r="O334" cm="1">
        <f t="array" ref="O334">SUM(_xlfn.XLOOKUP(E334:H334, $V$13:$V$17, $U$13:$U$17))</f>
        <v>12</v>
      </c>
      <c r="P334">
        <f t="shared" si="16"/>
        <v>3</v>
      </c>
      <c r="Q334" s="1">
        <f t="shared" si="17"/>
        <v>37.299999999999997</v>
      </c>
    </row>
    <row r="335" spans="1:17" x14ac:dyDescent="0.25">
      <c r="A335" s="1" t="s">
        <v>468</v>
      </c>
      <c r="B335" s="1" t="s">
        <v>164</v>
      </c>
      <c r="C335">
        <v>5</v>
      </c>
      <c r="D335">
        <v>3</v>
      </c>
      <c r="E335">
        <v>5</v>
      </c>
      <c r="F335">
        <v>3</v>
      </c>
      <c r="G335">
        <v>5</v>
      </c>
      <c r="H335">
        <v>3</v>
      </c>
      <c r="I335">
        <v>52</v>
      </c>
      <c r="J335">
        <v>65</v>
      </c>
      <c r="K335">
        <v>48</v>
      </c>
      <c r="L335">
        <v>58</v>
      </c>
      <c r="M335">
        <v>48</v>
      </c>
      <c r="N335">
        <f t="shared" si="15"/>
        <v>27.1</v>
      </c>
      <c r="O335" cm="1">
        <f t="array" ref="O335">SUM(_xlfn.XLOOKUP(E335:H335, $V$13:$V$17, $U$13:$U$17))</f>
        <v>24</v>
      </c>
      <c r="P335">
        <f t="shared" si="16"/>
        <v>5</v>
      </c>
      <c r="Q335" s="1">
        <f t="shared" si="17"/>
        <v>56.1</v>
      </c>
    </row>
    <row r="336" spans="1:17" x14ac:dyDescent="0.25">
      <c r="A336" s="1" t="s">
        <v>469</v>
      </c>
      <c r="B336" s="1" t="s">
        <v>130</v>
      </c>
      <c r="C336">
        <v>5</v>
      </c>
      <c r="D336">
        <v>2</v>
      </c>
      <c r="E336">
        <v>2</v>
      </c>
      <c r="F336">
        <v>2</v>
      </c>
      <c r="G336">
        <v>4</v>
      </c>
      <c r="H336">
        <v>2</v>
      </c>
      <c r="I336">
        <v>27</v>
      </c>
      <c r="J336">
        <v>64</v>
      </c>
      <c r="K336">
        <v>22</v>
      </c>
      <c r="L336">
        <v>32</v>
      </c>
      <c r="M336">
        <v>91</v>
      </c>
      <c r="N336">
        <f t="shared" si="15"/>
        <v>23.6</v>
      </c>
      <c r="O336" cm="1">
        <f t="array" ref="O336">SUM(_xlfn.XLOOKUP(E336:H336, $V$13:$V$17, $U$13:$U$17))</f>
        <v>6</v>
      </c>
      <c r="P336">
        <f t="shared" si="16"/>
        <v>5</v>
      </c>
      <c r="Q336" s="1">
        <f t="shared" si="17"/>
        <v>34.6</v>
      </c>
    </row>
    <row r="337" spans="1:17" x14ac:dyDescent="0.25">
      <c r="A337" s="1" t="s">
        <v>470</v>
      </c>
      <c r="B337" s="1" t="s">
        <v>32</v>
      </c>
      <c r="C337">
        <v>1</v>
      </c>
      <c r="D337">
        <v>3</v>
      </c>
      <c r="E337">
        <v>3</v>
      </c>
      <c r="F337">
        <v>2</v>
      </c>
      <c r="G337">
        <v>5</v>
      </c>
      <c r="H337">
        <v>2</v>
      </c>
      <c r="I337">
        <v>84</v>
      </c>
      <c r="J337">
        <v>92</v>
      </c>
      <c r="K337">
        <v>92</v>
      </c>
      <c r="L337">
        <v>81</v>
      </c>
      <c r="M337">
        <v>68</v>
      </c>
      <c r="N337">
        <f t="shared" si="15"/>
        <v>41.699999999999996</v>
      </c>
      <c r="O337" cm="1">
        <f t="array" ref="O337">SUM(_xlfn.XLOOKUP(E337:H337, $V$13:$V$17, $U$13:$U$17))</f>
        <v>12</v>
      </c>
      <c r="P337">
        <f t="shared" si="16"/>
        <v>1</v>
      </c>
      <c r="Q337" s="1">
        <f t="shared" si="17"/>
        <v>54.699999999999996</v>
      </c>
    </row>
    <row r="338" spans="1:17" x14ac:dyDescent="0.25">
      <c r="A338" s="1" t="s">
        <v>471</v>
      </c>
      <c r="B338" s="1" t="s">
        <v>340</v>
      </c>
      <c r="C338">
        <v>4</v>
      </c>
      <c r="D338">
        <v>5</v>
      </c>
      <c r="E338">
        <v>4</v>
      </c>
      <c r="F338">
        <v>4</v>
      </c>
      <c r="G338">
        <v>2</v>
      </c>
      <c r="H338">
        <v>6</v>
      </c>
      <c r="I338">
        <v>75</v>
      </c>
      <c r="J338">
        <v>22</v>
      </c>
      <c r="K338">
        <v>91</v>
      </c>
      <c r="L338">
        <v>31</v>
      </c>
      <c r="M338">
        <v>93</v>
      </c>
      <c r="N338">
        <f t="shared" si="15"/>
        <v>31.2</v>
      </c>
      <c r="O338" cm="1">
        <f t="array" ref="O338">SUM(_xlfn.XLOOKUP(E338:H338, $V$13:$V$17, $U$13:$U$17))</f>
        <v>22</v>
      </c>
      <c r="P338">
        <f t="shared" si="16"/>
        <v>4</v>
      </c>
      <c r="Q338" s="1">
        <f t="shared" si="17"/>
        <v>57.2</v>
      </c>
    </row>
    <row r="339" spans="1:17" x14ac:dyDescent="0.25">
      <c r="A339" s="1" t="s">
        <v>472</v>
      </c>
      <c r="B339" s="1" t="s">
        <v>70</v>
      </c>
      <c r="C339">
        <v>2</v>
      </c>
      <c r="D339">
        <v>4</v>
      </c>
      <c r="E339">
        <v>4</v>
      </c>
      <c r="F339">
        <v>6</v>
      </c>
      <c r="G339">
        <v>5</v>
      </c>
      <c r="H339">
        <v>4</v>
      </c>
      <c r="I339">
        <v>35</v>
      </c>
      <c r="J339">
        <v>77</v>
      </c>
      <c r="K339">
        <v>81</v>
      </c>
      <c r="L339">
        <v>17</v>
      </c>
      <c r="M339">
        <v>27</v>
      </c>
      <c r="N339">
        <f t="shared" si="15"/>
        <v>23.699999999999996</v>
      </c>
      <c r="O339" cm="1">
        <f t="array" ref="O339">SUM(_xlfn.XLOOKUP(E339:H339, $V$13:$V$17, $U$13:$U$17))</f>
        <v>30</v>
      </c>
      <c r="P339">
        <f t="shared" si="16"/>
        <v>2</v>
      </c>
      <c r="Q339" s="1">
        <f t="shared" si="17"/>
        <v>55.699999999999996</v>
      </c>
    </row>
    <row r="340" spans="1:17" x14ac:dyDescent="0.25">
      <c r="A340" s="1" t="s">
        <v>473</v>
      </c>
      <c r="B340" s="1" t="s">
        <v>55</v>
      </c>
      <c r="C340">
        <v>7</v>
      </c>
      <c r="D340">
        <v>5</v>
      </c>
      <c r="E340">
        <v>4</v>
      </c>
      <c r="F340">
        <v>3</v>
      </c>
      <c r="G340">
        <v>3</v>
      </c>
      <c r="H340">
        <v>2</v>
      </c>
      <c r="I340">
        <v>2</v>
      </c>
      <c r="J340">
        <v>88</v>
      </c>
      <c r="K340">
        <v>61</v>
      </c>
      <c r="L340">
        <v>2</v>
      </c>
      <c r="M340">
        <v>49</v>
      </c>
      <c r="N340">
        <f t="shared" si="15"/>
        <v>20.2</v>
      </c>
      <c r="O340" cm="1">
        <f t="array" ref="O340">SUM(_xlfn.XLOOKUP(E340:H340, $V$13:$V$17, $U$13:$U$17))</f>
        <v>14</v>
      </c>
      <c r="P340">
        <f t="shared" si="16"/>
        <v>7</v>
      </c>
      <c r="Q340" s="1">
        <f t="shared" si="17"/>
        <v>41.2</v>
      </c>
    </row>
    <row r="341" spans="1:17" x14ac:dyDescent="0.25">
      <c r="A341" s="1" t="s">
        <v>474</v>
      </c>
      <c r="B341" s="1" t="s">
        <v>197</v>
      </c>
      <c r="C341">
        <v>7</v>
      </c>
      <c r="D341">
        <v>6</v>
      </c>
      <c r="E341">
        <v>5</v>
      </c>
      <c r="F341">
        <v>3</v>
      </c>
      <c r="G341">
        <v>3</v>
      </c>
      <c r="H341">
        <v>3</v>
      </c>
      <c r="I341">
        <v>71</v>
      </c>
      <c r="J341">
        <v>55</v>
      </c>
      <c r="K341">
        <v>33</v>
      </c>
      <c r="L341">
        <v>97</v>
      </c>
      <c r="M341">
        <v>73</v>
      </c>
      <c r="N341">
        <f t="shared" si="15"/>
        <v>32.9</v>
      </c>
      <c r="O341" cm="1">
        <f t="array" ref="O341">SUM(_xlfn.XLOOKUP(E341:H341, $V$13:$V$17, $U$13:$U$17))</f>
        <v>20</v>
      </c>
      <c r="P341">
        <f t="shared" si="16"/>
        <v>9</v>
      </c>
      <c r="Q341" s="1">
        <f t="shared" si="17"/>
        <v>61.9</v>
      </c>
    </row>
    <row r="342" spans="1:17" x14ac:dyDescent="0.25">
      <c r="A342" s="1" t="s">
        <v>475</v>
      </c>
      <c r="B342" s="1" t="s">
        <v>232</v>
      </c>
      <c r="C342">
        <v>5</v>
      </c>
      <c r="D342">
        <v>5</v>
      </c>
      <c r="E342">
        <v>6</v>
      </c>
      <c r="F342">
        <v>4</v>
      </c>
      <c r="G342">
        <v>5</v>
      </c>
      <c r="H342">
        <v>5</v>
      </c>
      <c r="I342">
        <v>53</v>
      </c>
      <c r="J342">
        <v>97</v>
      </c>
      <c r="K342">
        <v>28</v>
      </c>
      <c r="L342">
        <v>88</v>
      </c>
      <c r="M342">
        <v>87</v>
      </c>
      <c r="N342">
        <f t="shared" si="15"/>
        <v>35.299999999999997</v>
      </c>
      <c r="O342" cm="1">
        <f t="array" ref="O342">SUM(_xlfn.XLOOKUP(E342:H342, $V$13:$V$17, $U$13:$U$17))</f>
        <v>32</v>
      </c>
      <c r="P342">
        <f t="shared" si="16"/>
        <v>5</v>
      </c>
      <c r="Q342" s="1">
        <f t="shared" si="17"/>
        <v>72.3</v>
      </c>
    </row>
    <row r="343" spans="1:17" x14ac:dyDescent="0.25">
      <c r="A343" s="1" t="s">
        <v>476</v>
      </c>
      <c r="B343" s="1" t="s">
        <v>477</v>
      </c>
      <c r="C343">
        <v>0</v>
      </c>
      <c r="D343">
        <v>5</v>
      </c>
      <c r="E343">
        <v>5</v>
      </c>
      <c r="F343">
        <v>3</v>
      </c>
      <c r="G343">
        <v>4</v>
      </c>
      <c r="H343">
        <v>4</v>
      </c>
      <c r="I343">
        <v>73</v>
      </c>
      <c r="J343">
        <v>67</v>
      </c>
      <c r="K343">
        <v>18</v>
      </c>
      <c r="L343">
        <v>84</v>
      </c>
      <c r="M343">
        <v>75</v>
      </c>
      <c r="N343">
        <f t="shared" si="15"/>
        <v>31.700000000000003</v>
      </c>
      <c r="O343" cm="1">
        <f t="array" ref="O343">SUM(_xlfn.XLOOKUP(E343:H343, $V$13:$V$17, $U$13:$U$17))</f>
        <v>24</v>
      </c>
      <c r="P343">
        <f t="shared" si="16"/>
        <v>0</v>
      </c>
      <c r="Q343" s="1">
        <f t="shared" si="17"/>
        <v>55.7</v>
      </c>
    </row>
    <row r="344" spans="1:17" x14ac:dyDescent="0.25">
      <c r="A344" s="1" t="s">
        <v>478</v>
      </c>
      <c r="B344" s="1" t="s">
        <v>101</v>
      </c>
      <c r="C344">
        <v>3</v>
      </c>
      <c r="D344">
        <v>6</v>
      </c>
      <c r="E344">
        <v>2</v>
      </c>
      <c r="F344">
        <v>2</v>
      </c>
      <c r="G344">
        <v>5</v>
      </c>
      <c r="H344">
        <v>2</v>
      </c>
      <c r="I344">
        <v>97</v>
      </c>
      <c r="J344">
        <v>40</v>
      </c>
      <c r="K344">
        <v>41</v>
      </c>
      <c r="L344">
        <v>46</v>
      </c>
      <c r="M344">
        <v>59</v>
      </c>
      <c r="N344">
        <f t="shared" si="15"/>
        <v>28.299999999999997</v>
      </c>
      <c r="O344" cm="1">
        <f t="array" ref="O344">SUM(_xlfn.XLOOKUP(E344:H344, $V$13:$V$17, $U$13:$U$17))</f>
        <v>8</v>
      </c>
      <c r="P344">
        <f t="shared" si="16"/>
        <v>5</v>
      </c>
      <c r="Q344" s="1">
        <f t="shared" si="17"/>
        <v>41.3</v>
      </c>
    </row>
    <row r="345" spans="1:17" x14ac:dyDescent="0.25">
      <c r="A345" s="1" t="s">
        <v>479</v>
      </c>
      <c r="B345" s="1" t="s">
        <v>30</v>
      </c>
      <c r="C345">
        <v>7</v>
      </c>
      <c r="D345">
        <v>4</v>
      </c>
      <c r="E345">
        <v>4</v>
      </c>
      <c r="F345">
        <v>6</v>
      </c>
      <c r="G345">
        <v>5</v>
      </c>
      <c r="H345">
        <v>5</v>
      </c>
      <c r="I345">
        <v>10</v>
      </c>
      <c r="J345">
        <v>32</v>
      </c>
      <c r="K345">
        <v>73</v>
      </c>
      <c r="L345">
        <v>96</v>
      </c>
      <c r="M345">
        <v>29</v>
      </c>
      <c r="N345">
        <f t="shared" si="15"/>
        <v>24</v>
      </c>
      <c r="O345" cm="1">
        <f t="array" ref="O345">SUM(_xlfn.XLOOKUP(E345:H345, $V$13:$V$17, $U$13:$U$17))</f>
        <v>32</v>
      </c>
      <c r="P345">
        <f t="shared" si="16"/>
        <v>7</v>
      </c>
      <c r="Q345" s="1">
        <f t="shared" si="17"/>
        <v>63</v>
      </c>
    </row>
    <row r="346" spans="1:17" x14ac:dyDescent="0.25">
      <c r="A346" s="1" t="s">
        <v>480</v>
      </c>
      <c r="B346" s="1" t="s">
        <v>477</v>
      </c>
      <c r="C346">
        <v>3</v>
      </c>
      <c r="D346">
        <v>2</v>
      </c>
      <c r="E346">
        <v>5</v>
      </c>
      <c r="F346">
        <v>5</v>
      </c>
      <c r="G346">
        <v>4</v>
      </c>
      <c r="H346">
        <v>5</v>
      </c>
      <c r="I346">
        <v>91</v>
      </c>
      <c r="J346">
        <v>53</v>
      </c>
      <c r="K346">
        <v>13</v>
      </c>
      <c r="L346">
        <v>58</v>
      </c>
      <c r="M346">
        <v>75</v>
      </c>
      <c r="N346">
        <f t="shared" si="15"/>
        <v>29</v>
      </c>
      <c r="O346" cm="1">
        <f t="array" ref="O346">SUM(_xlfn.XLOOKUP(E346:H346, $V$13:$V$17, $U$13:$U$17))</f>
        <v>30</v>
      </c>
      <c r="P346">
        <f t="shared" si="16"/>
        <v>3</v>
      </c>
      <c r="Q346" s="1">
        <f t="shared" si="17"/>
        <v>62</v>
      </c>
    </row>
    <row r="347" spans="1:17" x14ac:dyDescent="0.25">
      <c r="A347" s="1" t="s">
        <v>481</v>
      </c>
      <c r="B347" s="1" t="s">
        <v>61</v>
      </c>
      <c r="C347">
        <v>5</v>
      </c>
      <c r="D347">
        <v>4</v>
      </c>
      <c r="E347">
        <v>6</v>
      </c>
      <c r="F347">
        <v>5</v>
      </c>
      <c r="G347">
        <v>2</v>
      </c>
      <c r="H347">
        <v>3</v>
      </c>
      <c r="I347">
        <v>21</v>
      </c>
      <c r="J347">
        <v>48</v>
      </c>
      <c r="K347">
        <v>45</v>
      </c>
      <c r="L347">
        <v>1</v>
      </c>
      <c r="M347">
        <v>51</v>
      </c>
      <c r="N347">
        <f t="shared" si="15"/>
        <v>16.600000000000001</v>
      </c>
      <c r="O347" cm="1">
        <f t="array" ref="O347">SUM(_xlfn.XLOOKUP(E347:H347, $V$13:$V$17, $U$13:$U$17))</f>
        <v>22</v>
      </c>
      <c r="P347">
        <f t="shared" si="16"/>
        <v>5</v>
      </c>
      <c r="Q347" s="1">
        <f t="shared" si="17"/>
        <v>43.6</v>
      </c>
    </row>
    <row r="348" spans="1:17" x14ac:dyDescent="0.25">
      <c r="A348" s="1" t="s">
        <v>482</v>
      </c>
      <c r="B348" s="1" t="s">
        <v>311</v>
      </c>
      <c r="C348">
        <v>2</v>
      </c>
      <c r="D348">
        <v>2</v>
      </c>
      <c r="E348">
        <v>5</v>
      </c>
      <c r="F348">
        <v>2</v>
      </c>
      <c r="G348">
        <v>4</v>
      </c>
      <c r="H348">
        <v>4</v>
      </c>
      <c r="I348">
        <v>83</v>
      </c>
      <c r="J348">
        <v>28</v>
      </c>
      <c r="K348">
        <v>43</v>
      </c>
      <c r="L348">
        <v>19</v>
      </c>
      <c r="M348">
        <v>83</v>
      </c>
      <c r="N348">
        <f t="shared" si="15"/>
        <v>25.6</v>
      </c>
      <c r="O348" cm="1">
        <f t="array" ref="O348">SUM(_xlfn.XLOOKUP(E348:H348, $V$13:$V$17, $U$13:$U$17))</f>
        <v>20</v>
      </c>
      <c r="P348">
        <f t="shared" si="16"/>
        <v>2</v>
      </c>
      <c r="Q348" s="1">
        <f t="shared" si="17"/>
        <v>47.6</v>
      </c>
    </row>
    <row r="349" spans="1:17" x14ac:dyDescent="0.25">
      <c r="A349" s="1" t="s">
        <v>483</v>
      </c>
      <c r="B349" s="1" t="s">
        <v>133</v>
      </c>
      <c r="C349">
        <v>2</v>
      </c>
      <c r="D349">
        <v>4</v>
      </c>
      <c r="E349">
        <v>4</v>
      </c>
      <c r="F349">
        <v>3</v>
      </c>
      <c r="G349">
        <v>3</v>
      </c>
      <c r="H349">
        <v>6</v>
      </c>
      <c r="I349">
        <v>97</v>
      </c>
      <c r="J349">
        <v>80</v>
      </c>
      <c r="K349">
        <v>54</v>
      </c>
      <c r="L349">
        <v>78</v>
      </c>
      <c r="M349">
        <v>43</v>
      </c>
      <c r="N349">
        <f t="shared" si="15"/>
        <v>35.200000000000003</v>
      </c>
      <c r="O349" cm="1">
        <f t="array" ref="O349">SUM(_xlfn.XLOOKUP(E349:H349, $V$13:$V$17, $U$13:$U$17))</f>
        <v>24</v>
      </c>
      <c r="P349">
        <f t="shared" si="16"/>
        <v>2</v>
      </c>
      <c r="Q349" s="1">
        <f t="shared" si="17"/>
        <v>61.2</v>
      </c>
    </row>
    <row r="350" spans="1:17" x14ac:dyDescent="0.25">
      <c r="A350" s="1" t="s">
        <v>484</v>
      </c>
      <c r="B350" s="1" t="s">
        <v>101</v>
      </c>
      <c r="C350">
        <v>2</v>
      </c>
      <c r="D350">
        <v>5</v>
      </c>
      <c r="E350">
        <v>2</v>
      </c>
      <c r="F350">
        <v>3</v>
      </c>
      <c r="G350">
        <v>5</v>
      </c>
      <c r="H350">
        <v>2</v>
      </c>
      <c r="I350">
        <v>26</v>
      </c>
      <c r="J350">
        <v>31</v>
      </c>
      <c r="K350">
        <v>88</v>
      </c>
      <c r="L350">
        <v>98</v>
      </c>
      <c r="M350">
        <v>45</v>
      </c>
      <c r="N350">
        <f t="shared" si="15"/>
        <v>28.8</v>
      </c>
      <c r="O350" cm="1">
        <f t="array" ref="O350">SUM(_xlfn.XLOOKUP(E350:H350, $V$13:$V$17, $U$13:$U$17))</f>
        <v>12</v>
      </c>
      <c r="P350">
        <f t="shared" si="16"/>
        <v>2</v>
      </c>
      <c r="Q350" s="1">
        <f t="shared" si="17"/>
        <v>42.8</v>
      </c>
    </row>
    <row r="351" spans="1:17" x14ac:dyDescent="0.25">
      <c r="A351" s="1" t="s">
        <v>485</v>
      </c>
      <c r="B351" s="1" t="s">
        <v>58</v>
      </c>
      <c r="C351">
        <v>7</v>
      </c>
      <c r="D351">
        <v>6</v>
      </c>
      <c r="E351">
        <v>4</v>
      </c>
      <c r="F351">
        <v>5</v>
      </c>
      <c r="G351">
        <v>4</v>
      </c>
      <c r="H351">
        <v>3</v>
      </c>
      <c r="I351">
        <v>17</v>
      </c>
      <c r="J351">
        <v>54</v>
      </c>
      <c r="K351">
        <v>78</v>
      </c>
      <c r="L351">
        <v>68</v>
      </c>
      <c r="M351">
        <v>41</v>
      </c>
      <c r="N351">
        <f t="shared" si="15"/>
        <v>25.799999999999997</v>
      </c>
      <c r="O351" cm="1">
        <f t="array" ref="O351">SUM(_xlfn.XLOOKUP(E351:H351, $V$13:$V$17, $U$13:$U$17))</f>
        <v>24</v>
      </c>
      <c r="P351">
        <f t="shared" si="16"/>
        <v>9</v>
      </c>
      <c r="Q351" s="1">
        <f t="shared" si="17"/>
        <v>58.8</v>
      </c>
    </row>
    <row r="352" spans="1:17" x14ac:dyDescent="0.25">
      <c r="A352" s="1" t="s">
        <v>486</v>
      </c>
      <c r="B352" s="1" t="s">
        <v>70</v>
      </c>
      <c r="C352">
        <v>0</v>
      </c>
      <c r="D352">
        <v>2</v>
      </c>
      <c r="E352">
        <v>5</v>
      </c>
      <c r="F352">
        <v>3</v>
      </c>
      <c r="G352">
        <v>6</v>
      </c>
      <c r="H352">
        <v>6</v>
      </c>
      <c r="I352">
        <v>5</v>
      </c>
      <c r="J352">
        <v>93</v>
      </c>
      <c r="K352">
        <v>4</v>
      </c>
      <c r="L352">
        <v>59</v>
      </c>
      <c r="M352">
        <v>71</v>
      </c>
      <c r="N352">
        <f t="shared" si="15"/>
        <v>23.200000000000003</v>
      </c>
      <c r="O352" cm="1">
        <f t="array" ref="O352">SUM(_xlfn.XLOOKUP(E352:H352, $V$13:$V$17, $U$13:$U$17))</f>
        <v>32</v>
      </c>
      <c r="P352">
        <f t="shared" si="16"/>
        <v>0</v>
      </c>
      <c r="Q352" s="1">
        <f t="shared" si="17"/>
        <v>55.2</v>
      </c>
    </row>
    <row r="353" spans="1:17" x14ac:dyDescent="0.25">
      <c r="A353" s="1" t="s">
        <v>487</v>
      </c>
      <c r="B353" s="1" t="s">
        <v>76</v>
      </c>
      <c r="C353">
        <v>3</v>
      </c>
      <c r="D353">
        <v>5</v>
      </c>
      <c r="E353">
        <v>3</v>
      </c>
      <c r="F353">
        <v>3</v>
      </c>
      <c r="G353">
        <v>6</v>
      </c>
      <c r="H353">
        <v>4</v>
      </c>
      <c r="I353">
        <v>78</v>
      </c>
      <c r="J353">
        <v>80</v>
      </c>
      <c r="K353">
        <v>56</v>
      </c>
      <c r="L353">
        <v>31</v>
      </c>
      <c r="M353">
        <v>81</v>
      </c>
      <c r="N353">
        <f t="shared" si="15"/>
        <v>32.6</v>
      </c>
      <c r="O353" cm="1">
        <f t="array" ref="O353">SUM(_xlfn.XLOOKUP(E353:H353, $V$13:$V$17, $U$13:$U$17))</f>
        <v>24</v>
      </c>
      <c r="P353">
        <f t="shared" si="16"/>
        <v>3</v>
      </c>
      <c r="Q353" s="1">
        <f t="shared" si="17"/>
        <v>59.6</v>
      </c>
    </row>
    <row r="354" spans="1:17" x14ac:dyDescent="0.25">
      <c r="A354" s="1" t="s">
        <v>488</v>
      </c>
      <c r="B354" s="1" t="s">
        <v>489</v>
      </c>
      <c r="C354">
        <v>6</v>
      </c>
      <c r="D354">
        <v>6</v>
      </c>
      <c r="E354">
        <v>6</v>
      </c>
      <c r="F354">
        <v>4</v>
      </c>
      <c r="G354">
        <v>6</v>
      </c>
      <c r="H354">
        <v>4</v>
      </c>
      <c r="I354">
        <v>64</v>
      </c>
      <c r="J354">
        <v>18</v>
      </c>
      <c r="K354">
        <v>23</v>
      </c>
      <c r="L354">
        <v>81</v>
      </c>
      <c r="M354">
        <v>18</v>
      </c>
      <c r="N354">
        <f t="shared" si="15"/>
        <v>20.400000000000002</v>
      </c>
      <c r="O354" cm="1">
        <f t="array" ref="O354">SUM(_xlfn.XLOOKUP(E354:H354, $V$13:$V$17, $U$13:$U$17))</f>
        <v>32</v>
      </c>
      <c r="P354">
        <f t="shared" si="16"/>
        <v>8</v>
      </c>
      <c r="Q354" s="1">
        <f t="shared" si="17"/>
        <v>60.400000000000006</v>
      </c>
    </row>
    <row r="355" spans="1:17" x14ac:dyDescent="0.25">
      <c r="A355" s="1" t="s">
        <v>490</v>
      </c>
      <c r="B355" s="1" t="s">
        <v>38</v>
      </c>
      <c r="C355">
        <v>2</v>
      </c>
      <c r="D355">
        <v>4</v>
      </c>
      <c r="E355">
        <v>3</v>
      </c>
      <c r="F355">
        <v>5</v>
      </c>
      <c r="G355">
        <v>2</v>
      </c>
      <c r="H355">
        <v>3</v>
      </c>
      <c r="I355">
        <v>96</v>
      </c>
      <c r="J355">
        <v>32</v>
      </c>
      <c r="K355">
        <v>73</v>
      </c>
      <c r="L355">
        <v>7</v>
      </c>
      <c r="M355">
        <v>74</v>
      </c>
      <c r="N355">
        <f t="shared" si="15"/>
        <v>28.200000000000003</v>
      </c>
      <c r="O355" cm="1">
        <f t="array" ref="O355">SUM(_xlfn.XLOOKUP(E355:H355, $V$13:$V$17, $U$13:$U$17))</f>
        <v>16</v>
      </c>
      <c r="P355">
        <f t="shared" si="16"/>
        <v>2</v>
      </c>
      <c r="Q355" s="1">
        <f t="shared" si="17"/>
        <v>46.2</v>
      </c>
    </row>
    <row r="356" spans="1:17" x14ac:dyDescent="0.25">
      <c r="A356" s="1" t="s">
        <v>491</v>
      </c>
      <c r="B356" s="1" t="s">
        <v>340</v>
      </c>
      <c r="C356">
        <v>6</v>
      </c>
      <c r="D356">
        <v>6</v>
      </c>
      <c r="E356">
        <v>5</v>
      </c>
      <c r="F356">
        <v>5</v>
      </c>
      <c r="G356">
        <v>3</v>
      </c>
      <c r="H356">
        <v>6</v>
      </c>
      <c r="I356">
        <v>85</v>
      </c>
      <c r="J356">
        <v>35</v>
      </c>
      <c r="K356">
        <v>70</v>
      </c>
      <c r="L356">
        <v>99</v>
      </c>
      <c r="M356">
        <v>85</v>
      </c>
      <c r="N356">
        <f t="shared" si="15"/>
        <v>37.4</v>
      </c>
      <c r="O356" cm="1">
        <f t="array" ref="O356">SUM(_xlfn.XLOOKUP(E356:H356, $V$13:$V$17, $U$13:$U$17))</f>
        <v>30</v>
      </c>
      <c r="P356">
        <f t="shared" si="16"/>
        <v>8</v>
      </c>
      <c r="Q356" s="1">
        <f t="shared" si="17"/>
        <v>75.400000000000006</v>
      </c>
    </row>
    <row r="357" spans="1:17" x14ac:dyDescent="0.25">
      <c r="A357" s="1" t="s">
        <v>492</v>
      </c>
      <c r="B357" s="1" t="s">
        <v>90</v>
      </c>
      <c r="C357">
        <v>4</v>
      </c>
      <c r="D357">
        <v>2</v>
      </c>
      <c r="E357">
        <v>4</v>
      </c>
      <c r="F357">
        <v>5</v>
      </c>
      <c r="G357">
        <v>4</v>
      </c>
      <c r="H357">
        <v>2</v>
      </c>
      <c r="I357">
        <v>17</v>
      </c>
      <c r="J357">
        <v>17</v>
      </c>
      <c r="K357">
        <v>92</v>
      </c>
      <c r="L357">
        <v>6</v>
      </c>
      <c r="M357">
        <v>64</v>
      </c>
      <c r="N357">
        <f t="shared" si="15"/>
        <v>19.600000000000001</v>
      </c>
      <c r="O357" cm="1">
        <f t="array" ref="O357">SUM(_xlfn.XLOOKUP(E357:H357, $V$13:$V$17, $U$13:$U$17))</f>
        <v>20</v>
      </c>
      <c r="P357">
        <f t="shared" si="16"/>
        <v>4</v>
      </c>
      <c r="Q357" s="1">
        <f t="shared" si="17"/>
        <v>43.6</v>
      </c>
    </row>
    <row r="358" spans="1:17" x14ac:dyDescent="0.25">
      <c r="A358" s="1" t="s">
        <v>493</v>
      </c>
      <c r="B358" s="1" t="s">
        <v>180</v>
      </c>
      <c r="C358">
        <v>4</v>
      </c>
      <c r="D358">
        <v>2</v>
      </c>
      <c r="E358">
        <v>4</v>
      </c>
      <c r="F358">
        <v>2</v>
      </c>
      <c r="G358">
        <v>5</v>
      </c>
      <c r="H358">
        <v>4</v>
      </c>
      <c r="I358">
        <v>62</v>
      </c>
      <c r="J358">
        <v>3</v>
      </c>
      <c r="K358">
        <v>84</v>
      </c>
      <c r="L358">
        <v>48</v>
      </c>
      <c r="M358">
        <v>94</v>
      </c>
      <c r="N358">
        <f t="shared" si="15"/>
        <v>29.1</v>
      </c>
      <c r="O358" cm="1">
        <f t="array" ref="O358">SUM(_xlfn.XLOOKUP(E358:H358, $V$13:$V$17, $U$13:$U$17))</f>
        <v>20</v>
      </c>
      <c r="P358">
        <f t="shared" si="16"/>
        <v>4</v>
      </c>
      <c r="Q358" s="1">
        <f t="shared" si="17"/>
        <v>53.1</v>
      </c>
    </row>
    <row r="359" spans="1:17" x14ac:dyDescent="0.25">
      <c r="A359" s="1" t="s">
        <v>494</v>
      </c>
      <c r="B359" s="1" t="s">
        <v>495</v>
      </c>
      <c r="C359">
        <v>4</v>
      </c>
      <c r="D359">
        <v>5</v>
      </c>
      <c r="E359">
        <v>5</v>
      </c>
      <c r="F359">
        <v>6</v>
      </c>
      <c r="G359">
        <v>2</v>
      </c>
      <c r="H359">
        <v>3</v>
      </c>
      <c r="I359">
        <v>35</v>
      </c>
      <c r="J359">
        <v>49</v>
      </c>
      <c r="K359">
        <v>59</v>
      </c>
      <c r="L359">
        <v>44</v>
      </c>
      <c r="M359">
        <v>68</v>
      </c>
      <c r="N359">
        <f t="shared" si="15"/>
        <v>25.500000000000004</v>
      </c>
      <c r="O359" cm="1">
        <f t="array" ref="O359">SUM(_xlfn.XLOOKUP(E359:H359, $V$13:$V$17, $U$13:$U$17))</f>
        <v>22</v>
      </c>
      <c r="P359">
        <f t="shared" si="16"/>
        <v>4</v>
      </c>
      <c r="Q359" s="1">
        <f t="shared" si="17"/>
        <v>51.5</v>
      </c>
    </row>
    <row r="360" spans="1:17" x14ac:dyDescent="0.25">
      <c r="A360" s="1" t="s">
        <v>496</v>
      </c>
      <c r="B360" s="1" t="s">
        <v>369</v>
      </c>
      <c r="C360">
        <v>7</v>
      </c>
      <c r="D360">
        <v>3</v>
      </c>
      <c r="E360">
        <v>6</v>
      </c>
      <c r="F360">
        <v>2</v>
      </c>
      <c r="G360">
        <v>6</v>
      </c>
      <c r="H360">
        <v>5</v>
      </c>
      <c r="I360">
        <v>20</v>
      </c>
      <c r="J360">
        <v>58</v>
      </c>
      <c r="K360">
        <v>93</v>
      </c>
      <c r="L360">
        <v>53</v>
      </c>
      <c r="M360">
        <v>35</v>
      </c>
      <c r="N360">
        <f t="shared" si="15"/>
        <v>25.900000000000002</v>
      </c>
      <c r="O360" cm="1">
        <f t="array" ref="O360">SUM(_xlfn.XLOOKUP(E360:H360, $V$13:$V$17, $U$13:$U$17))</f>
        <v>28</v>
      </c>
      <c r="P360">
        <f t="shared" si="16"/>
        <v>7</v>
      </c>
      <c r="Q360" s="1">
        <f t="shared" si="17"/>
        <v>60.900000000000006</v>
      </c>
    </row>
    <row r="361" spans="1:17" x14ac:dyDescent="0.25">
      <c r="A361" s="1" t="s">
        <v>497</v>
      </c>
      <c r="B361" s="1" t="s">
        <v>498</v>
      </c>
      <c r="C361">
        <v>5</v>
      </c>
      <c r="D361">
        <v>6</v>
      </c>
      <c r="E361">
        <v>2</v>
      </c>
      <c r="F361">
        <v>3</v>
      </c>
      <c r="G361">
        <v>4</v>
      </c>
      <c r="H361">
        <v>3</v>
      </c>
      <c r="I361">
        <v>2</v>
      </c>
      <c r="J361">
        <v>97</v>
      </c>
      <c r="K361">
        <v>14</v>
      </c>
      <c r="L361">
        <v>81</v>
      </c>
      <c r="M361">
        <v>38</v>
      </c>
      <c r="N361">
        <f t="shared" si="15"/>
        <v>23.2</v>
      </c>
      <c r="O361" cm="1">
        <f t="array" ref="O361">SUM(_xlfn.XLOOKUP(E361:H361, $V$13:$V$17, $U$13:$U$17))</f>
        <v>14</v>
      </c>
      <c r="P361">
        <f t="shared" si="16"/>
        <v>7</v>
      </c>
      <c r="Q361" s="1">
        <f t="shared" si="17"/>
        <v>44.2</v>
      </c>
    </row>
    <row r="362" spans="1:17" x14ac:dyDescent="0.25">
      <c r="A362" s="1" t="s">
        <v>499</v>
      </c>
      <c r="B362" s="1" t="s">
        <v>498</v>
      </c>
      <c r="C362">
        <v>4</v>
      </c>
      <c r="D362">
        <v>6</v>
      </c>
      <c r="E362">
        <v>2</v>
      </c>
      <c r="F362">
        <v>6</v>
      </c>
      <c r="G362">
        <v>4</v>
      </c>
      <c r="H362">
        <v>5</v>
      </c>
      <c r="I362">
        <v>98</v>
      </c>
      <c r="J362">
        <v>42</v>
      </c>
      <c r="K362">
        <v>49</v>
      </c>
      <c r="L362">
        <v>83</v>
      </c>
      <c r="M362">
        <v>32</v>
      </c>
      <c r="N362">
        <f t="shared" si="15"/>
        <v>30.4</v>
      </c>
      <c r="O362" cm="1">
        <f t="array" ref="O362">SUM(_xlfn.XLOOKUP(E362:H362, $V$13:$V$17, $U$13:$U$17))</f>
        <v>24</v>
      </c>
      <c r="P362">
        <f t="shared" si="16"/>
        <v>6</v>
      </c>
      <c r="Q362" s="1">
        <f t="shared" si="17"/>
        <v>60.4</v>
      </c>
    </row>
    <row r="363" spans="1:17" x14ac:dyDescent="0.25">
      <c r="A363" s="1" t="s">
        <v>500</v>
      </c>
      <c r="B363" s="1" t="s">
        <v>121</v>
      </c>
      <c r="C363">
        <v>7</v>
      </c>
      <c r="D363">
        <v>5</v>
      </c>
      <c r="E363">
        <v>5</v>
      </c>
      <c r="F363">
        <v>4</v>
      </c>
      <c r="G363">
        <v>5</v>
      </c>
      <c r="H363">
        <v>6</v>
      </c>
      <c r="I363">
        <v>97</v>
      </c>
      <c r="J363">
        <v>45</v>
      </c>
      <c r="K363">
        <v>42</v>
      </c>
      <c r="L363">
        <v>25</v>
      </c>
      <c r="M363">
        <v>51</v>
      </c>
      <c r="N363">
        <f t="shared" si="15"/>
        <v>26</v>
      </c>
      <c r="O363" cm="1">
        <f t="array" ref="O363">SUM(_xlfn.XLOOKUP(E363:H363, $V$13:$V$17, $U$13:$U$17))</f>
        <v>32</v>
      </c>
      <c r="P363">
        <f t="shared" si="16"/>
        <v>7</v>
      </c>
      <c r="Q363" s="1">
        <f t="shared" si="17"/>
        <v>65</v>
      </c>
    </row>
    <row r="364" spans="1:17" x14ac:dyDescent="0.25">
      <c r="A364" s="1" t="s">
        <v>501</v>
      </c>
      <c r="B364" s="1" t="s">
        <v>18</v>
      </c>
      <c r="C364">
        <v>8</v>
      </c>
      <c r="D364">
        <v>3</v>
      </c>
      <c r="E364">
        <v>2</v>
      </c>
      <c r="F364">
        <v>2</v>
      </c>
      <c r="G364">
        <v>4</v>
      </c>
      <c r="H364">
        <v>2</v>
      </c>
      <c r="I364">
        <v>54</v>
      </c>
      <c r="J364">
        <v>48</v>
      </c>
      <c r="K364">
        <v>35</v>
      </c>
      <c r="L364">
        <v>28</v>
      </c>
      <c r="M364">
        <v>35</v>
      </c>
      <c r="N364">
        <f t="shared" si="15"/>
        <v>20</v>
      </c>
      <c r="O364" cm="1">
        <f t="array" ref="O364">SUM(_xlfn.XLOOKUP(E364:H364, $V$13:$V$17, $U$13:$U$17))</f>
        <v>6</v>
      </c>
      <c r="P364">
        <f t="shared" si="16"/>
        <v>8</v>
      </c>
      <c r="Q364" s="1">
        <f t="shared" si="17"/>
        <v>34</v>
      </c>
    </row>
    <row r="365" spans="1:17" x14ac:dyDescent="0.25">
      <c r="A365" s="1" t="s">
        <v>502</v>
      </c>
      <c r="B365" s="1" t="s">
        <v>503</v>
      </c>
      <c r="C365">
        <v>5</v>
      </c>
      <c r="D365">
        <v>2</v>
      </c>
      <c r="E365">
        <v>6</v>
      </c>
      <c r="F365">
        <v>3</v>
      </c>
      <c r="G365">
        <v>2</v>
      </c>
      <c r="H365">
        <v>5</v>
      </c>
      <c r="I365">
        <v>35</v>
      </c>
      <c r="J365">
        <v>56</v>
      </c>
      <c r="K365">
        <v>6</v>
      </c>
      <c r="L365">
        <v>84</v>
      </c>
      <c r="M365">
        <v>54</v>
      </c>
      <c r="N365">
        <f t="shared" si="15"/>
        <v>23.5</v>
      </c>
      <c r="O365" cm="1">
        <f t="array" ref="O365">SUM(_xlfn.XLOOKUP(E365:H365, $V$13:$V$17, $U$13:$U$17))</f>
        <v>22</v>
      </c>
      <c r="P365">
        <f t="shared" si="16"/>
        <v>5</v>
      </c>
      <c r="Q365" s="1">
        <f t="shared" si="17"/>
        <v>50.5</v>
      </c>
    </row>
    <row r="366" spans="1:17" x14ac:dyDescent="0.25">
      <c r="A366" s="1" t="s">
        <v>504</v>
      </c>
      <c r="B366" s="1" t="s">
        <v>367</v>
      </c>
      <c r="C366">
        <v>0</v>
      </c>
      <c r="D366">
        <v>2</v>
      </c>
      <c r="E366">
        <v>5</v>
      </c>
      <c r="F366">
        <v>6</v>
      </c>
      <c r="G366">
        <v>6</v>
      </c>
      <c r="H366">
        <v>3</v>
      </c>
      <c r="I366">
        <v>36</v>
      </c>
      <c r="J366">
        <v>94</v>
      </c>
      <c r="K366">
        <v>52</v>
      </c>
      <c r="L366">
        <v>50</v>
      </c>
      <c r="M366">
        <v>57</v>
      </c>
      <c r="N366">
        <f t="shared" si="15"/>
        <v>28.9</v>
      </c>
      <c r="O366" cm="1">
        <f t="array" ref="O366">SUM(_xlfn.XLOOKUP(E366:H366, $V$13:$V$17, $U$13:$U$17))</f>
        <v>32</v>
      </c>
      <c r="P366">
        <f t="shared" si="16"/>
        <v>0</v>
      </c>
      <c r="Q366" s="1">
        <f t="shared" si="17"/>
        <v>60.9</v>
      </c>
    </row>
    <row r="367" spans="1:17" x14ac:dyDescent="0.25">
      <c r="A367" s="1" t="s">
        <v>505</v>
      </c>
      <c r="B367" s="1" t="s">
        <v>506</v>
      </c>
      <c r="C367">
        <v>2</v>
      </c>
      <c r="D367">
        <v>3</v>
      </c>
      <c r="E367">
        <v>2</v>
      </c>
      <c r="F367">
        <v>2</v>
      </c>
      <c r="G367">
        <v>5</v>
      </c>
      <c r="H367">
        <v>6</v>
      </c>
      <c r="I367">
        <v>100</v>
      </c>
      <c r="J367">
        <v>48</v>
      </c>
      <c r="K367">
        <v>88</v>
      </c>
      <c r="L367">
        <v>48</v>
      </c>
      <c r="M367">
        <v>8</v>
      </c>
      <c r="N367">
        <f t="shared" si="15"/>
        <v>29.200000000000003</v>
      </c>
      <c r="O367" cm="1">
        <f t="array" ref="O367">SUM(_xlfn.XLOOKUP(E367:H367, $V$13:$V$17, $U$13:$U$17))</f>
        <v>18</v>
      </c>
      <c r="P367">
        <f t="shared" si="16"/>
        <v>2</v>
      </c>
      <c r="Q367" s="1">
        <f t="shared" si="17"/>
        <v>49.2</v>
      </c>
    </row>
    <row r="368" spans="1:17" x14ac:dyDescent="0.25">
      <c r="A368" s="1" t="s">
        <v>507</v>
      </c>
      <c r="B368" s="1" t="s">
        <v>508</v>
      </c>
      <c r="C368">
        <v>1</v>
      </c>
      <c r="D368">
        <v>3</v>
      </c>
      <c r="E368">
        <v>4</v>
      </c>
      <c r="F368">
        <v>3</v>
      </c>
      <c r="G368">
        <v>5</v>
      </c>
      <c r="H368">
        <v>6</v>
      </c>
      <c r="I368">
        <v>89</v>
      </c>
      <c r="J368">
        <v>70</v>
      </c>
      <c r="K368">
        <v>58</v>
      </c>
      <c r="L368">
        <v>39</v>
      </c>
      <c r="M368">
        <v>43</v>
      </c>
      <c r="N368">
        <f t="shared" si="15"/>
        <v>29.9</v>
      </c>
      <c r="O368" cm="1">
        <f t="array" ref="O368">SUM(_xlfn.XLOOKUP(E368:H368, $V$13:$V$17, $U$13:$U$17))</f>
        <v>28</v>
      </c>
      <c r="P368">
        <f t="shared" si="16"/>
        <v>1</v>
      </c>
      <c r="Q368" s="1">
        <f t="shared" si="17"/>
        <v>58.9</v>
      </c>
    </row>
    <row r="369" spans="1:17" x14ac:dyDescent="0.25">
      <c r="A369" s="1" t="s">
        <v>509</v>
      </c>
      <c r="B369" s="1" t="s">
        <v>188</v>
      </c>
      <c r="C369">
        <v>0</v>
      </c>
      <c r="D369">
        <v>6</v>
      </c>
      <c r="E369">
        <v>2</v>
      </c>
      <c r="F369">
        <v>2</v>
      </c>
      <c r="G369">
        <v>6</v>
      </c>
      <c r="H369">
        <v>2</v>
      </c>
      <c r="I369">
        <v>21</v>
      </c>
      <c r="J369">
        <v>80</v>
      </c>
      <c r="K369">
        <v>59</v>
      </c>
      <c r="L369">
        <v>35</v>
      </c>
      <c r="M369">
        <v>12</v>
      </c>
      <c r="N369">
        <f t="shared" si="15"/>
        <v>20.7</v>
      </c>
      <c r="O369" cm="1">
        <f t="array" ref="O369">SUM(_xlfn.XLOOKUP(E369:H369, $V$13:$V$17, $U$13:$U$17))</f>
        <v>10</v>
      </c>
      <c r="P369">
        <f t="shared" si="16"/>
        <v>2</v>
      </c>
      <c r="Q369" s="1">
        <f t="shared" si="17"/>
        <v>32.700000000000003</v>
      </c>
    </row>
    <row r="370" spans="1:17" x14ac:dyDescent="0.25">
      <c r="A370" s="1" t="s">
        <v>510</v>
      </c>
      <c r="B370" s="1" t="s">
        <v>188</v>
      </c>
      <c r="C370">
        <v>1</v>
      </c>
      <c r="D370">
        <v>3</v>
      </c>
      <c r="E370">
        <v>2</v>
      </c>
      <c r="F370">
        <v>5</v>
      </c>
      <c r="G370">
        <v>4</v>
      </c>
      <c r="H370">
        <v>4</v>
      </c>
      <c r="I370">
        <v>38</v>
      </c>
      <c r="J370">
        <v>5</v>
      </c>
      <c r="K370">
        <v>69</v>
      </c>
      <c r="L370">
        <v>94</v>
      </c>
      <c r="M370">
        <v>25</v>
      </c>
      <c r="N370">
        <f t="shared" si="15"/>
        <v>23.1</v>
      </c>
      <c r="O370" cm="1">
        <f t="array" ref="O370">SUM(_xlfn.XLOOKUP(E370:H370, $V$13:$V$17, $U$13:$U$17))</f>
        <v>20</v>
      </c>
      <c r="P370">
        <f t="shared" si="16"/>
        <v>1</v>
      </c>
      <c r="Q370" s="1">
        <f t="shared" si="17"/>
        <v>44.1</v>
      </c>
    </row>
    <row r="371" spans="1:17" x14ac:dyDescent="0.25">
      <c r="A371" s="1" t="s">
        <v>511</v>
      </c>
      <c r="B371" s="1" t="s">
        <v>311</v>
      </c>
      <c r="C371">
        <v>8</v>
      </c>
      <c r="D371">
        <v>4</v>
      </c>
      <c r="E371">
        <v>5</v>
      </c>
      <c r="F371">
        <v>4</v>
      </c>
      <c r="G371">
        <v>5</v>
      </c>
      <c r="H371">
        <v>3</v>
      </c>
      <c r="I371">
        <v>24</v>
      </c>
      <c r="J371">
        <v>47</v>
      </c>
      <c r="K371">
        <v>99</v>
      </c>
      <c r="L371">
        <v>64</v>
      </c>
      <c r="M371">
        <v>11</v>
      </c>
      <c r="N371">
        <f t="shared" si="15"/>
        <v>24.5</v>
      </c>
      <c r="O371" cm="1">
        <f t="array" ref="O371">SUM(_xlfn.XLOOKUP(E371:H371, $V$13:$V$17, $U$13:$U$17))</f>
        <v>26</v>
      </c>
      <c r="P371">
        <f t="shared" si="16"/>
        <v>8</v>
      </c>
      <c r="Q371" s="1">
        <f t="shared" si="17"/>
        <v>58.5</v>
      </c>
    </row>
    <row r="372" spans="1:17" x14ac:dyDescent="0.25">
      <c r="A372" s="1" t="s">
        <v>512</v>
      </c>
      <c r="B372" s="1" t="s">
        <v>311</v>
      </c>
      <c r="C372">
        <v>3</v>
      </c>
      <c r="D372">
        <v>5</v>
      </c>
      <c r="E372">
        <v>2</v>
      </c>
      <c r="F372">
        <v>4</v>
      </c>
      <c r="G372">
        <v>5</v>
      </c>
      <c r="H372">
        <v>4</v>
      </c>
      <c r="I372">
        <v>48</v>
      </c>
      <c r="J372">
        <v>100</v>
      </c>
      <c r="K372">
        <v>7</v>
      </c>
      <c r="L372">
        <v>64</v>
      </c>
      <c r="M372">
        <v>74</v>
      </c>
      <c r="N372">
        <f t="shared" si="15"/>
        <v>29.299999999999997</v>
      </c>
      <c r="O372" cm="1">
        <f t="array" ref="O372">SUM(_xlfn.XLOOKUP(E372:H372, $V$13:$V$17, $U$13:$U$17))</f>
        <v>20</v>
      </c>
      <c r="P372">
        <f t="shared" si="16"/>
        <v>3</v>
      </c>
      <c r="Q372" s="1">
        <f t="shared" si="17"/>
        <v>52.3</v>
      </c>
    </row>
    <row r="373" spans="1:17" x14ac:dyDescent="0.25">
      <c r="A373" s="1" t="s">
        <v>308</v>
      </c>
      <c r="B373" s="1" t="s">
        <v>30</v>
      </c>
      <c r="C373">
        <v>8</v>
      </c>
      <c r="D373">
        <v>3</v>
      </c>
      <c r="E373">
        <v>5</v>
      </c>
      <c r="F373">
        <v>2</v>
      </c>
      <c r="G373">
        <v>4</v>
      </c>
      <c r="H373">
        <v>6</v>
      </c>
      <c r="I373">
        <v>46</v>
      </c>
      <c r="J373">
        <v>88</v>
      </c>
      <c r="K373">
        <v>1</v>
      </c>
      <c r="L373">
        <v>49</v>
      </c>
      <c r="M373">
        <v>84</v>
      </c>
      <c r="N373">
        <f t="shared" si="15"/>
        <v>26.799999999999997</v>
      </c>
      <c r="O373" cm="1">
        <f t="array" ref="O373">SUM(_xlfn.XLOOKUP(E373:H373, $V$13:$V$17, $U$13:$U$17))</f>
        <v>24</v>
      </c>
      <c r="P373">
        <f t="shared" si="16"/>
        <v>8</v>
      </c>
      <c r="Q373" s="1">
        <f t="shared" si="17"/>
        <v>58.8</v>
      </c>
    </row>
    <row r="374" spans="1:17" x14ac:dyDescent="0.25">
      <c r="A374" s="1" t="s">
        <v>69</v>
      </c>
      <c r="B374" s="1" t="s">
        <v>70</v>
      </c>
      <c r="C374">
        <v>3</v>
      </c>
      <c r="D374">
        <v>5</v>
      </c>
      <c r="E374">
        <v>4</v>
      </c>
      <c r="F374">
        <v>4</v>
      </c>
      <c r="G374">
        <v>6</v>
      </c>
      <c r="H374">
        <v>4</v>
      </c>
      <c r="I374">
        <v>77</v>
      </c>
      <c r="J374">
        <v>80</v>
      </c>
      <c r="K374">
        <v>44</v>
      </c>
      <c r="L374">
        <v>96</v>
      </c>
      <c r="M374">
        <v>10</v>
      </c>
      <c r="N374">
        <f t="shared" si="15"/>
        <v>30.700000000000003</v>
      </c>
      <c r="O374" cm="1">
        <f t="array" ref="O374">SUM(_xlfn.XLOOKUP(E374:H374, $V$13:$V$17, $U$13:$U$17))</f>
        <v>28</v>
      </c>
      <c r="P374">
        <f t="shared" si="16"/>
        <v>3</v>
      </c>
      <c r="Q374" s="1">
        <f t="shared" si="17"/>
        <v>61.7</v>
      </c>
    </row>
    <row r="375" spans="1:17" x14ac:dyDescent="0.25">
      <c r="A375" s="1" t="s">
        <v>513</v>
      </c>
      <c r="B375" s="1" t="s">
        <v>48</v>
      </c>
      <c r="C375">
        <v>8</v>
      </c>
      <c r="D375">
        <v>3</v>
      </c>
      <c r="E375">
        <v>5</v>
      </c>
      <c r="F375">
        <v>3</v>
      </c>
      <c r="G375">
        <v>5</v>
      </c>
      <c r="H375">
        <v>3</v>
      </c>
      <c r="I375">
        <v>28</v>
      </c>
      <c r="J375">
        <v>5</v>
      </c>
      <c r="K375">
        <v>29</v>
      </c>
      <c r="L375">
        <v>7</v>
      </c>
      <c r="M375">
        <v>19</v>
      </c>
      <c r="N375">
        <f t="shared" si="15"/>
        <v>8.7999999999999989</v>
      </c>
      <c r="O375" cm="1">
        <f t="array" ref="O375">SUM(_xlfn.XLOOKUP(E375:H375, $V$13:$V$17, $U$13:$U$17))</f>
        <v>24</v>
      </c>
      <c r="P375">
        <f t="shared" si="16"/>
        <v>8</v>
      </c>
      <c r="Q375" s="1">
        <f t="shared" si="17"/>
        <v>40.799999999999997</v>
      </c>
    </row>
    <row r="376" spans="1:17" x14ac:dyDescent="0.25">
      <c r="A376" s="1" t="s">
        <v>514</v>
      </c>
      <c r="B376" s="1" t="s">
        <v>38</v>
      </c>
      <c r="C376">
        <v>0</v>
      </c>
      <c r="D376">
        <v>5</v>
      </c>
      <c r="E376">
        <v>5</v>
      </c>
      <c r="F376">
        <v>4</v>
      </c>
      <c r="G376">
        <v>5</v>
      </c>
      <c r="H376">
        <v>5</v>
      </c>
      <c r="I376">
        <v>100</v>
      </c>
      <c r="J376">
        <v>100</v>
      </c>
      <c r="K376">
        <v>68</v>
      </c>
      <c r="L376">
        <v>69</v>
      </c>
      <c r="M376">
        <v>46</v>
      </c>
      <c r="N376">
        <f t="shared" si="15"/>
        <v>38.300000000000004</v>
      </c>
      <c r="O376" cm="1">
        <f t="array" ref="O376">SUM(_xlfn.XLOOKUP(E376:H376, $V$13:$V$17, $U$13:$U$17))</f>
        <v>30</v>
      </c>
      <c r="P376">
        <f t="shared" si="16"/>
        <v>0</v>
      </c>
      <c r="Q376" s="1">
        <f t="shared" si="17"/>
        <v>68.300000000000011</v>
      </c>
    </row>
    <row r="377" spans="1:17" x14ac:dyDescent="0.25">
      <c r="A377" s="1" t="s">
        <v>411</v>
      </c>
      <c r="B377" s="1" t="s">
        <v>515</v>
      </c>
      <c r="C377">
        <v>0</v>
      </c>
      <c r="D377">
        <v>6</v>
      </c>
      <c r="E377">
        <v>6</v>
      </c>
      <c r="F377">
        <v>3</v>
      </c>
      <c r="G377">
        <v>4</v>
      </c>
      <c r="H377">
        <v>3</v>
      </c>
      <c r="I377">
        <v>86</v>
      </c>
      <c r="J377">
        <v>20</v>
      </c>
      <c r="K377">
        <v>40</v>
      </c>
      <c r="L377">
        <v>37</v>
      </c>
      <c r="M377">
        <v>24</v>
      </c>
      <c r="N377">
        <f t="shared" si="15"/>
        <v>20.7</v>
      </c>
      <c r="O377" cm="1">
        <f t="array" ref="O377">SUM(_xlfn.XLOOKUP(E377:H377, $V$13:$V$17, $U$13:$U$17))</f>
        <v>24</v>
      </c>
      <c r="P377">
        <f t="shared" si="16"/>
        <v>2</v>
      </c>
      <c r="Q377" s="1">
        <f t="shared" si="17"/>
        <v>46.7</v>
      </c>
    </row>
    <row r="378" spans="1:17" x14ac:dyDescent="0.25">
      <c r="A378" s="1" t="s">
        <v>516</v>
      </c>
      <c r="B378" s="1" t="s">
        <v>16</v>
      </c>
      <c r="C378">
        <v>8</v>
      </c>
      <c r="D378">
        <v>2</v>
      </c>
      <c r="E378">
        <v>4</v>
      </c>
      <c r="F378">
        <v>3</v>
      </c>
      <c r="G378">
        <v>2</v>
      </c>
      <c r="H378">
        <v>4</v>
      </c>
      <c r="I378">
        <v>37</v>
      </c>
      <c r="J378">
        <v>45</v>
      </c>
      <c r="K378">
        <v>53</v>
      </c>
      <c r="L378">
        <v>100</v>
      </c>
      <c r="M378">
        <v>63</v>
      </c>
      <c r="N378">
        <f t="shared" si="15"/>
        <v>29.8</v>
      </c>
      <c r="O378" cm="1">
        <f t="array" ref="O378">SUM(_xlfn.XLOOKUP(E378:H378, $V$13:$V$17, $U$13:$U$17))</f>
        <v>16</v>
      </c>
      <c r="P378">
        <f t="shared" si="16"/>
        <v>8</v>
      </c>
      <c r="Q378" s="1">
        <f t="shared" si="17"/>
        <v>53.8</v>
      </c>
    </row>
    <row r="379" spans="1:17" x14ac:dyDescent="0.25">
      <c r="A379" s="1" t="s">
        <v>517</v>
      </c>
      <c r="B379" s="1" t="s">
        <v>518</v>
      </c>
      <c r="C379">
        <v>5</v>
      </c>
      <c r="D379">
        <v>2</v>
      </c>
      <c r="E379">
        <v>4</v>
      </c>
      <c r="F379">
        <v>5</v>
      </c>
      <c r="G379">
        <v>2</v>
      </c>
      <c r="H379">
        <v>4</v>
      </c>
      <c r="I379">
        <v>63</v>
      </c>
      <c r="J379">
        <v>100</v>
      </c>
      <c r="K379">
        <v>26</v>
      </c>
      <c r="L379">
        <v>46</v>
      </c>
      <c r="M379">
        <v>85</v>
      </c>
      <c r="N379">
        <f t="shared" si="15"/>
        <v>32</v>
      </c>
      <c r="O379" cm="1">
        <f t="array" ref="O379">SUM(_xlfn.XLOOKUP(E379:H379, $V$13:$V$17, $U$13:$U$17))</f>
        <v>20</v>
      </c>
      <c r="P379">
        <f t="shared" si="16"/>
        <v>5</v>
      </c>
      <c r="Q379" s="1">
        <f t="shared" si="17"/>
        <v>57</v>
      </c>
    </row>
    <row r="380" spans="1:17" x14ac:dyDescent="0.25">
      <c r="A380" s="1" t="s">
        <v>519</v>
      </c>
      <c r="B380" s="1" t="s">
        <v>520</v>
      </c>
      <c r="C380">
        <v>3</v>
      </c>
      <c r="D380">
        <v>3</v>
      </c>
      <c r="E380">
        <v>3</v>
      </c>
      <c r="F380">
        <v>6</v>
      </c>
      <c r="G380">
        <v>3</v>
      </c>
      <c r="H380">
        <v>2</v>
      </c>
      <c r="I380">
        <v>62</v>
      </c>
      <c r="J380">
        <v>92</v>
      </c>
      <c r="K380">
        <v>75</v>
      </c>
      <c r="L380">
        <v>30</v>
      </c>
      <c r="M380">
        <v>86</v>
      </c>
      <c r="N380">
        <f t="shared" si="15"/>
        <v>34.5</v>
      </c>
      <c r="O380" cm="1">
        <f t="array" ref="O380">SUM(_xlfn.XLOOKUP(E380:H380, $V$13:$V$17, $U$13:$U$17))</f>
        <v>18</v>
      </c>
      <c r="P380">
        <f t="shared" si="16"/>
        <v>3</v>
      </c>
      <c r="Q380" s="1">
        <f t="shared" si="17"/>
        <v>55.5</v>
      </c>
    </row>
    <row r="381" spans="1:17" x14ac:dyDescent="0.25">
      <c r="A381" s="1" t="s">
        <v>521</v>
      </c>
      <c r="B381" s="1" t="s">
        <v>43</v>
      </c>
      <c r="C381">
        <v>6</v>
      </c>
      <c r="D381">
        <v>4</v>
      </c>
      <c r="E381">
        <v>2</v>
      </c>
      <c r="F381">
        <v>4</v>
      </c>
      <c r="G381">
        <v>4</v>
      </c>
      <c r="H381">
        <v>6</v>
      </c>
      <c r="I381">
        <v>16</v>
      </c>
      <c r="J381">
        <v>19</v>
      </c>
      <c r="K381">
        <v>66</v>
      </c>
      <c r="L381">
        <v>96</v>
      </c>
      <c r="M381">
        <v>61</v>
      </c>
      <c r="N381">
        <f t="shared" si="15"/>
        <v>25.799999999999997</v>
      </c>
      <c r="O381" cm="1">
        <f t="array" ref="O381">SUM(_xlfn.XLOOKUP(E381:H381, $V$13:$V$17, $U$13:$U$17))</f>
        <v>22</v>
      </c>
      <c r="P381">
        <f t="shared" si="16"/>
        <v>6</v>
      </c>
      <c r="Q381" s="1">
        <f t="shared" si="17"/>
        <v>53.8</v>
      </c>
    </row>
    <row r="382" spans="1:17" x14ac:dyDescent="0.25">
      <c r="A382" s="1" t="s">
        <v>237</v>
      </c>
      <c r="B382" s="1" t="s">
        <v>166</v>
      </c>
      <c r="C382">
        <v>4</v>
      </c>
      <c r="D382">
        <v>5</v>
      </c>
      <c r="E382">
        <v>4</v>
      </c>
      <c r="F382">
        <v>4</v>
      </c>
      <c r="G382">
        <v>2</v>
      </c>
      <c r="H382">
        <v>2</v>
      </c>
      <c r="I382">
        <v>71</v>
      </c>
      <c r="J382">
        <v>99</v>
      </c>
      <c r="K382">
        <v>56</v>
      </c>
      <c r="L382">
        <v>2</v>
      </c>
      <c r="M382">
        <v>43</v>
      </c>
      <c r="N382">
        <f t="shared" si="15"/>
        <v>27.1</v>
      </c>
      <c r="O382" cm="1">
        <f t="array" ref="O382">SUM(_xlfn.XLOOKUP(E382:H382, $V$13:$V$17, $U$13:$U$17))</f>
        <v>12</v>
      </c>
      <c r="P382">
        <f t="shared" si="16"/>
        <v>4</v>
      </c>
      <c r="Q382" s="1">
        <f t="shared" si="17"/>
        <v>43.1</v>
      </c>
    </row>
    <row r="383" spans="1:17" x14ac:dyDescent="0.25">
      <c r="A383" s="1" t="s">
        <v>522</v>
      </c>
      <c r="B383" s="1" t="s">
        <v>288</v>
      </c>
      <c r="C383">
        <v>8</v>
      </c>
      <c r="D383">
        <v>2</v>
      </c>
      <c r="E383">
        <v>6</v>
      </c>
      <c r="F383">
        <v>2</v>
      </c>
      <c r="G383">
        <v>6</v>
      </c>
      <c r="H383">
        <v>5</v>
      </c>
      <c r="I383">
        <v>62</v>
      </c>
      <c r="J383">
        <v>49</v>
      </c>
      <c r="K383">
        <v>45</v>
      </c>
      <c r="L383">
        <v>42</v>
      </c>
      <c r="M383">
        <v>53</v>
      </c>
      <c r="N383">
        <f t="shared" si="15"/>
        <v>25.1</v>
      </c>
      <c r="O383" cm="1">
        <f t="array" ref="O383">SUM(_xlfn.XLOOKUP(E383:H383, $V$13:$V$17, $U$13:$U$17))</f>
        <v>28</v>
      </c>
      <c r="P383">
        <f t="shared" si="16"/>
        <v>8</v>
      </c>
      <c r="Q383" s="1">
        <f t="shared" si="17"/>
        <v>61.1</v>
      </c>
    </row>
    <row r="384" spans="1:17" x14ac:dyDescent="0.25">
      <c r="A384" s="1" t="s">
        <v>523</v>
      </c>
      <c r="B384" s="1" t="s">
        <v>279</v>
      </c>
      <c r="C384">
        <v>2</v>
      </c>
      <c r="D384">
        <v>3</v>
      </c>
      <c r="E384">
        <v>2</v>
      </c>
      <c r="F384">
        <v>5</v>
      </c>
      <c r="G384">
        <v>5</v>
      </c>
      <c r="H384">
        <v>2</v>
      </c>
      <c r="I384">
        <v>44</v>
      </c>
      <c r="J384">
        <v>30</v>
      </c>
      <c r="K384">
        <v>61</v>
      </c>
      <c r="L384">
        <v>13</v>
      </c>
      <c r="M384">
        <v>30</v>
      </c>
      <c r="N384">
        <f t="shared" si="15"/>
        <v>17.8</v>
      </c>
      <c r="O384" cm="1">
        <f t="array" ref="O384">SUM(_xlfn.XLOOKUP(E384:H384, $V$13:$V$17, $U$13:$U$17))</f>
        <v>16</v>
      </c>
      <c r="P384">
        <f t="shared" si="16"/>
        <v>2</v>
      </c>
      <c r="Q384" s="1">
        <f t="shared" si="17"/>
        <v>35.799999999999997</v>
      </c>
    </row>
    <row r="385" spans="1:17" x14ac:dyDescent="0.25">
      <c r="A385" s="1" t="s">
        <v>524</v>
      </c>
      <c r="B385" s="1" t="s">
        <v>99</v>
      </c>
      <c r="C385">
        <v>5</v>
      </c>
      <c r="D385">
        <v>6</v>
      </c>
      <c r="E385">
        <v>5</v>
      </c>
      <c r="F385">
        <v>3</v>
      </c>
      <c r="G385">
        <v>2</v>
      </c>
      <c r="H385">
        <v>4</v>
      </c>
      <c r="I385">
        <v>55</v>
      </c>
      <c r="J385">
        <v>18</v>
      </c>
      <c r="K385">
        <v>46</v>
      </c>
      <c r="L385">
        <v>82</v>
      </c>
      <c r="M385">
        <v>71</v>
      </c>
      <c r="N385">
        <f t="shared" si="15"/>
        <v>27.199999999999996</v>
      </c>
      <c r="O385" cm="1">
        <f t="array" ref="O385">SUM(_xlfn.XLOOKUP(E385:H385, $V$13:$V$17, $U$13:$U$17))</f>
        <v>18</v>
      </c>
      <c r="P385">
        <f t="shared" si="16"/>
        <v>7</v>
      </c>
      <c r="Q385" s="1">
        <f t="shared" si="17"/>
        <v>52.199999999999996</v>
      </c>
    </row>
    <row r="386" spans="1:17" x14ac:dyDescent="0.25">
      <c r="A386" s="1" t="s">
        <v>525</v>
      </c>
      <c r="B386" s="1" t="s">
        <v>526</v>
      </c>
      <c r="C386">
        <v>5</v>
      </c>
      <c r="D386">
        <v>2</v>
      </c>
      <c r="E386">
        <v>5</v>
      </c>
      <c r="F386">
        <v>6</v>
      </c>
      <c r="G386">
        <v>3</v>
      </c>
      <c r="H386">
        <v>3</v>
      </c>
      <c r="I386">
        <v>23</v>
      </c>
      <c r="J386">
        <v>10</v>
      </c>
      <c r="K386">
        <v>99</v>
      </c>
      <c r="L386">
        <v>23</v>
      </c>
      <c r="M386">
        <v>4</v>
      </c>
      <c r="N386">
        <f t="shared" ref="N386:N449" si="18">I386/10 + J386/10 + K386/10 + L386/10 + M386/10</f>
        <v>15.9</v>
      </c>
      <c r="O386" cm="1">
        <f t="array" ref="O386">SUM(_xlfn.XLOOKUP(E386:H386, $V$13:$V$17, $U$13:$U$17))</f>
        <v>26</v>
      </c>
      <c r="P386">
        <f t="shared" ref="P386:P449" si="19">IF(D386=6,C386+2,C386)</f>
        <v>5</v>
      </c>
      <c r="Q386" s="1">
        <f t="shared" ref="Q386:Q449" si="20">SUM(N386:P386)</f>
        <v>46.9</v>
      </c>
    </row>
    <row r="387" spans="1:17" x14ac:dyDescent="0.25">
      <c r="A387" s="1" t="s">
        <v>527</v>
      </c>
      <c r="B387" s="1" t="s">
        <v>340</v>
      </c>
      <c r="C387">
        <v>5</v>
      </c>
      <c r="D387">
        <v>4</v>
      </c>
      <c r="E387">
        <v>3</v>
      </c>
      <c r="F387">
        <v>5</v>
      </c>
      <c r="G387">
        <v>6</v>
      </c>
      <c r="H387">
        <v>2</v>
      </c>
      <c r="I387">
        <v>72</v>
      </c>
      <c r="J387">
        <v>22</v>
      </c>
      <c r="K387">
        <v>90</v>
      </c>
      <c r="L387">
        <v>8</v>
      </c>
      <c r="M387">
        <v>61</v>
      </c>
      <c r="N387">
        <f t="shared" si="18"/>
        <v>25.299999999999997</v>
      </c>
      <c r="O387" cm="1">
        <f t="array" ref="O387">SUM(_xlfn.XLOOKUP(E387:H387, $V$13:$V$17, $U$13:$U$17))</f>
        <v>22</v>
      </c>
      <c r="P387">
        <f t="shared" si="19"/>
        <v>5</v>
      </c>
      <c r="Q387" s="1">
        <f t="shared" si="20"/>
        <v>52.3</v>
      </c>
    </row>
    <row r="388" spans="1:17" x14ac:dyDescent="0.25">
      <c r="A388" s="1" t="s">
        <v>528</v>
      </c>
      <c r="B388" s="1" t="s">
        <v>126</v>
      </c>
      <c r="C388">
        <v>3</v>
      </c>
      <c r="D388">
        <v>3</v>
      </c>
      <c r="E388">
        <v>6</v>
      </c>
      <c r="F388">
        <v>2</v>
      </c>
      <c r="G388">
        <v>4</v>
      </c>
      <c r="H388">
        <v>6</v>
      </c>
      <c r="I388">
        <v>95</v>
      </c>
      <c r="J388">
        <v>18</v>
      </c>
      <c r="K388">
        <v>32</v>
      </c>
      <c r="L388">
        <v>67</v>
      </c>
      <c r="M388">
        <v>36</v>
      </c>
      <c r="N388">
        <f t="shared" si="18"/>
        <v>24.8</v>
      </c>
      <c r="O388" cm="1">
        <f t="array" ref="O388">SUM(_xlfn.XLOOKUP(E388:H388, $V$13:$V$17, $U$13:$U$17))</f>
        <v>26</v>
      </c>
      <c r="P388">
        <f t="shared" si="19"/>
        <v>3</v>
      </c>
      <c r="Q388" s="1">
        <f t="shared" si="20"/>
        <v>53.8</v>
      </c>
    </row>
    <row r="389" spans="1:17" x14ac:dyDescent="0.25">
      <c r="A389" s="1" t="s">
        <v>529</v>
      </c>
      <c r="B389" s="1" t="s">
        <v>530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3</v>
      </c>
      <c r="I389">
        <v>99</v>
      </c>
      <c r="J389">
        <v>47</v>
      </c>
      <c r="K389">
        <v>3</v>
      </c>
      <c r="L389">
        <v>6</v>
      </c>
      <c r="M389">
        <v>59</v>
      </c>
      <c r="N389">
        <f t="shared" si="18"/>
        <v>21.400000000000002</v>
      </c>
      <c r="O389" cm="1">
        <f t="array" ref="O389">SUM(_xlfn.XLOOKUP(E389:H389, $V$13:$V$17, $U$13:$U$17))</f>
        <v>28</v>
      </c>
      <c r="P389">
        <f t="shared" si="19"/>
        <v>5</v>
      </c>
      <c r="Q389" s="1">
        <f t="shared" si="20"/>
        <v>54.400000000000006</v>
      </c>
    </row>
    <row r="390" spans="1:17" x14ac:dyDescent="0.25">
      <c r="A390" s="1" t="s">
        <v>531</v>
      </c>
      <c r="B390" s="1" t="s">
        <v>532</v>
      </c>
      <c r="C390">
        <v>5</v>
      </c>
      <c r="D390">
        <v>5</v>
      </c>
      <c r="E390">
        <v>3</v>
      </c>
      <c r="F390">
        <v>4</v>
      </c>
      <c r="G390">
        <v>5</v>
      </c>
      <c r="H390">
        <v>2</v>
      </c>
      <c r="I390">
        <v>97</v>
      </c>
      <c r="J390">
        <v>87</v>
      </c>
      <c r="K390">
        <v>7</v>
      </c>
      <c r="L390">
        <v>93</v>
      </c>
      <c r="M390">
        <v>19</v>
      </c>
      <c r="N390">
        <f t="shared" si="18"/>
        <v>30.299999999999997</v>
      </c>
      <c r="O390" cm="1">
        <f t="array" ref="O390">SUM(_xlfn.XLOOKUP(E390:H390, $V$13:$V$17, $U$13:$U$17))</f>
        <v>18</v>
      </c>
      <c r="P390">
        <f t="shared" si="19"/>
        <v>5</v>
      </c>
      <c r="Q390" s="1">
        <f t="shared" si="20"/>
        <v>53.3</v>
      </c>
    </row>
    <row r="391" spans="1:17" x14ac:dyDescent="0.25">
      <c r="A391" s="1" t="s">
        <v>533</v>
      </c>
      <c r="B391" s="1" t="s">
        <v>45</v>
      </c>
      <c r="C391">
        <v>3</v>
      </c>
      <c r="D391">
        <v>6</v>
      </c>
      <c r="E391">
        <v>6</v>
      </c>
      <c r="F391">
        <v>6</v>
      </c>
      <c r="G391">
        <v>2</v>
      </c>
      <c r="H391">
        <v>5</v>
      </c>
      <c r="I391">
        <v>57</v>
      </c>
      <c r="J391">
        <v>44</v>
      </c>
      <c r="K391">
        <v>90</v>
      </c>
      <c r="L391">
        <v>33</v>
      </c>
      <c r="M391">
        <v>78</v>
      </c>
      <c r="N391">
        <f t="shared" si="18"/>
        <v>30.200000000000003</v>
      </c>
      <c r="O391" cm="1">
        <f t="array" ref="O391">SUM(_xlfn.XLOOKUP(E391:H391, $V$13:$V$17, $U$13:$U$17))</f>
        <v>28</v>
      </c>
      <c r="P391">
        <f t="shared" si="19"/>
        <v>5</v>
      </c>
      <c r="Q391" s="1">
        <f t="shared" si="20"/>
        <v>63.2</v>
      </c>
    </row>
    <row r="392" spans="1:17" x14ac:dyDescent="0.25">
      <c r="A392" s="1" t="s">
        <v>534</v>
      </c>
      <c r="B392" s="1" t="s">
        <v>90</v>
      </c>
      <c r="C392">
        <v>2</v>
      </c>
      <c r="D392">
        <v>4</v>
      </c>
      <c r="E392">
        <v>5</v>
      </c>
      <c r="F392">
        <v>3</v>
      </c>
      <c r="G392">
        <v>2</v>
      </c>
      <c r="H392">
        <v>2</v>
      </c>
      <c r="I392">
        <v>35</v>
      </c>
      <c r="J392">
        <v>82</v>
      </c>
      <c r="K392">
        <v>52</v>
      </c>
      <c r="L392">
        <v>15</v>
      </c>
      <c r="M392">
        <v>51</v>
      </c>
      <c r="N392">
        <f t="shared" si="18"/>
        <v>23.5</v>
      </c>
      <c r="O392" cm="1">
        <f t="array" ref="O392">SUM(_xlfn.XLOOKUP(E392:H392, $V$13:$V$17, $U$13:$U$17))</f>
        <v>12</v>
      </c>
      <c r="P392">
        <f t="shared" si="19"/>
        <v>2</v>
      </c>
      <c r="Q392" s="1">
        <f t="shared" si="20"/>
        <v>37.5</v>
      </c>
    </row>
    <row r="393" spans="1:17" x14ac:dyDescent="0.25">
      <c r="A393" s="1" t="s">
        <v>535</v>
      </c>
      <c r="B393" s="1" t="s">
        <v>536</v>
      </c>
      <c r="C393">
        <v>1</v>
      </c>
      <c r="D393">
        <v>5</v>
      </c>
      <c r="E393">
        <v>5</v>
      </c>
      <c r="F393">
        <v>6</v>
      </c>
      <c r="G393">
        <v>4</v>
      </c>
      <c r="H393">
        <v>6</v>
      </c>
      <c r="I393">
        <v>19</v>
      </c>
      <c r="J393">
        <v>32</v>
      </c>
      <c r="K393">
        <v>74</v>
      </c>
      <c r="L393">
        <v>31</v>
      </c>
      <c r="M393">
        <v>58</v>
      </c>
      <c r="N393">
        <f t="shared" si="18"/>
        <v>21.4</v>
      </c>
      <c r="O393" cm="1">
        <f t="array" ref="O393">SUM(_xlfn.XLOOKUP(E393:H393, $V$13:$V$17, $U$13:$U$17))</f>
        <v>34</v>
      </c>
      <c r="P393">
        <f t="shared" si="19"/>
        <v>1</v>
      </c>
      <c r="Q393" s="1">
        <f t="shared" si="20"/>
        <v>56.4</v>
      </c>
    </row>
    <row r="394" spans="1:17" x14ac:dyDescent="0.25">
      <c r="A394" s="1" t="s">
        <v>537</v>
      </c>
      <c r="B394" s="1" t="s">
        <v>538</v>
      </c>
      <c r="C394">
        <v>0</v>
      </c>
      <c r="D394">
        <v>5</v>
      </c>
      <c r="E394">
        <v>2</v>
      </c>
      <c r="F394">
        <v>2</v>
      </c>
      <c r="G394">
        <v>5</v>
      </c>
      <c r="H394">
        <v>3</v>
      </c>
      <c r="I394">
        <v>45</v>
      </c>
      <c r="J394">
        <v>52</v>
      </c>
      <c r="K394">
        <v>32</v>
      </c>
      <c r="L394">
        <v>42</v>
      </c>
      <c r="M394">
        <v>33</v>
      </c>
      <c r="N394">
        <f t="shared" si="18"/>
        <v>20.399999999999999</v>
      </c>
      <c r="O394" cm="1">
        <f t="array" ref="O394">SUM(_xlfn.XLOOKUP(E394:H394, $V$13:$V$17, $U$13:$U$17))</f>
        <v>12</v>
      </c>
      <c r="P394">
        <f t="shared" si="19"/>
        <v>0</v>
      </c>
      <c r="Q394" s="1">
        <f t="shared" si="20"/>
        <v>32.4</v>
      </c>
    </row>
    <row r="395" spans="1:17" x14ac:dyDescent="0.25">
      <c r="A395" s="1" t="s">
        <v>539</v>
      </c>
      <c r="B395" s="1" t="s">
        <v>540</v>
      </c>
      <c r="C395">
        <v>8</v>
      </c>
      <c r="D395">
        <v>5</v>
      </c>
      <c r="E395">
        <v>6</v>
      </c>
      <c r="F395">
        <v>2</v>
      </c>
      <c r="G395">
        <v>4</v>
      </c>
      <c r="H395">
        <v>3</v>
      </c>
      <c r="I395">
        <v>78</v>
      </c>
      <c r="J395">
        <v>38</v>
      </c>
      <c r="K395">
        <v>62</v>
      </c>
      <c r="L395">
        <v>45</v>
      </c>
      <c r="M395">
        <v>55</v>
      </c>
      <c r="N395">
        <f t="shared" si="18"/>
        <v>27.8</v>
      </c>
      <c r="O395" cm="1">
        <f t="array" ref="O395">SUM(_xlfn.XLOOKUP(E395:H395, $V$13:$V$17, $U$13:$U$17))</f>
        <v>20</v>
      </c>
      <c r="P395">
        <f t="shared" si="19"/>
        <v>8</v>
      </c>
      <c r="Q395" s="1">
        <f t="shared" si="20"/>
        <v>55.8</v>
      </c>
    </row>
    <row r="396" spans="1:17" x14ac:dyDescent="0.25">
      <c r="A396" s="1" t="s">
        <v>541</v>
      </c>
      <c r="B396" s="1" t="s">
        <v>503</v>
      </c>
      <c r="C396">
        <v>6</v>
      </c>
      <c r="D396">
        <v>4</v>
      </c>
      <c r="E396">
        <v>2</v>
      </c>
      <c r="F396">
        <v>6</v>
      </c>
      <c r="G396">
        <v>2</v>
      </c>
      <c r="H396">
        <v>6</v>
      </c>
      <c r="I396">
        <v>20</v>
      </c>
      <c r="J396">
        <v>92</v>
      </c>
      <c r="K396">
        <v>44</v>
      </c>
      <c r="L396">
        <v>89</v>
      </c>
      <c r="M396">
        <v>79</v>
      </c>
      <c r="N396">
        <f t="shared" si="18"/>
        <v>32.4</v>
      </c>
      <c r="O396" cm="1">
        <f t="array" ref="O396">SUM(_xlfn.XLOOKUP(E396:H396, $V$13:$V$17, $U$13:$U$17))</f>
        <v>20</v>
      </c>
      <c r="P396">
        <f t="shared" si="19"/>
        <v>6</v>
      </c>
      <c r="Q396" s="1">
        <f t="shared" si="20"/>
        <v>58.4</v>
      </c>
    </row>
    <row r="397" spans="1:17" x14ac:dyDescent="0.25">
      <c r="A397" s="1" t="s">
        <v>542</v>
      </c>
      <c r="B397" s="1" t="s">
        <v>117</v>
      </c>
      <c r="C397">
        <v>4</v>
      </c>
      <c r="D397">
        <v>2</v>
      </c>
      <c r="E397">
        <v>2</v>
      </c>
      <c r="F397">
        <v>4</v>
      </c>
      <c r="G397">
        <v>3</v>
      </c>
      <c r="H397">
        <v>3</v>
      </c>
      <c r="I397">
        <v>36</v>
      </c>
      <c r="J397">
        <v>79</v>
      </c>
      <c r="K397">
        <v>62</v>
      </c>
      <c r="L397">
        <v>8</v>
      </c>
      <c r="M397">
        <v>47</v>
      </c>
      <c r="N397">
        <f t="shared" si="18"/>
        <v>23.2</v>
      </c>
      <c r="O397" cm="1">
        <f t="array" ref="O397">SUM(_xlfn.XLOOKUP(E397:H397, $V$13:$V$17, $U$13:$U$17))</f>
        <v>14</v>
      </c>
      <c r="P397">
        <f t="shared" si="19"/>
        <v>4</v>
      </c>
      <c r="Q397" s="1">
        <f t="shared" si="20"/>
        <v>41.2</v>
      </c>
    </row>
    <row r="398" spans="1:17" x14ac:dyDescent="0.25">
      <c r="A398" s="1" t="s">
        <v>543</v>
      </c>
      <c r="B398" s="1" t="s">
        <v>41</v>
      </c>
      <c r="C398">
        <v>0</v>
      </c>
      <c r="D398">
        <v>2</v>
      </c>
      <c r="E398">
        <v>2</v>
      </c>
      <c r="F398">
        <v>4</v>
      </c>
      <c r="G398">
        <v>2</v>
      </c>
      <c r="H398">
        <v>4</v>
      </c>
      <c r="I398">
        <v>24</v>
      </c>
      <c r="J398">
        <v>81</v>
      </c>
      <c r="K398">
        <v>74</v>
      </c>
      <c r="L398">
        <v>4</v>
      </c>
      <c r="M398">
        <v>92</v>
      </c>
      <c r="N398">
        <f t="shared" si="18"/>
        <v>27.499999999999996</v>
      </c>
      <c r="O398" cm="1">
        <f t="array" ref="O398">SUM(_xlfn.XLOOKUP(E398:H398, $V$13:$V$17, $U$13:$U$17))</f>
        <v>12</v>
      </c>
      <c r="P398">
        <f t="shared" si="19"/>
        <v>0</v>
      </c>
      <c r="Q398" s="1">
        <f t="shared" si="20"/>
        <v>39.5</v>
      </c>
    </row>
    <row r="399" spans="1:17" x14ac:dyDescent="0.25">
      <c r="A399" s="1" t="s">
        <v>544</v>
      </c>
      <c r="B399" s="1" t="s">
        <v>324</v>
      </c>
      <c r="C399">
        <v>3</v>
      </c>
      <c r="D399">
        <v>3</v>
      </c>
      <c r="E399">
        <v>5</v>
      </c>
      <c r="F399">
        <v>6</v>
      </c>
      <c r="G399">
        <v>4</v>
      </c>
      <c r="H399">
        <v>3</v>
      </c>
      <c r="I399">
        <v>68</v>
      </c>
      <c r="J399">
        <v>76</v>
      </c>
      <c r="K399">
        <v>21</v>
      </c>
      <c r="L399">
        <v>59</v>
      </c>
      <c r="M399">
        <v>66</v>
      </c>
      <c r="N399">
        <f t="shared" si="18"/>
        <v>29</v>
      </c>
      <c r="O399" cm="1">
        <f t="array" ref="O399">SUM(_xlfn.XLOOKUP(E399:H399, $V$13:$V$17, $U$13:$U$17))</f>
        <v>28</v>
      </c>
      <c r="P399">
        <f t="shared" si="19"/>
        <v>3</v>
      </c>
      <c r="Q399" s="1">
        <f t="shared" si="20"/>
        <v>60</v>
      </c>
    </row>
    <row r="400" spans="1:17" x14ac:dyDescent="0.25">
      <c r="A400" s="1" t="s">
        <v>545</v>
      </c>
      <c r="B400" s="1" t="s">
        <v>253</v>
      </c>
      <c r="C400">
        <v>4</v>
      </c>
      <c r="D400">
        <v>3</v>
      </c>
      <c r="E400">
        <v>2</v>
      </c>
      <c r="F400">
        <v>4</v>
      </c>
      <c r="G400">
        <v>4</v>
      </c>
      <c r="H400">
        <v>5</v>
      </c>
      <c r="I400">
        <v>70</v>
      </c>
      <c r="J400">
        <v>34</v>
      </c>
      <c r="K400">
        <v>18</v>
      </c>
      <c r="L400">
        <v>27</v>
      </c>
      <c r="M400">
        <v>70</v>
      </c>
      <c r="N400">
        <f t="shared" si="18"/>
        <v>21.900000000000002</v>
      </c>
      <c r="O400" cm="1">
        <f t="array" ref="O400">SUM(_xlfn.XLOOKUP(E400:H400, $V$13:$V$17, $U$13:$U$17))</f>
        <v>20</v>
      </c>
      <c r="P400">
        <f t="shared" si="19"/>
        <v>4</v>
      </c>
      <c r="Q400" s="1">
        <f t="shared" si="20"/>
        <v>45.900000000000006</v>
      </c>
    </row>
    <row r="401" spans="1:17" x14ac:dyDescent="0.25">
      <c r="A401" s="1" t="s">
        <v>546</v>
      </c>
      <c r="B401" s="1" t="s">
        <v>249</v>
      </c>
      <c r="C401">
        <v>2</v>
      </c>
      <c r="D401">
        <v>4</v>
      </c>
      <c r="E401">
        <v>2</v>
      </c>
      <c r="F401">
        <v>4</v>
      </c>
      <c r="G401">
        <v>5</v>
      </c>
      <c r="H401">
        <v>2</v>
      </c>
      <c r="I401">
        <v>9</v>
      </c>
      <c r="J401">
        <v>76</v>
      </c>
      <c r="K401">
        <v>35</v>
      </c>
      <c r="L401">
        <v>83</v>
      </c>
      <c r="M401">
        <v>13</v>
      </c>
      <c r="N401">
        <f t="shared" si="18"/>
        <v>21.6</v>
      </c>
      <c r="O401" cm="1">
        <f t="array" ref="O401">SUM(_xlfn.XLOOKUP(E401:H401, $V$13:$V$17, $U$13:$U$17))</f>
        <v>14</v>
      </c>
      <c r="P401">
        <f t="shared" si="19"/>
        <v>2</v>
      </c>
      <c r="Q401" s="1">
        <f t="shared" si="20"/>
        <v>37.6</v>
      </c>
    </row>
    <row r="402" spans="1:17" x14ac:dyDescent="0.25">
      <c r="A402" s="1" t="s">
        <v>547</v>
      </c>
      <c r="B402" s="1" t="s">
        <v>526</v>
      </c>
      <c r="C402">
        <v>6</v>
      </c>
      <c r="D402">
        <v>2</v>
      </c>
      <c r="E402">
        <v>4</v>
      </c>
      <c r="F402">
        <v>2</v>
      </c>
      <c r="G402">
        <v>3</v>
      </c>
      <c r="H402">
        <v>2</v>
      </c>
      <c r="I402">
        <v>63</v>
      </c>
      <c r="J402">
        <v>31</v>
      </c>
      <c r="K402">
        <v>2</v>
      </c>
      <c r="L402">
        <v>74</v>
      </c>
      <c r="M402">
        <v>15</v>
      </c>
      <c r="N402">
        <f t="shared" si="18"/>
        <v>18.5</v>
      </c>
      <c r="O402" cm="1">
        <f t="array" ref="O402">SUM(_xlfn.XLOOKUP(E402:H402, $V$13:$V$17, $U$13:$U$17))</f>
        <v>10</v>
      </c>
      <c r="P402">
        <f t="shared" si="19"/>
        <v>6</v>
      </c>
      <c r="Q402" s="1">
        <f t="shared" si="20"/>
        <v>34.5</v>
      </c>
    </row>
    <row r="403" spans="1:17" x14ac:dyDescent="0.25">
      <c r="A403" s="1" t="s">
        <v>548</v>
      </c>
      <c r="B403" s="1" t="s">
        <v>126</v>
      </c>
      <c r="C403">
        <v>4</v>
      </c>
      <c r="D403">
        <v>6</v>
      </c>
      <c r="E403">
        <v>3</v>
      </c>
      <c r="F403">
        <v>5</v>
      </c>
      <c r="G403">
        <v>4</v>
      </c>
      <c r="H403">
        <v>4</v>
      </c>
      <c r="I403">
        <v>15</v>
      </c>
      <c r="J403">
        <v>57</v>
      </c>
      <c r="K403">
        <v>64</v>
      </c>
      <c r="L403">
        <v>60</v>
      </c>
      <c r="M403">
        <v>60</v>
      </c>
      <c r="N403">
        <f t="shared" si="18"/>
        <v>25.6</v>
      </c>
      <c r="O403" cm="1">
        <f t="array" ref="O403">SUM(_xlfn.XLOOKUP(E403:H403, $V$13:$V$17, $U$13:$U$17))</f>
        <v>24</v>
      </c>
      <c r="P403">
        <f t="shared" si="19"/>
        <v>6</v>
      </c>
      <c r="Q403" s="1">
        <f t="shared" si="20"/>
        <v>55.6</v>
      </c>
    </row>
    <row r="404" spans="1:17" x14ac:dyDescent="0.25">
      <c r="A404" s="1" t="s">
        <v>549</v>
      </c>
      <c r="B404" s="1" t="s">
        <v>355</v>
      </c>
      <c r="C404">
        <v>6</v>
      </c>
      <c r="D404">
        <v>4</v>
      </c>
      <c r="E404">
        <v>4</v>
      </c>
      <c r="F404">
        <v>2</v>
      </c>
      <c r="G404">
        <v>2</v>
      </c>
      <c r="H404">
        <v>2</v>
      </c>
      <c r="I404">
        <v>26</v>
      </c>
      <c r="J404">
        <v>6</v>
      </c>
      <c r="K404">
        <v>12</v>
      </c>
      <c r="L404">
        <v>71</v>
      </c>
      <c r="M404">
        <v>85</v>
      </c>
      <c r="N404">
        <f t="shared" si="18"/>
        <v>20</v>
      </c>
      <c r="O404" cm="1">
        <f t="array" ref="O404">SUM(_xlfn.XLOOKUP(E404:H404, $V$13:$V$17, $U$13:$U$17))</f>
        <v>6</v>
      </c>
      <c r="P404">
        <f t="shared" si="19"/>
        <v>6</v>
      </c>
      <c r="Q404" s="1">
        <f t="shared" si="20"/>
        <v>32</v>
      </c>
    </row>
    <row r="405" spans="1:17" x14ac:dyDescent="0.25">
      <c r="A405" s="1" t="s">
        <v>550</v>
      </c>
      <c r="B405" s="1" t="s">
        <v>551</v>
      </c>
      <c r="C405">
        <v>5</v>
      </c>
      <c r="D405">
        <v>6</v>
      </c>
      <c r="E405">
        <v>2</v>
      </c>
      <c r="F405">
        <v>4</v>
      </c>
      <c r="G405">
        <v>4</v>
      </c>
      <c r="H405">
        <v>3</v>
      </c>
      <c r="I405">
        <v>3</v>
      </c>
      <c r="J405">
        <v>8</v>
      </c>
      <c r="K405">
        <v>22</v>
      </c>
      <c r="L405">
        <v>75</v>
      </c>
      <c r="M405">
        <v>52</v>
      </c>
      <c r="N405">
        <f t="shared" si="18"/>
        <v>16</v>
      </c>
      <c r="O405" cm="1">
        <f t="array" ref="O405">SUM(_xlfn.XLOOKUP(E405:H405, $V$13:$V$17, $U$13:$U$17))</f>
        <v>16</v>
      </c>
      <c r="P405">
        <f t="shared" si="19"/>
        <v>7</v>
      </c>
      <c r="Q405" s="1">
        <f t="shared" si="20"/>
        <v>39</v>
      </c>
    </row>
    <row r="406" spans="1:17" x14ac:dyDescent="0.25">
      <c r="A406" s="1" t="s">
        <v>552</v>
      </c>
      <c r="B406" s="1" t="s">
        <v>553</v>
      </c>
      <c r="C406">
        <v>0</v>
      </c>
      <c r="D406">
        <v>5</v>
      </c>
      <c r="E406">
        <v>2</v>
      </c>
      <c r="F406">
        <v>4</v>
      </c>
      <c r="G406">
        <v>4</v>
      </c>
      <c r="H406">
        <v>4</v>
      </c>
      <c r="I406">
        <v>68</v>
      </c>
      <c r="J406">
        <v>77</v>
      </c>
      <c r="K406">
        <v>39</v>
      </c>
      <c r="L406">
        <v>95</v>
      </c>
      <c r="M406">
        <v>42</v>
      </c>
      <c r="N406">
        <f t="shared" si="18"/>
        <v>32.1</v>
      </c>
      <c r="O406" cm="1">
        <f t="array" ref="O406">SUM(_xlfn.XLOOKUP(E406:H406, $V$13:$V$17, $U$13:$U$17))</f>
        <v>18</v>
      </c>
      <c r="P406">
        <f t="shared" si="19"/>
        <v>0</v>
      </c>
      <c r="Q406" s="1">
        <f t="shared" si="20"/>
        <v>50.1</v>
      </c>
    </row>
    <row r="407" spans="1:17" x14ac:dyDescent="0.25">
      <c r="A407" s="1" t="s">
        <v>554</v>
      </c>
      <c r="B407" s="1" t="s">
        <v>16</v>
      </c>
      <c r="C407">
        <v>4</v>
      </c>
      <c r="D407">
        <v>4</v>
      </c>
      <c r="E407">
        <v>3</v>
      </c>
      <c r="F407">
        <v>2</v>
      </c>
      <c r="G407">
        <v>5</v>
      </c>
      <c r="H407">
        <v>4</v>
      </c>
      <c r="I407">
        <v>65</v>
      </c>
      <c r="J407">
        <v>42</v>
      </c>
      <c r="K407">
        <v>95</v>
      </c>
      <c r="L407">
        <v>95</v>
      </c>
      <c r="M407">
        <v>95</v>
      </c>
      <c r="N407">
        <f t="shared" si="18"/>
        <v>39.200000000000003</v>
      </c>
      <c r="O407" cm="1">
        <f t="array" ref="O407">SUM(_xlfn.XLOOKUP(E407:H407, $V$13:$V$17, $U$13:$U$17))</f>
        <v>18</v>
      </c>
      <c r="P407">
        <f t="shared" si="19"/>
        <v>4</v>
      </c>
      <c r="Q407" s="1">
        <f t="shared" si="20"/>
        <v>61.2</v>
      </c>
    </row>
    <row r="408" spans="1:17" x14ac:dyDescent="0.25">
      <c r="A408" s="1" t="s">
        <v>555</v>
      </c>
      <c r="B408" s="1" t="s">
        <v>64</v>
      </c>
      <c r="C408">
        <v>6</v>
      </c>
      <c r="D408">
        <v>2</v>
      </c>
      <c r="E408">
        <v>2</v>
      </c>
      <c r="F408">
        <v>2</v>
      </c>
      <c r="G408">
        <v>2</v>
      </c>
      <c r="H408">
        <v>4</v>
      </c>
      <c r="I408">
        <v>32</v>
      </c>
      <c r="J408">
        <v>39</v>
      </c>
      <c r="K408">
        <v>61</v>
      </c>
      <c r="L408">
        <v>67</v>
      </c>
      <c r="M408">
        <v>14</v>
      </c>
      <c r="N408">
        <f t="shared" si="18"/>
        <v>21.299999999999997</v>
      </c>
      <c r="O408" cm="1">
        <f t="array" ref="O408">SUM(_xlfn.XLOOKUP(E408:H408, $V$13:$V$17, $U$13:$U$17))</f>
        <v>6</v>
      </c>
      <c r="P408">
        <f t="shared" si="19"/>
        <v>6</v>
      </c>
      <c r="Q408" s="1">
        <f t="shared" si="20"/>
        <v>33.299999999999997</v>
      </c>
    </row>
    <row r="409" spans="1:17" x14ac:dyDescent="0.25">
      <c r="A409" s="1" t="s">
        <v>466</v>
      </c>
      <c r="B409" s="1" t="s">
        <v>16</v>
      </c>
      <c r="C409">
        <v>8</v>
      </c>
      <c r="D409">
        <v>3</v>
      </c>
      <c r="E409">
        <v>5</v>
      </c>
      <c r="F409">
        <v>6</v>
      </c>
      <c r="G409">
        <v>3</v>
      </c>
      <c r="H409">
        <v>5</v>
      </c>
      <c r="I409">
        <v>7</v>
      </c>
      <c r="J409">
        <v>96</v>
      </c>
      <c r="K409">
        <v>85</v>
      </c>
      <c r="L409">
        <v>8</v>
      </c>
      <c r="M409">
        <v>46</v>
      </c>
      <c r="N409">
        <f t="shared" si="18"/>
        <v>24.199999999999996</v>
      </c>
      <c r="O409" cm="1">
        <f t="array" ref="O409">SUM(_xlfn.XLOOKUP(E409:H409, $V$13:$V$17, $U$13:$U$17))</f>
        <v>30</v>
      </c>
      <c r="P409">
        <f t="shared" si="19"/>
        <v>8</v>
      </c>
      <c r="Q409" s="1">
        <f t="shared" si="20"/>
        <v>62.199999999999996</v>
      </c>
    </row>
    <row r="410" spans="1:17" x14ac:dyDescent="0.25">
      <c r="A410" s="1" t="s">
        <v>556</v>
      </c>
      <c r="B410" s="1" t="s">
        <v>367</v>
      </c>
      <c r="C410">
        <v>7</v>
      </c>
      <c r="D410">
        <v>5</v>
      </c>
      <c r="E410">
        <v>5</v>
      </c>
      <c r="F410">
        <v>5</v>
      </c>
      <c r="G410">
        <v>2</v>
      </c>
      <c r="H410">
        <v>2</v>
      </c>
      <c r="I410">
        <v>35</v>
      </c>
      <c r="J410">
        <v>95</v>
      </c>
      <c r="K410">
        <v>11</v>
      </c>
      <c r="L410">
        <v>36</v>
      </c>
      <c r="M410">
        <v>19</v>
      </c>
      <c r="N410">
        <f t="shared" si="18"/>
        <v>19.599999999999998</v>
      </c>
      <c r="O410" cm="1">
        <f t="array" ref="O410">SUM(_xlfn.XLOOKUP(E410:H410, $V$13:$V$17, $U$13:$U$17))</f>
        <v>16</v>
      </c>
      <c r="P410">
        <f t="shared" si="19"/>
        <v>7</v>
      </c>
      <c r="Q410" s="1">
        <f t="shared" si="20"/>
        <v>42.599999999999994</v>
      </c>
    </row>
    <row r="411" spans="1:17" x14ac:dyDescent="0.25">
      <c r="A411" s="1" t="s">
        <v>557</v>
      </c>
      <c r="B411" s="1" t="s">
        <v>558</v>
      </c>
      <c r="C411">
        <v>1</v>
      </c>
      <c r="D411">
        <v>4</v>
      </c>
      <c r="E411">
        <v>4</v>
      </c>
      <c r="F411">
        <v>6</v>
      </c>
      <c r="G411">
        <v>3</v>
      </c>
      <c r="H411">
        <v>4</v>
      </c>
      <c r="I411">
        <v>73</v>
      </c>
      <c r="J411">
        <v>61</v>
      </c>
      <c r="K411">
        <v>49</v>
      </c>
      <c r="L411">
        <v>70</v>
      </c>
      <c r="M411">
        <v>52</v>
      </c>
      <c r="N411">
        <f t="shared" si="18"/>
        <v>30.499999999999996</v>
      </c>
      <c r="O411" cm="1">
        <f t="array" ref="O411">SUM(_xlfn.XLOOKUP(E411:H411, $V$13:$V$17, $U$13:$U$17))</f>
        <v>26</v>
      </c>
      <c r="P411">
        <f t="shared" si="19"/>
        <v>1</v>
      </c>
      <c r="Q411" s="1">
        <f t="shared" si="20"/>
        <v>57.5</v>
      </c>
    </row>
    <row r="412" spans="1:17" x14ac:dyDescent="0.25">
      <c r="A412" s="1" t="s">
        <v>559</v>
      </c>
      <c r="B412" s="1" t="s">
        <v>145</v>
      </c>
      <c r="C412">
        <v>8</v>
      </c>
      <c r="D412">
        <v>2</v>
      </c>
      <c r="E412">
        <v>5</v>
      </c>
      <c r="F412">
        <v>2</v>
      </c>
      <c r="G412">
        <v>2</v>
      </c>
      <c r="H412">
        <v>6</v>
      </c>
      <c r="I412">
        <v>52</v>
      </c>
      <c r="J412">
        <v>90</v>
      </c>
      <c r="K412">
        <v>95</v>
      </c>
      <c r="L412">
        <v>83</v>
      </c>
      <c r="M412">
        <v>23</v>
      </c>
      <c r="N412">
        <f t="shared" si="18"/>
        <v>34.299999999999997</v>
      </c>
      <c r="O412" cm="1">
        <f t="array" ref="O412">SUM(_xlfn.XLOOKUP(E412:H412, $V$13:$V$17, $U$13:$U$17))</f>
        <v>18</v>
      </c>
      <c r="P412">
        <f t="shared" si="19"/>
        <v>8</v>
      </c>
      <c r="Q412" s="1">
        <f t="shared" si="20"/>
        <v>60.3</v>
      </c>
    </row>
    <row r="413" spans="1:17" x14ac:dyDescent="0.25">
      <c r="A413" s="1" t="s">
        <v>418</v>
      </c>
      <c r="B413" s="1" t="s">
        <v>32</v>
      </c>
      <c r="C413">
        <v>8</v>
      </c>
      <c r="D413">
        <v>5</v>
      </c>
      <c r="E413">
        <v>6</v>
      </c>
      <c r="F413">
        <v>5</v>
      </c>
      <c r="G413">
        <v>6</v>
      </c>
      <c r="H413">
        <v>5</v>
      </c>
      <c r="I413">
        <v>5</v>
      </c>
      <c r="J413">
        <v>84</v>
      </c>
      <c r="K413">
        <v>88</v>
      </c>
      <c r="L413">
        <v>35</v>
      </c>
      <c r="M413">
        <v>40</v>
      </c>
      <c r="N413">
        <f t="shared" si="18"/>
        <v>25.200000000000003</v>
      </c>
      <c r="O413" cm="1">
        <f t="array" ref="O413">SUM(_xlfn.XLOOKUP(E413:H413, $V$13:$V$17, $U$13:$U$17))</f>
        <v>36</v>
      </c>
      <c r="P413">
        <f t="shared" si="19"/>
        <v>8</v>
      </c>
      <c r="Q413" s="1">
        <f t="shared" si="20"/>
        <v>69.2</v>
      </c>
    </row>
    <row r="414" spans="1:17" x14ac:dyDescent="0.25">
      <c r="A414" s="1" t="s">
        <v>123</v>
      </c>
      <c r="B414" s="1" t="s">
        <v>273</v>
      </c>
      <c r="C414">
        <v>5</v>
      </c>
      <c r="D414">
        <v>4</v>
      </c>
      <c r="E414">
        <v>6</v>
      </c>
      <c r="F414">
        <v>2</v>
      </c>
      <c r="G414">
        <v>3</v>
      </c>
      <c r="H414">
        <v>4</v>
      </c>
      <c r="I414">
        <v>53</v>
      </c>
      <c r="J414">
        <v>57</v>
      </c>
      <c r="K414">
        <v>30</v>
      </c>
      <c r="L414">
        <v>7</v>
      </c>
      <c r="M414">
        <v>52</v>
      </c>
      <c r="N414">
        <f t="shared" si="18"/>
        <v>19.899999999999999</v>
      </c>
      <c r="O414" cm="1">
        <f t="array" ref="O414">SUM(_xlfn.XLOOKUP(E414:H414, $V$13:$V$17, $U$13:$U$17))</f>
        <v>20</v>
      </c>
      <c r="P414">
        <f t="shared" si="19"/>
        <v>5</v>
      </c>
      <c r="Q414" s="1">
        <f t="shared" si="20"/>
        <v>44.9</v>
      </c>
    </row>
    <row r="415" spans="1:17" x14ac:dyDescent="0.25">
      <c r="A415" s="1" t="s">
        <v>560</v>
      </c>
      <c r="B415" s="1" t="s">
        <v>145</v>
      </c>
      <c r="C415">
        <v>4</v>
      </c>
      <c r="D415">
        <v>2</v>
      </c>
      <c r="E415">
        <v>4</v>
      </c>
      <c r="F415">
        <v>5</v>
      </c>
      <c r="G415">
        <v>5</v>
      </c>
      <c r="H415">
        <v>4</v>
      </c>
      <c r="I415">
        <v>52</v>
      </c>
      <c r="J415">
        <v>73</v>
      </c>
      <c r="K415">
        <v>12</v>
      </c>
      <c r="L415">
        <v>3</v>
      </c>
      <c r="M415">
        <v>7</v>
      </c>
      <c r="N415">
        <f t="shared" si="18"/>
        <v>14.7</v>
      </c>
      <c r="O415" cm="1">
        <f t="array" ref="O415">SUM(_xlfn.XLOOKUP(E415:H415, $V$13:$V$17, $U$13:$U$17))</f>
        <v>28</v>
      </c>
      <c r="P415">
        <f t="shared" si="19"/>
        <v>4</v>
      </c>
      <c r="Q415" s="1">
        <f t="shared" si="20"/>
        <v>46.7</v>
      </c>
    </row>
    <row r="416" spans="1:17" x14ac:dyDescent="0.25">
      <c r="A416" s="1" t="s">
        <v>561</v>
      </c>
      <c r="B416" s="1" t="s">
        <v>133</v>
      </c>
      <c r="C416">
        <v>7</v>
      </c>
      <c r="D416">
        <v>4</v>
      </c>
      <c r="E416">
        <v>3</v>
      </c>
      <c r="F416">
        <v>2</v>
      </c>
      <c r="G416">
        <v>5</v>
      </c>
      <c r="H416">
        <v>5</v>
      </c>
      <c r="I416">
        <v>41</v>
      </c>
      <c r="J416">
        <v>23</v>
      </c>
      <c r="K416">
        <v>84</v>
      </c>
      <c r="L416">
        <v>93</v>
      </c>
      <c r="M416">
        <v>6</v>
      </c>
      <c r="N416">
        <f t="shared" si="18"/>
        <v>24.700000000000003</v>
      </c>
      <c r="O416" cm="1">
        <f t="array" ref="O416">SUM(_xlfn.XLOOKUP(E416:H416, $V$13:$V$17, $U$13:$U$17))</f>
        <v>20</v>
      </c>
      <c r="P416">
        <f t="shared" si="19"/>
        <v>7</v>
      </c>
      <c r="Q416" s="1">
        <f t="shared" si="20"/>
        <v>51.7</v>
      </c>
    </row>
    <row r="417" spans="1:17" x14ac:dyDescent="0.25">
      <c r="A417" s="1" t="s">
        <v>562</v>
      </c>
      <c r="B417" s="1" t="s">
        <v>369</v>
      </c>
      <c r="C417">
        <v>3</v>
      </c>
      <c r="D417">
        <v>3</v>
      </c>
      <c r="E417">
        <v>4</v>
      </c>
      <c r="F417">
        <v>4</v>
      </c>
      <c r="G417">
        <v>5</v>
      </c>
      <c r="H417">
        <v>5</v>
      </c>
      <c r="I417">
        <v>44</v>
      </c>
      <c r="J417">
        <v>90</v>
      </c>
      <c r="K417">
        <v>71</v>
      </c>
      <c r="L417">
        <v>41</v>
      </c>
      <c r="M417">
        <v>60</v>
      </c>
      <c r="N417">
        <f t="shared" si="18"/>
        <v>30.6</v>
      </c>
      <c r="O417" cm="1">
        <f t="array" ref="O417">SUM(_xlfn.XLOOKUP(E417:H417, $V$13:$V$17, $U$13:$U$17))</f>
        <v>28</v>
      </c>
      <c r="P417">
        <f t="shared" si="19"/>
        <v>3</v>
      </c>
      <c r="Q417" s="1">
        <f t="shared" si="20"/>
        <v>61.6</v>
      </c>
    </row>
    <row r="418" spans="1:17" x14ac:dyDescent="0.25">
      <c r="A418" s="1" t="s">
        <v>563</v>
      </c>
      <c r="B418" s="1" t="s">
        <v>101</v>
      </c>
      <c r="C418">
        <v>0</v>
      </c>
      <c r="D418">
        <v>5</v>
      </c>
      <c r="E418">
        <v>2</v>
      </c>
      <c r="F418">
        <v>4</v>
      </c>
      <c r="G418">
        <v>2</v>
      </c>
      <c r="H418">
        <v>6</v>
      </c>
      <c r="I418">
        <v>27</v>
      </c>
      <c r="J418">
        <v>56</v>
      </c>
      <c r="K418">
        <v>54</v>
      </c>
      <c r="L418">
        <v>99</v>
      </c>
      <c r="M418">
        <v>27</v>
      </c>
      <c r="N418">
        <f t="shared" si="18"/>
        <v>26.3</v>
      </c>
      <c r="O418" cm="1">
        <f t="array" ref="O418">SUM(_xlfn.XLOOKUP(E418:H418, $V$13:$V$17, $U$13:$U$17))</f>
        <v>16</v>
      </c>
      <c r="P418">
        <f t="shared" si="19"/>
        <v>0</v>
      </c>
      <c r="Q418" s="1">
        <f t="shared" si="20"/>
        <v>42.3</v>
      </c>
    </row>
    <row r="419" spans="1:17" x14ac:dyDescent="0.25">
      <c r="A419" s="1" t="s">
        <v>564</v>
      </c>
      <c r="B419" s="1" t="s">
        <v>145</v>
      </c>
      <c r="C419">
        <v>6</v>
      </c>
      <c r="D419">
        <v>4</v>
      </c>
      <c r="E419">
        <v>5</v>
      </c>
      <c r="F419">
        <v>6</v>
      </c>
      <c r="G419">
        <v>2</v>
      </c>
      <c r="H419">
        <v>5</v>
      </c>
      <c r="I419">
        <v>56</v>
      </c>
      <c r="J419">
        <v>47</v>
      </c>
      <c r="K419">
        <v>34</v>
      </c>
      <c r="L419">
        <v>65</v>
      </c>
      <c r="M419">
        <v>87</v>
      </c>
      <c r="N419">
        <f t="shared" si="18"/>
        <v>28.900000000000002</v>
      </c>
      <c r="O419" cm="1">
        <f t="array" ref="O419">SUM(_xlfn.XLOOKUP(E419:H419, $V$13:$V$17, $U$13:$U$17))</f>
        <v>26</v>
      </c>
      <c r="P419">
        <f t="shared" si="19"/>
        <v>6</v>
      </c>
      <c r="Q419" s="1">
        <f t="shared" si="20"/>
        <v>60.900000000000006</v>
      </c>
    </row>
    <row r="420" spans="1:17" x14ac:dyDescent="0.25">
      <c r="A420" s="1" t="s">
        <v>565</v>
      </c>
      <c r="B420" s="1" t="s">
        <v>302</v>
      </c>
      <c r="C420">
        <v>3</v>
      </c>
      <c r="D420">
        <v>5</v>
      </c>
      <c r="E420">
        <v>6</v>
      </c>
      <c r="F420">
        <v>4</v>
      </c>
      <c r="G420">
        <v>6</v>
      </c>
      <c r="H420">
        <v>6</v>
      </c>
      <c r="I420">
        <v>79</v>
      </c>
      <c r="J420">
        <v>52</v>
      </c>
      <c r="K420">
        <v>11</v>
      </c>
      <c r="L420">
        <v>9</v>
      </c>
      <c r="M420">
        <v>83</v>
      </c>
      <c r="N420">
        <f t="shared" si="18"/>
        <v>23.400000000000002</v>
      </c>
      <c r="O420" cm="1">
        <f t="array" ref="O420">SUM(_xlfn.XLOOKUP(E420:H420, $V$13:$V$17, $U$13:$U$17))</f>
        <v>36</v>
      </c>
      <c r="P420">
        <f t="shared" si="19"/>
        <v>3</v>
      </c>
      <c r="Q420" s="1">
        <f t="shared" si="20"/>
        <v>62.400000000000006</v>
      </c>
    </row>
    <row r="421" spans="1:17" x14ac:dyDescent="0.25">
      <c r="A421" s="1" t="s">
        <v>566</v>
      </c>
      <c r="B421" s="1" t="s">
        <v>174</v>
      </c>
      <c r="C421">
        <v>6</v>
      </c>
      <c r="D421">
        <v>5</v>
      </c>
      <c r="E421">
        <v>5</v>
      </c>
      <c r="F421">
        <v>5</v>
      </c>
      <c r="G421">
        <v>4</v>
      </c>
      <c r="H421">
        <v>4</v>
      </c>
      <c r="I421">
        <v>34</v>
      </c>
      <c r="J421">
        <v>15</v>
      </c>
      <c r="K421">
        <v>40</v>
      </c>
      <c r="L421">
        <v>85</v>
      </c>
      <c r="M421">
        <v>52</v>
      </c>
      <c r="N421">
        <f t="shared" si="18"/>
        <v>22.599999999999998</v>
      </c>
      <c r="O421" cm="1">
        <f t="array" ref="O421">SUM(_xlfn.XLOOKUP(E421:H421, $V$13:$V$17, $U$13:$U$17))</f>
        <v>28</v>
      </c>
      <c r="P421">
        <f t="shared" si="19"/>
        <v>6</v>
      </c>
      <c r="Q421" s="1">
        <f t="shared" si="20"/>
        <v>56.599999999999994</v>
      </c>
    </row>
    <row r="422" spans="1:17" x14ac:dyDescent="0.25">
      <c r="A422" s="1" t="s">
        <v>567</v>
      </c>
      <c r="B422" s="1" t="s">
        <v>568</v>
      </c>
      <c r="C422">
        <v>1</v>
      </c>
      <c r="D422">
        <v>3</v>
      </c>
      <c r="E422">
        <v>4</v>
      </c>
      <c r="F422">
        <v>6</v>
      </c>
      <c r="G422">
        <v>6</v>
      </c>
      <c r="H422">
        <v>3</v>
      </c>
      <c r="I422">
        <v>52</v>
      </c>
      <c r="J422">
        <v>36</v>
      </c>
      <c r="K422">
        <v>41</v>
      </c>
      <c r="L422">
        <v>96</v>
      </c>
      <c r="M422">
        <v>66</v>
      </c>
      <c r="N422">
        <f t="shared" si="18"/>
        <v>29.1</v>
      </c>
      <c r="O422" cm="1">
        <f t="array" ref="O422">SUM(_xlfn.XLOOKUP(E422:H422, $V$13:$V$17, $U$13:$U$17))</f>
        <v>30</v>
      </c>
      <c r="P422">
        <f t="shared" si="19"/>
        <v>1</v>
      </c>
      <c r="Q422" s="1">
        <f t="shared" si="20"/>
        <v>60.1</v>
      </c>
    </row>
    <row r="423" spans="1:17" x14ac:dyDescent="0.25">
      <c r="A423" s="1" t="s">
        <v>569</v>
      </c>
      <c r="B423" s="1" t="s">
        <v>222</v>
      </c>
      <c r="C423">
        <v>5</v>
      </c>
      <c r="D423">
        <v>4</v>
      </c>
      <c r="E423">
        <v>6</v>
      </c>
      <c r="F423">
        <v>5</v>
      </c>
      <c r="G423">
        <v>5</v>
      </c>
      <c r="H423">
        <v>3</v>
      </c>
      <c r="I423">
        <v>41</v>
      </c>
      <c r="J423">
        <v>35</v>
      </c>
      <c r="K423">
        <v>54</v>
      </c>
      <c r="L423">
        <v>14</v>
      </c>
      <c r="M423">
        <v>29</v>
      </c>
      <c r="N423">
        <f t="shared" si="18"/>
        <v>17.3</v>
      </c>
      <c r="O423" cm="1">
        <f t="array" ref="O423">SUM(_xlfn.XLOOKUP(E423:H423, $V$13:$V$17, $U$13:$U$17))</f>
        <v>30</v>
      </c>
      <c r="P423">
        <f t="shared" si="19"/>
        <v>5</v>
      </c>
      <c r="Q423" s="1">
        <f t="shared" si="20"/>
        <v>52.3</v>
      </c>
    </row>
    <row r="424" spans="1:17" x14ac:dyDescent="0.25">
      <c r="A424" s="1" t="s">
        <v>570</v>
      </c>
      <c r="B424" s="1" t="s">
        <v>571</v>
      </c>
      <c r="C424">
        <v>5</v>
      </c>
      <c r="D424">
        <v>3</v>
      </c>
      <c r="E424">
        <v>5</v>
      </c>
      <c r="F424">
        <v>5</v>
      </c>
      <c r="G424">
        <v>3</v>
      </c>
      <c r="H424">
        <v>2</v>
      </c>
      <c r="I424">
        <v>25</v>
      </c>
      <c r="J424">
        <v>24</v>
      </c>
      <c r="K424">
        <v>28</v>
      </c>
      <c r="L424">
        <v>21</v>
      </c>
      <c r="M424">
        <v>24</v>
      </c>
      <c r="N424">
        <f t="shared" si="18"/>
        <v>12.200000000000001</v>
      </c>
      <c r="O424" cm="1">
        <f t="array" ref="O424">SUM(_xlfn.XLOOKUP(E424:H424, $V$13:$V$17, $U$13:$U$17))</f>
        <v>20</v>
      </c>
      <c r="P424">
        <f t="shared" si="19"/>
        <v>5</v>
      </c>
      <c r="Q424" s="1">
        <f t="shared" si="20"/>
        <v>37.200000000000003</v>
      </c>
    </row>
    <row r="425" spans="1:17" x14ac:dyDescent="0.25">
      <c r="A425" s="1" t="s">
        <v>572</v>
      </c>
      <c r="B425" s="1" t="s">
        <v>177</v>
      </c>
      <c r="C425">
        <v>3</v>
      </c>
      <c r="D425">
        <v>4</v>
      </c>
      <c r="E425">
        <v>2</v>
      </c>
      <c r="F425">
        <v>5</v>
      </c>
      <c r="G425">
        <v>2</v>
      </c>
      <c r="H425">
        <v>6</v>
      </c>
      <c r="I425">
        <v>80</v>
      </c>
      <c r="J425">
        <v>86</v>
      </c>
      <c r="K425">
        <v>29</v>
      </c>
      <c r="L425">
        <v>32</v>
      </c>
      <c r="M425">
        <v>85</v>
      </c>
      <c r="N425">
        <f t="shared" si="18"/>
        <v>31.2</v>
      </c>
      <c r="O425" cm="1">
        <f t="array" ref="O425">SUM(_xlfn.XLOOKUP(E425:H425, $V$13:$V$17, $U$13:$U$17))</f>
        <v>18</v>
      </c>
      <c r="P425">
        <f t="shared" si="19"/>
        <v>3</v>
      </c>
      <c r="Q425" s="1">
        <f t="shared" si="20"/>
        <v>52.2</v>
      </c>
    </row>
    <row r="426" spans="1:17" x14ac:dyDescent="0.25">
      <c r="A426" s="1" t="s">
        <v>573</v>
      </c>
      <c r="B426" s="1" t="s">
        <v>526</v>
      </c>
      <c r="C426">
        <v>4</v>
      </c>
      <c r="D426">
        <v>3</v>
      </c>
      <c r="E426">
        <v>5</v>
      </c>
      <c r="F426">
        <v>6</v>
      </c>
      <c r="G426">
        <v>3</v>
      </c>
      <c r="H426">
        <v>4</v>
      </c>
      <c r="I426">
        <v>68</v>
      </c>
      <c r="J426">
        <v>19</v>
      </c>
      <c r="K426">
        <v>94</v>
      </c>
      <c r="L426">
        <v>92</v>
      </c>
      <c r="M426">
        <v>62</v>
      </c>
      <c r="N426">
        <f t="shared" si="18"/>
        <v>33.5</v>
      </c>
      <c r="O426" cm="1">
        <f t="array" ref="O426">SUM(_xlfn.XLOOKUP(E426:H426, $V$13:$V$17, $U$13:$U$17))</f>
        <v>28</v>
      </c>
      <c r="P426">
        <f t="shared" si="19"/>
        <v>4</v>
      </c>
      <c r="Q426" s="1">
        <f t="shared" si="20"/>
        <v>65.5</v>
      </c>
    </row>
    <row r="427" spans="1:17" x14ac:dyDescent="0.25">
      <c r="A427" s="1" t="s">
        <v>574</v>
      </c>
      <c r="B427" s="1" t="s">
        <v>575</v>
      </c>
      <c r="C427">
        <v>4</v>
      </c>
      <c r="D427">
        <v>2</v>
      </c>
      <c r="E427">
        <v>5</v>
      </c>
      <c r="F427">
        <v>2</v>
      </c>
      <c r="G427">
        <v>5</v>
      </c>
      <c r="H427">
        <v>4</v>
      </c>
      <c r="I427">
        <v>74</v>
      </c>
      <c r="J427">
        <v>85</v>
      </c>
      <c r="K427">
        <v>21</v>
      </c>
      <c r="L427">
        <v>33</v>
      </c>
      <c r="M427">
        <v>9</v>
      </c>
      <c r="N427">
        <f t="shared" si="18"/>
        <v>22.2</v>
      </c>
      <c r="O427" cm="1">
        <f t="array" ref="O427">SUM(_xlfn.XLOOKUP(E427:H427, $V$13:$V$17, $U$13:$U$17))</f>
        <v>22</v>
      </c>
      <c r="P427">
        <f t="shared" si="19"/>
        <v>4</v>
      </c>
      <c r="Q427" s="1">
        <f t="shared" si="20"/>
        <v>48.2</v>
      </c>
    </row>
    <row r="428" spans="1:17" x14ac:dyDescent="0.25">
      <c r="A428" s="1" t="s">
        <v>403</v>
      </c>
      <c r="B428" s="1" t="s">
        <v>64</v>
      </c>
      <c r="C428">
        <v>0</v>
      </c>
      <c r="D428">
        <v>2</v>
      </c>
      <c r="E428">
        <v>3</v>
      </c>
      <c r="F428">
        <v>5</v>
      </c>
      <c r="G428">
        <v>4</v>
      </c>
      <c r="H428">
        <v>6</v>
      </c>
      <c r="I428">
        <v>40</v>
      </c>
      <c r="J428">
        <v>46</v>
      </c>
      <c r="K428">
        <v>1</v>
      </c>
      <c r="L428">
        <v>98</v>
      </c>
      <c r="M428">
        <v>39</v>
      </c>
      <c r="N428">
        <f t="shared" si="18"/>
        <v>22.4</v>
      </c>
      <c r="O428" cm="1">
        <f t="array" ref="O428">SUM(_xlfn.XLOOKUP(E428:H428, $V$13:$V$17, $U$13:$U$17))</f>
        <v>28</v>
      </c>
      <c r="P428">
        <f t="shared" si="19"/>
        <v>0</v>
      </c>
      <c r="Q428" s="1">
        <f t="shared" si="20"/>
        <v>50.4</v>
      </c>
    </row>
    <row r="429" spans="1:17" x14ac:dyDescent="0.25">
      <c r="A429" s="1" t="s">
        <v>576</v>
      </c>
      <c r="B429" s="1" t="s">
        <v>430</v>
      </c>
      <c r="C429">
        <v>7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1</v>
      </c>
      <c r="J429">
        <v>25</v>
      </c>
      <c r="K429">
        <v>33</v>
      </c>
      <c r="L429">
        <v>91</v>
      </c>
      <c r="M429">
        <v>60</v>
      </c>
      <c r="N429">
        <f t="shared" si="18"/>
        <v>21</v>
      </c>
      <c r="O429" cm="1">
        <f t="array" ref="O429">SUM(_xlfn.XLOOKUP(E429:H429, $V$13:$V$17, $U$13:$U$17))</f>
        <v>0</v>
      </c>
      <c r="P429">
        <f t="shared" si="19"/>
        <v>7</v>
      </c>
      <c r="Q429" s="1">
        <f t="shared" si="20"/>
        <v>28</v>
      </c>
    </row>
    <row r="430" spans="1:17" x14ac:dyDescent="0.25">
      <c r="A430" s="1" t="s">
        <v>577</v>
      </c>
      <c r="B430" s="1" t="s">
        <v>360</v>
      </c>
      <c r="C430">
        <v>3</v>
      </c>
      <c r="D430">
        <v>3</v>
      </c>
      <c r="E430">
        <v>6</v>
      </c>
      <c r="F430">
        <v>4</v>
      </c>
      <c r="G430">
        <v>4</v>
      </c>
      <c r="H430">
        <v>3</v>
      </c>
      <c r="I430">
        <v>87</v>
      </c>
      <c r="J430">
        <v>50</v>
      </c>
      <c r="K430">
        <v>61</v>
      </c>
      <c r="L430">
        <v>48</v>
      </c>
      <c r="M430">
        <v>86</v>
      </c>
      <c r="N430">
        <f t="shared" si="18"/>
        <v>33.199999999999996</v>
      </c>
      <c r="O430" cm="1">
        <f t="array" ref="O430">SUM(_xlfn.XLOOKUP(E430:H430, $V$13:$V$17, $U$13:$U$17))</f>
        <v>26</v>
      </c>
      <c r="P430">
        <f t="shared" si="19"/>
        <v>3</v>
      </c>
      <c r="Q430" s="1">
        <f t="shared" si="20"/>
        <v>62.199999999999996</v>
      </c>
    </row>
    <row r="431" spans="1:17" x14ac:dyDescent="0.25">
      <c r="A431" s="1" t="s">
        <v>578</v>
      </c>
      <c r="B431" s="1" t="s">
        <v>579</v>
      </c>
      <c r="C431">
        <v>5</v>
      </c>
      <c r="D431">
        <v>6</v>
      </c>
      <c r="E431">
        <v>4</v>
      </c>
      <c r="F431">
        <v>2</v>
      </c>
      <c r="G431">
        <v>4</v>
      </c>
      <c r="H431">
        <v>3</v>
      </c>
      <c r="I431">
        <v>100</v>
      </c>
      <c r="J431">
        <v>74</v>
      </c>
      <c r="K431">
        <v>76</v>
      </c>
      <c r="L431">
        <v>47</v>
      </c>
      <c r="M431">
        <v>29</v>
      </c>
      <c r="N431">
        <f t="shared" si="18"/>
        <v>32.6</v>
      </c>
      <c r="O431" cm="1">
        <f t="array" ref="O431">SUM(_xlfn.XLOOKUP(E431:H431, $V$13:$V$17, $U$13:$U$17))</f>
        <v>16</v>
      </c>
      <c r="P431">
        <f t="shared" si="19"/>
        <v>7</v>
      </c>
      <c r="Q431" s="1">
        <f t="shared" si="20"/>
        <v>55.6</v>
      </c>
    </row>
    <row r="432" spans="1:17" x14ac:dyDescent="0.25">
      <c r="A432" s="1" t="s">
        <v>580</v>
      </c>
      <c r="B432" s="1" t="s">
        <v>14</v>
      </c>
      <c r="C432">
        <v>1</v>
      </c>
      <c r="D432">
        <v>6</v>
      </c>
      <c r="E432">
        <v>5</v>
      </c>
      <c r="F432">
        <v>2</v>
      </c>
      <c r="G432">
        <v>5</v>
      </c>
      <c r="H432">
        <v>5</v>
      </c>
      <c r="I432">
        <v>59</v>
      </c>
      <c r="J432">
        <v>30</v>
      </c>
      <c r="K432">
        <v>96</v>
      </c>
      <c r="L432">
        <v>53</v>
      </c>
      <c r="M432">
        <v>87</v>
      </c>
      <c r="N432">
        <f t="shared" si="18"/>
        <v>32.5</v>
      </c>
      <c r="O432" cm="1">
        <f t="array" ref="O432">SUM(_xlfn.XLOOKUP(E432:H432, $V$13:$V$17, $U$13:$U$17))</f>
        <v>24</v>
      </c>
      <c r="P432">
        <f t="shared" si="19"/>
        <v>3</v>
      </c>
      <c r="Q432" s="1">
        <f t="shared" si="20"/>
        <v>59.5</v>
      </c>
    </row>
    <row r="433" spans="1:17" x14ac:dyDescent="0.25">
      <c r="A433" s="1" t="s">
        <v>581</v>
      </c>
      <c r="B433" s="1" t="s">
        <v>70</v>
      </c>
      <c r="C433">
        <v>6</v>
      </c>
      <c r="D433">
        <v>2</v>
      </c>
      <c r="E433">
        <v>6</v>
      </c>
      <c r="F433">
        <v>4</v>
      </c>
      <c r="G433">
        <v>4</v>
      </c>
      <c r="H433">
        <v>6</v>
      </c>
      <c r="I433">
        <v>51</v>
      </c>
      <c r="J433">
        <v>98</v>
      </c>
      <c r="K433">
        <v>20</v>
      </c>
      <c r="L433">
        <v>37</v>
      </c>
      <c r="M433">
        <v>54</v>
      </c>
      <c r="N433">
        <f t="shared" si="18"/>
        <v>26</v>
      </c>
      <c r="O433" cm="1">
        <f t="array" ref="O433">SUM(_xlfn.XLOOKUP(E433:H433, $V$13:$V$17, $U$13:$U$17))</f>
        <v>32</v>
      </c>
      <c r="P433">
        <f t="shared" si="19"/>
        <v>6</v>
      </c>
      <c r="Q433" s="1">
        <f t="shared" si="20"/>
        <v>64</v>
      </c>
    </row>
    <row r="434" spans="1:17" x14ac:dyDescent="0.25">
      <c r="A434" s="1" t="s">
        <v>380</v>
      </c>
      <c r="B434" s="1" t="s">
        <v>126</v>
      </c>
      <c r="C434">
        <v>7</v>
      </c>
      <c r="D434">
        <v>6</v>
      </c>
      <c r="E434">
        <v>2</v>
      </c>
      <c r="F434">
        <v>6</v>
      </c>
      <c r="G434">
        <v>2</v>
      </c>
      <c r="H434">
        <v>6</v>
      </c>
      <c r="I434">
        <v>75</v>
      </c>
      <c r="J434">
        <v>60</v>
      </c>
      <c r="K434">
        <v>80</v>
      </c>
      <c r="L434">
        <v>86</v>
      </c>
      <c r="M434">
        <v>91</v>
      </c>
      <c r="N434">
        <f t="shared" si="18"/>
        <v>39.200000000000003</v>
      </c>
      <c r="O434" cm="1">
        <f t="array" ref="O434">SUM(_xlfn.XLOOKUP(E434:H434, $V$13:$V$17, $U$13:$U$17))</f>
        <v>20</v>
      </c>
      <c r="P434">
        <f t="shared" si="19"/>
        <v>9</v>
      </c>
      <c r="Q434" s="1">
        <f t="shared" si="20"/>
        <v>68.2</v>
      </c>
    </row>
    <row r="435" spans="1:17" x14ac:dyDescent="0.25">
      <c r="A435" s="1" t="s">
        <v>582</v>
      </c>
      <c r="B435" s="1" t="s">
        <v>367</v>
      </c>
      <c r="C435">
        <v>5</v>
      </c>
      <c r="D435">
        <v>3</v>
      </c>
      <c r="E435">
        <v>2</v>
      </c>
      <c r="F435">
        <v>6</v>
      </c>
      <c r="G435">
        <v>2</v>
      </c>
      <c r="H435">
        <v>2</v>
      </c>
      <c r="I435">
        <v>28</v>
      </c>
      <c r="J435">
        <v>28</v>
      </c>
      <c r="K435">
        <v>14</v>
      </c>
      <c r="L435">
        <v>52</v>
      </c>
      <c r="M435">
        <v>35</v>
      </c>
      <c r="N435">
        <f t="shared" si="18"/>
        <v>15.7</v>
      </c>
      <c r="O435" cm="1">
        <f t="array" ref="O435">SUM(_xlfn.XLOOKUP(E435:H435, $V$13:$V$17, $U$13:$U$17))</f>
        <v>10</v>
      </c>
      <c r="P435">
        <f t="shared" si="19"/>
        <v>5</v>
      </c>
      <c r="Q435" s="1">
        <f t="shared" si="20"/>
        <v>30.7</v>
      </c>
    </row>
    <row r="436" spans="1:17" x14ac:dyDescent="0.25">
      <c r="A436" s="1" t="s">
        <v>583</v>
      </c>
      <c r="B436" s="1" t="s">
        <v>133</v>
      </c>
      <c r="C436">
        <v>8</v>
      </c>
      <c r="D436">
        <v>3</v>
      </c>
      <c r="E436">
        <v>5</v>
      </c>
      <c r="F436">
        <v>5</v>
      </c>
      <c r="G436">
        <v>5</v>
      </c>
      <c r="H436">
        <v>6</v>
      </c>
      <c r="I436">
        <v>63</v>
      </c>
      <c r="J436">
        <v>66</v>
      </c>
      <c r="K436">
        <v>71</v>
      </c>
      <c r="L436">
        <v>11</v>
      </c>
      <c r="M436">
        <v>57</v>
      </c>
      <c r="N436">
        <f t="shared" si="18"/>
        <v>26.8</v>
      </c>
      <c r="O436" cm="1">
        <f t="array" ref="O436">SUM(_xlfn.XLOOKUP(E436:H436, $V$13:$V$17, $U$13:$U$17))</f>
        <v>34</v>
      </c>
      <c r="P436">
        <f t="shared" si="19"/>
        <v>8</v>
      </c>
      <c r="Q436" s="1">
        <f t="shared" si="20"/>
        <v>68.8</v>
      </c>
    </row>
    <row r="437" spans="1:17" x14ac:dyDescent="0.25">
      <c r="A437" s="1" t="s">
        <v>584</v>
      </c>
      <c r="B437" s="1" t="s">
        <v>171</v>
      </c>
      <c r="C437">
        <v>5</v>
      </c>
      <c r="D437">
        <v>5</v>
      </c>
      <c r="E437">
        <v>5</v>
      </c>
      <c r="F437">
        <v>5</v>
      </c>
      <c r="G437">
        <v>2</v>
      </c>
      <c r="H437">
        <v>6</v>
      </c>
      <c r="I437">
        <v>45</v>
      </c>
      <c r="J437">
        <v>94</v>
      </c>
      <c r="K437">
        <v>45</v>
      </c>
      <c r="L437">
        <v>100</v>
      </c>
      <c r="M437">
        <v>98</v>
      </c>
      <c r="N437">
        <f t="shared" si="18"/>
        <v>38.200000000000003</v>
      </c>
      <c r="O437" cm="1">
        <f t="array" ref="O437">SUM(_xlfn.XLOOKUP(E437:H437, $V$13:$V$17, $U$13:$U$17))</f>
        <v>26</v>
      </c>
      <c r="P437">
        <f t="shared" si="19"/>
        <v>5</v>
      </c>
      <c r="Q437" s="1">
        <f t="shared" si="20"/>
        <v>69.2</v>
      </c>
    </row>
    <row r="438" spans="1:17" x14ac:dyDescent="0.25">
      <c r="A438" s="1" t="s">
        <v>585</v>
      </c>
      <c r="B438" s="1" t="s">
        <v>586</v>
      </c>
      <c r="C438">
        <v>6</v>
      </c>
      <c r="D438">
        <v>5</v>
      </c>
      <c r="E438">
        <v>4</v>
      </c>
      <c r="F438">
        <v>5</v>
      </c>
      <c r="G438">
        <v>6</v>
      </c>
      <c r="H438">
        <v>3</v>
      </c>
      <c r="I438">
        <v>90</v>
      </c>
      <c r="J438">
        <v>98</v>
      </c>
      <c r="K438">
        <v>10</v>
      </c>
      <c r="L438">
        <v>95</v>
      </c>
      <c r="M438">
        <v>63</v>
      </c>
      <c r="N438">
        <f t="shared" si="18"/>
        <v>35.6</v>
      </c>
      <c r="O438" cm="1">
        <f t="array" ref="O438">SUM(_xlfn.XLOOKUP(E438:H438, $V$13:$V$17, $U$13:$U$17))</f>
        <v>28</v>
      </c>
      <c r="P438">
        <f t="shared" si="19"/>
        <v>6</v>
      </c>
      <c r="Q438" s="1">
        <f t="shared" si="20"/>
        <v>69.599999999999994</v>
      </c>
    </row>
    <row r="439" spans="1:17" x14ac:dyDescent="0.25">
      <c r="A439" s="1" t="s">
        <v>587</v>
      </c>
      <c r="B439" s="1" t="s">
        <v>495</v>
      </c>
      <c r="C439">
        <v>7</v>
      </c>
      <c r="D439">
        <v>4</v>
      </c>
      <c r="E439">
        <v>6</v>
      </c>
      <c r="F439">
        <v>5</v>
      </c>
      <c r="G439">
        <v>4</v>
      </c>
      <c r="H439">
        <v>6</v>
      </c>
      <c r="I439">
        <v>3</v>
      </c>
      <c r="J439">
        <v>73</v>
      </c>
      <c r="K439">
        <v>19</v>
      </c>
      <c r="L439">
        <v>42</v>
      </c>
      <c r="M439">
        <v>88</v>
      </c>
      <c r="N439">
        <f t="shared" si="18"/>
        <v>22.5</v>
      </c>
      <c r="O439" cm="1">
        <f t="array" ref="O439">SUM(_xlfn.XLOOKUP(E439:H439, $V$13:$V$17, $U$13:$U$17))</f>
        <v>34</v>
      </c>
      <c r="P439">
        <f t="shared" si="19"/>
        <v>7</v>
      </c>
      <c r="Q439" s="1">
        <f t="shared" si="20"/>
        <v>63.5</v>
      </c>
    </row>
    <row r="440" spans="1:17" x14ac:dyDescent="0.25">
      <c r="A440" s="1" t="s">
        <v>588</v>
      </c>
      <c r="B440" s="1" t="s">
        <v>586</v>
      </c>
      <c r="C440">
        <v>0</v>
      </c>
      <c r="D440">
        <v>2</v>
      </c>
      <c r="E440">
        <v>3</v>
      </c>
      <c r="F440">
        <v>3</v>
      </c>
      <c r="G440">
        <v>5</v>
      </c>
      <c r="H440">
        <v>2</v>
      </c>
      <c r="I440">
        <v>82</v>
      </c>
      <c r="J440">
        <v>61</v>
      </c>
      <c r="K440">
        <v>59</v>
      </c>
      <c r="L440">
        <v>51</v>
      </c>
      <c r="M440">
        <v>71</v>
      </c>
      <c r="N440">
        <f t="shared" si="18"/>
        <v>32.4</v>
      </c>
      <c r="O440" cm="1">
        <f t="array" ref="O440">SUM(_xlfn.XLOOKUP(E440:H440, $V$13:$V$17, $U$13:$U$17))</f>
        <v>16</v>
      </c>
      <c r="P440">
        <f t="shared" si="19"/>
        <v>0</v>
      </c>
      <c r="Q440" s="1">
        <f t="shared" si="20"/>
        <v>48.4</v>
      </c>
    </row>
    <row r="441" spans="1:17" x14ac:dyDescent="0.25">
      <c r="A441" s="1" t="s">
        <v>235</v>
      </c>
      <c r="B441" s="1" t="s">
        <v>110</v>
      </c>
      <c r="C441">
        <v>0</v>
      </c>
      <c r="D441">
        <v>5</v>
      </c>
      <c r="E441">
        <v>6</v>
      </c>
      <c r="F441">
        <v>4</v>
      </c>
      <c r="G441">
        <v>2</v>
      </c>
      <c r="H441">
        <v>6</v>
      </c>
      <c r="I441">
        <v>8</v>
      </c>
      <c r="J441">
        <v>13</v>
      </c>
      <c r="K441">
        <v>38</v>
      </c>
      <c r="L441">
        <v>1</v>
      </c>
      <c r="M441">
        <v>39</v>
      </c>
      <c r="N441">
        <f t="shared" si="18"/>
        <v>9.9</v>
      </c>
      <c r="O441" cm="1">
        <f t="array" ref="O441">SUM(_xlfn.XLOOKUP(E441:H441, $V$13:$V$17, $U$13:$U$17))</f>
        <v>26</v>
      </c>
      <c r="P441">
        <f t="shared" si="19"/>
        <v>0</v>
      </c>
      <c r="Q441" s="1">
        <f t="shared" si="20"/>
        <v>35.9</v>
      </c>
    </row>
    <row r="442" spans="1:17" x14ac:dyDescent="0.25">
      <c r="A442" s="1" t="s">
        <v>589</v>
      </c>
      <c r="B442" s="1" t="s">
        <v>590</v>
      </c>
      <c r="C442">
        <v>4</v>
      </c>
      <c r="D442">
        <v>2</v>
      </c>
      <c r="E442">
        <v>4</v>
      </c>
      <c r="F442">
        <v>4</v>
      </c>
      <c r="G442">
        <v>4</v>
      </c>
      <c r="H442">
        <v>3</v>
      </c>
      <c r="I442">
        <v>25</v>
      </c>
      <c r="J442">
        <v>86</v>
      </c>
      <c r="K442">
        <v>7</v>
      </c>
      <c r="L442">
        <v>3</v>
      </c>
      <c r="M442">
        <v>94</v>
      </c>
      <c r="N442">
        <f t="shared" si="18"/>
        <v>21.5</v>
      </c>
      <c r="O442" cm="1">
        <f t="array" ref="O442">SUM(_xlfn.XLOOKUP(E442:H442, $V$13:$V$17, $U$13:$U$17))</f>
        <v>22</v>
      </c>
      <c r="P442">
        <f t="shared" si="19"/>
        <v>4</v>
      </c>
      <c r="Q442" s="1">
        <f t="shared" si="20"/>
        <v>47.5</v>
      </c>
    </row>
    <row r="443" spans="1:17" x14ac:dyDescent="0.25">
      <c r="A443" s="1" t="s">
        <v>591</v>
      </c>
      <c r="B443" s="1" t="s">
        <v>197</v>
      </c>
      <c r="C443">
        <v>6</v>
      </c>
      <c r="D443">
        <v>3</v>
      </c>
      <c r="E443">
        <v>3</v>
      </c>
      <c r="F443">
        <v>3</v>
      </c>
      <c r="G443">
        <v>2</v>
      </c>
      <c r="H443">
        <v>3</v>
      </c>
      <c r="I443">
        <v>53</v>
      </c>
      <c r="J443">
        <v>53</v>
      </c>
      <c r="K443">
        <v>15</v>
      </c>
      <c r="L443">
        <v>53</v>
      </c>
      <c r="M443">
        <v>80</v>
      </c>
      <c r="N443">
        <f t="shared" si="18"/>
        <v>25.4</v>
      </c>
      <c r="O443" cm="1">
        <f t="array" ref="O443">SUM(_xlfn.XLOOKUP(E443:H443, $V$13:$V$17, $U$13:$U$17))</f>
        <v>12</v>
      </c>
      <c r="P443">
        <f t="shared" si="19"/>
        <v>6</v>
      </c>
      <c r="Q443" s="1">
        <f t="shared" si="20"/>
        <v>43.4</v>
      </c>
    </row>
    <row r="444" spans="1:17" x14ac:dyDescent="0.25">
      <c r="A444" s="1" t="s">
        <v>592</v>
      </c>
      <c r="B444" s="1" t="s">
        <v>593</v>
      </c>
      <c r="C444">
        <v>3</v>
      </c>
      <c r="D444">
        <v>3</v>
      </c>
      <c r="E444">
        <v>4</v>
      </c>
      <c r="F444">
        <v>2</v>
      </c>
      <c r="G444">
        <v>6</v>
      </c>
      <c r="H444">
        <v>4</v>
      </c>
      <c r="I444">
        <v>22</v>
      </c>
      <c r="J444">
        <v>48</v>
      </c>
      <c r="K444">
        <v>26</v>
      </c>
      <c r="L444">
        <v>43</v>
      </c>
      <c r="M444">
        <v>10</v>
      </c>
      <c r="N444">
        <f t="shared" si="18"/>
        <v>14.899999999999999</v>
      </c>
      <c r="O444" cm="1">
        <f t="array" ref="O444">SUM(_xlfn.XLOOKUP(E444:H444, $V$13:$V$17, $U$13:$U$17))</f>
        <v>22</v>
      </c>
      <c r="P444">
        <f t="shared" si="19"/>
        <v>3</v>
      </c>
      <c r="Q444" s="1">
        <f t="shared" si="20"/>
        <v>39.9</v>
      </c>
    </row>
    <row r="445" spans="1:17" x14ac:dyDescent="0.25">
      <c r="A445" s="1" t="s">
        <v>594</v>
      </c>
      <c r="B445" s="1" t="s">
        <v>32</v>
      </c>
      <c r="C445">
        <v>3</v>
      </c>
      <c r="D445">
        <v>2</v>
      </c>
      <c r="E445">
        <v>4</v>
      </c>
      <c r="F445">
        <v>3</v>
      </c>
      <c r="G445">
        <v>2</v>
      </c>
      <c r="H445">
        <v>5</v>
      </c>
      <c r="I445">
        <v>90</v>
      </c>
      <c r="J445">
        <v>97</v>
      </c>
      <c r="K445">
        <v>7</v>
      </c>
      <c r="L445">
        <v>59</v>
      </c>
      <c r="M445">
        <v>100</v>
      </c>
      <c r="N445">
        <f t="shared" si="18"/>
        <v>35.299999999999997</v>
      </c>
      <c r="O445" cm="1">
        <f t="array" ref="O445">SUM(_xlfn.XLOOKUP(E445:H445, $V$13:$V$17, $U$13:$U$17))</f>
        <v>18</v>
      </c>
      <c r="P445">
        <f t="shared" si="19"/>
        <v>3</v>
      </c>
      <c r="Q445" s="1">
        <f t="shared" si="20"/>
        <v>56.3</v>
      </c>
    </row>
    <row r="446" spans="1:17" x14ac:dyDescent="0.25">
      <c r="A446" s="1" t="s">
        <v>595</v>
      </c>
      <c r="B446" s="1" t="s">
        <v>177</v>
      </c>
      <c r="C446">
        <v>4</v>
      </c>
      <c r="D446">
        <v>2</v>
      </c>
      <c r="E446">
        <v>4</v>
      </c>
      <c r="F446">
        <v>5</v>
      </c>
      <c r="G446">
        <v>4</v>
      </c>
      <c r="H446">
        <v>2</v>
      </c>
      <c r="I446">
        <v>9</v>
      </c>
      <c r="J446">
        <v>47</v>
      </c>
      <c r="K446">
        <v>56</v>
      </c>
      <c r="L446">
        <v>89</v>
      </c>
      <c r="M446">
        <v>55</v>
      </c>
      <c r="N446">
        <f t="shared" si="18"/>
        <v>25.6</v>
      </c>
      <c r="O446" cm="1">
        <f t="array" ref="O446">SUM(_xlfn.XLOOKUP(E446:H446, $V$13:$V$17, $U$13:$U$17))</f>
        <v>20</v>
      </c>
      <c r="P446">
        <f t="shared" si="19"/>
        <v>4</v>
      </c>
      <c r="Q446" s="1">
        <f t="shared" si="20"/>
        <v>49.6</v>
      </c>
    </row>
    <row r="447" spans="1:17" x14ac:dyDescent="0.25">
      <c r="A447" s="1" t="s">
        <v>596</v>
      </c>
      <c r="B447" s="1" t="s">
        <v>180</v>
      </c>
      <c r="C447">
        <v>4</v>
      </c>
      <c r="D447">
        <v>2</v>
      </c>
      <c r="E447">
        <v>2</v>
      </c>
      <c r="F447">
        <v>6</v>
      </c>
      <c r="G447">
        <v>4</v>
      </c>
      <c r="H447">
        <v>3</v>
      </c>
      <c r="I447">
        <v>47</v>
      </c>
      <c r="J447">
        <v>8</v>
      </c>
      <c r="K447">
        <v>77</v>
      </c>
      <c r="L447">
        <v>85</v>
      </c>
      <c r="M447">
        <v>10</v>
      </c>
      <c r="N447">
        <f t="shared" si="18"/>
        <v>22.7</v>
      </c>
      <c r="O447" cm="1">
        <f t="array" ref="O447">SUM(_xlfn.XLOOKUP(E447:H447, $V$13:$V$17, $U$13:$U$17))</f>
        <v>20</v>
      </c>
      <c r="P447">
        <f t="shared" si="19"/>
        <v>4</v>
      </c>
      <c r="Q447" s="1">
        <f t="shared" si="20"/>
        <v>46.7</v>
      </c>
    </row>
    <row r="448" spans="1:17" x14ac:dyDescent="0.25">
      <c r="A448" s="1" t="s">
        <v>597</v>
      </c>
      <c r="B448" s="1" t="s">
        <v>218</v>
      </c>
      <c r="C448">
        <v>4</v>
      </c>
      <c r="D448">
        <v>5</v>
      </c>
      <c r="E448">
        <v>4</v>
      </c>
      <c r="F448">
        <v>4</v>
      </c>
      <c r="G448">
        <v>5</v>
      </c>
      <c r="H448">
        <v>3</v>
      </c>
      <c r="I448">
        <v>59</v>
      </c>
      <c r="J448">
        <v>89</v>
      </c>
      <c r="K448">
        <v>32</v>
      </c>
      <c r="L448">
        <v>80</v>
      </c>
      <c r="M448">
        <v>38</v>
      </c>
      <c r="N448">
        <f t="shared" si="18"/>
        <v>29.8</v>
      </c>
      <c r="O448" cm="1">
        <f t="array" ref="O448">SUM(_xlfn.XLOOKUP(E448:H448, $V$13:$V$17, $U$13:$U$17))</f>
        <v>24</v>
      </c>
      <c r="P448">
        <f t="shared" si="19"/>
        <v>4</v>
      </c>
      <c r="Q448" s="1">
        <f t="shared" si="20"/>
        <v>57.8</v>
      </c>
    </row>
    <row r="449" spans="1:17" x14ac:dyDescent="0.25">
      <c r="A449" s="1" t="s">
        <v>598</v>
      </c>
      <c r="B449" s="1" t="s">
        <v>166</v>
      </c>
      <c r="C449">
        <v>8</v>
      </c>
      <c r="D449">
        <v>5</v>
      </c>
      <c r="E449">
        <v>5</v>
      </c>
      <c r="F449">
        <v>4</v>
      </c>
      <c r="G449">
        <v>6</v>
      </c>
      <c r="H449">
        <v>2</v>
      </c>
      <c r="I449">
        <v>60</v>
      </c>
      <c r="J449">
        <v>31</v>
      </c>
      <c r="K449">
        <v>86</v>
      </c>
      <c r="L449">
        <v>76</v>
      </c>
      <c r="M449">
        <v>64</v>
      </c>
      <c r="N449">
        <f t="shared" si="18"/>
        <v>31.699999999999996</v>
      </c>
      <c r="O449" cm="1">
        <f t="array" ref="O449">SUM(_xlfn.XLOOKUP(E449:H449, $V$13:$V$17, $U$13:$U$17))</f>
        <v>24</v>
      </c>
      <c r="P449">
        <f t="shared" si="19"/>
        <v>8</v>
      </c>
      <c r="Q449" s="1">
        <f t="shared" si="20"/>
        <v>63.699999999999996</v>
      </c>
    </row>
    <row r="450" spans="1:17" x14ac:dyDescent="0.25">
      <c r="A450" s="1" t="s">
        <v>599</v>
      </c>
      <c r="B450" s="1" t="s">
        <v>600</v>
      </c>
      <c r="C450">
        <v>3</v>
      </c>
      <c r="D450">
        <v>4</v>
      </c>
      <c r="E450">
        <v>3</v>
      </c>
      <c r="F450">
        <v>5</v>
      </c>
      <c r="G450">
        <v>5</v>
      </c>
      <c r="H450">
        <v>5</v>
      </c>
      <c r="I450">
        <v>53</v>
      </c>
      <c r="J450">
        <v>78</v>
      </c>
      <c r="K450">
        <v>73</v>
      </c>
      <c r="L450">
        <v>89</v>
      </c>
      <c r="M450">
        <v>32</v>
      </c>
      <c r="N450">
        <f t="shared" ref="N450:N513" si="21">I450/10 + J450/10 + K450/10 + L450/10 + M450/10</f>
        <v>32.5</v>
      </c>
      <c r="O450" cm="1">
        <f t="array" ref="O450">SUM(_xlfn.XLOOKUP(E450:H450, $V$13:$V$17, $U$13:$U$17))</f>
        <v>28</v>
      </c>
      <c r="P450">
        <f t="shared" ref="P450:P515" si="22">IF(D450=6,C450+2,C450)</f>
        <v>3</v>
      </c>
      <c r="Q450" s="1">
        <f t="shared" ref="Q450:Q513" si="23">SUM(N450:P450)</f>
        <v>63.5</v>
      </c>
    </row>
    <row r="451" spans="1:17" x14ac:dyDescent="0.25">
      <c r="A451" s="1" t="s">
        <v>601</v>
      </c>
      <c r="B451" s="1" t="s">
        <v>121</v>
      </c>
      <c r="C451">
        <v>0</v>
      </c>
      <c r="D451">
        <v>4</v>
      </c>
      <c r="E451">
        <v>2</v>
      </c>
      <c r="F451">
        <v>2</v>
      </c>
      <c r="G451">
        <v>2</v>
      </c>
      <c r="H451">
        <v>6</v>
      </c>
      <c r="I451">
        <v>88</v>
      </c>
      <c r="J451">
        <v>43</v>
      </c>
      <c r="K451">
        <v>91</v>
      </c>
      <c r="L451">
        <v>4</v>
      </c>
      <c r="M451">
        <v>78</v>
      </c>
      <c r="N451">
        <f t="shared" si="21"/>
        <v>30.400000000000002</v>
      </c>
      <c r="O451" cm="1">
        <f t="array" ref="O451">SUM(_xlfn.XLOOKUP(E451:H451, $V$13:$V$17, $U$13:$U$17))</f>
        <v>10</v>
      </c>
      <c r="P451">
        <f t="shared" si="22"/>
        <v>0</v>
      </c>
      <c r="Q451" s="1">
        <f t="shared" si="23"/>
        <v>40.400000000000006</v>
      </c>
    </row>
    <row r="452" spans="1:17" x14ac:dyDescent="0.25">
      <c r="A452" s="1" t="s">
        <v>602</v>
      </c>
      <c r="B452" s="1" t="s">
        <v>58</v>
      </c>
      <c r="C452">
        <v>1</v>
      </c>
      <c r="D452">
        <v>5</v>
      </c>
      <c r="E452">
        <v>4</v>
      </c>
      <c r="F452">
        <v>6</v>
      </c>
      <c r="G452">
        <v>4</v>
      </c>
      <c r="H452">
        <v>2</v>
      </c>
      <c r="I452">
        <v>4</v>
      </c>
      <c r="J452">
        <v>97</v>
      </c>
      <c r="K452">
        <v>75</v>
      </c>
      <c r="L452">
        <v>86</v>
      </c>
      <c r="M452">
        <v>10</v>
      </c>
      <c r="N452">
        <f t="shared" si="21"/>
        <v>27.200000000000003</v>
      </c>
      <c r="O452" cm="1">
        <f t="array" ref="O452">SUM(_xlfn.XLOOKUP(E452:H452, $V$13:$V$17, $U$13:$U$17))</f>
        <v>22</v>
      </c>
      <c r="P452">
        <f t="shared" si="22"/>
        <v>1</v>
      </c>
      <c r="Q452" s="1">
        <f t="shared" si="23"/>
        <v>50.2</v>
      </c>
    </row>
    <row r="453" spans="1:17" x14ac:dyDescent="0.25">
      <c r="A453" s="1" t="s">
        <v>603</v>
      </c>
      <c r="B453" s="1" t="s">
        <v>604</v>
      </c>
      <c r="C453">
        <v>7</v>
      </c>
      <c r="D453">
        <v>4</v>
      </c>
      <c r="E453">
        <v>3</v>
      </c>
      <c r="F453">
        <v>6</v>
      </c>
      <c r="G453">
        <v>3</v>
      </c>
      <c r="H453">
        <v>2</v>
      </c>
      <c r="I453">
        <v>28</v>
      </c>
      <c r="J453">
        <v>75</v>
      </c>
      <c r="K453">
        <v>15</v>
      </c>
      <c r="L453">
        <v>6</v>
      </c>
      <c r="M453">
        <v>33</v>
      </c>
      <c r="N453">
        <f t="shared" si="21"/>
        <v>15.7</v>
      </c>
      <c r="O453" cm="1">
        <f t="array" ref="O453">SUM(_xlfn.XLOOKUP(E453:H453, $V$13:$V$17, $U$13:$U$17))</f>
        <v>18</v>
      </c>
      <c r="P453">
        <f t="shared" si="22"/>
        <v>7</v>
      </c>
      <c r="Q453" s="1">
        <f t="shared" si="23"/>
        <v>40.700000000000003</v>
      </c>
    </row>
    <row r="454" spans="1:17" x14ac:dyDescent="0.25">
      <c r="A454" s="1" t="s">
        <v>605</v>
      </c>
      <c r="B454" s="1" t="s">
        <v>110</v>
      </c>
      <c r="C454">
        <v>4</v>
      </c>
      <c r="D454">
        <v>2</v>
      </c>
      <c r="E454">
        <v>4</v>
      </c>
      <c r="F454">
        <v>6</v>
      </c>
      <c r="G454">
        <v>5</v>
      </c>
      <c r="H454">
        <v>5</v>
      </c>
      <c r="I454">
        <v>29</v>
      </c>
      <c r="J454">
        <v>92</v>
      </c>
      <c r="K454">
        <v>99</v>
      </c>
      <c r="L454">
        <v>79</v>
      </c>
      <c r="M454">
        <v>8</v>
      </c>
      <c r="N454">
        <f t="shared" si="21"/>
        <v>30.7</v>
      </c>
      <c r="O454" cm="1">
        <f t="array" ref="O454">SUM(_xlfn.XLOOKUP(E454:H454, $V$13:$V$17, $U$13:$U$17))</f>
        <v>32</v>
      </c>
      <c r="P454">
        <f t="shared" si="22"/>
        <v>4</v>
      </c>
      <c r="Q454" s="1">
        <f t="shared" si="23"/>
        <v>66.7</v>
      </c>
    </row>
    <row r="455" spans="1:17" x14ac:dyDescent="0.25">
      <c r="A455" s="1" t="s">
        <v>606</v>
      </c>
      <c r="B455" s="1" t="s">
        <v>242</v>
      </c>
      <c r="C455">
        <v>2</v>
      </c>
      <c r="D455">
        <v>5</v>
      </c>
      <c r="E455">
        <v>3</v>
      </c>
      <c r="F455">
        <v>2</v>
      </c>
      <c r="G455">
        <v>3</v>
      </c>
      <c r="H455">
        <v>6</v>
      </c>
      <c r="I455">
        <v>59</v>
      </c>
      <c r="J455">
        <v>29</v>
      </c>
      <c r="K455">
        <v>92</v>
      </c>
      <c r="L455">
        <v>96</v>
      </c>
      <c r="M455">
        <v>77</v>
      </c>
      <c r="N455">
        <f t="shared" si="21"/>
        <v>35.300000000000004</v>
      </c>
      <c r="O455" cm="1">
        <f t="array" ref="O455">SUM(_xlfn.XLOOKUP(E455:H455, $V$13:$V$17, $U$13:$U$17))</f>
        <v>18</v>
      </c>
      <c r="P455">
        <f t="shared" si="22"/>
        <v>2</v>
      </c>
      <c r="Q455" s="1">
        <f t="shared" si="23"/>
        <v>55.300000000000004</v>
      </c>
    </row>
    <row r="456" spans="1:17" x14ac:dyDescent="0.25">
      <c r="A456" s="1" t="s">
        <v>423</v>
      </c>
      <c r="B456" s="1" t="s">
        <v>76</v>
      </c>
      <c r="C456">
        <v>0</v>
      </c>
      <c r="D456">
        <v>6</v>
      </c>
      <c r="E456">
        <v>6</v>
      </c>
      <c r="F456">
        <v>5</v>
      </c>
      <c r="G456">
        <v>4</v>
      </c>
      <c r="H456">
        <v>3</v>
      </c>
      <c r="I456">
        <v>98</v>
      </c>
      <c r="J456">
        <v>79</v>
      </c>
      <c r="K456">
        <v>65</v>
      </c>
      <c r="L456">
        <v>41</v>
      </c>
      <c r="M456">
        <v>48</v>
      </c>
      <c r="N456">
        <f t="shared" si="21"/>
        <v>33.1</v>
      </c>
      <c r="O456" cm="1">
        <f t="array" ref="O456">SUM(_xlfn.XLOOKUP(E456:H456, $V$13:$V$17, $U$13:$U$17))</f>
        <v>28</v>
      </c>
      <c r="P456">
        <f t="shared" si="22"/>
        <v>2</v>
      </c>
      <c r="Q456" s="1">
        <f t="shared" si="23"/>
        <v>63.1</v>
      </c>
    </row>
    <row r="457" spans="1:17" x14ac:dyDescent="0.25">
      <c r="A457" s="1" t="s">
        <v>607</v>
      </c>
      <c r="B457" s="1" t="s">
        <v>608</v>
      </c>
      <c r="C457">
        <v>2</v>
      </c>
      <c r="D457">
        <v>2</v>
      </c>
      <c r="E457">
        <v>6</v>
      </c>
      <c r="F457">
        <v>5</v>
      </c>
      <c r="G457">
        <v>6</v>
      </c>
      <c r="H457">
        <v>3</v>
      </c>
      <c r="I457">
        <v>74</v>
      </c>
      <c r="J457">
        <v>25</v>
      </c>
      <c r="K457">
        <v>78</v>
      </c>
      <c r="L457">
        <v>6</v>
      </c>
      <c r="M457">
        <v>69</v>
      </c>
      <c r="N457">
        <f t="shared" si="21"/>
        <v>25.200000000000003</v>
      </c>
      <c r="O457" cm="1">
        <f t="array" ref="O457">SUM(_xlfn.XLOOKUP(E457:H457, $V$13:$V$17, $U$13:$U$17))</f>
        <v>32</v>
      </c>
      <c r="P457">
        <f t="shared" si="22"/>
        <v>2</v>
      </c>
      <c r="Q457" s="1">
        <f t="shared" si="23"/>
        <v>59.2</v>
      </c>
    </row>
    <row r="458" spans="1:17" x14ac:dyDescent="0.25">
      <c r="A458" s="1" t="s">
        <v>609</v>
      </c>
      <c r="B458" s="1" t="s">
        <v>242</v>
      </c>
      <c r="C458">
        <v>3</v>
      </c>
      <c r="D458">
        <v>2</v>
      </c>
      <c r="E458">
        <v>4</v>
      </c>
      <c r="F458">
        <v>5</v>
      </c>
      <c r="G458">
        <v>2</v>
      </c>
      <c r="H458">
        <v>5</v>
      </c>
      <c r="I458">
        <v>12</v>
      </c>
      <c r="J458">
        <v>96</v>
      </c>
      <c r="K458">
        <v>66</v>
      </c>
      <c r="L458">
        <v>17</v>
      </c>
      <c r="M458">
        <v>86</v>
      </c>
      <c r="N458">
        <f t="shared" si="21"/>
        <v>27.699999999999996</v>
      </c>
      <c r="O458" cm="1">
        <f t="array" ref="O458">SUM(_xlfn.XLOOKUP(E458:H458, $V$13:$V$17, $U$13:$U$17))</f>
        <v>22</v>
      </c>
      <c r="P458">
        <f t="shared" si="22"/>
        <v>3</v>
      </c>
      <c r="Q458" s="1">
        <f t="shared" si="23"/>
        <v>52.699999999999996</v>
      </c>
    </row>
    <row r="459" spans="1:17" x14ac:dyDescent="0.25">
      <c r="A459" s="1" t="s">
        <v>514</v>
      </c>
      <c r="B459" s="1" t="s">
        <v>316</v>
      </c>
      <c r="C459">
        <v>3</v>
      </c>
      <c r="D459">
        <v>5</v>
      </c>
      <c r="E459">
        <v>5</v>
      </c>
      <c r="F459">
        <v>3</v>
      </c>
      <c r="G459">
        <v>2</v>
      </c>
      <c r="H459">
        <v>2</v>
      </c>
      <c r="I459">
        <v>53</v>
      </c>
      <c r="J459">
        <v>89</v>
      </c>
      <c r="K459">
        <v>16</v>
      </c>
      <c r="L459">
        <v>27</v>
      </c>
      <c r="M459">
        <v>62</v>
      </c>
      <c r="N459">
        <f t="shared" si="21"/>
        <v>24.7</v>
      </c>
      <c r="O459" cm="1">
        <f t="array" ref="O459">SUM(_xlfn.XLOOKUP(E459:H459, $V$13:$V$17, $U$13:$U$17))</f>
        <v>12</v>
      </c>
      <c r="P459">
        <f t="shared" si="22"/>
        <v>3</v>
      </c>
      <c r="Q459" s="1">
        <f t="shared" si="23"/>
        <v>39.700000000000003</v>
      </c>
    </row>
    <row r="460" spans="1:17" x14ac:dyDescent="0.25">
      <c r="A460" s="1" t="s">
        <v>610</v>
      </c>
      <c r="B460" s="1" t="s">
        <v>395</v>
      </c>
      <c r="C460">
        <v>4</v>
      </c>
      <c r="D460">
        <v>3</v>
      </c>
      <c r="E460">
        <v>6</v>
      </c>
      <c r="F460">
        <v>4</v>
      </c>
      <c r="G460">
        <v>6</v>
      </c>
      <c r="H460">
        <v>6</v>
      </c>
      <c r="I460">
        <v>90</v>
      </c>
      <c r="J460">
        <v>31</v>
      </c>
      <c r="K460">
        <v>75</v>
      </c>
      <c r="L460">
        <v>1</v>
      </c>
      <c r="M460">
        <v>58</v>
      </c>
      <c r="N460">
        <f t="shared" si="21"/>
        <v>25.500000000000004</v>
      </c>
      <c r="O460" cm="1">
        <f t="array" ref="O460">SUM(_xlfn.XLOOKUP(E460:H460, $V$13:$V$17, $U$13:$U$17))</f>
        <v>36</v>
      </c>
      <c r="P460">
        <f t="shared" si="22"/>
        <v>4</v>
      </c>
      <c r="Q460" s="1">
        <f t="shared" si="23"/>
        <v>65.5</v>
      </c>
    </row>
    <row r="461" spans="1:17" x14ac:dyDescent="0.25">
      <c r="A461" s="1" t="s">
        <v>611</v>
      </c>
      <c r="B461" s="1" t="s">
        <v>395</v>
      </c>
      <c r="C461">
        <v>0</v>
      </c>
      <c r="D461">
        <v>3</v>
      </c>
      <c r="E461">
        <v>3</v>
      </c>
      <c r="F461">
        <v>4</v>
      </c>
      <c r="G461">
        <v>2</v>
      </c>
      <c r="H461">
        <v>4</v>
      </c>
      <c r="I461">
        <v>92</v>
      </c>
      <c r="J461">
        <v>47</v>
      </c>
      <c r="K461">
        <v>27</v>
      </c>
      <c r="L461">
        <v>40</v>
      </c>
      <c r="M461">
        <v>35</v>
      </c>
      <c r="N461">
        <f t="shared" si="21"/>
        <v>24.099999999999998</v>
      </c>
      <c r="O461" cm="1">
        <f t="array" ref="O461">SUM(_xlfn.XLOOKUP(E461:H461, $V$13:$V$17, $U$13:$U$17))</f>
        <v>16</v>
      </c>
      <c r="P461">
        <f t="shared" si="22"/>
        <v>0</v>
      </c>
      <c r="Q461" s="1">
        <f t="shared" si="23"/>
        <v>40.099999999999994</v>
      </c>
    </row>
    <row r="462" spans="1:17" x14ac:dyDescent="0.25">
      <c r="A462" s="1" t="s">
        <v>612</v>
      </c>
      <c r="B462" s="1" t="s">
        <v>164</v>
      </c>
      <c r="C462">
        <v>6</v>
      </c>
      <c r="D462">
        <v>4</v>
      </c>
      <c r="E462">
        <v>3</v>
      </c>
      <c r="F462">
        <v>2</v>
      </c>
      <c r="G462">
        <v>3</v>
      </c>
      <c r="H462">
        <v>5</v>
      </c>
      <c r="I462">
        <v>57</v>
      </c>
      <c r="J462">
        <v>67</v>
      </c>
      <c r="K462">
        <v>51</v>
      </c>
      <c r="L462">
        <v>92</v>
      </c>
      <c r="M462">
        <v>72</v>
      </c>
      <c r="N462">
        <f t="shared" si="21"/>
        <v>33.9</v>
      </c>
      <c r="O462" cm="1">
        <f t="array" ref="O462">SUM(_xlfn.XLOOKUP(E462:H462, $V$13:$V$17, $U$13:$U$17))</f>
        <v>16</v>
      </c>
      <c r="P462">
        <f t="shared" si="22"/>
        <v>6</v>
      </c>
      <c r="Q462" s="1">
        <f t="shared" si="23"/>
        <v>55.9</v>
      </c>
    </row>
    <row r="463" spans="1:17" x14ac:dyDescent="0.25">
      <c r="A463" s="1" t="s">
        <v>613</v>
      </c>
      <c r="B463" s="1" t="s">
        <v>412</v>
      </c>
      <c r="C463">
        <v>0</v>
      </c>
      <c r="D463">
        <v>6</v>
      </c>
      <c r="E463">
        <v>3</v>
      </c>
      <c r="F463">
        <v>6</v>
      </c>
      <c r="G463">
        <v>6</v>
      </c>
      <c r="H463">
        <v>4</v>
      </c>
      <c r="I463">
        <v>74</v>
      </c>
      <c r="J463">
        <v>60</v>
      </c>
      <c r="K463">
        <v>83</v>
      </c>
      <c r="L463">
        <v>39</v>
      </c>
      <c r="M463">
        <v>97</v>
      </c>
      <c r="N463">
        <f t="shared" si="21"/>
        <v>35.299999999999997</v>
      </c>
      <c r="O463" cm="1">
        <f t="array" ref="O463">SUM(_xlfn.XLOOKUP(E463:H463, $V$13:$V$17, $U$13:$U$17))</f>
        <v>30</v>
      </c>
      <c r="P463">
        <f t="shared" si="22"/>
        <v>2</v>
      </c>
      <c r="Q463" s="1">
        <f t="shared" si="23"/>
        <v>67.3</v>
      </c>
    </row>
    <row r="464" spans="1:17" x14ac:dyDescent="0.25">
      <c r="A464" s="1" t="s">
        <v>614</v>
      </c>
      <c r="B464" s="1" t="s">
        <v>615</v>
      </c>
      <c r="C464">
        <v>7</v>
      </c>
      <c r="D464">
        <v>6</v>
      </c>
      <c r="E464">
        <v>2</v>
      </c>
      <c r="F464">
        <v>3</v>
      </c>
      <c r="G464">
        <v>2</v>
      </c>
      <c r="H464">
        <v>3</v>
      </c>
      <c r="I464">
        <v>21</v>
      </c>
      <c r="J464">
        <v>16</v>
      </c>
      <c r="K464">
        <v>9</v>
      </c>
      <c r="L464">
        <v>49</v>
      </c>
      <c r="M464">
        <v>47</v>
      </c>
      <c r="N464">
        <f t="shared" si="21"/>
        <v>14.2</v>
      </c>
      <c r="O464" cm="1">
        <f t="array" ref="O464">SUM(_xlfn.XLOOKUP(E464:H464, $V$13:$V$17, $U$13:$U$17))</f>
        <v>8</v>
      </c>
      <c r="P464">
        <f t="shared" si="22"/>
        <v>9</v>
      </c>
      <c r="Q464" s="1">
        <f t="shared" si="23"/>
        <v>31.2</v>
      </c>
    </row>
    <row r="465" spans="1:17" x14ac:dyDescent="0.25">
      <c r="A465" s="1" t="s">
        <v>616</v>
      </c>
      <c r="B465" s="1" t="s">
        <v>249</v>
      </c>
      <c r="C465">
        <v>8</v>
      </c>
      <c r="D465">
        <v>3</v>
      </c>
      <c r="E465">
        <v>5</v>
      </c>
      <c r="F465">
        <v>6</v>
      </c>
      <c r="G465">
        <v>2</v>
      </c>
      <c r="H465">
        <v>4</v>
      </c>
      <c r="I465">
        <v>73</v>
      </c>
      <c r="J465">
        <v>70</v>
      </c>
      <c r="K465">
        <v>71</v>
      </c>
      <c r="L465">
        <v>84</v>
      </c>
      <c r="M465">
        <v>81</v>
      </c>
      <c r="N465">
        <f t="shared" si="21"/>
        <v>37.9</v>
      </c>
      <c r="O465" cm="1">
        <f t="array" ref="O465">SUM(_xlfn.XLOOKUP(E465:H465, $V$13:$V$17, $U$13:$U$17))</f>
        <v>24</v>
      </c>
      <c r="P465">
        <f t="shared" si="22"/>
        <v>8</v>
      </c>
      <c r="Q465" s="1">
        <f t="shared" si="23"/>
        <v>69.900000000000006</v>
      </c>
    </row>
    <row r="466" spans="1:17" x14ac:dyDescent="0.25">
      <c r="A466" s="1" t="s">
        <v>617</v>
      </c>
      <c r="B466" s="1" t="s">
        <v>397</v>
      </c>
      <c r="C466">
        <v>2</v>
      </c>
      <c r="D466">
        <v>4</v>
      </c>
      <c r="E466">
        <v>6</v>
      </c>
      <c r="F466">
        <v>4</v>
      </c>
      <c r="G466">
        <v>5</v>
      </c>
      <c r="H466">
        <v>2</v>
      </c>
      <c r="I466">
        <v>44</v>
      </c>
      <c r="J466">
        <v>8</v>
      </c>
      <c r="K466">
        <v>100</v>
      </c>
      <c r="L466">
        <v>54</v>
      </c>
      <c r="M466">
        <v>77</v>
      </c>
      <c r="N466">
        <f t="shared" si="21"/>
        <v>28.3</v>
      </c>
      <c r="O466" cm="1">
        <f t="array" ref="O466">SUM(_xlfn.XLOOKUP(E466:H466, $V$13:$V$17, $U$13:$U$17))</f>
        <v>24</v>
      </c>
      <c r="P466">
        <f t="shared" si="22"/>
        <v>2</v>
      </c>
      <c r="Q466" s="1">
        <f t="shared" si="23"/>
        <v>54.3</v>
      </c>
    </row>
    <row r="467" spans="1:17" x14ac:dyDescent="0.25">
      <c r="A467" s="1" t="s">
        <v>618</v>
      </c>
      <c r="B467" s="1" t="s">
        <v>180</v>
      </c>
      <c r="C467">
        <v>6</v>
      </c>
      <c r="D467">
        <v>3</v>
      </c>
      <c r="E467">
        <v>5</v>
      </c>
      <c r="F467">
        <v>4</v>
      </c>
      <c r="G467">
        <v>3</v>
      </c>
      <c r="H467">
        <v>2</v>
      </c>
      <c r="I467">
        <v>78</v>
      </c>
      <c r="J467">
        <v>17</v>
      </c>
      <c r="K467">
        <v>48</v>
      </c>
      <c r="L467">
        <v>42</v>
      </c>
      <c r="M467">
        <v>85</v>
      </c>
      <c r="N467">
        <f t="shared" si="21"/>
        <v>27</v>
      </c>
      <c r="O467" cm="1">
        <f t="array" ref="O467">SUM(_xlfn.XLOOKUP(E467:H467, $V$13:$V$17, $U$13:$U$17))</f>
        <v>18</v>
      </c>
      <c r="P467">
        <f t="shared" si="22"/>
        <v>6</v>
      </c>
      <c r="Q467" s="1">
        <f t="shared" si="23"/>
        <v>51</v>
      </c>
    </row>
    <row r="468" spans="1:17" x14ac:dyDescent="0.25">
      <c r="A468" s="1" t="s">
        <v>619</v>
      </c>
      <c r="B468" s="1" t="s">
        <v>620</v>
      </c>
      <c r="C468">
        <v>0</v>
      </c>
      <c r="D468">
        <v>3</v>
      </c>
      <c r="E468">
        <v>6</v>
      </c>
      <c r="F468">
        <v>2</v>
      </c>
      <c r="G468">
        <v>5</v>
      </c>
      <c r="H468">
        <v>2</v>
      </c>
      <c r="I468">
        <v>72</v>
      </c>
      <c r="J468">
        <v>53</v>
      </c>
      <c r="K468">
        <v>43</v>
      </c>
      <c r="L468">
        <v>72</v>
      </c>
      <c r="M468">
        <v>52</v>
      </c>
      <c r="N468">
        <f t="shared" si="21"/>
        <v>29.2</v>
      </c>
      <c r="O468" cm="1">
        <f t="array" ref="O468">SUM(_xlfn.XLOOKUP(E468:H468, $V$13:$V$17, $U$13:$U$17))</f>
        <v>18</v>
      </c>
      <c r="P468">
        <f t="shared" si="22"/>
        <v>0</v>
      </c>
      <c r="Q468" s="1">
        <f t="shared" si="23"/>
        <v>47.2</v>
      </c>
    </row>
    <row r="469" spans="1:17" x14ac:dyDescent="0.25">
      <c r="A469" s="1" t="s">
        <v>621</v>
      </c>
      <c r="B469" s="1" t="s">
        <v>210</v>
      </c>
      <c r="C469">
        <v>7</v>
      </c>
      <c r="D469">
        <v>5</v>
      </c>
      <c r="E469">
        <v>6</v>
      </c>
      <c r="F469">
        <v>2</v>
      </c>
      <c r="G469">
        <v>5</v>
      </c>
      <c r="H469">
        <v>4</v>
      </c>
      <c r="I469">
        <v>15</v>
      </c>
      <c r="J469">
        <v>64</v>
      </c>
      <c r="K469">
        <v>20</v>
      </c>
      <c r="L469">
        <v>59</v>
      </c>
      <c r="M469">
        <v>52</v>
      </c>
      <c r="N469">
        <f t="shared" si="21"/>
        <v>21</v>
      </c>
      <c r="O469" cm="1">
        <f t="array" ref="O469">SUM(_xlfn.XLOOKUP(E469:H469, $V$13:$V$17, $U$13:$U$17))</f>
        <v>24</v>
      </c>
      <c r="P469">
        <f t="shared" si="22"/>
        <v>7</v>
      </c>
      <c r="Q469" s="1">
        <f t="shared" si="23"/>
        <v>52</v>
      </c>
    </row>
    <row r="470" spans="1:17" x14ac:dyDescent="0.25">
      <c r="A470" s="1" t="s">
        <v>622</v>
      </c>
      <c r="B470" s="1" t="s">
        <v>448</v>
      </c>
      <c r="C470">
        <v>1</v>
      </c>
      <c r="D470">
        <v>2</v>
      </c>
      <c r="E470">
        <v>3</v>
      </c>
      <c r="F470">
        <v>3</v>
      </c>
      <c r="G470">
        <v>2</v>
      </c>
      <c r="H470">
        <v>6</v>
      </c>
      <c r="I470">
        <v>35</v>
      </c>
      <c r="J470">
        <v>20</v>
      </c>
      <c r="K470">
        <v>46</v>
      </c>
      <c r="L470">
        <v>84</v>
      </c>
      <c r="M470">
        <v>11</v>
      </c>
      <c r="N470">
        <f t="shared" si="21"/>
        <v>19.600000000000001</v>
      </c>
      <c r="O470" cm="1">
        <f t="array" ref="O470">SUM(_xlfn.XLOOKUP(E470:H470, $V$13:$V$17, $U$13:$U$17))</f>
        <v>18</v>
      </c>
      <c r="P470">
        <f t="shared" si="22"/>
        <v>1</v>
      </c>
      <c r="Q470" s="1">
        <f t="shared" si="23"/>
        <v>38.6</v>
      </c>
    </row>
    <row r="471" spans="1:17" x14ac:dyDescent="0.25">
      <c r="A471" s="1" t="s">
        <v>623</v>
      </c>
      <c r="B471" s="1" t="s">
        <v>239</v>
      </c>
      <c r="C471">
        <v>0</v>
      </c>
      <c r="D471">
        <v>2</v>
      </c>
      <c r="E471">
        <v>2</v>
      </c>
      <c r="F471">
        <v>5</v>
      </c>
      <c r="G471">
        <v>6</v>
      </c>
      <c r="H471">
        <v>2</v>
      </c>
      <c r="I471">
        <v>87</v>
      </c>
      <c r="J471">
        <v>18</v>
      </c>
      <c r="K471">
        <v>93</v>
      </c>
      <c r="L471">
        <v>62</v>
      </c>
      <c r="M471">
        <v>95</v>
      </c>
      <c r="N471">
        <f t="shared" si="21"/>
        <v>35.5</v>
      </c>
      <c r="O471" cm="1">
        <f t="array" ref="O471">SUM(_xlfn.XLOOKUP(E471:H471, $V$13:$V$17, $U$13:$U$17))</f>
        <v>18</v>
      </c>
      <c r="P471">
        <f t="shared" si="22"/>
        <v>0</v>
      </c>
      <c r="Q471" s="1">
        <f t="shared" si="23"/>
        <v>53.5</v>
      </c>
    </row>
    <row r="472" spans="1:17" x14ac:dyDescent="0.25">
      <c r="A472" s="1" t="s">
        <v>624</v>
      </c>
      <c r="B472" s="1" t="s">
        <v>414</v>
      </c>
      <c r="C472">
        <v>6</v>
      </c>
      <c r="D472">
        <v>2</v>
      </c>
      <c r="E472">
        <v>4</v>
      </c>
      <c r="F472">
        <v>3</v>
      </c>
      <c r="G472">
        <v>3</v>
      </c>
      <c r="H472">
        <v>2</v>
      </c>
      <c r="I472">
        <v>72</v>
      </c>
      <c r="J472">
        <v>79</v>
      </c>
      <c r="K472">
        <v>98</v>
      </c>
      <c r="L472">
        <v>86</v>
      </c>
      <c r="M472">
        <v>31</v>
      </c>
      <c r="N472">
        <f t="shared" si="21"/>
        <v>36.6</v>
      </c>
      <c r="O472" cm="1">
        <f t="array" ref="O472">SUM(_xlfn.XLOOKUP(E472:H472, $V$13:$V$17, $U$13:$U$17))</f>
        <v>14</v>
      </c>
      <c r="P472">
        <f t="shared" si="22"/>
        <v>6</v>
      </c>
      <c r="Q472" s="1">
        <f t="shared" si="23"/>
        <v>56.6</v>
      </c>
    </row>
    <row r="473" spans="1:17" x14ac:dyDescent="0.25">
      <c r="A473" s="1" t="s">
        <v>625</v>
      </c>
      <c r="B473" s="1" t="s">
        <v>161</v>
      </c>
      <c r="C473">
        <v>3</v>
      </c>
      <c r="D473">
        <v>3</v>
      </c>
      <c r="E473">
        <v>3</v>
      </c>
      <c r="F473">
        <v>3</v>
      </c>
      <c r="G473">
        <v>5</v>
      </c>
      <c r="H473">
        <v>4</v>
      </c>
      <c r="I473">
        <v>71</v>
      </c>
      <c r="J473">
        <v>68</v>
      </c>
      <c r="K473">
        <v>38</v>
      </c>
      <c r="L473">
        <v>8</v>
      </c>
      <c r="M473">
        <v>98</v>
      </c>
      <c r="N473">
        <f t="shared" si="21"/>
        <v>28.3</v>
      </c>
      <c r="O473" cm="1">
        <f t="array" ref="O473">SUM(_xlfn.XLOOKUP(E473:H473, $V$13:$V$17, $U$13:$U$17))</f>
        <v>22</v>
      </c>
      <c r="P473">
        <f t="shared" si="22"/>
        <v>3</v>
      </c>
      <c r="Q473" s="1">
        <f t="shared" si="23"/>
        <v>53.3</v>
      </c>
    </row>
    <row r="474" spans="1:17" x14ac:dyDescent="0.25">
      <c r="A474" s="1" t="s">
        <v>626</v>
      </c>
      <c r="B474" s="1" t="s">
        <v>38</v>
      </c>
      <c r="C474">
        <v>8</v>
      </c>
      <c r="D474">
        <v>2</v>
      </c>
      <c r="E474">
        <v>2</v>
      </c>
      <c r="F474">
        <v>3</v>
      </c>
      <c r="G474">
        <v>4</v>
      </c>
      <c r="H474">
        <v>4</v>
      </c>
      <c r="I474">
        <v>96</v>
      </c>
      <c r="J474">
        <v>47</v>
      </c>
      <c r="K474">
        <v>90</v>
      </c>
      <c r="L474">
        <v>24</v>
      </c>
      <c r="M474">
        <v>96</v>
      </c>
      <c r="N474">
        <f t="shared" si="21"/>
        <v>35.299999999999997</v>
      </c>
      <c r="O474" cm="1">
        <f t="array" ref="O474">SUM(_xlfn.XLOOKUP(E474:H474, $V$13:$V$17, $U$13:$U$17))</f>
        <v>16</v>
      </c>
      <c r="P474">
        <f t="shared" si="22"/>
        <v>8</v>
      </c>
      <c r="Q474" s="1">
        <f t="shared" si="23"/>
        <v>59.3</v>
      </c>
    </row>
    <row r="475" spans="1:17" x14ac:dyDescent="0.25">
      <c r="A475" s="1" t="s">
        <v>627</v>
      </c>
      <c r="B475" s="1" t="s">
        <v>133</v>
      </c>
      <c r="C475">
        <v>3</v>
      </c>
      <c r="D475">
        <v>3</v>
      </c>
      <c r="E475">
        <v>3</v>
      </c>
      <c r="F475">
        <v>3</v>
      </c>
      <c r="G475">
        <v>4</v>
      </c>
      <c r="H475">
        <v>5</v>
      </c>
      <c r="I475">
        <v>18</v>
      </c>
      <c r="J475">
        <v>94</v>
      </c>
      <c r="K475">
        <v>29</v>
      </c>
      <c r="L475">
        <v>50</v>
      </c>
      <c r="M475">
        <v>54</v>
      </c>
      <c r="N475">
        <f t="shared" si="21"/>
        <v>24.5</v>
      </c>
      <c r="O475" cm="1">
        <f t="array" ref="O475">SUM(_xlfn.XLOOKUP(E475:H475, $V$13:$V$17, $U$13:$U$17))</f>
        <v>22</v>
      </c>
      <c r="P475">
        <f t="shared" si="22"/>
        <v>3</v>
      </c>
      <c r="Q475" s="1">
        <f t="shared" si="23"/>
        <v>49.5</v>
      </c>
    </row>
    <row r="476" spans="1:17" x14ac:dyDescent="0.25">
      <c r="A476" s="1" t="s">
        <v>628</v>
      </c>
      <c r="B476" s="1" t="s">
        <v>251</v>
      </c>
      <c r="C476">
        <v>0</v>
      </c>
      <c r="D476">
        <v>5</v>
      </c>
      <c r="E476">
        <v>5</v>
      </c>
      <c r="F476">
        <v>6</v>
      </c>
      <c r="G476">
        <v>2</v>
      </c>
      <c r="H476">
        <v>5</v>
      </c>
      <c r="I476">
        <v>47</v>
      </c>
      <c r="J476">
        <v>34</v>
      </c>
      <c r="K476">
        <v>86</v>
      </c>
      <c r="L476">
        <v>56</v>
      </c>
      <c r="M476">
        <v>39</v>
      </c>
      <c r="N476">
        <f t="shared" si="21"/>
        <v>26.199999999999996</v>
      </c>
      <c r="O476" cm="1">
        <f t="array" ref="O476">SUM(_xlfn.XLOOKUP(E476:H476, $V$13:$V$17, $U$13:$U$17))</f>
        <v>26</v>
      </c>
      <c r="P476">
        <f t="shared" si="22"/>
        <v>0</v>
      </c>
      <c r="Q476" s="1">
        <f t="shared" si="23"/>
        <v>52.199999999999996</v>
      </c>
    </row>
    <row r="477" spans="1:17" x14ac:dyDescent="0.25">
      <c r="A477" s="1" t="s">
        <v>629</v>
      </c>
      <c r="B477" s="1" t="s">
        <v>430</v>
      </c>
      <c r="C477">
        <v>7</v>
      </c>
      <c r="D477">
        <v>5</v>
      </c>
      <c r="E477">
        <v>5</v>
      </c>
      <c r="F477">
        <v>2</v>
      </c>
      <c r="G477">
        <v>6</v>
      </c>
      <c r="H477">
        <v>6</v>
      </c>
      <c r="I477">
        <v>6</v>
      </c>
      <c r="J477">
        <v>88</v>
      </c>
      <c r="K477">
        <v>24</v>
      </c>
      <c r="L477">
        <v>3</v>
      </c>
      <c r="M477">
        <v>43</v>
      </c>
      <c r="N477">
        <f t="shared" si="21"/>
        <v>16.400000000000002</v>
      </c>
      <c r="O477" cm="1">
        <f t="array" ref="O477">SUM(_xlfn.XLOOKUP(E477:H477, $V$13:$V$17, $U$13:$U$17))</f>
        <v>28</v>
      </c>
      <c r="P477">
        <f t="shared" si="22"/>
        <v>7</v>
      </c>
      <c r="Q477" s="1">
        <f t="shared" si="23"/>
        <v>51.400000000000006</v>
      </c>
    </row>
    <row r="478" spans="1:17" x14ac:dyDescent="0.25">
      <c r="A478" s="1" t="s">
        <v>630</v>
      </c>
      <c r="B478" s="1" t="s">
        <v>273</v>
      </c>
      <c r="C478">
        <v>8</v>
      </c>
      <c r="D478">
        <v>4</v>
      </c>
      <c r="E478">
        <v>3</v>
      </c>
      <c r="F478">
        <v>6</v>
      </c>
      <c r="G478">
        <v>2</v>
      </c>
      <c r="H478">
        <v>6</v>
      </c>
      <c r="I478">
        <v>87</v>
      </c>
      <c r="J478">
        <v>54</v>
      </c>
      <c r="K478">
        <v>69</v>
      </c>
      <c r="L478">
        <v>96</v>
      </c>
      <c r="M478">
        <v>7</v>
      </c>
      <c r="N478">
        <f t="shared" si="21"/>
        <v>31.3</v>
      </c>
      <c r="O478" cm="1">
        <f t="array" ref="O478">SUM(_xlfn.XLOOKUP(E478:H478, $V$13:$V$17, $U$13:$U$17))</f>
        <v>24</v>
      </c>
      <c r="P478">
        <f t="shared" si="22"/>
        <v>8</v>
      </c>
      <c r="Q478" s="1">
        <f t="shared" si="23"/>
        <v>63.3</v>
      </c>
    </row>
    <row r="479" spans="1:17" x14ac:dyDescent="0.25">
      <c r="A479" s="1" t="s">
        <v>631</v>
      </c>
      <c r="B479" s="1" t="s">
        <v>288</v>
      </c>
      <c r="C479">
        <v>8</v>
      </c>
      <c r="D479">
        <v>3</v>
      </c>
      <c r="E479">
        <v>2</v>
      </c>
      <c r="F479">
        <v>4</v>
      </c>
      <c r="G479">
        <v>6</v>
      </c>
      <c r="H479">
        <v>6</v>
      </c>
      <c r="I479">
        <v>99</v>
      </c>
      <c r="J479">
        <v>51</v>
      </c>
      <c r="K479">
        <v>25</v>
      </c>
      <c r="L479">
        <v>89</v>
      </c>
      <c r="M479">
        <v>73</v>
      </c>
      <c r="N479">
        <f t="shared" si="21"/>
        <v>33.699999999999996</v>
      </c>
      <c r="O479" cm="1">
        <f t="array" ref="O479">SUM(_xlfn.XLOOKUP(E479:H479, $V$13:$V$17, $U$13:$U$17))</f>
        <v>26</v>
      </c>
      <c r="P479">
        <f t="shared" si="22"/>
        <v>8</v>
      </c>
      <c r="Q479" s="1">
        <f t="shared" si="23"/>
        <v>67.699999999999989</v>
      </c>
    </row>
    <row r="480" spans="1:17" x14ac:dyDescent="0.25">
      <c r="A480" s="1" t="s">
        <v>632</v>
      </c>
      <c r="B480" s="1" t="s">
        <v>633</v>
      </c>
      <c r="C480">
        <v>0</v>
      </c>
      <c r="D480">
        <v>4</v>
      </c>
      <c r="E480">
        <v>6</v>
      </c>
      <c r="F480">
        <v>5</v>
      </c>
      <c r="G480">
        <v>2</v>
      </c>
      <c r="H480">
        <v>4</v>
      </c>
      <c r="I480">
        <v>72</v>
      </c>
      <c r="J480">
        <v>33</v>
      </c>
      <c r="K480">
        <v>40</v>
      </c>
      <c r="L480">
        <v>62</v>
      </c>
      <c r="M480">
        <v>19</v>
      </c>
      <c r="N480">
        <f t="shared" si="21"/>
        <v>22.599999999999998</v>
      </c>
      <c r="O480" cm="1">
        <f t="array" ref="O480">SUM(_xlfn.XLOOKUP(E480:H480, $V$13:$V$17, $U$13:$U$17))</f>
        <v>24</v>
      </c>
      <c r="P480">
        <f t="shared" si="22"/>
        <v>0</v>
      </c>
      <c r="Q480" s="1">
        <f t="shared" si="23"/>
        <v>46.599999999999994</v>
      </c>
    </row>
    <row r="481" spans="1:17" x14ac:dyDescent="0.25">
      <c r="A481" s="1" t="s">
        <v>634</v>
      </c>
      <c r="B481" s="1" t="s">
        <v>635</v>
      </c>
      <c r="C481">
        <v>0</v>
      </c>
      <c r="D481">
        <v>4</v>
      </c>
      <c r="E481">
        <v>2</v>
      </c>
      <c r="F481">
        <v>6</v>
      </c>
      <c r="G481">
        <v>2</v>
      </c>
      <c r="H481">
        <v>5</v>
      </c>
      <c r="I481">
        <v>57</v>
      </c>
      <c r="J481">
        <v>88</v>
      </c>
      <c r="K481">
        <v>53</v>
      </c>
      <c r="L481">
        <v>42</v>
      </c>
      <c r="M481">
        <v>49</v>
      </c>
      <c r="N481">
        <f t="shared" si="21"/>
        <v>28.9</v>
      </c>
      <c r="O481" cm="1">
        <f t="array" ref="O481">SUM(_xlfn.XLOOKUP(E481:H481, $V$13:$V$17, $U$13:$U$17))</f>
        <v>18</v>
      </c>
      <c r="P481">
        <f t="shared" si="22"/>
        <v>0</v>
      </c>
      <c r="Q481" s="1">
        <f t="shared" si="23"/>
        <v>46.9</v>
      </c>
    </row>
    <row r="482" spans="1:17" x14ac:dyDescent="0.25">
      <c r="A482" s="1" t="s">
        <v>636</v>
      </c>
      <c r="B482" s="1" t="s">
        <v>340</v>
      </c>
      <c r="C482">
        <v>1</v>
      </c>
      <c r="D482">
        <v>4</v>
      </c>
      <c r="E482">
        <v>2</v>
      </c>
      <c r="F482">
        <v>2</v>
      </c>
      <c r="G482">
        <v>4</v>
      </c>
      <c r="H482">
        <v>2</v>
      </c>
      <c r="I482">
        <v>68</v>
      </c>
      <c r="J482">
        <v>81</v>
      </c>
      <c r="K482">
        <v>24</v>
      </c>
      <c r="L482">
        <v>15</v>
      </c>
      <c r="M482">
        <v>48</v>
      </c>
      <c r="N482">
        <f t="shared" si="21"/>
        <v>23.599999999999998</v>
      </c>
      <c r="O482" cm="1">
        <f t="array" ref="O482">SUM(_xlfn.XLOOKUP(E482:H482, $V$13:$V$17, $U$13:$U$17))</f>
        <v>6</v>
      </c>
      <c r="P482">
        <f t="shared" si="22"/>
        <v>1</v>
      </c>
      <c r="Q482" s="1">
        <f t="shared" si="23"/>
        <v>30.599999999999998</v>
      </c>
    </row>
    <row r="483" spans="1:17" x14ac:dyDescent="0.25">
      <c r="A483" s="1" t="s">
        <v>637</v>
      </c>
      <c r="B483" s="1" t="s">
        <v>86</v>
      </c>
      <c r="C483">
        <v>6</v>
      </c>
      <c r="D483">
        <v>4</v>
      </c>
      <c r="E483">
        <v>3</v>
      </c>
      <c r="F483">
        <v>2</v>
      </c>
      <c r="G483">
        <v>3</v>
      </c>
      <c r="H483">
        <v>3</v>
      </c>
      <c r="I483">
        <v>43</v>
      </c>
      <c r="J483">
        <v>36</v>
      </c>
      <c r="K483">
        <v>9</v>
      </c>
      <c r="L483">
        <v>88</v>
      </c>
      <c r="M483">
        <v>44</v>
      </c>
      <c r="N483">
        <f t="shared" si="21"/>
        <v>22</v>
      </c>
      <c r="O483" cm="1">
        <f t="array" ref="O483">SUM(_xlfn.XLOOKUP(E483:H483, $V$13:$V$17, $U$13:$U$17))</f>
        <v>12</v>
      </c>
      <c r="P483">
        <f t="shared" si="22"/>
        <v>6</v>
      </c>
      <c r="Q483" s="1">
        <f t="shared" si="23"/>
        <v>40</v>
      </c>
    </row>
    <row r="484" spans="1:17" x14ac:dyDescent="0.25">
      <c r="A484" s="1" t="s">
        <v>638</v>
      </c>
      <c r="B484" s="1" t="s">
        <v>395</v>
      </c>
      <c r="C484">
        <v>2</v>
      </c>
      <c r="D484">
        <v>6</v>
      </c>
      <c r="E484">
        <v>2</v>
      </c>
      <c r="F484">
        <v>2</v>
      </c>
      <c r="G484">
        <v>3</v>
      </c>
      <c r="H484">
        <v>3</v>
      </c>
      <c r="I484">
        <v>69</v>
      </c>
      <c r="J484">
        <v>17</v>
      </c>
      <c r="K484">
        <v>84</v>
      </c>
      <c r="L484">
        <v>87</v>
      </c>
      <c r="M484">
        <v>56</v>
      </c>
      <c r="N484">
        <f t="shared" si="21"/>
        <v>31.299999999999997</v>
      </c>
      <c r="O484" cm="1">
        <f t="array" ref="O484">SUM(_xlfn.XLOOKUP(E484:H484, $V$13:$V$17, $U$13:$U$17))</f>
        <v>8</v>
      </c>
      <c r="P484">
        <f t="shared" si="22"/>
        <v>4</v>
      </c>
      <c r="Q484" s="1">
        <f t="shared" si="23"/>
        <v>43.3</v>
      </c>
    </row>
    <row r="485" spans="1:17" x14ac:dyDescent="0.25">
      <c r="A485" s="1" t="s">
        <v>639</v>
      </c>
      <c r="B485" s="1" t="s">
        <v>34</v>
      </c>
      <c r="C485">
        <v>0</v>
      </c>
      <c r="D485">
        <v>6</v>
      </c>
      <c r="E485">
        <v>6</v>
      </c>
      <c r="F485">
        <v>3</v>
      </c>
      <c r="G485">
        <v>2</v>
      </c>
      <c r="H485">
        <v>5</v>
      </c>
      <c r="I485">
        <v>25</v>
      </c>
      <c r="J485">
        <v>23</v>
      </c>
      <c r="K485">
        <v>92</v>
      </c>
      <c r="L485">
        <v>37</v>
      </c>
      <c r="M485">
        <v>40</v>
      </c>
      <c r="N485">
        <f t="shared" si="21"/>
        <v>21.7</v>
      </c>
      <c r="O485" cm="1">
        <f t="array" ref="O485">SUM(_xlfn.XLOOKUP(E485:H485, $V$13:$V$17, $U$13:$U$17))</f>
        <v>22</v>
      </c>
      <c r="P485">
        <f t="shared" si="22"/>
        <v>2</v>
      </c>
      <c r="Q485" s="1">
        <f t="shared" si="23"/>
        <v>45.7</v>
      </c>
    </row>
    <row r="486" spans="1:17" x14ac:dyDescent="0.25">
      <c r="A486" s="1" t="s">
        <v>640</v>
      </c>
      <c r="B486" s="1" t="s">
        <v>249</v>
      </c>
      <c r="C486">
        <v>8</v>
      </c>
      <c r="D486">
        <v>4</v>
      </c>
      <c r="E486">
        <v>6</v>
      </c>
      <c r="F486">
        <v>4</v>
      </c>
      <c r="G486">
        <v>3</v>
      </c>
      <c r="H486">
        <v>2</v>
      </c>
      <c r="I486">
        <v>12</v>
      </c>
      <c r="J486">
        <v>56</v>
      </c>
      <c r="K486">
        <v>75</v>
      </c>
      <c r="L486">
        <v>76</v>
      </c>
      <c r="M486">
        <v>41</v>
      </c>
      <c r="N486">
        <f t="shared" si="21"/>
        <v>26</v>
      </c>
      <c r="O486" cm="1">
        <f t="array" ref="O486">SUM(_xlfn.XLOOKUP(E486:H486, $V$13:$V$17, $U$13:$U$17))</f>
        <v>20</v>
      </c>
      <c r="P486">
        <f t="shared" si="22"/>
        <v>8</v>
      </c>
      <c r="Q486" s="1">
        <f t="shared" si="23"/>
        <v>54</v>
      </c>
    </row>
    <row r="487" spans="1:17" x14ac:dyDescent="0.25">
      <c r="A487" s="1" t="s">
        <v>641</v>
      </c>
      <c r="B487" s="1" t="s">
        <v>222</v>
      </c>
      <c r="C487">
        <v>5</v>
      </c>
      <c r="D487">
        <v>2</v>
      </c>
      <c r="E487">
        <v>5</v>
      </c>
      <c r="F487">
        <v>6</v>
      </c>
      <c r="G487">
        <v>2</v>
      </c>
      <c r="H487">
        <v>5</v>
      </c>
      <c r="I487">
        <v>39</v>
      </c>
      <c r="J487">
        <v>77</v>
      </c>
      <c r="K487">
        <v>37</v>
      </c>
      <c r="L487">
        <v>72</v>
      </c>
      <c r="M487">
        <v>32</v>
      </c>
      <c r="N487">
        <f t="shared" si="21"/>
        <v>25.7</v>
      </c>
      <c r="O487" cm="1">
        <f t="array" ref="O487">SUM(_xlfn.XLOOKUP(E487:H487, $V$13:$V$17, $U$13:$U$17))</f>
        <v>26</v>
      </c>
      <c r="P487">
        <f t="shared" si="22"/>
        <v>5</v>
      </c>
      <c r="Q487" s="1">
        <f t="shared" si="23"/>
        <v>56.7</v>
      </c>
    </row>
    <row r="488" spans="1:17" x14ac:dyDescent="0.25">
      <c r="A488" s="1" t="s">
        <v>642</v>
      </c>
      <c r="B488" s="1" t="s">
        <v>43</v>
      </c>
      <c r="C488">
        <v>1</v>
      </c>
      <c r="D488">
        <v>3</v>
      </c>
      <c r="E488">
        <v>5</v>
      </c>
      <c r="F488">
        <v>6</v>
      </c>
      <c r="G488">
        <v>2</v>
      </c>
      <c r="H488">
        <v>5</v>
      </c>
      <c r="I488">
        <v>53</v>
      </c>
      <c r="J488">
        <v>25</v>
      </c>
      <c r="K488">
        <v>62</v>
      </c>
      <c r="L488">
        <v>74</v>
      </c>
      <c r="M488">
        <v>81</v>
      </c>
      <c r="N488">
        <f t="shared" si="21"/>
        <v>29.5</v>
      </c>
      <c r="O488" cm="1">
        <f t="array" ref="O488">SUM(_xlfn.XLOOKUP(E488:H488, $V$13:$V$17, $U$13:$U$17))</f>
        <v>26</v>
      </c>
      <c r="P488">
        <f t="shared" si="22"/>
        <v>1</v>
      </c>
      <c r="Q488" s="1">
        <f t="shared" si="23"/>
        <v>56.5</v>
      </c>
    </row>
    <row r="489" spans="1:17" x14ac:dyDescent="0.25">
      <c r="A489" s="1" t="s">
        <v>643</v>
      </c>
      <c r="B489" s="1" t="s">
        <v>72</v>
      </c>
      <c r="C489">
        <v>7</v>
      </c>
      <c r="D489">
        <v>6</v>
      </c>
      <c r="E489">
        <v>3</v>
      </c>
      <c r="F489">
        <v>6</v>
      </c>
      <c r="G489">
        <v>4</v>
      </c>
      <c r="H489">
        <v>2</v>
      </c>
      <c r="I489">
        <v>11</v>
      </c>
      <c r="J489">
        <v>8</v>
      </c>
      <c r="K489">
        <v>29</v>
      </c>
      <c r="L489">
        <v>7</v>
      </c>
      <c r="M489">
        <v>38</v>
      </c>
      <c r="N489">
        <f t="shared" si="21"/>
        <v>9.3000000000000007</v>
      </c>
      <c r="O489" cm="1">
        <f t="array" ref="O489">SUM(_xlfn.XLOOKUP(E489:H489, $V$13:$V$17, $U$13:$U$17))</f>
        <v>20</v>
      </c>
      <c r="P489">
        <f t="shared" si="22"/>
        <v>9</v>
      </c>
      <c r="Q489" s="1">
        <f t="shared" si="23"/>
        <v>38.299999999999997</v>
      </c>
    </row>
    <row r="490" spans="1:17" x14ac:dyDescent="0.25">
      <c r="A490" s="1" t="s">
        <v>644</v>
      </c>
      <c r="B490" s="1" t="s">
        <v>145</v>
      </c>
      <c r="C490">
        <v>3</v>
      </c>
      <c r="D490">
        <v>4</v>
      </c>
      <c r="E490">
        <v>6</v>
      </c>
      <c r="F490">
        <v>4</v>
      </c>
      <c r="G490">
        <v>6</v>
      </c>
      <c r="H490">
        <v>2</v>
      </c>
      <c r="I490">
        <v>62</v>
      </c>
      <c r="J490">
        <v>31</v>
      </c>
      <c r="K490">
        <v>64</v>
      </c>
      <c r="L490">
        <v>1</v>
      </c>
      <c r="M490">
        <v>25</v>
      </c>
      <c r="N490">
        <f t="shared" si="21"/>
        <v>18.3</v>
      </c>
      <c r="O490" cm="1">
        <f t="array" ref="O490">SUM(_xlfn.XLOOKUP(E490:H490, $V$13:$V$17, $U$13:$U$17))</f>
        <v>26</v>
      </c>
      <c r="P490">
        <f t="shared" si="22"/>
        <v>3</v>
      </c>
      <c r="Q490" s="1">
        <f t="shared" si="23"/>
        <v>47.3</v>
      </c>
    </row>
    <row r="491" spans="1:17" x14ac:dyDescent="0.25">
      <c r="A491" s="1" t="s">
        <v>645</v>
      </c>
      <c r="B491" s="1" t="s">
        <v>646</v>
      </c>
      <c r="C491">
        <v>4</v>
      </c>
      <c r="D491">
        <v>4</v>
      </c>
      <c r="E491">
        <v>6</v>
      </c>
      <c r="F491">
        <v>3</v>
      </c>
      <c r="G491">
        <v>2</v>
      </c>
      <c r="H491">
        <v>3</v>
      </c>
      <c r="I491">
        <v>24</v>
      </c>
      <c r="J491">
        <v>33</v>
      </c>
      <c r="K491">
        <v>90</v>
      </c>
      <c r="L491">
        <v>28</v>
      </c>
      <c r="M491">
        <v>23</v>
      </c>
      <c r="N491">
        <f t="shared" si="21"/>
        <v>19.8</v>
      </c>
      <c r="O491" cm="1">
        <f t="array" ref="O491">SUM(_xlfn.XLOOKUP(E491:H491, $V$13:$V$17, $U$13:$U$17))</f>
        <v>18</v>
      </c>
      <c r="P491">
        <f t="shared" si="22"/>
        <v>4</v>
      </c>
      <c r="Q491" s="1">
        <f t="shared" si="23"/>
        <v>41.8</v>
      </c>
    </row>
    <row r="492" spans="1:17" x14ac:dyDescent="0.25">
      <c r="A492" s="1" t="s">
        <v>647</v>
      </c>
      <c r="B492" s="1" t="s">
        <v>32</v>
      </c>
      <c r="C492">
        <v>5</v>
      </c>
      <c r="D492">
        <v>6</v>
      </c>
      <c r="E492">
        <v>5</v>
      </c>
      <c r="F492">
        <v>6</v>
      </c>
      <c r="G492">
        <v>5</v>
      </c>
      <c r="H492">
        <v>4</v>
      </c>
      <c r="I492">
        <v>92</v>
      </c>
      <c r="J492">
        <v>67</v>
      </c>
      <c r="K492">
        <v>92</v>
      </c>
      <c r="L492">
        <v>79</v>
      </c>
      <c r="M492">
        <v>81</v>
      </c>
      <c r="N492">
        <f t="shared" si="21"/>
        <v>41.1</v>
      </c>
      <c r="O492" cm="1">
        <f t="array" ref="O492">SUM(_xlfn.XLOOKUP(E492:H492, $V$13:$V$17, $U$13:$U$17))</f>
        <v>32</v>
      </c>
      <c r="P492">
        <f t="shared" si="22"/>
        <v>7</v>
      </c>
      <c r="Q492" s="1">
        <f t="shared" si="23"/>
        <v>80.099999999999994</v>
      </c>
    </row>
    <row r="493" spans="1:17" x14ac:dyDescent="0.25">
      <c r="A493" s="1" t="s">
        <v>648</v>
      </c>
      <c r="B493" s="1" t="s">
        <v>649</v>
      </c>
      <c r="C493">
        <v>5</v>
      </c>
      <c r="D493">
        <v>3</v>
      </c>
      <c r="E493">
        <v>4</v>
      </c>
      <c r="F493">
        <v>2</v>
      </c>
      <c r="G493">
        <v>6</v>
      </c>
      <c r="H493">
        <v>6</v>
      </c>
      <c r="I493">
        <v>21</v>
      </c>
      <c r="J493">
        <v>40</v>
      </c>
      <c r="K493">
        <v>18</v>
      </c>
      <c r="L493">
        <v>81</v>
      </c>
      <c r="M493">
        <v>88</v>
      </c>
      <c r="N493">
        <f t="shared" si="21"/>
        <v>24.8</v>
      </c>
      <c r="O493" cm="1">
        <f t="array" ref="O493">SUM(_xlfn.XLOOKUP(E493:H493, $V$13:$V$17, $U$13:$U$17))</f>
        <v>26</v>
      </c>
      <c r="P493">
        <f t="shared" si="22"/>
        <v>5</v>
      </c>
      <c r="Q493" s="1">
        <f t="shared" si="23"/>
        <v>55.8</v>
      </c>
    </row>
    <row r="494" spans="1:17" x14ac:dyDescent="0.25">
      <c r="A494" s="1" t="s">
        <v>650</v>
      </c>
      <c r="B494" s="1" t="s">
        <v>651</v>
      </c>
      <c r="C494">
        <v>6</v>
      </c>
      <c r="D494">
        <v>2</v>
      </c>
      <c r="E494">
        <v>3</v>
      </c>
      <c r="F494">
        <v>6</v>
      </c>
      <c r="G494">
        <v>5</v>
      </c>
      <c r="H494">
        <v>4</v>
      </c>
      <c r="I494">
        <v>78</v>
      </c>
      <c r="J494">
        <v>1</v>
      </c>
      <c r="K494">
        <v>9</v>
      </c>
      <c r="L494">
        <v>33</v>
      </c>
      <c r="M494">
        <v>81</v>
      </c>
      <c r="N494">
        <f t="shared" si="21"/>
        <v>20.199999999999996</v>
      </c>
      <c r="O494" cm="1">
        <f t="array" ref="O494">SUM(_xlfn.XLOOKUP(E494:H494, $V$13:$V$17, $U$13:$U$17))</f>
        <v>28</v>
      </c>
      <c r="P494">
        <f t="shared" si="22"/>
        <v>6</v>
      </c>
      <c r="Q494" s="1">
        <f t="shared" si="23"/>
        <v>54.199999999999996</v>
      </c>
    </row>
    <row r="495" spans="1:17" x14ac:dyDescent="0.25">
      <c r="A495" s="1" t="s">
        <v>652</v>
      </c>
      <c r="B495" s="1" t="s">
        <v>239</v>
      </c>
      <c r="C495">
        <v>8</v>
      </c>
      <c r="D495">
        <v>2</v>
      </c>
      <c r="E495">
        <v>3</v>
      </c>
      <c r="F495">
        <v>4</v>
      </c>
      <c r="G495">
        <v>5</v>
      </c>
      <c r="H495">
        <v>4</v>
      </c>
      <c r="I495">
        <v>65</v>
      </c>
      <c r="J495">
        <v>19</v>
      </c>
      <c r="K495">
        <v>19</v>
      </c>
      <c r="L495">
        <v>8</v>
      </c>
      <c r="M495">
        <v>20</v>
      </c>
      <c r="N495">
        <f t="shared" si="21"/>
        <v>13.100000000000001</v>
      </c>
      <c r="O495" cm="1">
        <f t="array" ref="O495">SUM(_xlfn.XLOOKUP(E495:H495, $V$13:$V$17, $U$13:$U$17))</f>
        <v>24</v>
      </c>
      <c r="P495">
        <f t="shared" si="22"/>
        <v>8</v>
      </c>
      <c r="Q495" s="1">
        <f t="shared" si="23"/>
        <v>45.1</v>
      </c>
    </row>
    <row r="496" spans="1:17" x14ac:dyDescent="0.25">
      <c r="A496" s="1" t="s">
        <v>653</v>
      </c>
      <c r="B496" s="1" t="s">
        <v>340</v>
      </c>
      <c r="C496">
        <v>2</v>
      </c>
      <c r="D496">
        <v>2</v>
      </c>
      <c r="E496">
        <v>2</v>
      </c>
      <c r="F496">
        <v>5</v>
      </c>
      <c r="G496">
        <v>5</v>
      </c>
      <c r="H496">
        <v>4</v>
      </c>
      <c r="I496">
        <v>60</v>
      </c>
      <c r="J496">
        <v>79</v>
      </c>
      <c r="K496">
        <v>51</v>
      </c>
      <c r="L496">
        <v>40</v>
      </c>
      <c r="M496">
        <v>16</v>
      </c>
      <c r="N496">
        <f t="shared" si="21"/>
        <v>24.6</v>
      </c>
      <c r="O496" cm="1">
        <f t="array" ref="O496">SUM(_xlfn.XLOOKUP(E496:H496, $V$13:$V$17, $U$13:$U$17))</f>
        <v>22</v>
      </c>
      <c r="P496">
        <f t="shared" si="22"/>
        <v>2</v>
      </c>
      <c r="Q496" s="1">
        <f t="shared" si="23"/>
        <v>48.6</v>
      </c>
    </row>
    <row r="497" spans="1:17" x14ac:dyDescent="0.25">
      <c r="A497" s="1" t="s">
        <v>654</v>
      </c>
      <c r="B497" s="1" t="s">
        <v>340</v>
      </c>
      <c r="C497">
        <v>5</v>
      </c>
      <c r="D497">
        <v>2</v>
      </c>
      <c r="E497">
        <v>3</v>
      </c>
      <c r="F497">
        <v>3</v>
      </c>
      <c r="G497">
        <v>6</v>
      </c>
      <c r="H497">
        <v>3</v>
      </c>
      <c r="I497">
        <v>79</v>
      </c>
      <c r="J497">
        <v>21</v>
      </c>
      <c r="K497">
        <v>41</v>
      </c>
      <c r="L497">
        <v>39</v>
      </c>
      <c r="M497">
        <v>74</v>
      </c>
      <c r="N497">
        <f t="shared" si="21"/>
        <v>25.4</v>
      </c>
      <c r="O497" cm="1">
        <f t="array" ref="O497">SUM(_xlfn.XLOOKUP(E497:H497, $V$13:$V$17, $U$13:$U$17))</f>
        <v>22</v>
      </c>
      <c r="P497">
        <f t="shared" si="22"/>
        <v>5</v>
      </c>
      <c r="Q497" s="1">
        <f t="shared" si="23"/>
        <v>52.4</v>
      </c>
    </row>
    <row r="498" spans="1:17" x14ac:dyDescent="0.25">
      <c r="A498" s="1" t="s">
        <v>655</v>
      </c>
      <c r="B498" s="1" t="s">
        <v>38</v>
      </c>
      <c r="C498">
        <v>7</v>
      </c>
      <c r="D498">
        <v>2</v>
      </c>
      <c r="E498">
        <v>6</v>
      </c>
      <c r="F498">
        <v>6</v>
      </c>
      <c r="G498">
        <v>6</v>
      </c>
      <c r="H498">
        <v>5</v>
      </c>
      <c r="I498">
        <v>27</v>
      </c>
      <c r="J498">
        <v>93</v>
      </c>
      <c r="K498">
        <v>10</v>
      </c>
      <c r="L498">
        <v>43</v>
      </c>
      <c r="M498">
        <v>28</v>
      </c>
      <c r="N498">
        <f t="shared" si="21"/>
        <v>20.100000000000001</v>
      </c>
      <c r="O498" cm="1">
        <f t="array" ref="O498">SUM(_xlfn.XLOOKUP(E498:H498, $V$13:$V$17, $U$13:$U$17))</f>
        <v>38</v>
      </c>
      <c r="P498">
        <f t="shared" si="22"/>
        <v>7</v>
      </c>
      <c r="Q498" s="1">
        <f t="shared" si="23"/>
        <v>65.099999999999994</v>
      </c>
    </row>
    <row r="499" spans="1:17" x14ac:dyDescent="0.25">
      <c r="A499" s="1" t="s">
        <v>656</v>
      </c>
      <c r="B499" s="1" t="s">
        <v>119</v>
      </c>
      <c r="C499">
        <v>5</v>
      </c>
      <c r="D499">
        <v>4</v>
      </c>
      <c r="E499">
        <v>6</v>
      </c>
      <c r="F499">
        <v>5</v>
      </c>
      <c r="G499">
        <v>4</v>
      </c>
      <c r="H499">
        <v>4</v>
      </c>
      <c r="I499">
        <v>44</v>
      </c>
      <c r="J499">
        <v>95</v>
      </c>
      <c r="K499">
        <v>15</v>
      </c>
      <c r="L499">
        <v>66</v>
      </c>
      <c r="M499">
        <v>82</v>
      </c>
      <c r="N499">
        <f t="shared" si="21"/>
        <v>30.2</v>
      </c>
      <c r="O499" cm="1">
        <f t="array" ref="O499">SUM(_xlfn.XLOOKUP(E499:H499, $V$13:$V$17, $U$13:$U$17))</f>
        <v>30</v>
      </c>
      <c r="P499">
        <f t="shared" si="22"/>
        <v>5</v>
      </c>
      <c r="Q499" s="1">
        <f t="shared" si="23"/>
        <v>65.2</v>
      </c>
    </row>
    <row r="500" spans="1:17" x14ac:dyDescent="0.25">
      <c r="A500" s="1" t="s">
        <v>657</v>
      </c>
      <c r="B500" s="1" t="s">
        <v>340</v>
      </c>
      <c r="C500">
        <v>0</v>
      </c>
      <c r="D500">
        <v>6</v>
      </c>
      <c r="E500">
        <v>6</v>
      </c>
      <c r="F500">
        <v>2</v>
      </c>
      <c r="G500">
        <v>4</v>
      </c>
      <c r="H500">
        <v>3</v>
      </c>
      <c r="I500">
        <v>15</v>
      </c>
      <c r="J500">
        <v>15</v>
      </c>
      <c r="K500">
        <v>58</v>
      </c>
      <c r="L500">
        <v>15</v>
      </c>
      <c r="M500">
        <v>87</v>
      </c>
      <c r="N500">
        <f t="shared" si="21"/>
        <v>19</v>
      </c>
      <c r="O500" cm="1">
        <f t="array" ref="O500">SUM(_xlfn.XLOOKUP(E500:H500, $V$13:$V$17, $U$13:$U$17))</f>
        <v>20</v>
      </c>
      <c r="P500">
        <f t="shared" si="22"/>
        <v>2</v>
      </c>
      <c r="Q500" s="1">
        <f t="shared" si="23"/>
        <v>41</v>
      </c>
    </row>
    <row r="501" spans="1:17" x14ac:dyDescent="0.25">
      <c r="A501" s="1" t="s">
        <v>658</v>
      </c>
      <c r="B501" s="1" t="s">
        <v>16</v>
      </c>
      <c r="C501">
        <v>4</v>
      </c>
      <c r="D501">
        <v>6</v>
      </c>
      <c r="E501">
        <v>6</v>
      </c>
      <c r="F501">
        <v>3</v>
      </c>
      <c r="G501">
        <v>6</v>
      </c>
      <c r="H501">
        <v>2</v>
      </c>
      <c r="I501">
        <v>69</v>
      </c>
      <c r="J501">
        <v>78</v>
      </c>
      <c r="K501">
        <v>32</v>
      </c>
      <c r="L501">
        <v>73</v>
      </c>
      <c r="M501">
        <v>93</v>
      </c>
      <c r="N501">
        <f t="shared" si="21"/>
        <v>34.5</v>
      </c>
      <c r="O501" cm="1">
        <f t="array" ref="O501">SUM(_xlfn.XLOOKUP(E501:H501, $V$13:$V$17, $U$13:$U$17))</f>
        <v>24</v>
      </c>
      <c r="P501">
        <f t="shared" si="22"/>
        <v>6</v>
      </c>
      <c r="Q501" s="1">
        <f t="shared" si="23"/>
        <v>64.5</v>
      </c>
    </row>
    <row r="502" spans="1:17" x14ac:dyDescent="0.25">
      <c r="A502" s="1" t="s">
        <v>659</v>
      </c>
      <c r="B502" s="1" t="s">
        <v>660</v>
      </c>
      <c r="C502">
        <v>7</v>
      </c>
      <c r="D502">
        <v>3</v>
      </c>
      <c r="E502">
        <v>4</v>
      </c>
      <c r="F502">
        <v>6</v>
      </c>
      <c r="G502">
        <v>3</v>
      </c>
      <c r="H502">
        <v>6</v>
      </c>
      <c r="I502">
        <v>14</v>
      </c>
      <c r="J502">
        <v>42</v>
      </c>
      <c r="K502">
        <v>40</v>
      </c>
      <c r="L502">
        <v>48</v>
      </c>
      <c r="M502">
        <v>35</v>
      </c>
      <c r="N502">
        <f t="shared" si="21"/>
        <v>17.899999999999999</v>
      </c>
      <c r="O502" cm="1">
        <f t="array" ref="O502">SUM(_xlfn.XLOOKUP(E502:H502, $V$13:$V$17, $U$13:$U$17))</f>
        <v>30</v>
      </c>
      <c r="P502">
        <f t="shared" si="22"/>
        <v>7</v>
      </c>
      <c r="Q502" s="1">
        <f t="shared" si="23"/>
        <v>54.9</v>
      </c>
    </row>
    <row r="503" spans="1:17" x14ac:dyDescent="0.25">
      <c r="A503" s="1" t="s">
        <v>661</v>
      </c>
      <c r="B503" s="1" t="s">
        <v>83</v>
      </c>
      <c r="C503">
        <v>5</v>
      </c>
      <c r="D503">
        <v>2</v>
      </c>
      <c r="E503">
        <v>5</v>
      </c>
      <c r="F503">
        <v>6</v>
      </c>
      <c r="G503">
        <v>3</v>
      </c>
      <c r="H503">
        <v>3</v>
      </c>
      <c r="I503">
        <v>90</v>
      </c>
      <c r="J503">
        <v>70</v>
      </c>
      <c r="K503">
        <v>84</v>
      </c>
      <c r="L503">
        <v>62</v>
      </c>
      <c r="M503">
        <v>20</v>
      </c>
      <c r="N503">
        <f t="shared" si="21"/>
        <v>32.599999999999994</v>
      </c>
      <c r="O503" cm="1">
        <f t="array" ref="O503">SUM(_xlfn.XLOOKUP(E503:H503, $V$13:$V$17, $U$13:$U$17))</f>
        <v>26</v>
      </c>
      <c r="P503">
        <f t="shared" si="22"/>
        <v>5</v>
      </c>
      <c r="Q503" s="1">
        <f t="shared" si="23"/>
        <v>63.599999999999994</v>
      </c>
    </row>
    <row r="504" spans="1:17" x14ac:dyDescent="0.25">
      <c r="A504" s="1" t="s">
        <v>662</v>
      </c>
      <c r="B504" s="1" t="s">
        <v>355</v>
      </c>
      <c r="C504">
        <v>1</v>
      </c>
      <c r="D504">
        <v>6</v>
      </c>
      <c r="E504">
        <v>4</v>
      </c>
      <c r="F504">
        <v>3</v>
      </c>
      <c r="G504">
        <v>3</v>
      </c>
      <c r="H504">
        <v>6</v>
      </c>
      <c r="I504">
        <v>79</v>
      </c>
      <c r="J504">
        <v>71</v>
      </c>
      <c r="K504">
        <v>89</v>
      </c>
      <c r="L504">
        <v>26</v>
      </c>
      <c r="M504">
        <v>96</v>
      </c>
      <c r="N504">
        <f t="shared" si="21"/>
        <v>36.1</v>
      </c>
      <c r="O504" cm="1">
        <f t="array" ref="O504">SUM(_xlfn.XLOOKUP(E504:H504, $V$13:$V$17, $U$13:$U$17))</f>
        <v>24</v>
      </c>
      <c r="P504">
        <f t="shared" si="22"/>
        <v>3</v>
      </c>
      <c r="Q504" s="1">
        <f t="shared" si="23"/>
        <v>63.1</v>
      </c>
    </row>
    <row r="505" spans="1:17" x14ac:dyDescent="0.25">
      <c r="A505" s="1" t="s">
        <v>663</v>
      </c>
      <c r="B505" s="1" t="s">
        <v>369</v>
      </c>
      <c r="C505">
        <v>5</v>
      </c>
      <c r="D505">
        <v>5</v>
      </c>
      <c r="E505">
        <v>6</v>
      </c>
      <c r="F505">
        <v>3</v>
      </c>
      <c r="G505">
        <v>4</v>
      </c>
      <c r="H505">
        <v>2</v>
      </c>
      <c r="I505">
        <v>45</v>
      </c>
      <c r="J505">
        <v>46</v>
      </c>
      <c r="K505">
        <v>47</v>
      </c>
      <c r="L505">
        <v>70</v>
      </c>
      <c r="M505">
        <v>56</v>
      </c>
      <c r="N505">
        <f t="shared" si="21"/>
        <v>26.4</v>
      </c>
      <c r="O505" cm="1">
        <f t="array" ref="O505">SUM(_xlfn.XLOOKUP(E505:H505, $V$13:$V$17, $U$13:$U$17))</f>
        <v>20</v>
      </c>
      <c r="P505">
        <f t="shared" si="22"/>
        <v>5</v>
      </c>
      <c r="Q505" s="1">
        <f t="shared" si="23"/>
        <v>51.4</v>
      </c>
    </row>
    <row r="506" spans="1:17" x14ac:dyDescent="0.25">
      <c r="A506" s="1" t="s">
        <v>235</v>
      </c>
      <c r="B506" s="1" t="s">
        <v>311</v>
      </c>
      <c r="C506">
        <v>6</v>
      </c>
      <c r="D506">
        <v>5</v>
      </c>
      <c r="E506">
        <v>6</v>
      </c>
      <c r="F506">
        <v>6</v>
      </c>
      <c r="G506">
        <v>5</v>
      </c>
      <c r="H506">
        <v>3</v>
      </c>
      <c r="I506">
        <v>100</v>
      </c>
      <c r="J506">
        <v>44</v>
      </c>
      <c r="K506">
        <v>54</v>
      </c>
      <c r="L506">
        <v>75</v>
      </c>
      <c r="M506">
        <v>64</v>
      </c>
      <c r="N506">
        <f t="shared" si="21"/>
        <v>33.700000000000003</v>
      </c>
      <c r="O506" cm="1">
        <f t="array" ref="O506">SUM(_xlfn.XLOOKUP(E506:H506, $V$13:$V$17, $U$13:$U$17))</f>
        <v>32</v>
      </c>
      <c r="P506">
        <f t="shared" si="22"/>
        <v>6</v>
      </c>
      <c r="Q506" s="1">
        <f t="shared" si="23"/>
        <v>71.7</v>
      </c>
    </row>
    <row r="507" spans="1:17" x14ac:dyDescent="0.25">
      <c r="A507" s="1" t="s">
        <v>211</v>
      </c>
      <c r="B507" s="1" t="s">
        <v>78</v>
      </c>
      <c r="C507">
        <v>5</v>
      </c>
      <c r="D507">
        <v>6</v>
      </c>
      <c r="E507">
        <v>5</v>
      </c>
      <c r="F507">
        <v>2</v>
      </c>
      <c r="G507">
        <v>2</v>
      </c>
      <c r="H507">
        <v>2</v>
      </c>
      <c r="I507">
        <v>74</v>
      </c>
      <c r="J507">
        <v>70</v>
      </c>
      <c r="K507">
        <v>43</v>
      </c>
      <c r="L507">
        <v>43</v>
      </c>
      <c r="M507">
        <v>37</v>
      </c>
      <c r="N507">
        <f t="shared" si="21"/>
        <v>26.7</v>
      </c>
      <c r="O507" cm="1">
        <f t="array" ref="O507">SUM(_xlfn.XLOOKUP(E507:H507, $V$13:$V$17, $U$13:$U$17))</f>
        <v>8</v>
      </c>
      <c r="P507">
        <f t="shared" si="22"/>
        <v>7</v>
      </c>
      <c r="Q507" s="1">
        <f t="shared" si="23"/>
        <v>41.7</v>
      </c>
    </row>
    <row r="508" spans="1:17" x14ac:dyDescent="0.25">
      <c r="A508" s="1" t="s">
        <v>664</v>
      </c>
      <c r="B508" s="1" t="s">
        <v>665</v>
      </c>
      <c r="C508">
        <v>8</v>
      </c>
      <c r="D508">
        <v>3</v>
      </c>
      <c r="E508">
        <v>3</v>
      </c>
      <c r="F508">
        <v>4</v>
      </c>
      <c r="G508">
        <v>5</v>
      </c>
      <c r="H508">
        <v>5</v>
      </c>
      <c r="I508">
        <v>78</v>
      </c>
      <c r="J508">
        <v>45</v>
      </c>
      <c r="K508">
        <v>23</v>
      </c>
      <c r="L508">
        <v>91</v>
      </c>
      <c r="M508">
        <v>58</v>
      </c>
      <c r="N508">
        <f t="shared" si="21"/>
        <v>29.500000000000004</v>
      </c>
      <c r="O508" cm="1">
        <f t="array" ref="O508">SUM(_xlfn.XLOOKUP(E508:H508, $V$13:$V$17, $U$13:$U$17))</f>
        <v>26</v>
      </c>
      <c r="P508">
        <f t="shared" si="22"/>
        <v>8</v>
      </c>
      <c r="Q508" s="1">
        <f t="shared" si="23"/>
        <v>63.5</v>
      </c>
    </row>
    <row r="509" spans="1:17" x14ac:dyDescent="0.25">
      <c r="A509" s="1" t="s">
        <v>666</v>
      </c>
      <c r="B509" s="1" t="s">
        <v>34</v>
      </c>
      <c r="C509">
        <v>4</v>
      </c>
      <c r="D509">
        <v>5</v>
      </c>
      <c r="E509">
        <v>3</v>
      </c>
      <c r="F509">
        <v>6</v>
      </c>
      <c r="G509">
        <v>6</v>
      </c>
      <c r="H509">
        <v>3</v>
      </c>
      <c r="I509">
        <v>23</v>
      </c>
      <c r="J509">
        <v>16</v>
      </c>
      <c r="K509">
        <v>85</v>
      </c>
      <c r="L509">
        <v>82</v>
      </c>
      <c r="M509">
        <v>75</v>
      </c>
      <c r="N509">
        <f t="shared" si="21"/>
        <v>28.1</v>
      </c>
      <c r="O509" cm="1">
        <f t="array" ref="O509">SUM(_xlfn.XLOOKUP(E509:H509, $V$13:$V$17, $U$13:$U$17))</f>
        <v>28</v>
      </c>
      <c r="P509">
        <f t="shared" si="22"/>
        <v>4</v>
      </c>
      <c r="Q509" s="1">
        <f t="shared" si="23"/>
        <v>60.1</v>
      </c>
    </row>
    <row r="510" spans="1:17" x14ac:dyDescent="0.25">
      <c r="A510" s="1" t="s">
        <v>667</v>
      </c>
      <c r="B510" s="1" t="s">
        <v>203</v>
      </c>
      <c r="C510">
        <v>1</v>
      </c>
      <c r="D510">
        <v>2</v>
      </c>
      <c r="E510">
        <v>5</v>
      </c>
      <c r="F510">
        <v>2</v>
      </c>
      <c r="G510">
        <v>6</v>
      </c>
      <c r="H510">
        <v>6</v>
      </c>
      <c r="I510">
        <v>62</v>
      </c>
      <c r="J510">
        <v>89</v>
      </c>
      <c r="K510">
        <v>20</v>
      </c>
      <c r="L510">
        <v>56</v>
      </c>
      <c r="M510">
        <v>80</v>
      </c>
      <c r="N510">
        <f t="shared" si="21"/>
        <v>30.700000000000003</v>
      </c>
      <c r="O510" cm="1">
        <f t="array" ref="O510">SUM(_xlfn.XLOOKUP(E510:H510, $V$13:$V$17, $U$13:$U$17))</f>
        <v>28</v>
      </c>
      <c r="P510">
        <f t="shared" si="22"/>
        <v>1</v>
      </c>
      <c r="Q510" s="1">
        <f t="shared" si="23"/>
        <v>59.7</v>
      </c>
    </row>
    <row r="511" spans="1:17" x14ac:dyDescent="0.25">
      <c r="A511" s="1" t="s">
        <v>668</v>
      </c>
      <c r="B511" s="1" t="s">
        <v>83</v>
      </c>
      <c r="C511">
        <v>6</v>
      </c>
      <c r="D511">
        <v>6</v>
      </c>
      <c r="E511">
        <v>5</v>
      </c>
      <c r="F511">
        <v>6</v>
      </c>
      <c r="G511">
        <v>2</v>
      </c>
      <c r="H511">
        <v>4</v>
      </c>
      <c r="I511">
        <v>22</v>
      </c>
      <c r="J511">
        <v>29</v>
      </c>
      <c r="K511">
        <v>31</v>
      </c>
      <c r="L511">
        <v>9</v>
      </c>
      <c r="M511">
        <v>56</v>
      </c>
      <c r="N511">
        <f t="shared" si="21"/>
        <v>14.7</v>
      </c>
      <c r="O511" cm="1">
        <f t="array" ref="O511">SUM(_xlfn.XLOOKUP(E511:H511, $V$13:$V$17, $U$13:$U$17))</f>
        <v>24</v>
      </c>
      <c r="P511">
        <f t="shared" si="22"/>
        <v>8</v>
      </c>
      <c r="Q511" s="1">
        <f t="shared" si="23"/>
        <v>46.7</v>
      </c>
    </row>
    <row r="512" spans="1:17" x14ac:dyDescent="0.25">
      <c r="A512" s="1" t="s">
        <v>669</v>
      </c>
      <c r="B512" s="1" t="s">
        <v>540</v>
      </c>
      <c r="C512">
        <v>8</v>
      </c>
      <c r="D512">
        <v>3</v>
      </c>
      <c r="E512">
        <v>4</v>
      </c>
      <c r="F512">
        <v>5</v>
      </c>
      <c r="G512">
        <v>2</v>
      </c>
      <c r="H512">
        <v>4</v>
      </c>
      <c r="I512">
        <v>30</v>
      </c>
      <c r="J512">
        <v>10</v>
      </c>
      <c r="K512">
        <v>78</v>
      </c>
      <c r="L512">
        <v>57</v>
      </c>
      <c r="M512">
        <v>67</v>
      </c>
      <c r="N512">
        <f t="shared" si="21"/>
        <v>24.2</v>
      </c>
      <c r="O512" cm="1">
        <f t="array" ref="O512">SUM(_xlfn.XLOOKUP(E512:H512, $V$13:$V$17, $U$13:$U$17))</f>
        <v>20</v>
      </c>
      <c r="P512">
        <f t="shared" si="22"/>
        <v>8</v>
      </c>
      <c r="Q512" s="1">
        <f t="shared" si="23"/>
        <v>52.2</v>
      </c>
    </row>
    <row r="513" spans="1:17" x14ac:dyDescent="0.25">
      <c r="A513" s="1" t="s">
        <v>670</v>
      </c>
      <c r="B513" s="1" t="s">
        <v>302</v>
      </c>
      <c r="C513">
        <v>7</v>
      </c>
      <c r="D513">
        <v>6</v>
      </c>
      <c r="E513">
        <v>4</v>
      </c>
      <c r="F513">
        <v>6</v>
      </c>
      <c r="G513">
        <v>2</v>
      </c>
      <c r="H513">
        <v>2</v>
      </c>
      <c r="I513">
        <v>29</v>
      </c>
      <c r="J513">
        <v>64</v>
      </c>
      <c r="K513">
        <v>39</v>
      </c>
      <c r="L513">
        <v>62</v>
      </c>
      <c r="M513">
        <v>1</v>
      </c>
      <c r="N513">
        <f t="shared" si="21"/>
        <v>19.500000000000004</v>
      </c>
      <c r="O513" cm="1">
        <f t="array" ref="O513">SUM(_xlfn.XLOOKUP(E513:H513, $V$13:$V$17, $U$13:$U$17))</f>
        <v>16</v>
      </c>
      <c r="P513">
        <f t="shared" si="22"/>
        <v>9</v>
      </c>
      <c r="Q513" s="1">
        <f t="shared" si="23"/>
        <v>44.5</v>
      </c>
    </row>
    <row r="514" spans="1:17" x14ac:dyDescent="0.25">
      <c r="A514" s="1" t="s">
        <v>671</v>
      </c>
      <c r="B514" s="1" t="s">
        <v>101</v>
      </c>
      <c r="C514">
        <v>3</v>
      </c>
      <c r="D514">
        <v>2</v>
      </c>
      <c r="E514">
        <v>2</v>
      </c>
      <c r="F514">
        <v>3</v>
      </c>
      <c r="G514">
        <v>5</v>
      </c>
      <c r="H514">
        <v>4</v>
      </c>
      <c r="I514">
        <v>32</v>
      </c>
      <c r="J514">
        <v>80</v>
      </c>
      <c r="K514">
        <v>47</v>
      </c>
      <c r="L514">
        <v>98</v>
      </c>
      <c r="M514">
        <v>30</v>
      </c>
      <c r="N514">
        <f t="shared" ref="N514:N577" si="24">I514/10 + J514/10 + K514/10 + L514/10 + M514/10</f>
        <v>28.7</v>
      </c>
      <c r="O514" cm="1">
        <f t="array" ref="O514">SUM(_xlfn.XLOOKUP(E514:H514, $V$13:$V$17, $U$13:$U$17))</f>
        <v>18</v>
      </c>
      <c r="P514">
        <f t="shared" si="22"/>
        <v>3</v>
      </c>
      <c r="Q514" s="1">
        <f t="shared" ref="Q514:Q577" si="25">SUM(N514:P514)</f>
        <v>49.7</v>
      </c>
    </row>
    <row r="515" spans="1:17" x14ac:dyDescent="0.25">
      <c r="A515" s="1" t="s">
        <v>269</v>
      </c>
      <c r="B515" s="1" t="s">
        <v>171</v>
      </c>
      <c r="C515">
        <v>3</v>
      </c>
      <c r="D515">
        <v>5</v>
      </c>
      <c r="E515">
        <v>2</v>
      </c>
      <c r="F515">
        <v>3</v>
      </c>
      <c r="G515">
        <v>2</v>
      </c>
      <c r="H515">
        <v>6</v>
      </c>
      <c r="I515">
        <v>81</v>
      </c>
      <c r="J515">
        <v>8</v>
      </c>
      <c r="K515">
        <v>48</v>
      </c>
      <c r="L515">
        <v>7</v>
      </c>
      <c r="M515">
        <v>21</v>
      </c>
      <c r="N515">
        <f t="shared" si="24"/>
        <v>16.5</v>
      </c>
      <c r="O515" cm="1">
        <f t="array" ref="O515">SUM(_xlfn.XLOOKUP(E515:H515, $V$13:$V$17, $U$13:$U$17))</f>
        <v>14</v>
      </c>
      <c r="P515">
        <f t="shared" si="22"/>
        <v>3</v>
      </c>
      <c r="Q515" s="1">
        <f t="shared" si="25"/>
        <v>33.5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1D3E-989B-4CF3-98DD-E0A226038ED7}">
  <dimension ref="A1:N515"/>
  <sheetViews>
    <sheetView zoomScale="145" zoomScaleNormal="145" workbookViewId="0">
      <selection activeCell="O519" sqref="O519"/>
    </sheetView>
  </sheetViews>
  <sheetFormatPr defaultRowHeight="15" x14ac:dyDescent="0.25"/>
  <cols>
    <col min="14" max="14" width="1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681</v>
      </c>
    </row>
    <row r="2" spans="1:14" hidden="1" x14ac:dyDescent="0.25">
      <c r="A2" s="1" t="s">
        <v>13</v>
      </c>
      <c r="B2" s="1" t="s">
        <v>14</v>
      </c>
      <c r="C2">
        <v>0</v>
      </c>
      <c r="D2">
        <v>4</v>
      </c>
      <c r="E2">
        <v>4</v>
      </c>
      <c r="F2">
        <v>5</v>
      </c>
      <c r="G2">
        <v>6</v>
      </c>
      <c r="H2">
        <v>6</v>
      </c>
      <c r="I2">
        <v>62</v>
      </c>
      <c r="J2">
        <v>13</v>
      </c>
      <c r="K2">
        <v>26</v>
      </c>
      <c r="L2">
        <v>67</v>
      </c>
      <c r="M2">
        <v>62</v>
      </c>
      <c r="N2">
        <f t="shared" ref="N2:N65" si="0">COUNTIF(I2:M2, 100)</f>
        <v>0</v>
      </c>
    </row>
    <row r="3" spans="1:14" hidden="1" x14ac:dyDescent="0.25">
      <c r="A3" s="1" t="s">
        <v>15</v>
      </c>
      <c r="B3" s="1" t="s">
        <v>16</v>
      </c>
      <c r="C3">
        <v>7</v>
      </c>
      <c r="D3">
        <v>4</v>
      </c>
      <c r="E3">
        <v>4</v>
      </c>
      <c r="F3">
        <v>2</v>
      </c>
      <c r="G3">
        <v>5</v>
      </c>
      <c r="H3">
        <v>6</v>
      </c>
      <c r="I3">
        <v>90</v>
      </c>
      <c r="J3">
        <v>8</v>
      </c>
      <c r="K3">
        <v>21</v>
      </c>
      <c r="L3">
        <v>52</v>
      </c>
      <c r="M3">
        <v>33</v>
      </c>
      <c r="N3">
        <f t="shared" si="0"/>
        <v>0</v>
      </c>
    </row>
    <row r="4" spans="1:14" hidden="1" x14ac:dyDescent="0.25">
      <c r="A4" s="1" t="s">
        <v>17</v>
      </c>
      <c r="B4" s="1" t="s">
        <v>18</v>
      </c>
      <c r="C4">
        <v>7</v>
      </c>
      <c r="D4">
        <v>4</v>
      </c>
      <c r="E4">
        <v>4</v>
      </c>
      <c r="F4">
        <v>6</v>
      </c>
      <c r="G4">
        <v>6</v>
      </c>
      <c r="H4">
        <v>5</v>
      </c>
      <c r="I4">
        <v>96</v>
      </c>
      <c r="J4">
        <v>99</v>
      </c>
      <c r="K4">
        <v>16</v>
      </c>
      <c r="L4">
        <v>85</v>
      </c>
      <c r="M4">
        <v>65</v>
      </c>
      <c r="N4">
        <f t="shared" si="0"/>
        <v>0</v>
      </c>
    </row>
    <row r="5" spans="1:14" x14ac:dyDescent="0.25">
      <c r="A5" s="1" t="s">
        <v>19</v>
      </c>
      <c r="B5" s="1" t="s">
        <v>20</v>
      </c>
      <c r="C5">
        <v>8</v>
      </c>
      <c r="D5">
        <v>6</v>
      </c>
      <c r="E5">
        <v>4</v>
      </c>
      <c r="F5">
        <v>4</v>
      </c>
      <c r="G5">
        <v>3</v>
      </c>
      <c r="H5">
        <v>5</v>
      </c>
      <c r="I5">
        <v>17</v>
      </c>
      <c r="J5">
        <v>100</v>
      </c>
      <c r="K5">
        <v>100</v>
      </c>
      <c r="L5">
        <v>100</v>
      </c>
      <c r="M5">
        <v>31</v>
      </c>
      <c r="N5">
        <f t="shared" si="0"/>
        <v>3</v>
      </c>
    </row>
    <row r="6" spans="1:14" hidden="1" x14ac:dyDescent="0.25">
      <c r="A6" s="1" t="s">
        <v>21</v>
      </c>
      <c r="B6" s="1" t="s">
        <v>18</v>
      </c>
      <c r="C6">
        <v>5</v>
      </c>
      <c r="D6">
        <v>4</v>
      </c>
      <c r="E6">
        <v>2</v>
      </c>
      <c r="F6">
        <v>4</v>
      </c>
      <c r="G6">
        <v>5</v>
      </c>
      <c r="H6">
        <v>4</v>
      </c>
      <c r="I6">
        <v>20</v>
      </c>
      <c r="J6">
        <v>28</v>
      </c>
      <c r="K6">
        <v>58</v>
      </c>
      <c r="L6">
        <v>86</v>
      </c>
      <c r="M6">
        <v>48</v>
      </c>
      <c r="N6">
        <f t="shared" si="0"/>
        <v>0</v>
      </c>
    </row>
    <row r="7" spans="1:14" hidden="1" x14ac:dyDescent="0.25">
      <c r="A7" s="1" t="s">
        <v>22</v>
      </c>
      <c r="B7" s="1" t="s">
        <v>23</v>
      </c>
      <c r="C7">
        <v>7</v>
      </c>
      <c r="D7">
        <v>3</v>
      </c>
      <c r="E7">
        <v>2</v>
      </c>
      <c r="F7">
        <v>2</v>
      </c>
      <c r="G7">
        <v>2</v>
      </c>
      <c r="H7">
        <v>3</v>
      </c>
      <c r="I7">
        <v>77</v>
      </c>
      <c r="J7">
        <v>10</v>
      </c>
      <c r="K7">
        <v>11</v>
      </c>
      <c r="L7">
        <v>72</v>
      </c>
      <c r="M7">
        <v>78</v>
      </c>
      <c r="N7">
        <f t="shared" si="0"/>
        <v>0</v>
      </c>
    </row>
    <row r="8" spans="1:14" hidden="1" x14ac:dyDescent="0.25">
      <c r="A8" s="1" t="s">
        <v>24</v>
      </c>
      <c r="B8" s="1" t="s">
        <v>23</v>
      </c>
      <c r="C8">
        <v>8</v>
      </c>
      <c r="D8">
        <v>6</v>
      </c>
      <c r="E8">
        <v>6</v>
      </c>
      <c r="F8">
        <v>5</v>
      </c>
      <c r="G8">
        <v>5</v>
      </c>
      <c r="H8">
        <v>2</v>
      </c>
      <c r="I8">
        <v>75</v>
      </c>
      <c r="J8">
        <v>25</v>
      </c>
      <c r="K8">
        <v>5</v>
      </c>
      <c r="L8">
        <v>3</v>
      </c>
      <c r="M8">
        <v>58</v>
      </c>
      <c r="N8">
        <f t="shared" si="0"/>
        <v>0</v>
      </c>
    </row>
    <row r="9" spans="1:14" hidden="1" x14ac:dyDescent="0.25">
      <c r="A9" s="1" t="s">
        <v>25</v>
      </c>
      <c r="B9" s="1" t="s">
        <v>26</v>
      </c>
      <c r="C9">
        <v>6</v>
      </c>
      <c r="D9">
        <v>6</v>
      </c>
      <c r="E9">
        <v>2</v>
      </c>
      <c r="F9">
        <v>5</v>
      </c>
      <c r="G9">
        <v>5</v>
      </c>
      <c r="H9">
        <v>3</v>
      </c>
      <c r="I9">
        <v>12</v>
      </c>
      <c r="J9">
        <v>17</v>
      </c>
      <c r="K9">
        <v>14</v>
      </c>
      <c r="L9">
        <v>4</v>
      </c>
      <c r="M9">
        <v>3</v>
      </c>
      <c r="N9">
        <f t="shared" si="0"/>
        <v>0</v>
      </c>
    </row>
    <row r="10" spans="1:14" hidden="1" x14ac:dyDescent="0.25">
      <c r="A10" s="1" t="s">
        <v>27</v>
      </c>
      <c r="B10" s="1" t="s">
        <v>28</v>
      </c>
      <c r="C10">
        <v>1</v>
      </c>
      <c r="D10">
        <v>6</v>
      </c>
      <c r="E10">
        <v>6</v>
      </c>
      <c r="F10">
        <v>2</v>
      </c>
      <c r="G10">
        <v>3</v>
      </c>
      <c r="H10">
        <v>6</v>
      </c>
      <c r="I10">
        <v>1</v>
      </c>
      <c r="J10">
        <v>3</v>
      </c>
      <c r="K10">
        <v>69</v>
      </c>
      <c r="L10">
        <v>89</v>
      </c>
      <c r="M10">
        <v>10</v>
      </c>
      <c r="N10">
        <f t="shared" si="0"/>
        <v>0</v>
      </c>
    </row>
    <row r="11" spans="1:14" hidden="1" x14ac:dyDescent="0.25">
      <c r="A11" s="1" t="s">
        <v>29</v>
      </c>
      <c r="B11" s="1" t="s">
        <v>30</v>
      </c>
      <c r="C11">
        <v>0</v>
      </c>
      <c r="D11">
        <v>5</v>
      </c>
      <c r="E11">
        <v>3</v>
      </c>
      <c r="F11">
        <v>6</v>
      </c>
      <c r="G11">
        <v>6</v>
      </c>
      <c r="H11">
        <v>4</v>
      </c>
      <c r="I11">
        <v>28</v>
      </c>
      <c r="J11">
        <v>53</v>
      </c>
      <c r="K11">
        <v>38</v>
      </c>
      <c r="L11">
        <v>63</v>
      </c>
      <c r="M11">
        <v>70</v>
      </c>
      <c r="N11">
        <f t="shared" si="0"/>
        <v>0</v>
      </c>
    </row>
    <row r="12" spans="1:14" hidden="1" x14ac:dyDescent="0.25">
      <c r="A12" s="1" t="s">
        <v>31</v>
      </c>
      <c r="B12" s="1" t="s">
        <v>32</v>
      </c>
      <c r="C12">
        <v>4</v>
      </c>
      <c r="D12">
        <v>3</v>
      </c>
      <c r="E12">
        <v>3</v>
      </c>
      <c r="F12">
        <v>6</v>
      </c>
      <c r="G12">
        <v>6</v>
      </c>
      <c r="H12">
        <v>2</v>
      </c>
      <c r="I12">
        <v>77</v>
      </c>
      <c r="J12">
        <v>8</v>
      </c>
      <c r="K12">
        <v>71</v>
      </c>
      <c r="L12">
        <v>88</v>
      </c>
      <c r="M12">
        <v>41</v>
      </c>
      <c r="N12">
        <f t="shared" si="0"/>
        <v>0</v>
      </c>
    </row>
    <row r="13" spans="1:14" hidden="1" x14ac:dyDescent="0.25">
      <c r="A13" s="1" t="s">
        <v>33</v>
      </c>
      <c r="B13" s="1" t="s">
        <v>34</v>
      </c>
      <c r="C13">
        <v>4</v>
      </c>
      <c r="D13">
        <v>6</v>
      </c>
      <c r="E13">
        <v>5</v>
      </c>
      <c r="F13">
        <v>6</v>
      </c>
      <c r="G13">
        <v>3</v>
      </c>
      <c r="H13">
        <v>6</v>
      </c>
      <c r="I13">
        <v>83</v>
      </c>
      <c r="J13">
        <v>27</v>
      </c>
      <c r="K13">
        <v>79</v>
      </c>
      <c r="L13">
        <v>20</v>
      </c>
      <c r="M13">
        <v>43</v>
      </c>
      <c r="N13">
        <f t="shared" si="0"/>
        <v>0</v>
      </c>
    </row>
    <row r="14" spans="1:14" hidden="1" x14ac:dyDescent="0.25">
      <c r="A14" s="1" t="s">
        <v>35</v>
      </c>
      <c r="B14" s="1" t="s">
        <v>36</v>
      </c>
      <c r="C14">
        <v>1</v>
      </c>
      <c r="D14">
        <v>3</v>
      </c>
      <c r="E14">
        <v>6</v>
      </c>
      <c r="F14">
        <v>3</v>
      </c>
      <c r="G14">
        <v>3</v>
      </c>
      <c r="H14">
        <v>2</v>
      </c>
      <c r="I14">
        <v>16</v>
      </c>
      <c r="J14">
        <v>43</v>
      </c>
      <c r="K14">
        <v>92</v>
      </c>
      <c r="L14">
        <v>54</v>
      </c>
      <c r="M14">
        <v>27</v>
      </c>
      <c r="N14">
        <f t="shared" si="0"/>
        <v>0</v>
      </c>
    </row>
    <row r="15" spans="1:14" hidden="1" x14ac:dyDescent="0.25">
      <c r="A15" s="1" t="s">
        <v>37</v>
      </c>
      <c r="B15" s="1" t="s">
        <v>38</v>
      </c>
      <c r="C15">
        <v>6</v>
      </c>
      <c r="D15">
        <v>6</v>
      </c>
      <c r="E15">
        <v>5</v>
      </c>
      <c r="F15">
        <v>3</v>
      </c>
      <c r="G15">
        <v>2</v>
      </c>
      <c r="H15">
        <v>6</v>
      </c>
      <c r="I15">
        <v>11</v>
      </c>
      <c r="J15">
        <v>36</v>
      </c>
      <c r="K15">
        <v>4</v>
      </c>
      <c r="L15">
        <v>41</v>
      </c>
      <c r="M15">
        <v>62</v>
      </c>
      <c r="N15">
        <f t="shared" si="0"/>
        <v>0</v>
      </c>
    </row>
    <row r="16" spans="1:14" hidden="1" x14ac:dyDescent="0.25">
      <c r="A16" s="1" t="s">
        <v>39</v>
      </c>
      <c r="B16" s="1" t="s">
        <v>38</v>
      </c>
      <c r="C16">
        <v>5</v>
      </c>
      <c r="D16">
        <v>2</v>
      </c>
      <c r="E16">
        <v>4</v>
      </c>
      <c r="F16">
        <v>2</v>
      </c>
      <c r="G16">
        <v>3</v>
      </c>
      <c r="H16">
        <v>5</v>
      </c>
      <c r="I16">
        <v>80</v>
      </c>
      <c r="J16">
        <v>75</v>
      </c>
      <c r="K16">
        <v>60</v>
      </c>
      <c r="L16">
        <v>54</v>
      </c>
      <c r="M16">
        <v>69</v>
      </c>
      <c r="N16">
        <f t="shared" si="0"/>
        <v>0</v>
      </c>
    </row>
    <row r="17" spans="1:14" hidden="1" x14ac:dyDescent="0.25">
      <c r="A17" s="1" t="s">
        <v>40</v>
      </c>
      <c r="B17" s="1" t="s">
        <v>41</v>
      </c>
      <c r="C17">
        <v>8</v>
      </c>
      <c r="D17">
        <v>6</v>
      </c>
      <c r="E17">
        <v>4</v>
      </c>
      <c r="F17">
        <v>3</v>
      </c>
      <c r="G17">
        <v>4</v>
      </c>
      <c r="H17">
        <v>5</v>
      </c>
      <c r="I17">
        <v>22</v>
      </c>
      <c r="J17">
        <v>46</v>
      </c>
      <c r="K17">
        <v>36</v>
      </c>
      <c r="L17">
        <v>35</v>
      </c>
      <c r="M17">
        <v>91</v>
      </c>
      <c r="N17">
        <f t="shared" si="0"/>
        <v>0</v>
      </c>
    </row>
    <row r="18" spans="1:14" hidden="1" x14ac:dyDescent="0.25">
      <c r="A18" s="1" t="s">
        <v>42</v>
      </c>
      <c r="B18" s="1" t="s">
        <v>43</v>
      </c>
      <c r="C18">
        <v>2</v>
      </c>
      <c r="D18">
        <v>5</v>
      </c>
      <c r="E18">
        <v>3</v>
      </c>
      <c r="F18">
        <v>5</v>
      </c>
      <c r="G18">
        <v>6</v>
      </c>
      <c r="H18">
        <v>3</v>
      </c>
      <c r="I18">
        <v>47</v>
      </c>
      <c r="J18">
        <v>30</v>
      </c>
      <c r="K18">
        <v>2</v>
      </c>
      <c r="L18">
        <v>45</v>
      </c>
      <c r="M18">
        <v>76</v>
      </c>
      <c r="N18">
        <f t="shared" si="0"/>
        <v>0</v>
      </c>
    </row>
    <row r="19" spans="1:14" hidden="1" x14ac:dyDescent="0.25">
      <c r="A19" s="1" t="s">
        <v>44</v>
      </c>
      <c r="B19" s="1" t="s">
        <v>45</v>
      </c>
      <c r="C19">
        <v>8</v>
      </c>
      <c r="D19">
        <v>4</v>
      </c>
      <c r="E19">
        <v>3</v>
      </c>
      <c r="F19">
        <v>4</v>
      </c>
      <c r="G19">
        <v>6</v>
      </c>
      <c r="H19">
        <v>2</v>
      </c>
      <c r="I19">
        <v>23</v>
      </c>
      <c r="J19">
        <v>49</v>
      </c>
      <c r="K19">
        <v>16</v>
      </c>
      <c r="L19">
        <v>3</v>
      </c>
      <c r="M19">
        <v>81</v>
      </c>
      <c r="N19">
        <f t="shared" si="0"/>
        <v>0</v>
      </c>
    </row>
    <row r="20" spans="1:14" hidden="1" x14ac:dyDescent="0.25">
      <c r="A20" s="1" t="s">
        <v>46</v>
      </c>
      <c r="B20" s="1" t="s">
        <v>16</v>
      </c>
      <c r="C20">
        <v>1</v>
      </c>
      <c r="D20">
        <v>6</v>
      </c>
      <c r="E20">
        <v>6</v>
      </c>
      <c r="F20">
        <v>6</v>
      </c>
      <c r="G20">
        <v>3</v>
      </c>
      <c r="H20">
        <v>2</v>
      </c>
      <c r="I20">
        <v>14</v>
      </c>
      <c r="J20">
        <v>20</v>
      </c>
      <c r="K20">
        <v>14</v>
      </c>
      <c r="L20">
        <v>64</v>
      </c>
      <c r="M20">
        <v>55</v>
      </c>
      <c r="N20">
        <f t="shared" si="0"/>
        <v>0</v>
      </c>
    </row>
    <row r="21" spans="1:14" hidden="1" x14ac:dyDescent="0.25">
      <c r="A21" s="1" t="s">
        <v>47</v>
      </c>
      <c r="B21" s="1" t="s">
        <v>48</v>
      </c>
      <c r="C21">
        <v>5</v>
      </c>
      <c r="D21">
        <v>4</v>
      </c>
      <c r="E21">
        <v>3</v>
      </c>
      <c r="F21">
        <v>3</v>
      </c>
      <c r="G21">
        <v>3</v>
      </c>
      <c r="H21">
        <v>6</v>
      </c>
      <c r="I21">
        <v>98</v>
      </c>
      <c r="J21">
        <v>48</v>
      </c>
      <c r="K21">
        <v>6</v>
      </c>
      <c r="L21">
        <v>70</v>
      </c>
      <c r="M21">
        <v>6</v>
      </c>
      <c r="N21">
        <f t="shared" si="0"/>
        <v>0</v>
      </c>
    </row>
    <row r="22" spans="1:14" hidden="1" x14ac:dyDescent="0.25">
      <c r="A22" s="1" t="s">
        <v>49</v>
      </c>
      <c r="B22" s="1" t="s">
        <v>38</v>
      </c>
      <c r="C22">
        <v>3</v>
      </c>
      <c r="D22">
        <v>3</v>
      </c>
      <c r="E22">
        <v>2</v>
      </c>
      <c r="F22">
        <v>3</v>
      </c>
      <c r="G22">
        <v>3</v>
      </c>
      <c r="H22">
        <v>2</v>
      </c>
      <c r="I22">
        <v>38</v>
      </c>
      <c r="J22">
        <v>71</v>
      </c>
      <c r="K22">
        <v>35</v>
      </c>
      <c r="L22">
        <v>95</v>
      </c>
      <c r="M22">
        <v>84</v>
      </c>
      <c r="N22">
        <f t="shared" si="0"/>
        <v>0</v>
      </c>
    </row>
    <row r="23" spans="1:14" x14ac:dyDescent="0.25">
      <c r="A23" s="1" t="s">
        <v>50</v>
      </c>
      <c r="B23" s="1" t="s">
        <v>51</v>
      </c>
      <c r="C23">
        <v>7</v>
      </c>
      <c r="D23">
        <v>4</v>
      </c>
      <c r="E23">
        <v>6</v>
      </c>
      <c r="F23">
        <v>4</v>
      </c>
      <c r="G23">
        <v>6</v>
      </c>
      <c r="H23">
        <v>5</v>
      </c>
      <c r="I23">
        <v>95</v>
      </c>
      <c r="J23">
        <v>100</v>
      </c>
      <c r="K23">
        <v>100</v>
      </c>
      <c r="L23">
        <v>40</v>
      </c>
      <c r="M23">
        <v>100</v>
      </c>
      <c r="N23">
        <f t="shared" si="0"/>
        <v>3</v>
      </c>
    </row>
    <row r="24" spans="1:14" hidden="1" x14ac:dyDescent="0.25">
      <c r="A24" s="1" t="s">
        <v>52</v>
      </c>
      <c r="B24" s="1" t="s">
        <v>53</v>
      </c>
      <c r="C24">
        <v>7</v>
      </c>
      <c r="D24">
        <v>2</v>
      </c>
      <c r="E24">
        <v>4</v>
      </c>
      <c r="F24">
        <v>5</v>
      </c>
      <c r="G24">
        <v>3</v>
      </c>
      <c r="H24">
        <v>4</v>
      </c>
      <c r="I24">
        <v>59</v>
      </c>
      <c r="J24">
        <v>14</v>
      </c>
      <c r="K24">
        <v>99</v>
      </c>
      <c r="L24">
        <v>4</v>
      </c>
      <c r="M24">
        <v>3</v>
      </c>
      <c r="N24">
        <f t="shared" si="0"/>
        <v>0</v>
      </c>
    </row>
    <row r="25" spans="1:14" hidden="1" x14ac:dyDescent="0.25">
      <c r="A25" s="1" t="s">
        <v>54</v>
      </c>
      <c r="B25" s="1" t="s">
        <v>55</v>
      </c>
      <c r="C25">
        <v>3</v>
      </c>
      <c r="D25">
        <v>3</v>
      </c>
      <c r="E25">
        <v>5</v>
      </c>
      <c r="F25">
        <v>5</v>
      </c>
      <c r="G25">
        <v>2</v>
      </c>
      <c r="H25">
        <v>6</v>
      </c>
      <c r="I25">
        <v>26</v>
      </c>
      <c r="J25">
        <v>14</v>
      </c>
      <c r="K25">
        <v>18</v>
      </c>
      <c r="L25">
        <v>96</v>
      </c>
      <c r="M25">
        <v>41</v>
      </c>
      <c r="N25">
        <f t="shared" si="0"/>
        <v>0</v>
      </c>
    </row>
    <row r="26" spans="1:14" hidden="1" x14ac:dyDescent="0.25">
      <c r="A26" s="1" t="s">
        <v>56</v>
      </c>
      <c r="B26" s="1" t="s">
        <v>38</v>
      </c>
      <c r="C26">
        <v>8</v>
      </c>
      <c r="D26">
        <v>6</v>
      </c>
      <c r="E26">
        <v>3</v>
      </c>
      <c r="F26">
        <v>4</v>
      </c>
      <c r="G26">
        <v>2</v>
      </c>
      <c r="H26">
        <v>4</v>
      </c>
      <c r="I26">
        <v>8</v>
      </c>
      <c r="J26">
        <v>78</v>
      </c>
      <c r="K26">
        <v>64</v>
      </c>
      <c r="L26">
        <v>10</v>
      </c>
      <c r="M26">
        <v>55</v>
      </c>
      <c r="N26">
        <f t="shared" si="0"/>
        <v>0</v>
      </c>
    </row>
    <row r="27" spans="1:14" hidden="1" x14ac:dyDescent="0.25">
      <c r="A27" s="1" t="s">
        <v>57</v>
      </c>
      <c r="B27" s="1" t="s">
        <v>58</v>
      </c>
      <c r="C27">
        <v>3</v>
      </c>
      <c r="D27">
        <v>5</v>
      </c>
      <c r="E27">
        <v>2</v>
      </c>
      <c r="F27">
        <v>4</v>
      </c>
      <c r="G27">
        <v>3</v>
      </c>
      <c r="H27">
        <v>6</v>
      </c>
      <c r="I27">
        <v>41</v>
      </c>
      <c r="J27">
        <v>37</v>
      </c>
      <c r="K27">
        <v>5</v>
      </c>
      <c r="L27">
        <v>34</v>
      </c>
      <c r="M27">
        <v>93</v>
      </c>
      <c r="N27">
        <f t="shared" si="0"/>
        <v>0</v>
      </c>
    </row>
    <row r="28" spans="1:14" hidden="1" x14ac:dyDescent="0.25">
      <c r="A28" s="1" t="s">
        <v>59</v>
      </c>
      <c r="B28" s="1" t="s">
        <v>16</v>
      </c>
      <c r="C28">
        <v>4</v>
      </c>
      <c r="D28">
        <v>6</v>
      </c>
      <c r="E28">
        <v>4</v>
      </c>
      <c r="F28">
        <v>3</v>
      </c>
      <c r="G28">
        <v>2</v>
      </c>
      <c r="H28">
        <v>3</v>
      </c>
      <c r="I28">
        <v>60</v>
      </c>
      <c r="J28">
        <v>7</v>
      </c>
      <c r="K28">
        <v>97</v>
      </c>
      <c r="L28">
        <v>80</v>
      </c>
      <c r="M28">
        <v>43</v>
      </c>
      <c r="N28">
        <f t="shared" si="0"/>
        <v>0</v>
      </c>
    </row>
    <row r="29" spans="1:14" hidden="1" x14ac:dyDescent="0.25">
      <c r="A29" s="1" t="s">
        <v>60</v>
      </c>
      <c r="B29" s="1" t="s">
        <v>61</v>
      </c>
      <c r="C29">
        <v>1</v>
      </c>
      <c r="D29">
        <v>4</v>
      </c>
      <c r="E29">
        <v>5</v>
      </c>
      <c r="F29">
        <v>4</v>
      </c>
      <c r="G29">
        <v>2</v>
      </c>
      <c r="H29">
        <v>5</v>
      </c>
      <c r="I29">
        <v>53</v>
      </c>
      <c r="J29">
        <v>18</v>
      </c>
      <c r="K29">
        <v>94</v>
      </c>
      <c r="L29">
        <v>99</v>
      </c>
      <c r="M29">
        <v>76</v>
      </c>
      <c r="N29">
        <f t="shared" si="0"/>
        <v>0</v>
      </c>
    </row>
    <row r="30" spans="1:14" hidden="1" x14ac:dyDescent="0.25">
      <c r="A30" s="1" t="s">
        <v>62</v>
      </c>
      <c r="B30" s="1" t="s">
        <v>38</v>
      </c>
      <c r="C30">
        <v>5</v>
      </c>
      <c r="D30">
        <v>3</v>
      </c>
      <c r="E30">
        <v>3</v>
      </c>
      <c r="F30">
        <v>4</v>
      </c>
      <c r="G30">
        <v>6</v>
      </c>
      <c r="H30">
        <v>6</v>
      </c>
      <c r="I30">
        <v>84</v>
      </c>
      <c r="J30">
        <v>87</v>
      </c>
      <c r="K30">
        <v>96</v>
      </c>
      <c r="L30">
        <v>8</v>
      </c>
      <c r="M30">
        <v>17</v>
      </c>
      <c r="N30">
        <f t="shared" si="0"/>
        <v>0</v>
      </c>
    </row>
    <row r="31" spans="1:14" hidden="1" x14ac:dyDescent="0.25">
      <c r="A31" s="1" t="s">
        <v>63</v>
      </c>
      <c r="B31" s="1" t="s">
        <v>64</v>
      </c>
      <c r="C31">
        <v>2</v>
      </c>
      <c r="D31">
        <v>3</v>
      </c>
      <c r="E31">
        <v>5</v>
      </c>
      <c r="F31">
        <v>2</v>
      </c>
      <c r="G31">
        <v>2</v>
      </c>
      <c r="H31">
        <v>5</v>
      </c>
      <c r="I31">
        <v>6</v>
      </c>
      <c r="J31">
        <v>43</v>
      </c>
      <c r="K31">
        <v>53</v>
      </c>
      <c r="L31">
        <v>71</v>
      </c>
      <c r="M31">
        <v>3</v>
      </c>
      <c r="N31">
        <f t="shared" si="0"/>
        <v>0</v>
      </c>
    </row>
    <row r="32" spans="1:14" hidden="1" x14ac:dyDescent="0.25">
      <c r="A32" s="1" t="s">
        <v>65</v>
      </c>
      <c r="B32" s="1" t="s">
        <v>66</v>
      </c>
      <c r="C32">
        <v>0</v>
      </c>
      <c r="D32">
        <v>2</v>
      </c>
      <c r="E32">
        <v>6</v>
      </c>
      <c r="F32">
        <v>5</v>
      </c>
      <c r="G32">
        <v>6</v>
      </c>
      <c r="H32">
        <v>3</v>
      </c>
      <c r="I32">
        <v>89</v>
      </c>
      <c r="J32">
        <v>40</v>
      </c>
      <c r="K32">
        <v>28</v>
      </c>
      <c r="L32">
        <v>32</v>
      </c>
      <c r="M32">
        <v>47</v>
      </c>
      <c r="N32">
        <f t="shared" si="0"/>
        <v>0</v>
      </c>
    </row>
    <row r="33" spans="1:14" hidden="1" x14ac:dyDescent="0.25">
      <c r="A33" s="1" t="s">
        <v>67</v>
      </c>
      <c r="B33" s="1" t="s">
        <v>68</v>
      </c>
      <c r="C33">
        <v>0</v>
      </c>
      <c r="D33">
        <v>5</v>
      </c>
      <c r="E33">
        <v>6</v>
      </c>
      <c r="F33">
        <v>4</v>
      </c>
      <c r="G33">
        <v>4</v>
      </c>
      <c r="H33">
        <v>2</v>
      </c>
      <c r="I33">
        <v>22</v>
      </c>
      <c r="J33">
        <v>9</v>
      </c>
      <c r="K33">
        <v>1</v>
      </c>
      <c r="L33">
        <v>76</v>
      </c>
      <c r="M33">
        <v>28</v>
      </c>
      <c r="N33">
        <f t="shared" si="0"/>
        <v>0</v>
      </c>
    </row>
    <row r="34" spans="1:14" hidden="1" x14ac:dyDescent="0.25">
      <c r="A34" s="1" t="s">
        <v>69</v>
      </c>
      <c r="B34" s="1" t="s">
        <v>70</v>
      </c>
      <c r="C34">
        <v>6</v>
      </c>
      <c r="D34">
        <v>3</v>
      </c>
      <c r="E34">
        <v>2</v>
      </c>
      <c r="F34">
        <v>2</v>
      </c>
      <c r="G34">
        <v>2</v>
      </c>
      <c r="H34">
        <v>4</v>
      </c>
      <c r="I34">
        <v>82</v>
      </c>
      <c r="J34">
        <v>95</v>
      </c>
      <c r="K34">
        <v>8</v>
      </c>
      <c r="L34">
        <v>46</v>
      </c>
      <c r="M34">
        <v>76</v>
      </c>
      <c r="N34">
        <f t="shared" si="0"/>
        <v>0</v>
      </c>
    </row>
    <row r="35" spans="1:14" hidden="1" x14ac:dyDescent="0.25">
      <c r="A35" s="1" t="s">
        <v>71</v>
      </c>
      <c r="B35" s="1" t="s">
        <v>72</v>
      </c>
      <c r="C35">
        <v>7</v>
      </c>
      <c r="D35">
        <v>3</v>
      </c>
      <c r="E35">
        <v>2</v>
      </c>
      <c r="F35">
        <v>4</v>
      </c>
      <c r="G35">
        <v>4</v>
      </c>
      <c r="H35">
        <v>2</v>
      </c>
      <c r="I35">
        <v>67</v>
      </c>
      <c r="J35">
        <v>26</v>
      </c>
      <c r="K35">
        <v>50</v>
      </c>
      <c r="L35">
        <v>90</v>
      </c>
      <c r="M35">
        <v>34</v>
      </c>
      <c r="N35">
        <f t="shared" si="0"/>
        <v>0</v>
      </c>
    </row>
    <row r="36" spans="1:14" hidden="1" x14ac:dyDescent="0.25">
      <c r="A36" s="1" t="s">
        <v>73</v>
      </c>
      <c r="B36" s="1" t="s">
        <v>74</v>
      </c>
      <c r="C36">
        <v>2</v>
      </c>
      <c r="D36">
        <v>2</v>
      </c>
      <c r="E36">
        <v>6</v>
      </c>
      <c r="F36">
        <v>5</v>
      </c>
      <c r="G36">
        <v>4</v>
      </c>
      <c r="H36">
        <v>5</v>
      </c>
      <c r="I36">
        <v>34</v>
      </c>
      <c r="J36">
        <v>59</v>
      </c>
      <c r="K36">
        <v>59</v>
      </c>
      <c r="L36">
        <v>7</v>
      </c>
      <c r="M36">
        <v>1</v>
      </c>
      <c r="N36">
        <f t="shared" si="0"/>
        <v>0</v>
      </c>
    </row>
    <row r="37" spans="1:14" hidden="1" x14ac:dyDescent="0.25">
      <c r="A37" s="1" t="s">
        <v>75</v>
      </c>
      <c r="B37" s="1" t="s">
        <v>76</v>
      </c>
      <c r="C37">
        <v>4</v>
      </c>
      <c r="D37">
        <v>6</v>
      </c>
      <c r="E37">
        <v>5</v>
      </c>
      <c r="F37">
        <v>5</v>
      </c>
      <c r="G37">
        <v>6</v>
      </c>
      <c r="H37">
        <v>4</v>
      </c>
      <c r="I37">
        <v>56</v>
      </c>
      <c r="J37">
        <v>75</v>
      </c>
      <c r="K37">
        <v>51</v>
      </c>
      <c r="L37">
        <v>47</v>
      </c>
      <c r="M37">
        <v>71</v>
      </c>
      <c r="N37">
        <f t="shared" si="0"/>
        <v>0</v>
      </c>
    </row>
    <row r="38" spans="1:14" hidden="1" x14ac:dyDescent="0.25">
      <c r="A38" s="1" t="s">
        <v>77</v>
      </c>
      <c r="B38" s="1" t="s">
        <v>78</v>
      </c>
      <c r="C38">
        <v>6</v>
      </c>
      <c r="D38">
        <v>4</v>
      </c>
      <c r="E38">
        <v>5</v>
      </c>
      <c r="F38">
        <v>5</v>
      </c>
      <c r="G38">
        <v>5</v>
      </c>
      <c r="H38">
        <v>4</v>
      </c>
      <c r="I38">
        <v>70</v>
      </c>
      <c r="J38">
        <v>71</v>
      </c>
      <c r="K38">
        <v>27</v>
      </c>
      <c r="L38">
        <v>77</v>
      </c>
      <c r="M38">
        <v>13</v>
      </c>
      <c r="N38">
        <f t="shared" si="0"/>
        <v>0</v>
      </c>
    </row>
    <row r="39" spans="1:14" hidden="1" x14ac:dyDescent="0.25">
      <c r="A39" s="1" t="s">
        <v>79</v>
      </c>
      <c r="B39" s="1" t="s">
        <v>80</v>
      </c>
      <c r="C39">
        <v>2</v>
      </c>
      <c r="D39">
        <v>2</v>
      </c>
      <c r="E39">
        <v>4</v>
      </c>
      <c r="F39">
        <v>4</v>
      </c>
      <c r="G39">
        <v>4</v>
      </c>
      <c r="H39">
        <v>6</v>
      </c>
      <c r="I39">
        <v>30</v>
      </c>
      <c r="J39">
        <v>55</v>
      </c>
      <c r="K39">
        <v>59</v>
      </c>
      <c r="L39">
        <v>77</v>
      </c>
      <c r="M39">
        <v>58</v>
      </c>
      <c r="N39">
        <f t="shared" si="0"/>
        <v>0</v>
      </c>
    </row>
    <row r="40" spans="1:14" hidden="1" x14ac:dyDescent="0.25">
      <c r="A40" s="1" t="s">
        <v>81</v>
      </c>
      <c r="B40" s="1" t="s">
        <v>38</v>
      </c>
      <c r="C40">
        <v>5</v>
      </c>
      <c r="D40">
        <v>6</v>
      </c>
      <c r="E40">
        <v>6</v>
      </c>
      <c r="F40">
        <v>6</v>
      </c>
      <c r="G40">
        <v>5</v>
      </c>
      <c r="H40">
        <v>5</v>
      </c>
      <c r="I40">
        <v>57</v>
      </c>
      <c r="J40">
        <v>22</v>
      </c>
      <c r="K40">
        <v>16</v>
      </c>
      <c r="L40">
        <v>20</v>
      </c>
      <c r="M40">
        <v>67</v>
      </c>
      <c r="N40">
        <f t="shared" si="0"/>
        <v>0</v>
      </c>
    </row>
    <row r="41" spans="1:14" hidden="1" x14ac:dyDescent="0.25">
      <c r="A41" s="1" t="s">
        <v>82</v>
      </c>
      <c r="B41" s="1" t="s">
        <v>83</v>
      </c>
      <c r="C41">
        <v>6</v>
      </c>
      <c r="D41">
        <v>2</v>
      </c>
      <c r="E41">
        <v>5</v>
      </c>
      <c r="F41">
        <v>3</v>
      </c>
      <c r="G41">
        <v>3</v>
      </c>
      <c r="H41">
        <v>6</v>
      </c>
      <c r="I41">
        <v>67</v>
      </c>
      <c r="J41">
        <v>98</v>
      </c>
      <c r="K41">
        <v>28</v>
      </c>
      <c r="L41">
        <v>6</v>
      </c>
      <c r="M41">
        <v>20</v>
      </c>
      <c r="N41">
        <f t="shared" si="0"/>
        <v>0</v>
      </c>
    </row>
    <row r="42" spans="1:14" hidden="1" x14ac:dyDescent="0.25">
      <c r="A42" s="1" t="s">
        <v>84</v>
      </c>
      <c r="B42" s="1" t="s">
        <v>38</v>
      </c>
      <c r="C42">
        <v>7</v>
      </c>
      <c r="D42">
        <v>4</v>
      </c>
      <c r="E42">
        <v>6</v>
      </c>
      <c r="F42">
        <v>4</v>
      </c>
      <c r="G42">
        <v>3</v>
      </c>
      <c r="H42">
        <v>3</v>
      </c>
      <c r="I42">
        <v>12</v>
      </c>
      <c r="J42">
        <v>86</v>
      </c>
      <c r="K42">
        <v>61</v>
      </c>
      <c r="L42">
        <v>94</v>
      </c>
      <c r="M42">
        <v>74</v>
      </c>
      <c r="N42">
        <f t="shared" si="0"/>
        <v>0</v>
      </c>
    </row>
    <row r="43" spans="1:14" hidden="1" x14ac:dyDescent="0.25">
      <c r="A43" s="1" t="s">
        <v>46</v>
      </c>
      <c r="B43" s="1" t="s">
        <v>16</v>
      </c>
      <c r="C43">
        <v>0</v>
      </c>
      <c r="D43">
        <v>3</v>
      </c>
      <c r="E43">
        <v>4</v>
      </c>
      <c r="F43">
        <v>3</v>
      </c>
      <c r="G43">
        <v>5</v>
      </c>
      <c r="H43">
        <v>2</v>
      </c>
      <c r="I43">
        <v>82</v>
      </c>
      <c r="J43">
        <v>70</v>
      </c>
      <c r="K43">
        <v>18</v>
      </c>
      <c r="L43">
        <v>28</v>
      </c>
      <c r="M43">
        <v>34</v>
      </c>
      <c r="N43">
        <f t="shared" si="0"/>
        <v>0</v>
      </c>
    </row>
    <row r="44" spans="1:14" hidden="1" x14ac:dyDescent="0.25">
      <c r="A44" s="1" t="s">
        <v>85</v>
      </c>
      <c r="B44" s="1" t="s">
        <v>86</v>
      </c>
      <c r="C44">
        <v>8</v>
      </c>
      <c r="D44">
        <v>5</v>
      </c>
      <c r="E44">
        <v>4</v>
      </c>
      <c r="F44">
        <v>6</v>
      </c>
      <c r="G44">
        <v>2</v>
      </c>
      <c r="H44">
        <v>6</v>
      </c>
      <c r="I44">
        <v>32</v>
      </c>
      <c r="J44">
        <v>88</v>
      </c>
      <c r="K44">
        <v>15</v>
      </c>
      <c r="L44">
        <v>45</v>
      </c>
      <c r="M44">
        <v>24</v>
      </c>
      <c r="N44">
        <f t="shared" si="0"/>
        <v>0</v>
      </c>
    </row>
    <row r="45" spans="1:14" hidden="1" x14ac:dyDescent="0.25">
      <c r="A45" s="1" t="s">
        <v>87</v>
      </c>
      <c r="B45" s="1" t="s">
        <v>55</v>
      </c>
      <c r="C45">
        <v>2</v>
      </c>
      <c r="D45">
        <v>2</v>
      </c>
      <c r="E45">
        <v>5</v>
      </c>
      <c r="F45">
        <v>5</v>
      </c>
      <c r="G45">
        <v>2</v>
      </c>
      <c r="H45">
        <v>2</v>
      </c>
      <c r="I45">
        <v>65</v>
      </c>
      <c r="J45">
        <v>87</v>
      </c>
      <c r="K45">
        <v>53</v>
      </c>
      <c r="L45">
        <v>98</v>
      </c>
      <c r="M45">
        <v>50</v>
      </c>
      <c r="N45">
        <f t="shared" si="0"/>
        <v>0</v>
      </c>
    </row>
    <row r="46" spans="1:14" hidden="1" x14ac:dyDescent="0.25">
      <c r="A46" s="1" t="s">
        <v>88</v>
      </c>
      <c r="B46" s="1" t="s">
        <v>26</v>
      </c>
      <c r="C46">
        <v>3</v>
      </c>
      <c r="D46">
        <v>2</v>
      </c>
      <c r="E46">
        <v>3</v>
      </c>
      <c r="F46">
        <v>3</v>
      </c>
      <c r="G46">
        <v>6</v>
      </c>
      <c r="H46">
        <v>6</v>
      </c>
      <c r="I46">
        <v>10</v>
      </c>
      <c r="J46">
        <v>21</v>
      </c>
      <c r="K46">
        <v>35</v>
      </c>
      <c r="L46">
        <v>98</v>
      </c>
      <c r="M46">
        <v>21</v>
      </c>
      <c r="N46">
        <f t="shared" si="0"/>
        <v>0</v>
      </c>
    </row>
    <row r="47" spans="1:14" hidden="1" x14ac:dyDescent="0.25">
      <c r="A47" s="1" t="s">
        <v>89</v>
      </c>
      <c r="B47" s="1" t="s">
        <v>90</v>
      </c>
      <c r="C47">
        <v>2</v>
      </c>
      <c r="D47">
        <v>3</v>
      </c>
      <c r="E47">
        <v>6</v>
      </c>
      <c r="F47">
        <v>3</v>
      </c>
      <c r="G47">
        <v>6</v>
      </c>
      <c r="H47">
        <v>3</v>
      </c>
      <c r="I47">
        <v>53</v>
      </c>
      <c r="J47">
        <v>50</v>
      </c>
      <c r="K47">
        <v>16</v>
      </c>
      <c r="L47">
        <v>44</v>
      </c>
      <c r="M47">
        <v>8</v>
      </c>
      <c r="N47">
        <f t="shared" si="0"/>
        <v>0</v>
      </c>
    </row>
    <row r="48" spans="1:14" hidden="1" x14ac:dyDescent="0.25">
      <c r="A48" s="1" t="s">
        <v>91</v>
      </c>
      <c r="B48" s="1" t="s">
        <v>70</v>
      </c>
      <c r="C48">
        <v>1</v>
      </c>
      <c r="D48">
        <v>5</v>
      </c>
      <c r="E48">
        <v>3</v>
      </c>
      <c r="F48">
        <v>6</v>
      </c>
      <c r="G48">
        <v>4</v>
      </c>
      <c r="H48">
        <v>4</v>
      </c>
      <c r="I48">
        <v>38</v>
      </c>
      <c r="J48">
        <v>43</v>
      </c>
      <c r="K48">
        <v>49</v>
      </c>
      <c r="L48">
        <v>89</v>
      </c>
      <c r="M48">
        <v>16</v>
      </c>
      <c r="N48">
        <f t="shared" si="0"/>
        <v>0</v>
      </c>
    </row>
    <row r="49" spans="1:14" hidden="1" x14ac:dyDescent="0.25">
      <c r="A49" s="1" t="s">
        <v>92</v>
      </c>
      <c r="B49" s="1" t="s">
        <v>45</v>
      </c>
      <c r="C49">
        <v>6</v>
      </c>
      <c r="D49">
        <v>6</v>
      </c>
      <c r="E49">
        <v>4</v>
      </c>
      <c r="F49">
        <v>6</v>
      </c>
      <c r="G49">
        <v>5</v>
      </c>
      <c r="H49">
        <v>3</v>
      </c>
      <c r="I49">
        <v>99</v>
      </c>
      <c r="J49">
        <v>95</v>
      </c>
      <c r="K49">
        <v>48</v>
      </c>
      <c r="L49">
        <v>16</v>
      </c>
      <c r="M49">
        <v>11</v>
      </c>
      <c r="N49">
        <f t="shared" si="0"/>
        <v>0</v>
      </c>
    </row>
    <row r="50" spans="1:14" hidden="1" x14ac:dyDescent="0.25">
      <c r="A50" s="1" t="s">
        <v>93</v>
      </c>
      <c r="B50" s="1" t="s">
        <v>32</v>
      </c>
      <c r="C50">
        <v>6</v>
      </c>
      <c r="D50">
        <v>5</v>
      </c>
      <c r="E50">
        <v>6</v>
      </c>
      <c r="F50">
        <v>5</v>
      </c>
      <c r="G50">
        <v>6</v>
      </c>
      <c r="H50">
        <v>3</v>
      </c>
      <c r="I50">
        <v>78</v>
      </c>
      <c r="J50">
        <v>22</v>
      </c>
      <c r="K50">
        <v>95</v>
      </c>
      <c r="L50">
        <v>18</v>
      </c>
      <c r="M50">
        <v>15</v>
      </c>
      <c r="N50">
        <f t="shared" si="0"/>
        <v>0</v>
      </c>
    </row>
    <row r="51" spans="1:14" hidden="1" x14ac:dyDescent="0.25">
      <c r="A51" s="1" t="s">
        <v>94</v>
      </c>
      <c r="B51" s="1" t="s">
        <v>48</v>
      </c>
      <c r="C51">
        <v>6</v>
      </c>
      <c r="D51">
        <v>3</v>
      </c>
      <c r="E51">
        <v>3</v>
      </c>
      <c r="F51">
        <v>6</v>
      </c>
      <c r="G51">
        <v>4</v>
      </c>
      <c r="H51">
        <v>5</v>
      </c>
      <c r="I51">
        <v>25</v>
      </c>
      <c r="J51">
        <v>73</v>
      </c>
      <c r="K51">
        <v>78</v>
      </c>
      <c r="L51">
        <v>61</v>
      </c>
      <c r="M51">
        <v>29</v>
      </c>
      <c r="N51">
        <f t="shared" si="0"/>
        <v>0</v>
      </c>
    </row>
    <row r="52" spans="1:14" hidden="1" x14ac:dyDescent="0.25">
      <c r="A52" s="1" t="s">
        <v>95</v>
      </c>
      <c r="B52" s="1" t="s">
        <v>96</v>
      </c>
      <c r="C52">
        <v>6</v>
      </c>
      <c r="D52">
        <v>5</v>
      </c>
      <c r="E52">
        <v>5</v>
      </c>
      <c r="F52">
        <v>6</v>
      </c>
      <c r="G52">
        <v>2</v>
      </c>
      <c r="H52">
        <v>4</v>
      </c>
      <c r="I52">
        <v>65</v>
      </c>
      <c r="J52">
        <v>66</v>
      </c>
      <c r="K52">
        <v>87</v>
      </c>
      <c r="L52">
        <v>5</v>
      </c>
      <c r="M52">
        <v>65</v>
      </c>
      <c r="N52">
        <f t="shared" si="0"/>
        <v>0</v>
      </c>
    </row>
    <row r="53" spans="1:14" hidden="1" x14ac:dyDescent="0.25">
      <c r="A53" s="1" t="s">
        <v>97</v>
      </c>
      <c r="B53" s="1" t="s">
        <v>90</v>
      </c>
      <c r="C53">
        <v>8</v>
      </c>
      <c r="D53">
        <v>2</v>
      </c>
      <c r="E53">
        <v>2</v>
      </c>
      <c r="F53">
        <v>3</v>
      </c>
      <c r="G53">
        <v>4</v>
      </c>
      <c r="H53">
        <v>3</v>
      </c>
      <c r="I53">
        <v>18</v>
      </c>
      <c r="J53">
        <v>83</v>
      </c>
      <c r="K53">
        <v>86</v>
      </c>
      <c r="L53">
        <v>67</v>
      </c>
      <c r="M53">
        <v>90</v>
      </c>
      <c r="N53">
        <f t="shared" si="0"/>
        <v>0</v>
      </c>
    </row>
    <row r="54" spans="1:14" hidden="1" x14ac:dyDescent="0.25">
      <c r="A54" s="1" t="s">
        <v>98</v>
      </c>
      <c r="B54" s="1" t="s">
        <v>99</v>
      </c>
      <c r="C54">
        <v>0</v>
      </c>
      <c r="D54">
        <v>3</v>
      </c>
      <c r="E54">
        <v>4</v>
      </c>
      <c r="F54">
        <v>6</v>
      </c>
      <c r="G54">
        <v>4</v>
      </c>
      <c r="H54">
        <v>4</v>
      </c>
      <c r="I54">
        <v>41</v>
      </c>
      <c r="J54">
        <v>88</v>
      </c>
      <c r="K54">
        <v>4</v>
      </c>
      <c r="L54">
        <v>24</v>
      </c>
      <c r="M54">
        <v>37</v>
      </c>
      <c r="N54">
        <f t="shared" si="0"/>
        <v>0</v>
      </c>
    </row>
    <row r="55" spans="1:14" hidden="1" x14ac:dyDescent="0.25">
      <c r="A55" s="1" t="s">
        <v>100</v>
      </c>
      <c r="B55" s="1" t="s">
        <v>101</v>
      </c>
      <c r="C55">
        <v>7</v>
      </c>
      <c r="D55">
        <v>3</v>
      </c>
      <c r="E55">
        <v>4</v>
      </c>
      <c r="F55">
        <v>4</v>
      </c>
      <c r="G55">
        <v>5</v>
      </c>
      <c r="H55">
        <v>6</v>
      </c>
      <c r="I55">
        <v>54</v>
      </c>
      <c r="J55">
        <v>42</v>
      </c>
      <c r="K55">
        <v>82</v>
      </c>
      <c r="L55">
        <v>99</v>
      </c>
      <c r="M55">
        <v>81</v>
      </c>
      <c r="N55">
        <f t="shared" si="0"/>
        <v>0</v>
      </c>
    </row>
    <row r="56" spans="1:14" hidden="1" x14ac:dyDescent="0.25">
      <c r="A56" s="1" t="s">
        <v>102</v>
      </c>
      <c r="B56" s="1" t="s">
        <v>70</v>
      </c>
      <c r="C56">
        <v>3</v>
      </c>
      <c r="D56">
        <v>6</v>
      </c>
      <c r="E56">
        <v>5</v>
      </c>
      <c r="F56">
        <v>2</v>
      </c>
      <c r="G56">
        <v>4</v>
      </c>
      <c r="H56">
        <v>6</v>
      </c>
      <c r="I56">
        <v>51</v>
      </c>
      <c r="J56">
        <v>96</v>
      </c>
      <c r="K56">
        <v>78</v>
      </c>
      <c r="L56">
        <v>72</v>
      </c>
      <c r="M56">
        <v>39</v>
      </c>
      <c r="N56">
        <f t="shared" si="0"/>
        <v>0</v>
      </c>
    </row>
    <row r="57" spans="1:14" hidden="1" x14ac:dyDescent="0.25">
      <c r="A57" s="1" t="s">
        <v>103</v>
      </c>
      <c r="B57" s="1" t="s">
        <v>55</v>
      </c>
      <c r="C57">
        <v>8</v>
      </c>
      <c r="D57">
        <v>6</v>
      </c>
      <c r="E57">
        <v>2</v>
      </c>
      <c r="F57">
        <v>2</v>
      </c>
      <c r="G57">
        <v>6</v>
      </c>
      <c r="H57">
        <v>6</v>
      </c>
      <c r="I57">
        <v>86</v>
      </c>
      <c r="J57">
        <v>67</v>
      </c>
      <c r="K57">
        <v>94</v>
      </c>
      <c r="L57">
        <v>38</v>
      </c>
      <c r="M57">
        <v>45</v>
      </c>
      <c r="N57">
        <f t="shared" si="0"/>
        <v>0</v>
      </c>
    </row>
    <row r="58" spans="1:14" hidden="1" x14ac:dyDescent="0.25">
      <c r="A58" s="1" t="s">
        <v>104</v>
      </c>
      <c r="B58" s="1" t="s">
        <v>32</v>
      </c>
      <c r="C58">
        <v>7</v>
      </c>
      <c r="D58">
        <v>5</v>
      </c>
      <c r="E58">
        <v>6</v>
      </c>
      <c r="F58">
        <v>4</v>
      </c>
      <c r="G58">
        <v>6</v>
      </c>
      <c r="H58">
        <v>5</v>
      </c>
      <c r="I58">
        <v>15</v>
      </c>
      <c r="J58">
        <v>79</v>
      </c>
      <c r="K58">
        <v>11</v>
      </c>
      <c r="L58">
        <v>20</v>
      </c>
      <c r="M58">
        <v>58</v>
      </c>
      <c r="N58">
        <f t="shared" si="0"/>
        <v>0</v>
      </c>
    </row>
    <row r="59" spans="1:14" hidden="1" x14ac:dyDescent="0.25">
      <c r="A59" s="1" t="s">
        <v>105</v>
      </c>
      <c r="B59" s="1" t="s">
        <v>70</v>
      </c>
      <c r="C59">
        <v>3</v>
      </c>
      <c r="D59">
        <v>6</v>
      </c>
      <c r="E59">
        <v>3</v>
      </c>
      <c r="F59">
        <v>5</v>
      </c>
      <c r="G59">
        <v>5</v>
      </c>
      <c r="H59">
        <v>2</v>
      </c>
      <c r="I59">
        <v>49</v>
      </c>
      <c r="J59">
        <v>99</v>
      </c>
      <c r="K59">
        <v>78</v>
      </c>
      <c r="L59">
        <v>70</v>
      </c>
      <c r="M59">
        <v>60</v>
      </c>
      <c r="N59">
        <f t="shared" si="0"/>
        <v>0</v>
      </c>
    </row>
    <row r="60" spans="1:14" hidden="1" x14ac:dyDescent="0.25">
      <c r="A60" s="1" t="s">
        <v>106</v>
      </c>
      <c r="B60" s="1" t="s">
        <v>107</v>
      </c>
      <c r="C60">
        <v>3</v>
      </c>
      <c r="D60">
        <v>6</v>
      </c>
      <c r="E60">
        <v>3</v>
      </c>
      <c r="F60">
        <v>5</v>
      </c>
      <c r="G60">
        <v>4</v>
      </c>
      <c r="H60">
        <v>2</v>
      </c>
      <c r="I60">
        <v>94</v>
      </c>
      <c r="J60">
        <v>27</v>
      </c>
      <c r="K60">
        <v>20</v>
      </c>
      <c r="L60">
        <v>13</v>
      </c>
      <c r="M60">
        <v>49</v>
      </c>
      <c r="N60">
        <f t="shared" si="0"/>
        <v>0</v>
      </c>
    </row>
    <row r="61" spans="1:14" hidden="1" x14ac:dyDescent="0.25">
      <c r="A61" s="1" t="s">
        <v>108</v>
      </c>
      <c r="B61" s="1" t="s">
        <v>83</v>
      </c>
      <c r="C61">
        <v>8</v>
      </c>
      <c r="D61">
        <v>4</v>
      </c>
      <c r="E61">
        <v>5</v>
      </c>
      <c r="F61">
        <v>6</v>
      </c>
      <c r="G61">
        <v>6</v>
      </c>
      <c r="H61">
        <v>2</v>
      </c>
      <c r="I61">
        <v>94</v>
      </c>
      <c r="J61">
        <v>99</v>
      </c>
      <c r="K61">
        <v>87</v>
      </c>
      <c r="L61">
        <v>99</v>
      </c>
      <c r="M61">
        <v>62</v>
      </c>
      <c r="N61">
        <f t="shared" si="0"/>
        <v>0</v>
      </c>
    </row>
    <row r="62" spans="1:14" hidden="1" x14ac:dyDescent="0.25">
      <c r="A62" s="1" t="s">
        <v>109</v>
      </c>
      <c r="B62" s="1" t="s">
        <v>110</v>
      </c>
      <c r="C62">
        <v>8</v>
      </c>
      <c r="D62">
        <v>2</v>
      </c>
      <c r="E62">
        <v>4</v>
      </c>
      <c r="F62">
        <v>5</v>
      </c>
      <c r="G62">
        <v>2</v>
      </c>
      <c r="H62">
        <v>4</v>
      </c>
      <c r="I62">
        <v>20</v>
      </c>
      <c r="J62">
        <v>78</v>
      </c>
      <c r="K62">
        <v>54</v>
      </c>
      <c r="L62">
        <v>34</v>
      </c>
      <c r="M62">
        <v>95</v>
      </c>
      <c r="N62">
        <f t="shared" si="0"/>
        <v>0</v>
      </c>
    </row>
    <row r="63" spans="1:14" hidden="1" x14ac:dyDescent="0.25">
      <c r="A63" s="1" t="s">
        <v>111</v>
      </c>
      <c r="B63" s="1" t="s">
        <v>74</v>
      </c>
      <c r="C63">
        <v>5</v>
      </c>
      <c r="D63">
        <v>2</v>
      </c>
      <c r="E63">
        <v>4</v>
      </c>
      <c r="F63">
        <v>5</v>
      </c>
      <c r="G63">
        <v>5</v>
      </c>
      <c r="H63">
        <v>3</v>
      </c>
      <c r="I63">
        <v>39</v>
      </c>
      <c r="J63">
        <v>16</v>
      </c>
      <c r="K63">
        <v>8</v>
      </c>
      <c r="L63">
        <v>66</v>
      </c>
      <c r="M63">
        <v>29</v>
      </c>
      <c r="N63">
        <f t="shared" si="0"/>
        <v>0</v>
      </c>
    </row>
    <row r="64" spans="1:14" hidden="1" x14ac:dyDescent="0.25">
      <c r="A64" s="1" t="s">
        <v>112</v>
      </c>
      <c r="B64" s="1" t="s">
        <v>113</v>
      </c>
      <c r="C64">
        <v>0</v>
      </c>
      <c r="D64">
        <v>6</v>
      </c>
      <c r="E64">
        <v>3</v>
      </c>
      <c r="F64">
        <v>5</v>
      </c>
      <c r="G64">
        <v>4</v>
      </c>
      <c r="H64">
        <v>2</v>
      </c>
      <c r="I64">
        <v>77</v>
      </c>
      <c r="J64">
        <v>80</v>
      </c>
      <c r="K64">
        <v>92</v>
      </c>
      <c r="L64">
        <v>43</v>
      </c>
      <c r="M64">
        <v>100</v>
      </c>
      <c r="N64">
        <f t="shared" si="0"/>
        <v>1</v>
      </c>
    </row>
    <row r="65" spans="1:14" hidden="1" x14ac:dyDescent="0.25">
      <c r="A65" s="1" t="s">
        <v>114</v>
      </c>
      <c r="B65" s="1" t="s">
        <v>101</v>
      </c>
      <c r="C65">
        <v>1</v>
      </c>
      <c r="D65">
        <v>4</v>
      </c>
      <c r="E65">
        <v>6</v>
      </c>
      <c r="F65">
        <v>3</v>
      </c>
      <c r="G65">
        <v>4</v>
      </c>
      <c r="H65">
        <v>2</v>
      </c>
      <c r="I65">
        <v>70</v>
      </c>
      <c r="J65">
        <v>39</v>
      </c>
      <c r="K65">
        <v>65</v>
      </c>
      <c r="L65">
        <v>57</v>
      </c>
      <c r="M65">
        <v>90</v>
      </c>
      <c r="N65">
        <f t="shared" si="0"/>
        <v>0</v>
      </c>
    </row>
    <row r="66" spans="1:14" hidden="1" x14ac:dyDescent="0.25">
      <c r="A66" s="1" t="s">
        <v>115</v>
      </c>
      <c r="B66" s="1" t="s">
        <v>41</v>
      </c>
      <c r="C66">
        <v>0</v>
      </c>
      <c r="D66">
        <v>4</v>
      </c>
      <c r="E66">
        <v>5</v>
      </c>
      <c r="F66">
        <v>4</v>
      </c>
      <c r="G66">
        <v>6</v>
      </c>
      <c r="H66">
        <v>2</v>
      </c>
      <c r="I66">
        <v>4</v>
      </c>
      <c r="J66">
        <v>85</v>
      </c>
      <c r="K66">
        <v>83</v>
      </c>
      <c r="L66">
        <v>10</v>
      </c>
      <c r="M66">
        <v>33</v>
      </c>
      <c r="N66">
        <f t="shared" ref="N66:N129" si="1">COUNTIF(I66:M66, 100)</f>
        <v>0</v>
      </c>
    </row>
    <row r="67" spans="1:14" hidden="1" x14ac:dyDescent="0.25">
      <c r="A67" s="1" t="s">
        <v>116</v>
      </c>
      <c r="B67" s="1" t="s">
        <v>117</v>
      </c>
      <c r="C67">
        <v>8</v>
      </c>
      <c r="D67">
        <v>5</v>
      </c>
      <c r="E67">
        <v>5</v>
      </c>
      <c r="F67">
        <v>4</v>
      </c>
      <c r="G67">
        <v>3</v>
      </c>
      <c r="H67">
        <v>3</v>
      </c>
      <c r="I67">
        <v>80</v>
      </c>
      <c r="J67">
        <v>91</v>
      </c>
      <c r="K67">
        <v>16</v>
      </c>
      <c r="L67">
        <v>12</v>
      </c>
      <c r="M67">
        <v>73</v>
      </c>
      <c r="N67">
        <f t="shared" si="1"/>
        <v>0</v>
      </c>
    </row>
    <row r="68" spans="1:14" hidden="1" x14ac:dyDescent="0.25">
      <c r="A68" s="1" t="s">
        <v>118</v>
      </c>
      <c r="B68" s="1" t="s">
        <v>119</v>
      </c>
      <c r="C68">
        <v>6</v>
      </c>
      <c r="D68">
        <v>6</v>
      </c>
      <c r="E68">
        <v>2</v>
      </c>
      <c r="F68">
        <v>3</v>
      </c>
      <c r="G68">
        <v>6</v>
      </c>
      <c r="H68">
        <v>5</v>
      </c>
      <c r="I68">
        <v>27</v>
      </c>
      <c r="J68">
        <v>6</v>
      </c>
      <c r="K68">
        <v>19</v>
      </c>
      <c r="L68">
        <v>61</v>
      </c>
      <c r="M68">
        <v>63</v>
      </c>
      <c r="N68">
        <f t="shared" si="1"/>
        <v>0</v>
      </c>
    </row>
    <row r="69" spans="1:14" hidden="1" x14ac:dyDescent="0.25">
      <c r="A69" s="1" t="s">
        <v>120</v>
      </c>
      <c r="B69" s="1" t="s">
        <v>121</v>
      </c>
      <c r="C69">
        <v>0</v>
      </c>
      <c r="D69">
        <v>5</v>
      </c>
      <c r="E69">
        <v>5</v>
      </c>
      <c r="F69">
        <v>3</v>
      </c>
      <c r="G69">
        <v>2</v>
      </c>
      <c r="H69">
        <v>6</v>
      </c>
      <c r="I69">
        <v>26</v>
      </c>
      <c r="J69">
        <v>23</v>
      </c>
      <c r="K69">
        <v>48</v>
      </c>
      <c r="L69">
        <v>73</v>
      </c>
      <c r="M69">
        <v>63</v>
      </c>
      <c r="N69">
        <f t="shared" si="1"/>
        <v>0</v>
      </c>
    </row>
    <row r="70" spans="1:14" hidden="1" x14ac:dyDescent="0.25">
      <c r="A70" s="1" t="s">
        <v>122</v>
      </c>
      <c r="B70" s="1" t="s">
        <v>121</v>
      </c>
      <c r="C70">
        <v>8</v>
      </c>
      <c r="D70">
        <v>3</v>
      </c>
      <c r="E70">
        <v>5</v>
      </c>
      <c r="F70">
        <v>5</v>
      </c>
      <c r="G70">
        <v>6</v>
      </c>
      <c r="H70">
        <v>3</v>
      </c>
      <c r="I70">
        <v>28</v>
      </c>
      <c r="J70">
        <v>69</v>
      </c>
      <c r="K70">
        <v>99</v>
      </c>
      <c r="L70">
        <v>45</v>
      </c>
      <c r="M70">
        <v>61</v>
      </c>
      <c r="N70">
        <f t="shared" si="1"/>
        <v>0</v>
      </c>
    </row>
    <row r="71" spans="1:14" hidden="1" x14ac:dyDescent="0.25">
      <c r="A71" s="1" t="s">
        <v>123</v>
      </c>
      <c r="B71" s="1" t="s">
        <v>119</v>
      </c>
      <c r="C71">
        <v>1</v>
      </c>
      <c r="D71">
        <v>2</v>
      </c>
      <c r="E71">
        <v>3</v>
      </c>
      <c r="F71">
        <v>2</v>
      </c>
      <c r="G71">
        <v>3</v>
      </c>
      <c r="H71">
        <v>6</v>
      </c>
      <c r="I71">
        <v>51</v>
      </c>
      <c r="J71">
        <v>14</v>
      </c>
      <c r="K71">
        <v>33</v>
      </c>
      <c r="L71">
        <v>28</v>
      </c>
      <c r="M71">
        <v>43</v>
      </c>
      <c r="N71">
        <f t="shared" si="1"/>
        <v>0</v>
      </c>
    </row>
    <row r="72" spans="1:14" hidden="1" x14ac:dyDescent="0.25">
      <c r="A72" s="1" t="s">
        <v>124</v>
      </c>
      <c r="B72" s="1" t="s">
        <v>41</v>
      </c>
      <c r="C72">
        <v>3</v>
      </c>
      <c r="D72">
        <v>5</v>
      </c>
      <c r="E72">
        <v>6</v>
      </c>
      <c r="F72">
        <v>5</v>
      </c>
      <c r="G72">
        <v>2</v>
      </c>
      <c r="H72">
        <v>5</v>
      </c>
      <c r="I72">
        <v>73</v>
      </c>
      <c r="J72">
        <v>84</v>
      </c>
      <c r="K72">
        <v>48</v>
      </c>
      <c r="L72">
        <v>36</v>
      </c>
      <c r="M72">
        <v>4</v>
      </c>
      <c r="N72">
        <f t="shared" si="1"/>
        <v>0</v>
      </c>
    </row>
    <row r="73" spans="1:14" hidden="1" x14ac:dyDescent="0.25">
      <c r="A73" s="1" t="s">
        <v>125</v>
      </c>
      <c r="B73" s="1" t="s">
        <v>126</v>
      </c>
      <c r="C73">
        <v>4</v>
      </c>
      <c r="D73">
        <v>4</v>
      </c>
      <c r="E73">
        <v>5</v>
      </c>
      <c r="F73">
        <v>5</v>
      </c>
      <c r="G73">
        <v>3</v>
      </c>
      <c r="H73">
        <v>6</v>
      </c>
      <c r="I73">
        <v>44</v>
      </c>
      <c r="J73">
        <v>16</v>
      </c>
      <c r="K73">
        <v>68</v>
      </c>
      <c r="L73">
        <v>55</v>
      </c>
      <c r="M73">
        <v>66</v>
      </c>
      <c r="N73">
        <f t="shared" si="1"/>
        <v>0</v>
      </c>
    </row>
    <row r="74" spans="1:14" hidden="1" x14ac:dyDescent="0.25">
      <c r="A74" s="1" t="s">
        <v>127</v>
      </c>
      <c r="B74" s="1" t="s">
        <v>90</v>
      </c>
      <c r="C74">
        <v>2</v>
      </c>
      <c r="D74">
        <v>6</v>
      </c>
      <c r="E74">
        <v>6</v>
      </c>
      <c r="F74">
        <v>3</v>
      </c>
      <c r="G74">
        <v>6</v>
      </c>
      <c r="H74">
        <v>2</v>
      </c>
      <c r="I74">
        <v>71</v>
      </c>
      <c r="J74">
        <v>95</v>
      </c>
      <c r="K74">
        <v>90</v>
      </c>
      <c r="L74">
        <v>50</v>
      </c>
      <c r="M74">
        <v>91</v>
      </c>
      <c r="N74">
        <f t="shared" si="1"/>
        <v>0</v>
      </c>
    </row>
    <row r="75" spans="1:14" hidden="1" x14ac:dyDescent="0.25">
      <c r="A75" s="1" t="s">
        <v>128</v>
      </c>
      <c r="B75" s="1" t="s">
        <v>45</v>
      </c>
      <c r="C75">
        <v>5</v>
      </c>
      <c r="D75">
        <v>5</v>
      </c>
      <c r="E75">
        <v>2</v>
      </c>
      <c r="F75">
        <v>6</v>
      </c>
      <c r="G75">
        <v>2</v>
      </c>
      <c r="H75">
        <v>2</v>
      </c>
      <c r="I75">
        <v>90</v>
      </c>
      <c r="J75">
        <v>88</v>
      </c>
      <c r="K75">
        <v>73</v>
      </c>
      <c r="L75">
        <v>83</v>
      </c>
      <c r="M75">
        <v>51</v>
      </c>
      <c r="N75">
        <f t="shared" si="1"/>
        <v>0</v>
      </c>
    </row>
    <row r="76" spans="1:14" hidden="1" x14ac:dyDescent="0.25">
      <c r="A76" s="1" t="s">
        <v>129</v>
      </c>
      <c r="B76" s="1" t="s">
        <v>130</v>
      </c>
      <c r="C76">
        <v>1</v>
      </c>
      <c r="D76">
        <v>5</v>
      </c>
      <c r="E76">
        <v>2</v>
      </c>
      <c r="F76">
        <v>2</v>
      </c>
      <c r="G76">
        <v>3</v>
      </c>
      <c r="H76">
        <v>5</v>
      </c>
      <c r="I76">
        <v>11</v>
      </c>
      <c r="J76">
        <v>24</v>
      </c>
      <c r="K76">
        <v>35</v>
      </c>
      <c r="L76">
        <v>70</v>
      </c>
      <c r="M76">
        <v>6</v>
      </c>
      <c r="N76">
        <f t="shared" si="1"/>
        <v>0</v>
      </c>
    </row>
    <row r="77" spans="1:14" hidden="1" x14ac:dyDescent="0.25">
      <c r="A77" s="1" t="s">
        <v>131</v>
      </c>
      <c r="B77" s="1" t="s">
        <v>70</v>
      </c>
      <c r="C77">
        <v>5</v>
      </c>
      <c r="D77">
        <v>2</v>
      </c>
      <c r="E77">
        <v>2</v>
      </c>
      <c r="F77">
        <v>6</v>
      </c>
      <c r="G77">
        <v>5</v>
      </c>
      <c r="H77">
        <v>6</v>
      </c>
      <c r="I77">
        <v>44</v>
      </c>
      <c r="J77">
        <v>43</v>
      </c>
      <c r="K77">
        <v>19</v>
      </c>
      <c r="L77">
        <v>86</v>
      </c>
      <c r="M77">
        <v>18</v>
      </c>
      <c r="N77">
        <f t="shared" si="1"/>
        <v>0</v>
      </c>
    </row>
    <row r="78" spans="1:14" hidden="1" x14ac:dyDescent="0.25">
      <c r="A78" s="1" t="s">
        <v>132</v>
      </c>
      <c r="B78" s="1" t="s">
        <v>133</v>
      </c>
      <c r="C78">
        <v>2</v>
      </c>
      <c r="D78">
        <v>5</v>
      </c>
      <c r="E78">
        <v>4</v>
      </c>
      <c r="F78">
        <v>3</v>
      </c>
      <c r="G78">
        <v>6</v>
      </c>
      <c r="H78">
        <v>6</v>
      </c>
      <c r="I78">
        <v>15</v>
      </c>
      <c r="J78">
        <v>69</v>
      </c>
      <c r="K78">
        <v>48</v>
      </c>
      <c r="L78">
        <v>14</v>
      </c>
      <c r="M78">
        <v>32</v>
      </c>
      <c r="N78">
        <f t="shared" si="1"/>
        <v>0</v>
      </c>
    </row>
    <row r="79" spans="1:14" hidden="1" x14ac:dyDescent="0.25">
      <c r="A79" s="1" t="s">
        <v>134</v>
      </c>
      <c r="B79" s="1" t="s">
        <v>45</v>
      </c>
      <c r="C79">
        <v>6</v>
      </c>
      <c r="D79">
        <v>3</v>
      </c>
      <c r="E79">
        <v>4</v>
      </c>
      <c r="F79">
        <v>5</v>
      </c>
      <c r="G79">
        <v>3</v>
      </c>
      <c r="H79">
        <v>4</v>
      </c>
      <c r="I79">
        <v>38</v>
      </c>
      <c r="J79">
        <v>48</v>
      </c>
      <c r="K79">
        <v>3</v>
      </c>
      <c r="L79">
        <v>38</v>
      </c>
      <c r="M79">
        <v>91</v>
      </c>
      <c r="N79">
        <f t="shared" si="1"/>
        <v>0</v>
      </c>
    </row>
    <row r="80" spans="1:14" hidden="1" x14ac:dyDescent="0.25">
      <c r="A80" s="1" t="s">
        <v>135</v>
      </c>
      <c r="B80" s="1" t="s">
        <v>38</v>
      </c>
      <c r="C80">
        <v>3</v>
      </c>
      <c r="D80">
        <v>6</v>
      </c>
      <c r="E80">
        <v>3</v>
      </c>
      <c r="F80">
        <v>6</v>
      </c>
      <c r="G80">
        <v>3</v>
      </c>
      <c r="H80">
        <v>5</v>
      </c>
      <c r="I80">
        <v>66</v>
      </c>
      <c r="J80">
        <v>42</v>
      </c>
      <c r="K80">
        <v>40</v>
      </c>
      <c r="L80">
        <v>91</v>
      </c>
      <c r="M80">
        <v>74</v>
      </c>
      <c r="N80">
        <f t="shared" si="1"/>
        <v>0</v>
      </c>
    </row>
    <row r="81" spans="1:14" hidden="1" x14ac:dyDescent="0.25">
      <c r="A81" s="1" t="s">
        <v>136</v>
      </c>
      <c r="B81" s="1" t="s">
        <v>137</v>
      </c>
      <c r="C81">
        <v>7</v>
      </c>
      <c r="D81">
        <v>4</v>
      </c>
      <c r="E81">
        <v>2</v>
      </c>
      <c r="F81">
        <v>4</v>
      </c>
      <c r="G81">
        <v>6</v>
      </c>
      <c r="H81">
        <v>5</v>
      </c>
      <c r="I81">
        <v>28</v>
      </c>
      <c r="J81">
        <v>1</v>
      </c>
      <c r="K81">
        <v>36</v>
      </c>
      <c r="L81">
        <v>63</v>
      </c>
      <c r="M81">
        <v>49</v>
      </c>
      <c r="N81">
        <f t="shared" si="1"/>
        <v>0</v>
      </c>
    </row>
    <row r="82" spans="1:14" hidden="1" x14ac:dyDescent="0.25">
      <c r="A82" s="1" t="s">
        <v>138</v>
      </c>
      <c r="B82" s="1" t="s">
        <v>139</v>
      </c>
      <c r="C82">
        <v>0</v>
      </c>
      <c r="D82">
        <v>6</v>
      </c>
      <c r="E82">
        <v>5</v>
      </c>
      <c r="F82">
        <v>6</v>
      </c>
      <c r="G82">
        <v>5</v>
      </c>
      <c r="H82">
        <v>6</v>
      </c>
      <c r="I82">
        <v>12</v>
      </c>
      <c r="J82">
        <v>20</v>
      </c>
      <c r="K82">
        <v>10</v>
      </c>
      <c r="L82">
        <v>73</v>
      </c>
      <c r="M82">
        <v>68</v>
      </c>
      <c r="N82">
        <f t="shared" si="1"/>
        <v>0</v>
      </c>
    </row>
    <row r="83" spans="1:14" hidden="1" x14ac:dyDescent="0.25">
      <c r="A83" s="1" t="s">
        <v>140</v>
      </c>
      <c r="B83" s="1" t="s">
        <v>45</v>
      </c>
      <c r="C83">
        <v>4</v>
      </c>
      <c r="D83">
        <v>5</v>
      </c>
      <c r="E83">
        <v>4</v>
      </c>
      <c r="F83">
        <v>2</v>
      </c>
      <c r="G83">
        <v>3</v>
      </c>
      <c r="H83">
        <v>4</v>
      </c>
      <c r="I83">
        <v>21</v>
      </c>
      <c r="J83">
        <v>58</v>
      </c>
      <c r="K83">
        <v>66</v>
      </c>
      <c r="L83">
        <v>93</v>
      </c>
      <c r="M83">
        <v>89</v>
      </c>
      <c r="N83">
        <f t="shared" si="1"/>
        <v>0</v>
      </c>
    </row>
    <row r="84" spans="1:14" hidden="1" x14ac:dyDescent="0.25">
      <c r="A84" s="1" t="s">
        <v>141</v>
      </c>
      <c r="B84" s="1" t="s">
        <v>99</v>
      </c>
      <c r="C84">
        <v>0</v>
      </c>
      <c r="D84">
        <v>2</v>
      </c>
      <c r="E84">
        <v>2</v>
      </c>
      <c r="F84">
        <v>4</v>
      </c>
      <c r="G84">
        <v>3</v>
      </c>
      <c r="H84">
        <v>3</v>
      </c>
      <c r="I84">
        <v>3</v>
      </c>
      <c r="J84">
        <v>25</v>
      </c>
      <c r="K84">
        <v>93</v>
      </c>
      <c r="L84">
        <v>92</v>
      </c>
      <c r="M84">
        <v>73</v>
      </c>
      <c r="N84">
        <f t="shared" si="1"/>
        <v>0</v>
      </c>
    </row>
    <row r="85" spans="1:14" hidden="1" x14ac:dyDescent="0.25">
      <c r="A85" s="1" t="s">
        <v>142</v>
      </c>
      <c r="B85" s="1" t="s">
        <v>130</v>
      </c>
      <c r="C85">
        <v>4</v>
      </c>
      <c r="D85">
        <v>4</v>
      </c>
      <c r="E85">
        <v>2</v>
      </c>
      <c r="F85">
        <v>6</v>
      </c>
      <c r="G85">
        <v>5</v>
      </c>
      <c r="H85">
        <v>2</v>
      </c>
      <c r="I85">
        <v>81</v>
      </c>
      <c r="J85">
        <v>5</v>
      </c>
      <c r="K85">
        <v>60</v>
      </c>
      <c r="L85">
        <v>2</v>
      </c>
      <c r="M85">
        <v>91</v>
      </c>
      <c r="N85">
        <f t="shared" si="1"/>
        <v>0</v>
      </c>
    </row>
    <row r="86" spans="1:14" x14ac:dyDescent="0.25">
      <c r="A86" s="1" t="s">
        <v>143</v>
      </c>
      <c r="B86" s="1" t="s">
        <v>70</v>
      </c>
      <c r="C86">
        <v>1</v>
      </c>
      <c r="D86">
        <v>4</v>
      </c>
      <c r="E86">
        <v>6</v>
      </c>
      <c r="F86">
        <v>4</v>
      </c>
      <c r="G86">
        <v>3</v>
      </c>
      <c r="H86">
        <v>6</v>
      </c>
      <c r="I86">
        <v>100</v>
      </c>
      <c r="J86">
        <v>100</v>
      </c>
      <c r="K86">
        <v>100</v>
      </c>
      <c r="L86">
        <v>36</v>
      </c>
      <c r="M86">
        <v>10</v>
      </c>
      <c r="N86">
        <f t="shared" si="1"/>
        <v>3</v>
      </c>
    </row>
    <row r="87" spans="1:14" hidden="1" x14ac:dyDescent="0.25">
      <c r="A87" s="1" t="s">
        <v>144</v>
      </c>
      <c r="B87" s="1" t="s">
        <v>145</v>
      </c>
      <c r="C87">
        <v>2</v>
      </c>
      <c r="D87">
        <v>3</v>
      </c>
      <c r="E87">
        <v>3</v>
      </c>
      <c r="F87">
        <v>5</v>
      </c>
      <c r="G87">
        <v>6</v>
      </c>
      <c r="H87">
        <v>6</v>
      </c>
      <c r="I87">
        <v>32</v>
      </c>
      <c r="J87">
        <v>27</v>
      </c>
      <c r="K87">
        <v>15</v>
      </c>
      <c r="L87">
        <v>59</v>
      </c>
      <c r="M87">
        <v>26</v>
      </c>
      <c r="N87">
        <f t="shared" si="1"/>
        <v>0</v>
      </c>
    </row>
    <row r="88" spans="1:14" hidden="1" x14ac:dyDescent="0.25">
      <c r="A88" s="1" t="s">
        <v>146</v>
      </c>
      <c r="B88" s="1" t="s">
        <v>147</v>
      </c>
      <c r="C88">
        <v>3</v>
      </c>
      <c r="D88">
        <v>5</v>
      </c>
      <c r="E88">
        <v>2</v>
      </c>
      <c r="F88">
        <v>6</v>
      </c>
      <c r="G88">
        <v>3</v>
      </c>
      <c r="H88">
        <v>3</v>
      </c>
      <c r="I88">
        <v>95</v>
      </c>
      <c r="J88">
        <v>15</v>
      </c>
      <c r="K88">
        <v>44</v>
      </c>
      <c r="L88">
        <v>29</v>
      </c>
      <c r="M88">
        <v>14</v>
      </c>
      <c r="N88">
        <f t="shared" si="1"/>
        <v>0</v>
      </c>
    </row>
    <row r="89" spans="1:14" hidden="1" x14ac:dyDescent="0.25">
      <c r="A89" s="1" t="s">
        <v>148</v>
      </c>
      <c r="B89" s="1" t="s">
        <v>28</v>
      </c>
      <c r="C89">
        <v>2</v>
      </c>
      <c r="D89">
        <v>4</v>
      </c>
      <c r="E89">
        <v>2</v>
      </c>
      <c r="F89">
        <v>6</v>
      </c>
      <c r="G89">
        <v>4</v>
      </c>
      <c r="H89">
        <v>4</v>
      </c>
      <c r="I89">
        <v>84</v>
      </c>
      <c r="J89">
        <v>95</v>
      </c>
      <c r="K89">
        <v>31</v>
      </c>
      <c r="L89">
        <v>8</v>
      </c>
      <c r="M89">
        <v>54</v>
      </c>
      <c r="N89">
        <f t="shared" si="1"/>
        <v>0</v>
      </c>
    </row>
    <row r="90" spans="1:14" hidden="1" x14ac:dyDescent="0.25">
      <c r="A90" s="1" t="s">
        <v>149</v>
      </c>
      <c r="B90" s="1" t="s">
        <v>150</v>
      </c>
      <c r="C90">
        <v>5</v>
      </c>
      <c r="D90">
        <v>2</v>
      </c>
      <c r="E90">
        <v>3</v>
      </c>
      <c r="F90">
        <v>4</v>
      </c>
      <c r="G90">
        <v>3</v>
      </c>
      <c r="H90">
        <v>6</v>
      </c>
      <c r="I90">
        <v>30</v>
      </c>
      <c r="J90">
        <v>24</v>
      </c>
      <c r="K90">
        <v>66</v>
      </c>
      <c r="L90">
        <v>41</v>
      </c>
      <c r="M90">
        <v>82</v>
      </c>
      <c r="N90">
        <f t="shared" si="1"/>
        <v>0</v>
      </c>
    </row>
    <row r="91" spans="1:14" x14ac:dyDescent="0.25">
      <c r="A91" s="1" t="s">
        <v>151</v>
      </c>
      <c r="B91" s="1" t="s">
        <v>70</v>
      </c>
      <c r="C91">
        <v>1</v>
      </c>
      <c r="D91">
        <v>3</v>
      </c>
      <c r="E91">
        <v>6</v>
      </c>
      <c r="F91">
        <v>4</v>
      </c>
      <c r="G91">
        <v>6</v>
      </c>
      <c r="H91">
        <v>2</v>
      </c>
      <c r="I91">
        <v>30</v>
      </c>
      <c r="J91">
        <v>35</v>
      </c>
      <c r="K91">
        <v>100</v>
      </c>
      <c r="L91">
        <v>100</v>
      </c>
      <c r="M91">
        <v>100</v>
      </c>
      <c r="N91">
        <f t="shared" si="1"/>
        <v>3</v>
      </c>
    </row>
    <row r="92" spans="1:14" hidden="1" x14ac:dyDescent="0.25">
      <c r="A92" s="1" t="s">
        <v>152</v>
      </c>
      <c r="B92" s="1" t="s">
        <v>153</v>
      </c>
      <c r="C92">
        <v>1</v>
      </c>
      <c r="D92">
        <v>5</v>
      </c>
      <c r="E92">
        <v>4</v>
      </c>
      <c r="F92">
        <v>2</v>
      </c>
      <c r="G92">
        <v>5</v>
      </c>
      <c r="H92">
        <v>6</v>
      </c>
      <c r="I92">
        <v>54</v>
      </c>
      <c r="J92">
        <v>50</v>
      </c>
      <c r="K92">
        <v>9</v>
      </c>
      <c r="L92">
        <v>59</v>
      </c>
      <c r="M92">
        <v>54</v>
      </c>
      <c r="N92">
        <f t="shared" si="1"/>
        <v>0</v>
      </c>
    </row>
    <row r="93" spans="1:14" hidden="1" x14ac:dyDescent="0.25">
      <c r="A93" s="1" t="s">
        <v>154</v>
      </c>
      <c r="B93" s="1" t="s">
        <v>155</v>
      </c>
      <c r="C93">
        <v>6</v>
      </c>
      <c r="D93">
        <v>2</v>
      </c>
      <c r="E93">
        <v>3</v>
      </c>
      <c r="F93">
        <v>5</v>
      </c>
      <c r="G93">
        <v>4</v>
      </c>
      <c r="H93">
        <v>4</v>
      </c>
      <c r="I93">
        <v>50</v>
      </c>
      <c r="J93">
        <v>30</v>
      </c>
      <c r="K93">
        <v>14</v>
      </c>
      <c r="L93">
        <v>20</v>
      </c>
      <c r="M93">
        <v>88</v>
      </c>
      <c r="N93">
        <f t="shared" si="1"/>
        <v>0</v>
      </c>
    </row>
    <row r="94" spans="1:14" hidden="1" x14ac:dyDescent="0.25">
      <c r="A94" s="1" t="s">
        <v>156</v>
      </c>
      <c r="B94" s="1" t="s">
        <v>157</v>
      </c>
      <c r="C94">
        <v>6</v>
      </c>
      <c r="D94">
        <v>3</v>
      </c>
      <c r="E94">
        <v>6</v>
      </c>
      <c r="F94">
        <v>5</v>
      </c>
      <c r="G94">
        <v>4</v>
      </c>
      <c r="H94">
        <v>5</v>
      </c>
      <c r="I94">
        <v>62</v>
      </c>
      <c r="J94">
        <v>47</v>
      </c>
      <c r="K94">
        <v>19</v>
      </c>
      <c r="L94">
        <v>10</v>
      </c>
      <c r="M94">
        <v>40</v>
      </c>
      <c r="N94">
        <f t="shared" si="1"/>
        <v>0</v>
      </c>
    </row>
    <row r="95" spans="1:14" hidden="1" x14ac:dyDescent="0.25">
      <c r="A95" s="1" t="s">
        <v>158</v>
      </c>
      <c r="B95" s="1" t="s">
        <v>159</v>
      </c>
      <c r="C95">
        <v>0</v>
      </c>
      <c r="D95">
        <v>3</v>
      </c>
      <c r="E95">
        <v>6</v>
      </c>
      <c r="F95">
        <v>3</v>
      </c>
      <c r="G95">
        <v>5</v>
      </c>
      <c r="H95">
        <v>6</v>
      </c>
      <c r="I95">
        <v>12</v>
      </c>
      <c r="J95">
        <v>60</v>
      </c>
      <c r="K95">
        <v>63</v>
      </c>
      <c r="L95">
        <v>37</v>
      </c>
      <c r="M95">
        <v>71</v>
      </c>
      <c r="N95">
        <f t="shared" si="1"/>
        <v>0</v>
      </c>
    </row>
    <row r="96" spans="1:14" hidden="1" x14ac:dyDescent="0.25">
      <c r="A96" s="1" t="s">
        <v>160</v>
      </c>
      <c r="B96" s="1" t="s">
        <v>161</v>
      </c>
      <c r="C96">
        <v>2</v>
      </c>
      <c r="D96">
        <v>3</v>
      </c>
      <c r="E96">
        <v>2</v>
      </c>
      <c r="F96">
        <v>2</v>
      </c>
      <c r="G96">
        <v>3</v>
      </c>
      <c r="H96">
        <v>2</v>
      </c>
      <c r="I96">
        <v>56</v>
      </c>
      <c r="J96">
        <v>63</v>
      </c>
      <c r="K96">
        <v>26</v>
      </c>
      <c r="L96">
        <v>92</v>
      </c>
      <c r="M96">
        <v>13</v>
      </c>
      <c r="N96">
        <f t="shared" si="1"/>
        <v>0</v>
      </c>
    </row>
    <row r="97" spans="1:14" hidden="1" x14ac:dyDescent="0.25">
      <c r="A97" s="1" t="s">
        <v>162</v>
      </c>
      <c r="B97" s="1" t="s">
        <v>30</v>
      </c>
      <c r="C97">
        <v>5</v>
      </c>
      <c r="D97">
        <v>5</v>
      </c>
      <c r="E97">
        <v>6</v>
      </c>
      <c r="F97">
        <v>6</v>
      </c>
      <c r="G97">
        <v>5</v>
      </c>
      <c r="H97">
        <v>6</v>
      </c>
      <c r="I97">
        <v>45</v>
      </c>
      <c r="J97">
        <v>97</v>
      </c>
      <c r="K97">
        <v>5</v>
      </c>
      <c r="L97">
        <v>73</v>
      </c>
      <c r="M97">
        <v>12</v>
      </c>
      <c r="N97">
        <f t="shared" si="1"/>
        <v>0</v>
      </c>
    </row>
    <row r="98" spans="1:14" hidden="1" x14ac:dyDescent="0.25">
      <c r="A98" s="1" t="s">
        <v>163</v>
      </c>
      <c r="B98" s="1" t="s">
        <v>164</v>
      </c>
      <c r="C98">
        <v>2</v>
      </c>
      <c r="D98">
        <v>4</v>
      </c>
      <c r="E98">
        <v>5</v>
      </c>
      <c r="F98">
        <v>2</v>
      </c>
      <c r="G98">
        <v>4</v>
      </c>
      <c r="H98">
        <v>6</v>
      </c>
      <c r="I98">
        <v>96</v>
      </c>
      <c r="J98">
        <v>60</v>
      </c>
      <c r="K98">
        <v>4</v>
      </c>
      <c r="L98">
        <v>45</v>
      </c>
      <c r="M98">
        <v>21</v>
      </c>
      <c r="N98">
        <f t="shared" si="1"/>
        <v>0</v>
      </c>
    </row>
    <row r="99" spans="1:14" hidden="1" x14ac:dyDescent="0.25">
      <c r="A99" s="1" t="s">
        <v>165</v>
      </c>
      <c r="B99" s="1" t="s">
        <v>166</v>
      </c>
      <c r="C99">
        <v>7</v>
      </c>
      <c r="D99">
        <v>3</v>
      </c>
      <c r="E99">
        <v>3</v>
      </c>
      <c r="F99">
        <v>6</v>
      </c>
      <c r="G99">
        <v>5</v>
      </c>
      <c r="H99">
        <v>5</v>
      </c>
      <c r="I99">
        <v>57</v>
      </c>
      <c r="J99">
        <v>31</v>
      </c>
      <c r="K99">
        <v>22</v>
      </c>
      <c r="L99">
        <v>59</v>
      </c>
      <c r="M99">
        <v>61</v>
      </c>
      <c r="N99">
        <f t="shared" si="1"/>
        <v>0</v>
      </c>
    </row>
    <row r="100" spans="1:14" hidden="1" x14ac:dyDescent="0.25">
      <c r="A100" s="1" t="s">
        <v>167</v>
      </c>
      <c r="B100" s="1" t="s">
        <v>18</v>
      </c>
      <c r="C100">
        <v>5</v>
      </c>
      <c r="D100">
        <v>6</v>
      </c>
      <c r="E100">
        <v>4</v>
      </c>
      <c r="F100">
        <v>2</v>
      </c>
      <c r="G100">
        <v>5</v>
      </c>
      <c r="H100">
        <v>5</v>
      </c>
      <c r="I100">
        <v>18</v>
      </c>
      <c r="J100">
        <v>86</v>
      </c>
      <c r="K100">
        <v>25</v>
      </c>
      <c r="L100">
        <v>29</v>
      </c>
      <c r="M100">
        <v>9</v>
      </c>
      <c r="N100">
        <f t="shared" si="1"/>
        <v>0</v>
      </c>
    </row>
    <row r="101" spans="1:14" hidden="1" x14ac:dyDescent="0.25">
      <c r="A101" s="1" t="s">
        <v>168</v>
      </c>
      <c r="B101" s="1" t="s">
        <v>169</v>
      </c>
      <c r="C101">
        <v>5</v>
      </c>
      <c r="D101">
        <v>4</v>
      </c>
      <c r="E101">
        <v>6</v>
      </c>
      <c r="F101">
        <v>2</v>
      </c>
      <c r="G101">
        <v>5</v>
      </c>
      <c r="H101">
        <v>4</v>
      </c>
      <c r="I101">
        <v>93</v>
      </c>
      <c r="J101">
        <v>47</v>
      </c>
      <c r="K101">
        <v>47</v>
      </c>
      <c r="L101">
        <v>34</v>
      </c>
      <c r="M101">
        <v>39</v>
      </c>
      <c r="N101">
        <f t="shared" si="1"/>
        <v>0</v>
      </c>
    </row>
    <row r="102" spans="1:14" hidden="1" x14ac:dyDescent="0.25">
      <c r="A102" s="1" t="s">
        <v>170</v>
      </c>
      <c r="B102" s="1" t="s">
        <v>171</v>
      </c>
      <c r="C102">
        <v>3</v>
      </c>
      <c r="D102">
        <v>6</v>
      </c>
      <c r="E102">
        <v>2</v>
      </c>
      <c r="F102">
        <v>3</v>
      </c>
      <c r="G102">
        <v>2</v>
      </c>
      <c r="H102">
        <v>6</v>
      </c>
      <c r="I102">
        <v>89</v>
      </c>
      <c r="J102">
        <v>30</v>
      </c>
      <c r="K102">
        <v>43</v>
      </c>
      <c r="L102">
        <v>25</v>
      </c>
      <c r="M102">
        <v>1</v>
      </c>
      <c r="N102">
        <f t="shared" si="1"/>
        <v>0</v>
      </c>
    </row>
    <row r="103" spans="1:14" hidden="1" x14ac:dyDescent="0.25">
      <c r="A103" s="1" t="s">
        <v>172</v>
      </c>
      <c r="B103" s="1" t="s">
        <v>130</v>
      </c>
      <c r="C103">
        <v>6</v>
      </c>
      <c r="D103">
        <v>2</v>
      </c>
      <c r="E103">
        <v>3</v>
      </c>
      <c r="F103">
        <v>2</v>
      </c>
      <c r="G103">
        <v>3</v>
      </c>
      <c r="H103">
        <v>6</v>
      </c>
      <c r="I103">
        <v>67</v>
      </c>
      <c r="J103">
        <v>74</v>
      </c>
      <c r="K103">
        <v>49</v>
      </c>
      <c r="L103">
        <v>43</v>
      </c>
      <c r="M103">
        <v>52</v>
      </c>
      <c r="N103">
        <f t="shared" si="1"/>
        <v>0</v>
      </c>
    </row>
    <row r="104" spans="1:14" hidden="1" x14ac:dyDescent="0.25">
      <c r="A104" s="1" t="s">
        <v>173</v>
      </c>
      <c r="B104" s="1" t="s">
        <v>174</v>
      </c>
      <c r="C104">
        <v>8</v>
      </c>
      <c r="D104">
        <v>3</v>
      </c>
      <c r="E104">
        <v>2</v>
      </c>
      <c r="F104">
        <v>6</v>
      </c>
      <c r="G104">
        <v>5</v>
      </c>
      <c r="H104">
        <v>3</v>
      </c>
      <c r="I104">
        <v>41</v>
      </c>
      <c r="J104">
        <v>29</v>
      </c>
      <c r="K104">
        <v>52</v>
      </c>
      <c r="L104">
        <v>81</v>
      </c>
      <c r="M104">
        <v>26</v>
      </c>
      <c r="N104">
        <f t="shared" si="1"/>
        <v>0</v>
      </c>
    </row>
    <row r="105" spans="1:14" hidden="1" x14ac:dyDescent="0.25">
      <c r="A105" s="1" t="s">
        <v>175</v>
      </c>
      <c r="B105" s="1" t="s">
        <v>45</v>
      </c>
      <c r="C105">
        <v>8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32</v>
      </c>
      <c r="J105">
        <v>83</v>
      </c>
      <c r="K105">
        <v>14</v>
      </c>
      <c r="L105">
        <v>77</v>
      </c>
      <c r="M105">
        <v>71</v>
      </c>
      <c r="N105">
        <f t="shared" si="1"/>
        <v>0</v>
      </c>
    </row>
    <row r="106" spans="1:14" hidden="1" x14ac:dyDescent="0.25">
      <c r="A106" s="1" t="s">
        <v>176</v>
      </c>
      <c r="B106" s="1" t="s">
        <v>177</v>
      </c>
      <c r="C106">
        <v>6</v>
      </c>
      <c r="D106">
        <v>5</v>
      </c>
      <c r="E106">
        <v>2</v>
      </c>
      <c r="F106">
        <v>6</v>
      </c>
      <c r="G106">
        <v>6</v>
      </c>
      <c r="H106">
        <v>4</v>
      </c>
      <c r="I106">
        <v>48</v>
      </c>
      <c r="J106">
        <v>39</v>
      </c>
      <c r="K106">
        <v>45</v>
      </c>
      <c r="L106">
        <v>39</v>
      </c>
      <c r="M106">
        <v>59</v>
      </c>
      <c r="N106">
        <f t="shared" si="1"/>
        <v>0</v>
      </c>
    </row>
    <row r="107" spans="1:14" hidden="1" x14ac:dyDescent="0.25">
      <c r="A107" s="1" t="s">
        <v>178</v>
      </c>
      <c r="B107" s="1" t="s">
        <v>119</v>
      </c>
      <c r="C107">
        <v>1</v>
      </c>
      <c r="D107">
        <v>3</v>
      </c>
      <c r="E107">
        <v>2</v>
      </c>
      <c r="F107">
        <v>3</v>
      </c>
      <c r="G107">
        <v>5</v>
      </c>
      <c r="H107">
        <v>2</v>
      </c>
      <c r="I107">
        <v>11</v>
      </c>
      <c r="J107">
        <v>23</v>
      </c>
      <c r="K107">
        <v>92</v>
      </c>
      <c r="L107">
        <v>50</v>
      </c>
      <c r="M107">
        <v>36</v>
      </c>
      <c r="N107">
        <f t="shared" si="1"/>
        <v>0</v>
      </c>
    </row>
    <row r="108" spans="1:14" hidden="1" x14ac:dyDescent="0.25">
      <c r="A108" s="1" t="s">
        <v>179</v>
      </c>
      <c r="B108" s="1" t="s">
        <v>180</v>
      </c>
      <c r="C108">
        <v>0</v>
      </c>
      <c r="D108">
        <v>5</v>
      </c>
      <c r="E108">
        <v>3</v>
      </c>
      <c r="F108">
        <v>5</v>
      </c>
      <c r="G108">
        <v>2</v>
      </c>
      <c r="H108">
        <v>5</v>
      </c>
      <c r="I108">
        <v>20</v>
      </c>
      <c r="J108">
        <v>51</v>
      </c>
      <c r="K108">
        <v>64</v>
      </c>
      <c r="L108">
        <v>67</v>
      </c>
      <c r="M108">
        <v>72</v>
      </c>
      <c r="N108">
        <f t="shared" si="1"/>
        <v>0</v>
      </c>
    </row>
    <row r="109" spans="1:14" hidden="1" x14ac:dyDescent="0.25">
      <c r="A109" s="1" t="s">
        <v>181</v>
      </c>
      <c r="B109" s="1" t="s">
        <v>182</v>
      </c>
      <c r="C109">
        <v>7</v>
      </c>
      <c r="D109">
        <v>4</v>
      </c>
      <c r="E109">
        <v>6</v>
      </c>
      <c r="F109">
        <v>2</v>
      </c>
      <c r="G109">
        <v>5</v>
      </c>
      <c r="H109">
        <v>5</v>
      </c>
      <c r="I109">
        <v>90</v>
      </c>
      <c r="J109">
        <v>9</v>
      </c>
      <c r="K109">
        <v>61</v>
      </c>
      <c r="L109">
        <v>28</v>
      </c>
      <c r="M109">
        <v>92</v>
      </c>
      <c r="N109">
        <f t="shared" si="1"/>
        <v>0</v>
      </c>
    </row>
    <row r="110" spans="1:14" hidden="1" x14ac:dyDescent="0.25">
      <c r="A110" s="1" t="s">
        <v>183</v>
      </c>
      <c r="B110" s="1" t="s">
        <v>155</v>
      </c>
      <c r="C110">
        <v>4</v>
      </c>
      <c r="D110">
        <v>2</v>
      </c>
      <c r="E110">
        <v>6</v>
      </c>
      <c r="F110">
        <v>6</v>
      </c>
      <c r="G110">
        <v>6</v>
      </c>
      <c r="H110">
        <v>4</v>
      </c>
      <c r="I110">
        <v>91</v>
      </c>
      <c r="J110">
        <v>63</v>
      </c>
      <c r="K110">
        <v>88</v>
      </c>
      <c r="L110">
        <v>68</v>
      </c>
      <c r="M110">
        <v>75</v>
      </c>
      <c r="N110">
        <f t="shared" si="1"/>
        <v>0</v>
      </c>
    </row>
    <row r="111" spans="1:14" hidden="1" x14ac:dyDescent="0.25">
      <c r="A111" s="1" t="s">
        <v>184</v>
      </c>
      <c r="B111" s="1" t="s">
        <v>185</v>
      </c>
      <c r="C111">
        <v>3</v>
      </c>
      <c r="D111">
        <v>3</v>
      </c>
      <c r="E111">
        <v>4</v>
      </c>
      <c r="F111">
        <v>5</v>
      </c>
      <c r="G111">
        <v>6</v>
      </c>
      <c r="H111">
        <v>3</v>
      </c>
      <c r="I111">
        <v>59</v>
      </c>
      <c r="J111">
        <v>13</v>
      </c>
      <c r="K111">
        <v>14</v>
      </c>
      <c r="L111">
        <v>22</v>
      </c>
      <c r="M111">
        <v>96</v>
      </c>
      <c r="N111">
        <f t="shared" si="1"/>
        <v>0</v>
      </c>
    </row>
    <row r="112" spans="1:14" hidden="1" x14ac:dyDescent="0.25">
      <c r="A112" s="1" t="s">
        <v>186</v>
      </c>
      <c r="B112" s="1" t="s">
        <v>70</v>
      </c>
      <c r="C112">
        <v>1</v>
      </c>
      <c r="D112">
        <v>3</v>
      </c>
      <c r="E112">
        <v>3</v>
      </c>
      <c r="F112">
        <v>4</v>
      </c>
      <c r="G112">
        <v>3</v>
      </c>
      <c r="H112">
        <v>4</v>
      </c>
      <c r="I112">
        <v>7</v>
      </c>
      <c r="J112">
        <v>13</v>
      </c>
      <c r="K112">
        <v>73</v>
      </c>
      <c r="L112">
        <v>73</v>
      </c>
      <c r="M112">
        <v>78</v>
      </c>
      <c r="N112">
        <f t="shared" si="1"/>
        <v>0</v>
      </c>
    </row>
    <row r="113" spans="1:14" hidden="1" x14ac:dyDescent="0.25">
      <c r="A113" s="1" t="s">
        <v>187</v>
      </c>
      <c r="B113" s="1" t="s">
        <v>188</v>
      </c>
      <c r="C113">
        <v>7</v>
      </c>
      <c r="D113">
        <v>3</v>
      </c>
      <c r="E113">
        <v>6</v>
      </c>
      <c r="F113">
        <v>2</v>
      </c>
      <c r="G113">
        <v>4</v>
      </c>
      <c r="H113">
        <v>6</v>
      </c>
      <c r="I113">
        <v>39</v>
      </c>
      <c r="J113">
        <v>69</v>
      </c>
      <c r="K113">
        <v>10</v>
      </c>
      <c r="L113">
        <v>10</v>
      </c>
      <c r="M113">
        <v>91</v>
      </c>
      <c r="N113">
        <f t="shared" si="1"/>
        <v>0</v>
      </c>
    </row>
    <row r="114" spans="1:14" hidden="1" x14ac:dyDescent="0.25">
      <c r="A114" s="1" t="s">
        <v>189</v>
      </c>
      <c r="B114" s="1" t="s">
        <v>70</v>
      </c>
      <c r="C114">
        <v>5</v>
      </c>
      <c r="D114">
        <v>6</v>
      </c>
      <c r="E114">
        <v>4</v>
      </c>
      <c r="F114">
        <v>3</v>
      </c>
      <c r="G114">
        <v>5</v>
      </c>
      <c r="H114">
        <v>2</v>
      </c>
      <c r="I114">
        <v>18</v>
      </c>
      <c r="J114">
        <v>29</v>
      </c>
      <c r="K114">
        <v>18</v>
      </c>
      <c r="L114">
        <v>5</v>
      </c>
      <c r="M114">
        <v>64</v>
      </c>
      <c r="N114">
        <f t="shared" si="1"/>
        <v>0</v>
      </c>
    </row>
    <row r="115" spans="1:14" hidden="1" x14ac:dyDescent="0.25">
      <c r="A115" s="1" t="s">
        <v>190</v>
      </c>
      <c r="B115" s="1" t="s">
        <v>101</v>
      </c>
      <c r="C115">
        <v>3</v>
      </c>
      <c r="D115">
        <v>3</v>
      </c>
      <c r="E115">
        <v>3</v>
      </c>
      <c r="F115">
        <v>6</v>
      </c>
      <c r="G115">
        <v>2</v>
      </c>
      <c r="H115">
        <v>2</v>
      </c>
      <c r="I115">
        <v>80</v>
      </c>
      <c r="J115">
        <v>5</v>
      </c>
      <c r="K115">
        <v>4</v>
      </c>
      <c r="L115">
        <v>59</v>
      </c>
      <c r="M115">
        <v>5</v>
      </c>
      <c r="N115">
        <f t="shared" si="1"/>
        <v>0</v>
      </c>
    </row>
    <row r="116" spans="1:14" hidden="1" x14ac:dyDescent="0.25">
      <c r="A116" s="1" t="s">
        <v>191</v>
      </c>
      <c r="B116" s="1" t="s">
        <v>16</v>
      </c>
      <c r="C116">
        <v>2</v>
      </c>
      <c r="D116">
        <v>4</v>
      </c>
      <c r="E116">
        <v>6</v>
      </c>
      <c r="F116">
        <v>3</v>
      </c>
      <c r="G116">
        <v>6</v>
      </c>
      <c r="H116">
        <v>6</v>
      </c>
      <c r="I116">
        <v>72</v>
      </c>
      <c r="J116">
        <v>51</v>
      </c>
      <c r="K116">
        <v>1</v>
      </c>
      <c r="L116">
        <v>33</v>
      </c>
      <c r="M116">
        <v>91</v>
      </c>
      <c r="N116">
        <f t="shared" si="1"/>
        <v>0</v>
      </c>
    </row>
    <row r="117" spans="1:14" hidden="1" x14ac:dyDescent="0.25">
      <c r="A117" s="1" t="s">
        <v>192</v>
      </c>
      <c r="B117" s="1" t="s">
        <v>30</v>
      </c>
      <c r="C117">
        <v>1</v>
      </c>
      <c r="D117">
        <v>4</v>
      </c>
      <c r="E117">
        <v>4</v>
      </c>
      <c r="F117">
        <v>3</v>
      </c>
      <c r="G117">
        <v>3</v>
      </c>
      <c r="H117">
        <v>6</v>
      </c>
      <c r="I117">
        <v>25</v>
      </c>
      <c r="J117">
        <v>23</v>
      </c>
      <c r="K117">
        <v>20</v>
      </c>
      <c r="L117">
        <v>93</v>
      </c>
      <c r="M117">
        <v>78</v>
      </c>
      <c r="N117">
        <f t="shared" si="1"/>
        <v>0</v>
      </c>
    </row>
    <row r="118" spans="1:14" hidden="1" x14ac:dyDescent="0.25">
      <c r="A118" s="1" t="s">
        <v>148</v>
      </c>
      <c r="B118" s="1" t="s">
        <v>193</v>
      </c>
      <c r="C118">
        <v>4</v>
      </c>
      <c r="D118">
        <v>5</v>
      </c>
      <c r="E118">
        <v>5</v>
      </c>
      <c r="F118">
        <v>3</v>
      </c>
      <c r="G118">
        <v>5</v>
      </c>
      <c r="H118">
        <v>2</v>
      </c>
      <c r="I118">
        <v>79</v>
      </c>
      <c r="J118">
        <v>53</v>
      </c>
      <c r="K118">
        <v>97</v>
      </c>
      <c r="L118">
        <v>34</v>
      </c>
      <c r="M118">
        <v>92</v>
      </c>
      <c r="N118">
        <f t="shared" si="1"/>
        <v>0</v>
      </c>
    </row>
    <row r="119" spans="1:14" hidden="1" x14ac:dyDescent="0.25">
      <c r="A119" s="1" t="s">
        <v>194</v>
      </c>
      <c r="B119" s="1" t="s">
        <v>86</v>
      </c>
      <c r="C119">
        <v>4</v>
      </c>
      <c r="D119">
        <v>2</v>
      </c>
      <c r="E119">
        <v>6</v>
      </c>
      <c r="F119">
        <v>4</v>
      </c>
      <c r="G119">
        <v>3</v>
      </c>
      <c r="H119">
        <v>2</v>
      </c>
      <c r="I119">
        <v>13</v>
      </c>
      <c r="J119">
        <v>81</v>
      </c>
      <c r="K119">
        <v>58</v>
      </c>
      <c r="L119">
        <v>45</v>
      </c>
      <c r="M119">
        <v>11</v>
      </c>
      <c r="N119">
        <f t="shared" si="1"/>
        <v>0</v>
      </c>
    </row>
    <row r="120" spans="1:14" hidden="1" x14ac:dyDescent="0.25">
      <c r="A120" s="1" t="s">
        <v>195</v>
      </c>
      <c r="B120" s="1" t="s">
        <v>155</v>
      </c>
      <c r="C120">
        <v>5</v>
      </c>
      <c r="D120">
        <v>2</v>
      </c>
      <c r="E120">
        <v>3</v>
      </c>
      <c r="F120">
        <v>3</v>
      </c>
      <c r="G120">
        <v>2</v>
      </c>
      <c r="H120">
        <v>6</v>
      </c>
      <c r="I120">
        <v>93</v>
      </c>
      <c r="J120">
        <v>31</v>
      </c>
      <c r="K120">
        <v>9</v>
      </c>
      <c r="L120">
        <v>50</v>
      </c>
      <c r="M120">
        <v>41</v>
      </c>
      <c r="N120">
        <f t="shared" si="1"/>
        <v>0</v>
      </c>
    </row>
    <row r="121" spans="1:14" hidden="1" x14ac:dyDescent="0.25">
      <c r="A121" s="1" t="s">
        <v>196</v>
      </c>
      <c r="B121" s="1" t="s">
        <v>197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10</v>
      </c>
      <c r="J121">
        <v>93</v>
      </c>
      <c r="K121">
        <v>88</v>
      </c>
      <c r="L121">
        <v>23</v>
      </c>
      <c r="M121">
        <v>43</v>
      </c>
      <c r="N121">
        <f t="shared" si="1"/>
        <v>0</v>
      </c>
    </row>
    <row r="122" spans="1:14" hidden="1" x14ac:dyDescent="0.25">
      <c r="A122" s="1" t="s">
        <v>198</v>
      </c>
      <c r="B122" s="1" t="s">
        <v>199</v>
      </c>
      <c r="C122">
        <v>0</v>
      </c>
      <c r="D122">
        <v>3</v>
      </c>
      <c r="E122">
        <v>3</v>
      </c>
      <c r="F122">
        <v>2</v>
      </c>
      <c r="G122">
        <v>3</v>
      </c>
      <c r="H122">
        <v>6</v>
      </c>
      <c r="I122">
        <v>7</v>
      </c>
      <c r="J122">
        <v>69</v>
      </c>
      <c r="K122">
        <v>31</v>
      </c>
      <c r="L122">
        <v>13</v>
      </c>
      <c r="M122">
        <v>61</v>
      </c>
      <c r="N122">
        <f t="shared" si="1"/>
        <v>0</v>
      </c>
    </row>
    <row r="123" spans="1:14" hidden="1" x14ac:dyDescent="0.25">
      <c r="A123" s="1" t="s">
        <v>200</v>
      </c>
      <c r="B123" s="1" t="s">
        <v>201</v>
      </c>
      <c r="C123">
        <v>5</v>
      </c>
      <c r="D123">
        <v>3</v>
      </c>
      <c r="E123">
        <v>2</v>
      </c>
      <c r="F123">
        <v>2</v>
      </c>
      <c r="G123">
        <v>4</v>
      </c>
      <c r="H123">
        <v>6</v>
      </c>
      <c r="I123">
        <v>24</v>
      </c>
      <c r="J123">
        <v>79</v>
      </c>
      <c r="K123">
        <v>99</v>
      </c>
      <c r="L123">
        <v>6</v>
      </c>
      <c r="M123">
        <v>89</v>
      </c>
      <c r="N123">
        <f t="shared" si="1"/>
        <v>0</v>
      </c>
    </row>
    <row r="124" spans="1:14" hidden="1" x14ac:dyDescent="0.25">
      <c r="A124" s="1" t="s">
        <v>202</v>
      </c>
      <c r="B124" s="1" t="s">
        <v>203</v>
      </c>
      <c r="C124">
        <v>7</v>
      </c>
      <c r="D124">
        <v>2</v>
      </c>
      <c r="E124">
        <v>2</v>
      </c>
      <c r="F124">
        <v>4</v>
      </c>
      <c r="G124">
        <v>4</v>
      </c>
      <c r="H124">
        <v>6</v>
      </c>
      <c r="I124">
        <v>57</v>
      </c>
      <c r="J124">
        <v>11</v>
      </c>
      <c r="K124">
        <v>80</v>
      </c>
      <c r="L124">
        <v>27</v>
      </c>
      <c r="M124">
        <v>21</v>
      </c>
      <c r="N124">
        <f t="shared" si="1"/>
        <v>0</v>
      </c>
    </row>
    <row r="125" spans="1:14" hidden="1" x14ac:dyDescent="0.25">
      <c r="A125" s="1" t="s">
        <v>204</v>
      </c>
      <c r="B125" s="1" t="s">
        <v>205</v>
      </c>
      <c r="C125">
        <v>7</v>
      </c>
      <c r="D125">
        <v>6</v>
      </c>
      <c r="E125">
        <v>6</v>
      </c>
      <c r="F125">
        <v>2</v>
      </c>
      <c r="G125">
        <v>2</v>
      </c>
      <c r="H125">
        <v>4</v>
      </c>
      <c r="I125">
        <v>2</v>
      </c>
      <c r="J125">
        <v>65</v>
      </c>
      <c r="K125">
        <v>47</v>
      </c>
      <c r="L125">
        <v>64</v>
      </c>
      <c r="M125">
        <v>89</v>
      </c>
      <c r="N125">
        <f t="shared" si="1"/>
        <v>0</v>
      </c>
    </row>
    <row r="126" spans="1:14" hidden="1" x14ac:dyDescent="0.25">
      <c r="A126" s="1" t="s">
        <v>206</v>
      </c>
      <c r="B126" s="1" t="s">
        <v>155</v>
      </c>
      <c r="C126">
        <v>6</v>
      </c>
      <c r="D126">
        <v>4</v>
      </c>
      <c r="E126">
        <v>5</v>
      </c>
      <c r="F126">
        <v>3</v>
      </c>
      <c r="G126">
        <v>6</v>
      </c>
      <c r="H126">
        <v>2</v>
      </c>
      <c r="I126">
        <v>46</v>
      </c>
      <c r="J126">
        <v>75</v>
      </c>
      <c r="K126">
        <v>6</v>
      </c>
      <c r="L126">
        <v>45</v>
      </c>
      <c r="M126">
        <v>9</v>
      </c>
      <c r="N126">
        <f t="shared" si="1"/>
        <v>0</v>
      </c>
    </row>
    <row r="127" spans="1:14" hidden="1" x14ac:dyDescent="0.25">
      <c r="A127" s="1" t="s">
        <v>207</v>
      </c>
      <c r="B127" s="1" t="s">
        <v>51</v>
      </c>
      <c r="C127">
        <v>8</v>
      </c>
      <c r="D127">
        <v>3</v>
      </c>
      <c r="E127">
        <v>6</v>
      </c>
      <c r="F127">
        <v>4</v>
      </c>
      <c r="G127">
        <v>5</v>
      </c>
      <c r="H127">
        <v>2</v>
      </c>
      <c r="I127">
        <v>8</v>
      </c>
      <c r="J127">
        <v>35</v>
      </c>
      <c r="K127">
        <v>65</v>
      </c>
      <c r="L127">
        <v>30</v>
      </c>
      <c r="M127">
        <v>5</v>
      </c>
      <c r="N127">
        <f t="shared" si="1"/>
        <v>0</v>
      </c>
    </row>
    <row r="128" spans="1:14" hidden="1" x14ac:dyDescent="0.25">
      <c r="A128" s="1" t="s">
        <v>208</v>
      </c>
      <c r="B128" s="1" t="s">
        <v>30</v>
      </c>
      <c r="C128">
        <v>3</v>
      </c>
      <c r="D128">
        <v>6</v>
      </c>
      <c r="E128">
        <v>6</v>
      </c>
      <c r="F128">
        <v>3</v>
      </c>
      <c r="G128">
        <v>4</v>
      </c>
      <c r="H128">
        <v>5</v>
      </c>
      <c r="I128">
        <v>35</v>
      </c>
      <c r="J128">
        <v>1</v>
      </c>
      <c r="K128">
        <v>100</v>
      </c>
      <c r="L128">
        <v>65</v>
      </c>
      <c r="M128">
        <v>86</v>
      </c>
      <c r="N128">
        <f t="shared" si="1"/>
        <v>1</v>
      </c>
    </row>
    <row r="129" spans="1:14" hidden="1" x14ac:dyDescent="0.25">
      <c r="A129" s="1" t="s">
        <v>209</v>
      </c>
      <c r="B129" s="1" t="s">
        <v>210</v>
      </c>
      <c r="C129">
        <v>8</v>
      </c>
      <c r="D129">
        <v>3</v>
      </c>
      <c r="E129">
        <v>2</v>
      </c>
      <c r="F129">
        <v>3</v>
      </c>
      <c r="G129">
        <v>5</v>
      </c>
      <c r="H129">
        <v>5</v>
      </c>
      <c r="I129">
        <v>31</v>
      </c>
      <c r="J129">
        <v>75</v>
      </c>
      <c r="K129">
        <v>10</v>
      </c>
      <c r="L129">
        <v>37</v>
      </c>
      <c r="M129">
        <v>48</v>
      </c>
      <c r="N129">
        <f t="shared" si="1"/>
        <v>0</v>
      </c>
    </row>
    <row r="130" spans="1:14" hidden="1" x14ac:dyDescent="0.25">
      <c r="A130" s="1" t="s">
        <v>211</v>
      </c>
      <c r="B130" s="1" t="s">
        <v>78</v>
      </c>
      <c r="C130">
        <v>4</v>
      </c>
      <c r="D130">
        <v>3</v>
      </c>
      <c r="E130">
        <v>4</v>
      </c>
      <c r="F130">
        <v>2</v>
      </c>
      <c r="G130">
        <v>5</v>
      </c>
      <c r="H130">
        <v>6</v>
      </c>
      <c r="I130">
        <v>53</v>
      </c>
      <c r="J130">
        <v>74</v>
      </c>
      <c r="K130">
        <v>66</v>
      </c>
      <c r="L130">
        <v>37</v>
      </c>
      <c r="M130">
        <v>55</v>
      </c>
      <c r="N130">
        <f t="shared" ref="N130:N193" si="2">COUNTIF(I130:M130, 100)</f>
        <v>0</v>
      </c>
    </row>
    <row r="131" spans="1:14" hidden="1" x14ac:dyDescent="0.25">
      <c r="A131" s="1" t="s">
        <v>212</v>
      </c>
      <c r="B131" s="1" t="s">
        <v>101</v>
      </c>
      <c r="C131">
        <v>4</v>
      </c>
      <c r="D131">
        <v>6</v>
      </c>
      <c r="E131">
        <v>5</v>
      </c>
      <c r="F131">
        <v>3</v>
      </c>
      <c r="G131">
        <v>4</v>
      </c>
      <c r="H131">
        <v>4</v>
      </c>
      <c r="I131">
        <v>43</v>
      </c>
      <c r="J131">
        <v>49</v>
      </c>
      <c r="K131">
        <v>12</v>
      </c>
      <c r="L131">
        <v>36</v>
      </c>
      <c r="M131">
        <v>87</v>
      </c>
      <c r="N131">
        <f t="shared" si="2"/>
        <v>0</v>
      </c>
    </row>
    <row r="132" spans="1:14" hidden="1" x14ac:dyDescent="0.25">
      <c r="A132" s="1" t="s">
        <v>213</v>
      </c>
      <c r="B132" s="1" t="s">
        <v>72</v>
      </c>
      <c r="C132">
        <v>4</v>
      </c>
      <c r="D132">
        <v>4</v>
      </c>
      <c r="E132">
        <v>6</v>
      </c>
      <c r="F132">
        <v>2</v>
      </c>
      <c r="G132">
        <v>5</v>
      </c>
      <c r="H132">
        <v>2</v>
      </c>
      <c r="I132">
        <v>60</v>
      </c>
      <c r="J132">
        <v>75</v>
      </c>
      <c r="K132">
        <v>10</v>
      </c>
      <c r="L132">
        <v>59</v>
      </c>
      <c r="M132">
        <v>5</v>
      </c>
      <c r="N132">
        <f t="shared" si="2"/>
        <v>0</v>
      </c>
    </row>
    <row r="133" spans="1:14" hidden="1" x14ac:dyDescent="0.25">
      <c r="A133" s="1" t="s">
        <v>214</v>
      </c>
      <c r="B133" s="1" t="s">
        <v>197</v>
      </c>
      <c r="C133">
        <v>7</v>
      </c>
      <c r="D133">
        <v>6</v>
      </c>
      <c r="E133">
        <v>4</v>
      </c>
      <c r="F133">
        <v>2</v>
      </c>
      <c r="G133">
        <v>2</v>
      </c>
      <c r="H133">
        <v>3</v>
      </c>
      <c r="I133">
        <v>89</v>
      </c>
      <c r="J133">
        <v>29</v>
      </c>
      <c r="K133">
        <v>58</v>
      </c>
      <c r="L133">
        <v>19</v>
      </c>
      <c r="M133">
        <v>97</v>
      </c>
      <c r="N133">
        <f t="shared" si="2"/>
        <v>0</v>
      </c>
    </row>
    <row r="134" spans="1:14" hidden="1" x14ac:dyDescent="0.25">
      <c r="A134" s="1" t="s">
        <v>215</v>
      </c>
      <c r="B134" s="1" t="s">
        <v>216</v>
      </c>
      <c r="C134">
        <v>5</v>
      </c>
      <c r="D134">
        <v>6</v>
      </c>
      <c r="E134">
        <v>5</v>
      </c>
      <c r="F134">
        <v>3</v>
      </c>
      <c r="G134">
        <v>5</v>
      </c>
      <c r="H134">
        <v>3</v>
      </c>
      <c r="I134">
        <v>61</v>
      </c>
      <c r="J134">
        <v>95</v>
      </c>
      <c r="K134">
        <v>36</v>
      </c>
      <c r="L134">
        <v>86</v>
      </c>
      <c r="M134">
        <v>36</v>
      </c>
      <c r="N134">
        <f t="shared" si="2"/>
        <v>0</v>
      </c>
    </row>
    <row r="135" spans="1:14" hidden="1" x14ac:dyDescent="0.25">
      <c r="A135" s="1" t="s">
        <v>217</v>
      </c>
      <c r="B135" s="1" t="s">
        <v>218</v>
      </c>
      <c r="C135">
        <v>7</v>
      </c>
      <c r="D135">
        <v>6</v>
      </c>
      <c r="E135">
        <v>2</v>
      </c>
      <c r="F135">
        <v>3</v>
      </c>
      <c r="G135">
        <v>3</v>
      </c>
      <c r="H135">
        <v>2</v>
      </c>
      <c r="I135">
        <v>2</v>
      </c>
      <c r="J135">
        <v>9</v>
      </c>
      <c r="K135">
        <v>56</v>
      </c>
      <c r="L135">
        <v>86</v>
      </c>
      <c r="M135">
        <v>71</v>
      </c>
      <c r="N135">
        <f t="shared" si="2"/>
        <v>0</v>
      </c>
    </row>
    <row r="136" spans="1:14" hidden="1" x14ac:dyDescent="0.25">
      <c r="A136" s="1" t="s">
        <v>219</v>
      </c>
      <c r="B136" s="1" t="s">
        <v>16</v>
      </c>
      <c r="C136">
        <v>6</v>
      </c>
      <c r="D136">
        <v>2</v>
      </c>
      <c r="E136">
        <v>4</v>
      </c>
      <c r="F136">
        <v>5</v>
      </c>
      <c r="G136">
        <v>6</v>
      </c>
      <c r="H136">
        <v>4</v>
      </c>
      <c r="I136">
        <v>21</v>
      </c>
      <c r="J136">
        <v>73</v>
      </c>
      <c r="K136">
        <v>39</v>
      </c>
      <c r="L136">
        <v>28</v>
      </c>
      <c r="M136">
        <v>25</v>
      </c>
      <c r="N136">
        <f t="shared" si="2"/>
        <v>0</v>
      </c>
    </row>
    <row r="137" spans="1:14" hidden="1" x14ac:dyDescent="0.25">
      <c r="A137" s="1" t="s">
        <v>220</v>
      </c>
      <c r="B137" s="1" t="s">
        <v>130</v>
      </c>
      <c r="C137">
        <v>0</v>
      </c>
      <c r="D137">
        <v>5</v>
      </c>
      <c r="E137">
        <v>2</v>
      </c>
      <c r="F137">
        <v>4</v>
      </c>
      <c r="G137">
        <v>3</v>
      </c>
      <c r="H137">
        <v>3</v>
      </c>
      <c r="I137">
        <v>52</v>
      </c>
      <c r="J137">
        <v>74</v>
      </c>
      <c r="K137">
        <v>79</v>
      </c>
      <c r="L137">
        <v>92</v>
      </c>
      <c r="M137">
        <v>69</v>
      </c>
      <c r="N137">
        <f t="shared" si="2"/>
        <v>0</v>
      </c>
    </row>
    <row r="138" spans="1:14" hidden="1" x14ac:dyDescent="0.25">
      <c r="A138" s="1" t="s">
        <v>221</v>
      </c>
      <c r="B138" s="1" t="s">
        <v>222</v>
      </c>
      <c r="C138">
        <v>1</v>
      </c>
      <c r="D138">
        <v>2</v>
      </c>
      <c r="E138">
        <v>2</v>
      </c>
      <c r="F138">
        <v>4</v>
      </c>
      <c r="G138">
        <v>5</v>
      </c>
      <c r="H138">
        <v>3</v>
      </c>
      <c r="I138">
        <v>97</v>
      </c>
      <c r="J138">
        <v>51</v>
      </c>
      <c r="K138">
        <v>38</v>
      </c>
      <c r="L138">
        <v>17</v>
      </c>
      <c r="M138">
        <v>5</v>
      </c>
      <c r="N138">
        <f t="shared" si="2"/>
        <v>0</v>
      </c>
    </row>
    <row r="139" spans="1:14" hidden="1" x14ac:dyDescent="0.25">
      <c r="A139" s="1" t="s">
        <v>223</v>
      </c>
      <c r="B139" s="1" t="s">
        <v>145</v>
      </c>
      <c r="C139">
        <v>3</v>
      </c>
      <c r="D139">
        <v>3</v>
      </c>
      <c r="E139">
        <v>2</v>
      </c>
      <c r="F139">
        <v>5</v>
      </c>
      <c r="G139">
        <v>3</v>
      </c>
      <c r="H139">
        <v>5</v>
      </c>
      <c r="I139">
        <v>68</v>
      </c>
      <c r="J139">
        <v>38</v>
      </c>
      <c r="K139">
        <v>31</v>
      </c>
      <c r="L139">
        <v>14</v>
      </c>
      <c r="M139">
        <v>54</v>
      </c>
      <c r="N139">
        <f t="shared" si="2"/>
        <v>0</v>
      </c>
    </row>
    <row r="140" spans="1:14" hidden="1" x14ac:dyDescent="0.25">
      <c r="A140" s="1" t="s">
        <v>224</v>
      </c>
      <c r="B140" s="1" t="s">
        <v>225</v>
      </c>
      <c r="C140">
        <v>7</v>
      </c>
      <c r="D140">
        <v>6</v>
      </c>
      <c r="E140">
        <v>2</v>
      </c>
      <c r="F140">
        <v>5</v>
      </c>
      <c r="G140">
        <v>6</v>
      </c>
      <c r="H140">
        <v>5</v>
      </c>
      <c r="I140">
        <v>19</v>
      </c>
      <c r="J140">
        <v>56</v>
      </c>
      <c r="K140">
        <v>50</v>
      </c>
      <c r="L140">
        <v>43</v>
      </c>
      <c r="M140">
        <v>66</v>
      </c>
      <c r="N140">
        <f t="shared" si="2"/>
        <v>0</v>
      </c>
    </row>
    <row r="141" spans="1:14" hidden="1" x14ac:dyDescent="0.25">
      <c r="A141" s="1" t="s">
        <v>226</v>
      </c>
      <c r="B141" s="1" t="s">
        <v>74</v>
      </c>
      <c r="C141">
        <v>6</v>
      </c>
      <c r="D141">
        <v>6</v>
      </c>
      <c r="E141">
        <v>5</v>
      </c>
      <c r="F141">
        <v>3</v>
      </c>
      <c r="G141">
        <v>2</v>
      </c>
      <c r="H141">
        <v>3</v>
      </c>
      <c r="I141">
        <v>16</v>
      </c>
      <c r="J141">
        <v>95</v>
      </c>
      <c r="K141">
        <v>97</v>
      </c>
      <c r="L141">
        <v>62</v>
      </c>
      <c r="M141">
        <v>46</v>
      </c>
      <c r="N141">
        <f t="shared" si="2"/>
        <v>0</v>
      </c>
    </row>
    <row r="142" spans="1:14" hidden="1" x14ac:dyDescent="0.25">
      <c r="A142" s="1" t="s">
        <v>227</v>
      </c>
      <c r="B142" s="1" t="s">
        <v>78</v>
      </c>
      <c r="C142">
        <v>6</v>
      </c>
      <c r="D142">
        <v>5</v>
      </c>
      <c r="E142">
        <v>3</v>
      </c>
      <c r="F142">
        <v>2</v>
      </c>
      <c r="G142">
        <v>3</v>
      </c>
      <c r="H142">
        <v>5</v>
      </c>
      <c r="I142">
        <v>55</v>
      </c>
      <c r="J142">
        <v>2</v>
      </c>
      <c r="K142">
        <v>64</v>
      </c>
      <c r="L142">
        <v>13</v>
      </c>
      <c r="M142">
        <v>72</v>
      </c>
      <c r="N142">
        <f t="shared" si="2"/>
        <v>0</v>
      </c>
    </row>
    <row r="143" spans="1:14" hidden="1" x14ac:dyDescent="0.25">
      <c r="A143" s="1" t="s">
        <v>228</v>
      </c>
      <c r="B143" s="1" t="s">
        <v>166</v>
      </c>
      <c r="C143">
        <v>6</v>
      </c>
      <c r="D143">
        <v>2</v>
      </c>
      <c r="E143">
        <v>4</v>
      </c>
      <c r="F143">
        <v>3</v>
      </c>
      <c r="G143">
        <v>3</v>
      </c>
      <c r="H143">
        <v>2</v>
      </c>
      <c r="I143">
        <v>54</v>
      </c>
      <c r="J143">
        <v>83</v>
      </c>
      <c r="K143">
        <v>36</v>
      </c>
      <c r="L143">
        <v>27</v>
      </c>
      <c r="M143">
        <v>21</v>
      </c>
      <c r="N143">
        <f t="shared" si="2"/>
        <v>0</v>
      </c>
    </row>
    <row r="144" spans="1:14" hidden="1" x14ac:dyDescent="0.25">
      <c r="A144" s="1" t="s">
        <v>229</v>
      </c>
      <c r="B144" s="1" t="s">
        <v>174</v>
      </c>
      <c r="C144">
        <v>1</v>
      </c>
      <c r="D144">
        <v>5</v>
      </c>
      <c r="E144">
        <v>2</v>
      </c>
      <c r="F144">
        <v>2</v>
      </c>
      <c r="G144">
        <v>4</v>
      </c>
      <c r="H144">
        <v>5</v>
      </c>
      <c r="I144">
        <v>19</v>
      </c>
      <c r="J144">
        <v>92</v>
      </c>
      <c r="K144">
        <v>24</v>
      </c>
      <c r="L144">
        <v>32</v>
      </c>
      <c r="M144">
        <v>91</v>
      </c>
      <c r="N144">
        <f t="shared" si="2"/>
        <v>0</v>
      </c>
    </row>
    <row r="145" spans="1:14" hidden="1" x14ac:dyDescent="0.25">
      <c r="A145" s="1" t="s">
        <v>230</v>
      </c>
      <c r="B145" s="1" t="s">
        <v>137</v>
      </c>
      <c r="C145">
        <v>7</v>
      </c>
      <c r="D145">
        <v>3</v>
      </c>
      <c r="E145">
        <v>2</v>
      </c>
      <c r="F145">
        <v>3</v>
      </c>
      <c r="G145">
        <v>5</v>
      </c>
      <c r="H145">
        <v>6</v>
      </c>
      <c r="I145">
        <v>25</v>
      </c>
      <c r="J145">
        <v>14</v>
      </c>
      <c r="K145">
        <v>19</v>
      </c>
      <c r="L145">
        <v>95</v>
      </c>
      <c r="M145">
        <v>91</v>
      </c>
      <c r="N145">
        <f t="shared" si="2"/>
        <v>0</v>
      </c>
    </row>
    <row r="146" spans="1:14" hidden="1" x14ac:dyDescent="0.25">
      <c r="A146" s="1" t="s">
        <v>231</v>
      </c>
      <c r="B146" s="1" t="s">
        <v>232</v>
      </c>
      <c r="C146">
        <v>8</v>
      </c>
      <c r="D146">
        <v>4</v>
      </c>
      <c r="E146">
        <v>3</v>
      </c>
      <c r="F146">
        <v>2</v>
      </c>
      <c r="G146">
        <v>3</v>
      </c>
      <c r="H146">
        <v>4</v>
      </c>
      <c r="I146">
        <v>37</v>
      </c>
      <c r="J146">
        <v>69</v>
      </c>
      <c r="K146">
        <v>12</v>
      </c>
      <c r="L146">
        <v>17</v>
      </c>
      <c r="M146">
        <v>48</v>
      </c>
      <c r="N146">
        <f t="shared" si="2"/>
        <v>0</v>
      </c>
    </row>
    <row r="147" spans="1:14" hidden="1" x14ac:dyDescent="0.25">
      <c r="A147" s="1" t="s">
        <v>233</v>
      </c>
      <c r="B147" s="1" t="s">
        <v>145</v>
      </c>
      <c r="C147">
        <v>3</v>
      </c>
      <c r="D147">
        <v>6</v>
      </c>
      <c r="E147">
        <v>6</v>
      </c>
      <c r="F147">
        <v>6</v>
      </c>
      <c r="G147">
        <v>3</v>
      </c>
      <c r="H147">
        <v>4</v>
      </c>
      <c r="I147">
        <v>79</v>
      </c>
      <c r="J147">
        <v>23</v>
      </c>
      <c r="K147">
        <v>17</v>
      </c>
      <c r="L147">
        <v>99</v>
      </c>
      <c r="M147">
        <v>29</v>
      </c>
      <c r="N147">
        <f t="shared" si="2"/>
        <v>0</v>
      </c>
    </row>
    <row r="148" spans="1:14" hidden="1" x14ac:dyDescent="0.25">
      <c r="A148" s="1" t="s">
        <v>234</v>
      </c>
      <c r="B148" s="1" t="s">
        <v>159</v>
      </c>
      <c r="C148">
        <v>4</v>
      </c>
      <c r="D148">
        <v>5</v>
      </c>
      <c r="E148">
        <v>2</v>
      </c>
      <c r="F148">
        <v>5</v>
      </c>
      <c r="G148">
        <v>4</v>
      </c>
      <c r="H148">
        <v>3</v>
      </c>
      <c r="I148">
        <v>41</v>
      </c>
      <c r="J148">
        <v>64</v>
      </c>
      <c r="K148">
        <v>91</v>
      </c>
      <c r="L148">
        <v>82</v>
      </c>
      <c r="M148">
        <v>100</v>
      </c>
      <c r="N148">
        <f t="shared" si="2"/>
        <v>1</v>
      </c>
    </row>
    <row r="149" spans="1:14" hidden="1" x14ac:dyDescent="0.25">
      <c r="A149" s="1" t="s">
        <v>235</v>
      </c>
      <c r="B149" s="1" t="s">
        <v>101</v>
      </c>
      <c r="C149">
        <v>5</v>
      </c>
      <c r="D149">
        <v>4</v>
      </c>
      <c r="E149">
        <v>5</v>
      </c>
      <c r="F149">
        <v>2</v>
      </c>
      <c r="G149">
        <v>3</v>
      </c>
      <c r="H149">
        <v>2</v>
      </c>
      <c r="I149">
        <v>87</v>
      </c>
      <c r="J149">
        <v>45</v>
      </c>
      <c r="K149">
        <v>47</v>
      </c>
      <c r="L149">
        <v>75</v>
      </c>
      <c r="M149">
        <v>51</v>
      </c>
      <c r="N149">
        <f t="shared" si="2"/>
        <v>0</v>
      </c>
    </row>
    <row r="150" spans="1:14" hidden="1" x14ac:dyDescent="0.25">
      <c r="A150" s="1" t="s">
        <v>236</v>
      </c>
      <c r="B150" s="1" t="s">
        <v>90</v>
      </c>
      <c r="C150">
        <v>8</v>
      </c>
      <c r="D150">
        <v>3</v>
      </c>
      <c r="E150">
        <v>6</v>
      </c>
      <c r="F150">
        <v>3</v>
      </c>
      <c r="G150">
        <v>6</v>
      </c>
      <c r="H150">
        <v>2</v>
      </c>
      <c r="I150">
        <v>84</v>
      </c>
      <c r="J150">
        <v>77</v>
      </c>
      <c r="K150">
        <v>71</v>
      </c>
      <c r="L150">
        <v>71</v>
      </c>
      <c r="M150">
        <v>9</v>
      </c>
      <c r="N150">
        <f t="shared" si="2"/>
        <v>0</v>
      </c>
    </row>
    <row r="151" spans="1:14" hidden="1" x14ac:dyDescent="0.25">
      <c r="A151" s="1" t="s">
        <v>237</v>
      </c>
      <c r="B151" s="1" t="s">
        <v>90</v>
      </c>
      <c r="C151">
        <v>1</v>
      </c>
      <c r="D151">
        <v>2</v>
      </c>
      <c r="E151">
        <v>4</v>
      </c>
      <c r="F151">
        <v>4</v>
      </c>
      <c r="G151">
        <v>5</v>
      </c>
      <c r="H151">
        <v>5</v>
      </c>
      <c r="I151">
        <v>20</v>
      </c>
      <c r="J151">
        <v>93</v>
      </c>
      <c r="K151">
        <v>68</v>
      </c>
      <c r="L151">
        <v>58</v>
      </c>
      <c r="M151">
        <v>23</v>
      </c>
      <c r="N151">
        <f t="shared" si="2"/>
        <v>0</v>
      </c>
    </row>
    <row r="152" spans="1:14" hidden="1" x14ac:dyDescent="0.25">
      <c r="A152" s="1" t="s">
        <v>238</v>
      </c>
      <c r="B152" s="1" t="s">
        <v>239</v>
      </c>
      <c r="C152">
        <v>7</v>
      </c>
      <c r="D152">
        <v>5</v>
      </c>
      <c r="E152">
        <v>6</v>
      </c>
      <c r="F152">
        <v>6</v>
      </c>
      <c r="G152">
        <v>2</v>
      </c>
      <c r="H152">
        <v>5</v>
      </c>
      <c r="I152">
        <v>80</v>
      </c>
      <c r="J152">
        <v>90</v>
      </c>
      <c r="K152">
        <v>62</v>
      </c>
      <c r="L152">
        <v>97</v>
      </c>
      <c r="M152">
        <v>3</v>
      </c>
      <c r="N152">
        <f t="shared" si="2"/>
        <v>0</v>
      </c>
    </row>
    <row r="153" spans="1:14" hidden="1" x14ac:dyDescent="0.25">
      <c r="A153" s="1" t="s">
        <v>240</v>
      </c>
      <c r="B153" s="1" t="s">
        <v>232</v>
      </c>
      <c r="C153">
        <v>6</v>
      </c>
      <c r="D153">
        <v>6</v>
      </c>
      <c r="E153">
        <v>6</v>
      </c>
      <c r="F153">
        <v>4</v>
      </c>
      <c r="G153">
        <v>4</v>
      </c>
      <c r="H153">
        <v>5</v>
      </c>
      <c r="I153">
        <v>77</v>
      </c>
      <c r="J153">
        <v>40</v>
      </c>
      <c r="K153">
        <v>93</v>
      </c>
      <c r="L153">
        <v>80</v>
      </c>
      <c r="M153">
        <v>71</v>
      </c>
      <c r="N153">
        <f t="shared" si="2"/>
        <v>0</v>
      </c>
    </row>
    <row r="154" spans="1:14" hidden="1" x14ac:dyDescent="0.25">
      <c r="A154" s="1" t="s">
        <v>241</v>
      </c>
      <c r="B154" s="1" t="s">
        <v>242</v>
      </c>
      <c r="C154">
        <v>4</v>
      </c>
      <c r="D154">
        <v>6</v>
      </c>
      <c r="E154">
        <v>5</v>
      </c>
      <c r="F154">
        <v>3</v>
      </c>
      <c r="G154">
        <v>5</v>
      </c>
      <c r="H154">
        <v>4</v>
      </c>
      <c r="I154">
        <v>65</v>
      </c>
      <c r="J154">
        <v>34</v>
      </c>
      <c r="K154">
        <v>51</v>
      </c>
      <c r="L154">
        <v>38</v>
      </c>
      <c r="M154">
        <v>65</v>
      </c>
      <c r="N154">
        <f t="shared" si="2"/>
        <v>0</v>
      </c>
    </row>
    <row r="155" spans="1:14" hidden="1" x14ac:dyDescent="0.25">
      <c r="A155" s="1" t="s">
        <v>243</v>
      </c>
      <c r="B155" s="1" t="s">
        <v>244</v>
      </c>
      <c r="C155">
        <v>0</v>
      </c>
      <c r="D155">
        <v>6</v>
      </c>
      <c r="E155">
        <v>4</v>
      </c>
      <c r="F155">
        <v>3</v>
      </c>
      <c r="G155">
        <v>3</v>
      </c>
      <c r="H155">
        <v>2</v>
      </c>
      <c r="I155">
        <v>62</v>
      </c>
      <c r="J155">
        <v>62</v>
      </c>
      <c r="K155">
        <v>86</v>
      </c>
      <c r="L155">
        <v>10</v>
      </c>
      <c r="M155">
        <v>2</v>
      </c>
      <c r="N155">
        <f t="shared" si="2"/>
        <v>0</v>
      </c>
    </row>
    <row r="156" spans="1:14" hidden="1" x14ac:dyDescent="0.25">
      <c r="A156" s="1" t="s">
        <v>245</v>
      </c>
      <c r="B156" s="1" t="s">
        <v>246</v>
      </c>
      <c r="C156">
        <v>8</v>
      </c>
      <c r="D156">
        <v>5</v>
      </c>
      <c r="E156">
        <v>4</v>
      </c>
      <c r="F156">
        <v>2</v>
      </c>
      <c r="G156">
        <v>4</v>
      </c>
      <c r="H156">
        <v>2</v>
      </c>
      <c r="I156">
        <v>70</v>
      </c>
      <c r="J156">
        <v>4</v>
      </c>
      <c r="K156">
        <v>92</v>
      </c>
      <c r="L156">
        <v>91</v>
      </c>
      <c r="M156">
        <v>21</v>
      </c>
      <c r="N156">
        <f t="shared" si="2"/>
        <v>0</v>
      </c>
    </row>
    <row r="157" spans="1:14" hidden="1" x14ac:dyDescent="0.25">
      <c r="A157" s="1" t="s">
        <v>247</v>
      </c>
      <c r="B157" s="1" t="s">
        <v>164</v>
      </c>
      <c r="C157">
        <v>1</v>
      </c>
      <c r="D157">
        <v>2</v>
      </c>
      <c r="E157">
        <v>6</v>
      </c>
      <c r="F157">
        <v>5</v>
      </c>
      <c r="G157">
        <v>6</v>
      </c>
      <c r="H157">
        <v>4</v>
      </c>
      <c r="I157">
        <v>66</v>
      </c>
      <c r="J157">
        <v>78</v>
      </c>
      <c r="K157">
        <v>26</v>
      </c>
      <c r="L157">
        <v>98</v>
      </c>
      <c r="M157">
        <v>56</v>
      </c>
      <c r="N157">
        <f t="shared" si="2"/>
        <v>0</v>
      </c>
    </row>
    <row r="158" spans="1:14" hidden="1" x14ac:dyDescent="0.25">
      <c r="A158" s="1" t="s">
        <v>248</v>
      </c>
      <c r="B158" s="1" t="s">
        <v>249</v>
      </c>
      <c r="C158">
        <v>3</v>
      </c>
      <c r="D158">
        <v>4</v>
      </c>
      <c r="E158">
        <v>6</v>
      </c>
      <c r="F158">
        <v>2</v>
      </c>
      <c r="G158">
        <v>2</v>
      </c>
      <c r="H158">
        <v>5</v>
      </c>
      <c r="I158">
        <v>54</v>
      </c>
      <c r="J158">
        <v>12</v>
      </c>
      <c r="K158">
        <v>13</v>
      </c>
      <c r="L158">
        <v>21</v>
      </c>
      <c r="M158">
        <v>24</v>
      </c>
      <c r="N158">
        <f t="shared" si="2"/>
        <v>0</v>
      </c>
    </row>
    <row r="159" spans="1:14" hidden="1" x14ac:dyDescent="0.25">
      <c r="A159" s="1" t="s">
        <v>250</v>
      </c>
      <c r="B159" s="1" t="s">
        <v>251</v>
      </c>
      <c r="C159">
        <v>6</v>
      </c>
      <c r="D159">
        <v>2</v>
      </c>
      <c r="E159">
        <v>3</v>
      </c>
      <c r="F159">
        <v>3</v>
      </c>
      <c r="G159">
        <v>3</v>
      </c>
      <c r="H159">
        <v>6</v>
      </c>
      <c r="I159">
        <v>27</v>
      </c>
      <c r="J159">
        <v>2</v>
      </c>
      <c r="K159">
        <v>84</v>
      </c>
      <c r="L159">
        <v>100</v>
      </c>
      <c r="M159">
        <v>27</v>
      </c>
      <c r="N159">
        <f t="shared" si="2"/>
        <v>1</v>
      </c>
    </row>
    <row r="160" spans="1:14" hidden="1" x14ac:dyDescent="0.25">
      <c r="A160" s="1" t="s">
        <v>252</v>
      </c>
      <c r="B160" s="1" t="s">
        <v>253</v>
      </c>
      <c r="C160">
        <v>1</v>
      </c>
      <c r="D160">
        <v>4</v>
      </c>
      <c r="E160">
        <v>6</v>
      </c>
      <c r="F160">
        <v>6</v>
      </c>
      <c r="G160">
        <v>2</v>
      </c>
      <c r="H160">
        <v>3</v>
      </c>
      <c r="I160">
        <v>43</v>
      </c>
      <c r="J160">
        <v>77</v>
      </c>
      <c r="K160">
        <v>31</v>
      </c>
      <c r="L160">
        <v>88</v>
      </c>
      <c r="M160">
        <v>67</v>
      </c>
      <c r="N160">
        <f t="shared" si="2"/>
        <v>0</v>
      </c>
    </row>
    <row r="161" spans="1:14" hidden="1" x14ac:dyDescent="0.25">
      <c r="A161" s="1" t="s">
        <v>254</v>
      </c>
      <c r="B161" s="1" t="s">
        <v>28</v>
      </c>
      <c r="C161">
        <v>3</v>
      </c>
      <c r="D161">
        <v>6</v>
      </c>
      <c r="E161">
        <v>6</v>
      </c>
      <c r="F161">
        <v>4</v>
      </c>
      <c r="G161">
        <v>3</v>
      </c>
      <c r="H161">
        <v>6</v>
      </c>
      <c r="I161">
        <v>63</v>
      </c>
      <c r="J161">
        <v>36</v>
      </c>
      <c r="K161">
        <v>68</v>
      </c>
      <c r="L161">
        <v>19</v>
      </c>
      <c r="M161">
        <v>39</v>
      </c>
      <c r="N161">
        <f t="shared" si="2"/>
        <v>0</v>
      </c>
    </row>
    <row r="162" spans="1:14" hidden="1" x14ac:dyDescent="0.25">
      <c r="A162" s="1" t="s">
        <v>255</v>
      </c>
      <c r="B162" s="1" t="s">
        <v>222</v>
      </c>
      <c r="C162">
        <v>1</v>
      </c>
      <c r="D162">
        <v>2</v>
      </c>
      <c r="E162">
        <v>6</v>
      </c>
      <c r="F162">
        <v>4</v>
      </c>
      <c r="G162">
        <v>2</v>
      </c>
      <c r="H162">
        <v>2</v>
      </c>
      <c r="I162">
        <v>32</v>
      </c>
      <c r="J162">
        <v>18</v>
      </c>
      <c r="K162">
        <v>1</v>
      </c>
      <c r="L162">
        <v>56</v>
      </c>
      <c r="M162">
        <v>7</v>
      </c>
      <c r="N162">
        <f t="shared" si="2"/>
        <v>0</v>
      </c>
    </row>
    <row r="163" spans="1:14" hidden="1" x14ac:dyDescent="0.25">
      <c r="A163" s="1" t="s">
        <v>256</v>
      </c>
      <c r="B163" s="1" t="s">
        <v>78</v>
      </c>
      <c r="C163">
        <v>4</v>
      </c>
      <c r="D163">
        <v>3</v>
      </c>
      <c r="E163">
        <v>3</v>
      </c>
      <c r="F163">
        <v>2</v>
      </c>
      <c r="G163">
        <v>6</v>
      </c>
      <c r="H163">
        <v>2</v>
      </c>
      <c r="I163">
        <v>60</v>
      </c>
      <c r="J163">
        <v>64</v>
      </c>
      <c r="K163">
        <v>100</v>
      </c>
      <c r="L163">
        <v>38</v>
      </c>
      <c r="M163">
        <v>70</v>
      </c>
      <c r="N163">
        <f t="shared" si="2"/>
        <v>1</v>
      </c>
    </row>
    <row r="164" spans="1:14" hidden="1" x14ac:dyDescent="0.25">
      <c r="A164" s="1" t="s">
        <v>257</v>
      </c>
      <c r="B164" s="1" t="s">
        <v>20</v>
      </c>
      <c r="C164">
        <v>0</v>
      </c>
      <c r="D164">
        <v>6</v>
      </c>
      <c r="E164">
        <v>6</v>
      </c>
      <c r="F164">
        <v>5</v>
      </c>
      <c r="G164">
        <v>3</v>
      </c>
      <c r="H164">
        <v>2</v>
      </c>
      <c r="I164">
        <v>39</v>
      </c>
      <c r="J164">
        <v>66</v>
      </c>
      <c r="K164">
        <v>84</v>
      </c>
      <c r="L164">
        <v>47</v>
      </c>
      <c r="M164">
        <v>21</v>
      </c>
      <c r="N164">
        <f t="shared" si="2"/>
        <v>0</v>
      </c>
    </row>
    <row r="165" spans="1:14" hidden="1" x14ac:dyDescent="0.25">
      <c r="A165" s="1" t="s">
        <v>258</v>
      </c>
      <c r="B165" s="1" t="s">
        <v>180</v>
      </c>
      <c r="C165">
        <v>2</v>
      </c>
      <c r="D165">
        <v>2</v>
      </c>
      <c r="E165">
        <v>5</v>
      </c>
      <c r="F165">
        <v>2</v>
      </c>
      <c r="G165">
        <v>3</v>
      </c>
      <c r="H165">
        <v>3</v>
      </c>
      <c r="I165">
        <v>11</v>
      </c>
      <c r="J165">
        <v>88</v>
      </c>
      <c r="K165">
        <v>90</v>
      </c>
      <c r="L165">
        <v>20</v>
      </c>
      <c r="M165">
        <v>65</v>
      </c>
      <c r="N165">
        <f t="shared" si="2"/>
        <v>0</v>
      </c>
    </row>
    <row r="166" spans="1:14" hidden="1" x14ac:dyDescent="0.25">
      <c r="A166" s="1" t="s">
        <v>259</v>
      </c>
      <c r="B166" s="1" t="s">
        <v>260</v>
      </c>
      <c r="C166">
        <v>2</v>
      </c>
      <c r="D166">
        <v>5</v>
      </c>
      <c r="E166">
        <v>5</v>
      </c>
      <c r="F166">
        <v>2</v>
      </c>
      <c r="G166">
        <v>6</v>
      </c>
      <c r="H166">
        <v>2</v>
      </c>
      <c r="I166">
        <v>79</v>
      </c>
      <c r="J166">
        <v>66</v>
      </c>
      <c r="K166">
        <v>91</v>
      </c>
      <c r="L166">
        <v>30</v>
      </c>
      <c r="M166">
        <v>90</v>
      </c>
      <c r="N166">
        <f t="shared" si="2"/>
        <v>0</v>
      </c>
    </row>
    <row r="167" spans="1:14" hidden="1" x14ac:dyDescent="0.25">
      <c r="A167" s="1" t="s">
        <v>261</v>
      </c>
      <c r="B167" s="1" t="s">
        <v>218</v>
      </c>
      <c r="C167">
        <v>5</v>
      </c>
      <c r="D167">
        <v>3</v>
      </c>
      <c r="E167">
        <v>6</v>
      </c>
      <c r="F167">
        <v>3</v>
      </c>
      <c r="G167">
        <v>3</v>
      </c>
      <c r="H167">
        <v>5</v>
      </c>
      <c r="I167">
        <v>15</v>
      </c>
      <c r="J167">
        <v>21</v>
      </c>
      <c r="K167">
        <v>66</v>
      </c>
      <c r="L167">
        <v>55</v>
      </c>
      <c r="M167">
        <v>90</v>
      </c>
      <c r="N167">
        <f t="shared" si="2"/>
        <v>0</v>
      </c>
    </row>
    <row r="168" spans="1:14" hidden="1" x14ac:dyDescent="0.25">
      <c r="A168" s="1" t="s">
        <v>262</v>
      </c>
      <c r="B168" s="1" t="s">
        <v>41</v>
      </c>
      <c r="C168">
        <v>4</v>
      </c>
      <c r="D168">
        <v>3</v>
      </c>
      <c r="E168">
        <v>6</v>
      </c>
      <c r="F168">
        <v>6</v>
      </c>
      <c r="G168">
        <v>4</v>
      </c>
      <c r="H168">
        <v>4</v>
      </c>
      <c r="I168">
        <v>15</v>
      </c>
      <c r="J168">
        <v>36</v>
      </c>
      <c r="K168">
        <v>51</v>
      </c>
      <c r="L168">
        <v>10</v>
      </c>
      <c r="M168">
        <v>68</v>
      </c>
      <c r="N168">
        <f t="shared" si="2"/>
        <v>0</v>
      </c>
    </row>
    <row r="169" spans="1:14" hidden="1" x14ac:dyDescent="0.25">
      <c r="A169" s="1" t="s">
        <v>263</v>
      </c>
      <c r="B169" s="1" t="s">
        <v>78</v>
      </c>
      <c r="C169">
        <v>5</v>
      </c>
      <c r="D169">
        <v>5</v>
      </c>
      <c r="E169">
        <v>6</v>
      </c>
      <c r="F169">
        <v>6</v>
      </c>
      <c r="G169">
        <v>6</v>
      </c>
      <c r="H169">
        <v>6</v>
      </c>
      <c r="I169">
        <v>63</v>
      </c>
      <c r="J169">
        <v>88</v>
      </c>
      <c r="K169">
        <v>72</v>
      </c>
      <c r="L169">
        <v>90</v>
      </c>
      <c r="M169">
        <v>83</v>
      </c>
      <c r="N169">
        <f t="shared" si="2"/>
        <v>0</v>
      </c>
    </row>
    <row r="170" spans="1:14" hidden="1" x14ac:dyDescent="0.25">
      <c r="A170" s="1" t="s">
        <v>264</v>
      </c>
      <c r="B170" s="1" t="s">
        <v>246</v>
      </c>
      <c r="C170">
        <v>8</v>
      </c>
      <c r="D170">
        <v>3</v>
      </c>
      <c r="E170">
        <v>5</v>
      </c>
      <c r="F170">
        <v>5</v>
      </c>
      <c r="G170">
        <v>5</v>
      </c>
      <c r="H170">
        <v>6</v>
      </c>
      <c r="I170">
        <v>55</v>
      </c>
      <c r="J170">
        <v>10</v>
      </c>
      <c r="K170">
        <v>80</v>
      </c>
      <c r="L170">
        <v>8</v>
      </c>
      <c r="M170">
        <v>78</v>
      </c>
      <c r="N170">
        <f t="shared" si="2"/>
        <v>0</v>
      </c>
    </row>
    <row r="171" spans="1:14" hidden="1" x14ac:dyDescent="0.25">
      <c r="A171" s="1" t="s">
        <v>265</v>
      </c>
      <c r="B171" s="1" t="s">
        <v>16</v>
      </c>
      <c r="C171">
        <v>7</v>
      </c>
      <c r="D171">
        <v>3</v>
      </c>
      <c r="E171">
        <v>5</v>
      </c>
      <c r="F171">
        <v>4</v>
      </c>
      <c r="G171">
        <v>5</v>
      </c>
      <c r="H171">
        <v>6</v>
      </c>
      <c r="I171">
        <v>24</v>
      </c>
      <c r="J171">
        <v>82</v>
      </c>
      <c r="K171">
        <v>37</v>
      </c>
      <c r="L171">
        <v>7</v>
      </c>
      <c r="M171">
        <v>12</v>
      </c>
      <c r="N171">
        <f t="shared" si="2"/>
        <v>0</v>
      </c>
    </row>
    <row r="172" spans="1:14" hidden="1" x14ac:dyDescent="0.25">
      <c r="A172" s="1" t="s">
        <v>266</v>
      </c>
      <c r="B172" s="1" t="s">
        <v>199</v>
      </c>
      <c r="C172">
        <v>0</v>
      </c>
      <c r="D172">
        <v>2</v>
      </c>
      <c r="E172">
        <v>3</v>
      </c>
      <c r="F172">
        <v>4</v>
      </c>
      <c r="G172">
        <v>6</v>
      </c>
      <c r="H172">
        <v>6</v>
      </c>
      <c r="I172">
        <v>19</v>
      </c>
      <c r="J172">
        <v>82</v>
      </c>
      <c r="K172">
        <v>75</v>
      </c>
      <c r="L172">
        <v>35</v>
      </c>
      <c r="M172">
        <v>75</v>
      </c>
      <c r="N172">
        <f t="shared" si="2"/>
        <v>0</v>
      </c>
    </row>
    <row r="173" spans="1:14" hidden="1" x14ac:dyDescent="0.25">
      <c r="A173" s="1" t="s">
        <v>267</v>
      </c>
      <c r="B173" s="1" t="s">
        <v>239</v>
      </c>
      <c r="C173">
        <v>5</v>
      </c>
      <c r="D173">
        <v>3</v>
      </c>
      <c r="E173">
        <v>5</v>
      </c>
      <c r="F173">
        <v>3</v>
      </c>
      <c r="G173">
        <v>3</v>
      </c>
      <c r="H173">
        <v>2</v>
      </c>
      <c r="I173">
        <v>33</v>
      </c>
      <c r="J173">
        <v>10</v>
      </c>
      <c r="K173">
        <v>92</v>
      </c>
      <c r="L173">
        <v>74</v>
      </c>
      <c r="M173">
        <v>79</v>
      </c>
      <c r="N173">
        <f t="shared" si="2"/>
        <v>0</v>
      </c>
    </row>
    <row r="174" spans="1:14" hidden="1" x14ac:dyDescent="0.25">
      <c r="A174" s="1" t="s">
        <v>268</v>
      </c>
      <c r="B174" s="1" t="s">
        <v>101</v>
      </c>
      <c r="C174">
        <v>4</v>
      </c>
      <c r="D174">
        <v>5</v>
      </c>
      <c r="E174">
        <v>5</v>
      </c>
      <c r="F174">
        <v>3</v>
      </c>
      <c r="G174">
        <v>4</v>
      </c>
      <c r="H174">
        <v>4</v>
      </c>
      <c r="I174">
        <v>94</v>
      </c>
      <c r="J174">
        <v>21</v>
      </c>
      <c r="K174">
        <v>58</v>
      </c>
      <c r="L174">
        <v>60</v>
      </c>
      <c r="M174">
        <v>36</v>
      </c>
      <c r="N174">
        <f t="shared" si="2"/>
        <v>0</v>
      </c>
    </row>
    <row r="175" spans="1:14" hidden="1" x14ac:dyDescent="0.25">
      <c r="A175" s="1" t="s">
        <v>269</v>
      </c>
      <c r="B175" s="1" t="s">
        <v>205</v>
      </c>
      <c r="C175">
        <v>1</v>
      </c>
      <c r="D175">
        <v>2</v>
      </c>
      <c r="E175">
        <v>6</v>
      </c>
      <c r="F175">
        <v>4</v>
      </c>
      <c r="G175">
        <v>6</v>
      </c>
      <c r="H175">
        <v>5</v>
      </c>
      <c r="I175">
        <v>5</v>
      </c>
      <c r="J175">
        <v>79</v>
      </c>
      <c r="K175">
        <v>31</v>
      </c>
      <c r="L175">
        <v>60</v>
      </c>
      <c r="M175">
        <v>44</v>
      </c>
      <c r="N175">
        <f t="shared" si="2"/>
        <v>0</v>
      </c>
    </row>
    <row r="176" spans="1:14" hidden="1" x14ac:dyDescent="0.25">
      <c r="A176" s="1" t="s">
        <v>270</v>
      </c>
      <c r="B176" s="1" t="s">
        <v>210</v>
      </c>
      <c r="C176">
        <v>0</v>
      </c>
      <c r="D176">
        <v>4</v>
      </c>
      <c r="E176">
        <v>4</v>
      </c>
      <c r="F176">
        <v>6</v>
      </c>
      <c r="G176">
        <v>4</v>
      </c>
      <c r="H176">
        <v>4</v>
      </c>
      <c r="I176">
        <v>60</v>
      </c>
      <c r="J176">
        <v>36</v>
      </c>
      <c r="K176">
        <v>6</v>
      </c>
      <c r="L176">
        <v>48</v>
      </c>
      <c r="M176">
        <v>31</v>
      </c>
      <c r="N176">
        <f t="shared" si="2"/>
        <v>0</v>
      </c>
    </row>
    <row r="177" spans="1:14" hidden="1" x14ac:dyDescent="0.25">
      <c r="A177" s="1" t="s">
        <v>271</v>
      </c>
      <c r="B177" s="1" t="s">
        <v>30</v>
      </c>
      <c r="C177">
        <v>6</v>
      </c>
      <c r="D177">
        <v>3</v>
      </c>
      <c r="E177">
        <v>2</v>
      </c>
      <c r="F177">
        <v>2</v>
      </c>
      <c r="G177">
        <v>6</v>
      </c>
      <c r="H177">
        <v>6</v>
      </c>
      <c r="I177">
        <v>47</v>
      </c>
      <c r="J177">
        <v>36</v>
      </c>
      <c r="K177">
        <v>64</v>
      </c>
      <c r="L177">
        <v>67</v>
      </c>
      <c r="M177">
        <v>13</v>
      </c>
      <c r="N177">
        <f t="shared" si="2"/>
        <v>0</v>
      </c>
    </row>
    <row r="178" spans="1:14" hidden="1" x14ac:dyDescent="0.25">
      <c r="A178" s="1" t="s">
        <v>272</v>
      </c>
      <c r="B178" s="1" t="s">
        <v>273</v>
      </c>
      <c r="C178">
        <v>0</v>
      </c>
      <c r="D178">
        <v>5</v>
      </c>
      <c r="E178">
        <v>5</v>
      </c>
      <c r="F178">
        <v>3</v>
      </c>
      <c r="G178">
        <v>3</v>
      </c>
      <c r="H178">
        <v>4</v>
      </c>
      <c r="I178">
        <v>92</v>
      </c>
      <c r="J178">
        <v>58</v>
      </c>
      <c r="K178">
        <v>73</v>
      </c>
      <c r="L178">
        <v>53</v>
      </c>
      <c r="M178">
        <v>68</v>
      </c>
      <c r="N178">
        <f t="shared" si="2"/>
        <v>0</v>
      </c>
    </row>
    <row r="179" spans="1:14" hidden="1" x14ac:dyDescent="0.25">
      <c r="A179" s="1" t="s">
        <v>274</v>
      </c>
      <c r="B179" s="1" t="s">
        <v>16</v>
      </c>
      <c r="C179">
        <v>3</v>
      </c>
      <c r="D179">
        <v>5</v>
      </c>
      <c r="E179">
        <v>4</v>
      </c>
      <c r="F179">
        <v>6</v>
      </c>
      <c r="G179">
        <v>6</v>
      </c>
      <c r="H179">
        <v>4</v>
      </c>
      <c r="I179">
        <v>70</v>
      </c>
      <c r="J179">
        <v>3</v>
      </c>
      <c r="K179">
        <v>92</v>
      </c>
      <c r="L179">
        <v>40</v>
      </c>
      <c r="M179">
        <v>41</v>
      </c>
      <c r="N179">
        <f t="shared" si="2"/>
        <v>0</v>
      </c>
    </row>
    <row r="180" spans="1:14" hidden="1" x14ac:dyDescent="0.25">
      <c r="A180" s="1" t="s">
        <v>275</v>
      </c>
      <c r="B180" s="1" t="s">
        <v>126</v>
      </c>
      <c r="C180">
        <v>5</v>
      </c>
      <c r="D180">
        <v>2</v>
      </c>
      <c r="E180">
        <v>4</v>
      </c>
      <c r="F180">
        <v>6</v>
      </c>
      <c r="G180">
        <v>5</v>
      </c>
      <c r="H180">
        <v>3</v>
      </c>
      <c r="I180">
        <v>78</v>
      </c>
      <c r="J180">
        <v>78</v>
      </c>
      <c r="K180">
        <v>90</v>
      </c>
      <c r="L180">
        <v>83</v>
      </c>
      <c r="M180">
        <v>63</v>
      </c>
      <c r="N180">
        <f t="shared" si="2"/>
        <v>0</v>
      </c>
    </row>
    <row r="181" spans="1:14" hidden="1" x14ac:dyDescent="0.25">
      <c r="A181" s="1" t="s">
        <v>276</v>
      </c>
      <c r="B181" s="1" t="s">
        <v>180</v>
      </c>
      <c r="C181">
        <v>0</v>
      </c>
      <c r="D181">
        <v>6</v>
      </c>
      <c r="E181">
        <v>5</v>
      </c>
      <c r="F181">
        <v>6</v>
      </c>
      <c r="G181">
        <v>6</v>
      </c>
      <c r="H181">
        <v>6</v>
      </c>
      <c r="I181">
        <v>43</v>
      </c>
      <c r="J181">
        <v>3</v>
      </c>
      <c r="K181">
        <v>56</v>
      </c>
      <c r="L181">
        <v>52</v>
      </c>
      <c r="M181">
        <v>41</v>
      </c>
      <c r="N181">
        <f t="shared" si="2"/>
        <v>0</v>
      </c>
    </row>
    <row r="182" spans="1:14" hidden="1" x14ac:dyDescent="0.25">
      <c r="A182" s="1" t="s">
        <v>277</v>
      </c>
      <c r="B182" s="1" t="s">
        <v>161</v>
      </c>
      <c r="C182">
        <v>1</v>
      </c>
      <c r="D182">
        <v>4</v>
      </c>
      <c r="E182">
        <v>4</v>
      </c>
      <c r="F182">
        <v>3</v>
      </c>
      <c r="G182">
        <v>6</v>
      </c>
      <c r="H182">
        <v>6</v>
      </c>
      <c r="I182">
        <v>33</v>
      </c>
      <c r="J182">
        <v>38</v>
      </c>
      <c r="K182">
        <v>27</v>
      </c>
      <c r="L182">
        <v>60</v>
      </c>
      <c r="M182">
        <v>80</v>
      </c>
      <c r="N182">
        <f t="shared" si="2"/>
        <v>0</v>
      </c>
    </row>
    <row r="183" spans="1:14" hidden="1" x14ac:dyDescent="0.25">
      <c r="A183" s="1" t="s">
        <v>278</v>
      </c>
      <c r="B183" s="1" t="s">
        <v>279</v>
      </c>
      <c r="C183">
        <v>5</v>
      </c>
      <c r="D183">
        <v>6</v>
      </c>
      <c r="E183">
        <v>2</v>
      </c>
      <c r="F183">
        <v>5</v>
      </c>
      <c r="G183">
        <v>5</v>
      </c>
      <c r="H183">
        <v>5</v>
      </c>
      <c r="I183">
        <v>80</v>
      </c>
      <c r="J183">
        <v>54</v>
      </c>
      <c r="K183">
        <v>22</v>
      </c>
      <c r="L183">
        <v>26</v>
      </c>
      <c r="M183">
        <v>62</v>
      </c>
      <c r="N183">
        <f t="shared" si="2"/>
        <v>0</v>
      </c>
    </row>
    <row r="184" spans="1:14" hidden="1" x14ac:dyDescent="0.25">
      <c r="A184" s="1" t="s">
        <v>280</v>
      </c>
      <c r="B184" s="1" t="s">
        <v>159</v>
      </c>
      <c r="C184">
        <v>6</v>
      </c>
      <c r="D184">
        <v>6</v>
      </c>
      <c r="E184">
        <v>2</v>
      </c>
      <c r="F184">
        <v>4</v>
      </c>
      <c r="G184">
        <v>5</v>
      </c>
      <c r="H184">
        <v>2</v>
      </c>
      <c r="I184">
        <v>34</v>
      </c>
      <c r="J184">
        <v>92</v>
      </c>
      <c r="K184">
        <v>51</v>
      </c>
      <c r="L184">
        <v>32</v>
      </c>
      <c r="M184">
        <v>80</v>
      </c>
      <c r="N184">
        <f t="shared" si="2"/>
        <v>0</v>
      </c>
    </row>
    <row r="185" spans="1:14" hidden="1" x14ac:dyDescent="0.25">
      <c r="A185" s="1" t="s">
        <v>281</v>
      </c>
      <c r="B185" s="1" t="s">
        <v>41</v>
      </c>
      <c r="C185">
        <v>8</v>
      </c>
      <c r="D185">
        <v>2</v>
      </c>
      <c r="E185">
        <v>4</v>
      </c>
      <c r="F185">
        <v>2</v>
      </c>
      <c r="G185">
        <v>6</v>
      </c>
      <c r="H185">
        <v>5</v>
      </c>
      <c r="I185">
        <v>17</v>
      </c>
      <c r="J185">
        <v>29</v>
      </c>
      <c r="K185">
        <v>83</v>
      </c>
      <c r="L185">
        <v>9</v>
      </c>
      <c r="M185">
        <v>54</v>
      </c>
      <c r="N185">
        <f t="shared" si="2"/>
        <v>0</v>
      </c>
    </row>
    <row r="186" spans="1:14" hidden="1" x14ac:dyDescent="0.25">
      <c r="A186" s="1" t="s">
        <v>282</v>
      </c>
      <c r="B186" s="1" t="s">
        <v>41</v>
      </c>
      <c r="C186">
        <v>1</v>
      </c>
      <c r="D186">
        <v>5</v>
      </c>
      <c r="E186">
        <v>6</v>
      </c>
      <c r="F186">
        <v>4</v>
      </c>
      <c r="G186">
        <v>3</v>
      </c>
      <c r="H186">
        <v>2</v>
      </c>
      <c r="I186">
        <v>14</v>
      </c>
      <c r="J186">
        <v>49</v>
      </c>
      <c r="K186">
        <v>64</v>
      </c>
      <c r="L186">
        <v>36</v>
      </c>
      <c r="M186">
        <v>2</v>
      </c>
      <c r="N186">
        <f t="shared" si="2"/>
        <v>0</v>
      </c>
    </row>
    <row r="187" spans="1:14" hidden="1" x14ac:dyDescent="0.25">
      <c r="A187" s="1" t="s">
        <v>283</v>
      </c>
      <c r="B187" s="1" t="s">
        <v>242</v>
      </c>
      <c r="C187">
        <v>6</v>
      </c>
      <c r="D187">
        <v>6</v>
      </c>
      <c r="E187">
        <v>3</v>
      </c>
      <c r="F187">
        <v>6</v>
      </c>
      <c r="G187">
        <v>2</v>
      </c>
      <c r="H187">
        <v>3</v>
      </c>
      <c r="I187">
        <v>27</v>
      </c>
      <c r="J187">
        <v>64</v>
      </c>
      <c r="K187">
        <v>47</v>
      </c>
      <c r="L187">
        <v>11</v>
      </c>
      <c r="M187">
        <v>24</v>
      </c>
      <c r="N187">
        <f t="shared" si="2"/>
        <v>0</v>
      </c>
    </row>
    <row r="188" spans="1:14" hidden="1" x14ac:dyDescent="0.25">
      <c r="A188" s="1" t="s">
        <v>284</v>
      </c>
      <c r="B188" s="1" t="s">
        <v>166</v>
      </c>
      <c r="C188">
        <v>3</v>
      </c>
      <c r="D188">
        <v>5</v>
      </c>
      <c r="E188">
        <v>3</v>
      </c>
      <c r="F188">
        <v>2</v>
      </c>
      <c r="G188">
        <v>6</v>
      </c>
      <c r="H188">
        <v>6</v>
      </c>
      <c r="I188">
        <v>77</v>
      </c>
      <c r="J188">
        <v>9</v>
      </c>
      <c r="K188">
        <v>73</v>
      </c>
      <c r="L188">
        <v>35</v>
      </c>
      <c r="M188">
        <v>96</v>
      </c>
      <c r="N188">
        <f t="shared" si="2"/>
        <v>0</v>
      </c>
    </row>
    <row r="189" spans="1:14" hidden="1" x14ac:dyDescent="0.25">
      <c r="A189" s="1" t="s">
        <v>285</v>
      </c>
      <c r="B189" s="1" t="s">
        <v>286</v>
      </c>
      <c r="C189">
        <v>2</v>
      </c>
      <c r="D189">
        <v>5</v>
      </c>
      <c r="E189">
        <v>4</v>
      </c>
      <c r="F189">
        <v>4</v>
      </c>
      <c r="G189">
        <v>2</v>
      </c>
      <c r="H189">
        <v>5</v>
      </c>
      <c r="I189">
        <v>46</v>
      </c>
      <c r="J189">
        <v>15</v>
      </c>
      <c r="K189">
        <v>67</v>
      </c>
      <c r="L189">
        <v>56</v>
      </c>
      <c r="M189">
        <v>9</v>
      </c>
      <c r="N189">
        <f t="shared" si="2"/>
        <v>0</v>
      </c>
    </row>
    <row r="190" spans="1:14" hidden="1" x14ac:dyDescent="0.25">
      <c r="A190" s="1" t="s">
        <v>287</v>
      </c>
      <c r="B190" s="1" t="s">
        <v>288</v>
      </c>
      <c r="C190">
        <v>3</v>
      </c>
      <c r="D190">
        <v>4</v>
      </c>
      <c r="E190">
        <v>6</v>
      </c>
      <c r="F190">
        <v>3</v>
      </c>
      <c r="G190">
        <v>2</v>
      </c>
      <c r="H190">
        <v>2</v>
      </c>
      <c r="I190">
        <v>79</v>
      </c>
      <c r="J190">
        <v>70</v>
      </c>
      <c r="K190">
        <v>42</v>
      </c>
      <c r="L190">
        <v>36</v>
      </c>
      <c r="M190">
        <v>76</v>
      </c>
      <c r="N190">
        <f t="shared" si="2"/>
        <v>0</v>
      </c>
    </row>
    <row r="191" spans="1:14" hidden="1" x14ac:dyDescent="0.25">
      <c r="A191" s="1" t="s">
        <v>289</v>
      </c>
      <c r="B191" s="1" t="s">
        <v>30</v>
      </c>
      <c r="C191">
        <v>3</v>
      </c>
      <c r="D191">
        <v>6</v>
      </c>
      <c r="E191">
        <v>3</v>
      </c>
      <c r="F191">
        <v>6</v>
      </c>
      <c r="G191">
        <v>2</v>
      </c>
      <c r="H191">
        <v>5</v>
      </c>
      <c r="I191">
        <v>25</v>
      </c>
      <c r="J191">
        <v>78</v>
      </c>
      <c r="K191">
        <v>36</v>
      </c>
      <c r="L191">
        <v>67</v>
      </c>
      <c r="M191">
        <v>37</v>
      </c>
      <c r="N191">
        <f t="shared" si="2"/>
        <v>0</v>
      </c>
    </row>
    <row r="192" spans="1:14" hidden="1" x14ac:dyDescent="0.25">
      <c r="A192" s="1" t="s">
        <v>290</v>
      </c>
      <c r="B192" s="1" t="s">
        <v>78</v>
      </c>
      <c r="C192">
        <v>4</v>
      </c>
      <c r="D192">
        <v>5</v>
      </c>
      <c r="E192">
        <v>4</v>
      </c>
      <c r="F192">
        <v>6</v>
      </c>
      <c r="G192">
        <v>5</v>
      </c>
      <c r="H192">
        <v>2</v>
      </c>
      <c r="I192">
        <v>53</v>
      </c>
      <c r="J192">
        <v>61</v>
      </c>
      <c r="K192">
        <v>85</v>
      </c>
      <c r="L192">
        <v>8</v>
      </c>
      <c r="M192">
        <v>76</v>
      </c>
      <c r="N192">
        <f t="shared" si="2"/>
        <v>0</v>
      </c>
    </row>
    <row r="193" spans="1:14" hidden="1" x14ac:dyDescent="0.25">
      <c r="A193" s="1" t="s">
        <v>264</v>
      </c>
      <c r="B193" s="1" t="s">
        <v>246</v>
      </c>
      <c r="C193">
        <v>7</v>
      </c>
      <c r="D193">
        <v>2</v>
      </c>
      <c r="E193">
        <v>4</v>
      </c>
      <c r="F193">
        <v>3</v>
      </c>
      <c r="G193">
        <v>6</v>
      </c>
      <c r="H193">
        <v>3</v>
      </c>
      <c r="I193">
        <v>13</v>
      </c>
      <c r="J193">
        <v>89</v>
      </c>
      <c r="K193">
        <v>20</v>
      </c>
      <c r="L193">
        <v>2</v>
      </c>
      <c r="M193">
        <v>36</v>
      </c>
      <c r="N193">
        <f t="shared" si="2"/>
        <v>0</v>
      </c>
    </row>
    <row r="194" spans="1:14" hidden="1" x14ac:dyDescent="0.25">
      <c r="A194" s="1" t="s">
        <v>291</v>
      </c>
      <c r="B194" s="1" t="s">
        <v>222</v>
      </c>
      <c r="C194">
        <v>3</v>
      </c>
      <c r="D194">
        <v>5</v>
      </c>
      <c r="E194">
        <v>5</v>
      </c>
      <c r="F194">
        <v>2</v>
      </c>
      <c r="G194">
        <v>5</v>
      </c>
      <c r="H194">
        <v>2</v>
      </c>
      <c r="I194">
        <v>25</v>
      </c>
      <c r="J194">
        <v>46</v>
      </c>
      <c r="K194">
        <v>91</v>
      </c>
      <c r="L194">
        <v>75</v>
      </c>
      <c r="M194">
        <v>91</v>
      </c>
      <c r="N194">
        <f t="shared" ref="N194:N257" si="3">COUNTIF(I194:M194, 100)</f>
        <v>0</v>
      </c>
    </row>
    <row r="195" spans="1:14" hidden="1" x14ac:dyDescent="0.25">
      <c r="A195" s="1" t="s">
        <v>292</v>
      </c>
      <c r="B195" s="1" t="s">
        <v>225</v>
      </c>
      <c r="C195">
        <v>7</v>
      </c>
      <c r="D195">
        <v>6</v>
      </c>
      <c r="E195">
        <v>4</v>
      </c>
      <c r="F195">
        <v>5</v>
      </c>
      <c r="G195">
        <v>4</v>
      </c>
      <c r="H195">
        <v>6</v>
      </c>
      <c r="I195">
        <v>52</v>
      </c>
      <c r="J195">
        <v>32</v>
      </c>
      <c r="K195">
        <v>57</v>
      </c>
      <c r="L195">
        <v>58</v>
      </c>
      <c r="M195">
        <v>67</v>
      </c>
      <c r="N195">
        <f t="shared" si="3"/>
        <v>0</v>
      </c>
    </row>
    <row r="196" spans="1:14" hidden="1" x14ac:dyDescent="0.25">
      <c r="A196" s="1" t="s">
        <v>293</v>
      </c>
      <c r="B196" s="1" t="s">
        <v>239</v>
      </c>
      <c r="C196">
        <v>7</v>
      </c>
      <c r="D196">
        <v>6</v>
      </c>
      <c r="E196">
        <v>4</v>
      </c>
      <c r="F196">
        <v>6</v>
      </c>
      <c r="G196">
        <v>6</v>
      </c>
      <c r="H196">
        <v>5</v>
      </c>
      <c r="I196">
        <v>85</v>
      </c>
      <c r="J196">
        <v>37</v>
      </c>
      <c r="K196">
        <v>73</v>
      </c>
      <c r="L196">
        <v>73</v>
      </c>
      <c r="M196">
        <v>19</v>
      </c>
      <c r="N196">
        <f t="shared" si="3"/>
        <v>0</v>
      </c>
    </row>
    <row r="197" spans="1:14" hidden="1" x14ac:dyDescent="0.25">
      <c r="A197" s="1" t="s">
        <v>294</v>
      </c>
      <c r="B197" s="1" t="s">
        <v>28</v>
      </c>
      <c r="C197">
        <v>8</v>
      </c>
      <c r="D197">
        <v>3</v>
      </c>
      <c r="E197">
        <v>3</v>
      </c>
      <c r="F197">
        <v>4</v>
      </c>
      <c r="G197">
        <v>3</v>
      </c>
      <c r="H197">
        <v>5</v>
      </c>
      <c r="I197">
        <v>96</v>
      </c>
      <c r="J197">
        <v>17</v>
      </c>
      <c r="K197">
        <v>94</v>
      </c>
      <c r="L197">
        <v>90</v>
      </c>
      <c r="M197">
        <v>1</v>
      </c>
      <c r="N197">
        <f t="shared" si="3"/>
        <v>0</v>
      </c>
    </row>
    <row r="198" spans="1:14" hidden="1" x14ac:dyDescent="0.25">
      <c r="A198" s="1" t="s">
        <v>295</v>
      </c>
      <c r="B198" s="1" t="s">
        <v>180</v>
      </c>
      <c r="C198">
        <v>2</v>
      </c>
      <c r="D198">
        <v>3</v>
      </c>
      <c r="E198">
        <v>6</v>
      </c>
      <c r="F198">
        <v>4</v>
      </c>
      <c r="G198">
        <v>5</v>
      </c>
      <c r="H198">
        <v>6</v>
      </c>
      <c r="I198">
        <v>68</v>
      </c>
      <c r="J198">
        <v>10</v>
      </c>
      <c r="K198">
        <v>64</v>
      </c>
      <c r="L198">
        <v>85</v>
      </c>
      <c r="M198">
        <v>26</v>
      </c>
      <c r="N198">
        <f t="shared" si="3"/>
        <v>0</v>
      </c>
    </row>
    <row r="199" spans="1:14" hidden="1" x14ac:dyDescent="0.25">
      <c r="A199" s="1" t="s">
        <v>296</v>
      </c>
      <c r="B199" s="1" t="s">
        <v>222</v>
      </c>
      <c r="C199">
        <v>7</v>
      </c>
      <c r="D199">
        <v>2</v>
      </c>
      <c r="E199">
        <v>2</v>
      </c>
      <c r="F199">
        <v>6</v>
      </c>
      <c r="G199">
        <v>5</v>
      </c>
      <c r="H199">
        <v>3</v>
      </c>
      <c r="I199">
        <v>45</v>
      </c>
      <c r="J199">
        <v>81</v>
      </c>
      <c r="K199">
        <v>28</v>
      </c>
      <c r="L199">
        <v>11</v>
      </c>
      <c r="M199">
        <v>25</v>
      </c>
      <c r="N199">
        <f t="shared" si="3"/>
        <v>0</v>
      </c>
    </row>
    <row r="200" spans="1:14" hidden="1" x14ac:dyDescent="0.25">
      <c r="A200" s="1" t="s">
        <v>297</v>
      </c>
      <c r="B200" s="1" t="s">
        <v>161</v>
      </c>
      <c r="C200">
        <v>3</v>
      </c>
      <c r="D200">
        <v>2</v>
      </c>
      <c r="E200">
        <v>3</v>
      </c>
      <c r="F200">
        <v>2</v>
      </c>
      <c r="G200">
        <v>5</v>
      </c>
      <c r="H200">
        <v>4</v>
      </c>
      <c r="I200">
        <v>85</v>
      </c>
      <c r="J200">
        <v>28</v>
      </c>
      <c r="K200">
        <v>36</v>
      </c>
      <c r="L200">
        <v>9</v>
      </c>
      <c r="M200">
        <v>95</v>
      </c>
      <c r="N200">
        <f t="shared" si="3"/>
        <v>0</v>
      </c>
    </row>
    <row r="201" spans="1:14" hidden="1" x14ac:dyDescent="0.25">
      <c r="A201" s="1" t="s">
        <v>298</v>
      </c>
      <c r="B201" s="1" t="s">
        <v>299</v>
      </c>
      <c r="C201">
        <v>4</v>
      </c>
      <c r="D201">
        <v>3</v>
      </c>
      <c r="E201">
        <v>6</v>
      </c>
      <c r="F201">
        <v>4</v>
      </c>
      <c r="G201">
        <v>4</v>
      </c>
      <c r="H201">
        <v>3</v>
      </c>
      <c r="I201">
        <v>48</v>
      </c>
      <c r="J201">
        <v>71</v>
      </c>
      <c r="K201">
        <v>40</v>
      </c>
      <c r="L201">
        <v>67</v>
      </c>
      <c r="M201">
        <v>83</v>
      </c>
      <c r="N201">
        <f t="shared" si="3"/>
        <v>0</v>
      </c>
    </row>
    <row r="202" spans="1:14" hidden="1" x14ac:dyDescent="0.25">
      <c r="A202" s="1" t="s">
        <v>300</v>
      </c>
      <c r="B202" s="1" t="s">
        <v>242</v>
      </c>
      <c r="C202">
        <v>0</v>
      </c>
      <c r="D202">
        <v>5</v>
      </c>
      <c r="E202">
        <v>6</v>
      </c>
      <c r="F202">
        <v>4</v>
      </c>
      <c r="G202">
        <v>4</v>
      </c>
      <c r="H202">
        <v>5</v>
      </c>
      <c r="I202">
        <v>70</v>
      </c>
      <c r="J202">
        <v>42</v>
      </c>
      <c r="K202">
        <v>47</v>
      </c>
      <c r="L202">
        <v>24</v>
      </c>
      <c r="M202">
        <v>40</v>
      </c>
      <c r="N202">
        <f t="shared" si="3"/>
        <v>0</v>
      </c>
    </row>
    <row r="203" spans="1:14" hidden="1" x14ac:dyDescent="0.25">
      <c r="A203" s="1" t="s">
        <v>301</v>
      </c>
      <c r="B203" s="1" t="s">
        <v>302</v>
      </c>
      <c r="C203">
        <v>8</v>
      </c>
      <c r="D203">
        <v>4</v>
      </c>
      <c r="E203">
        <v>5</v>
      </c>
      <c r="F203">
        <v>4</v>
      </c>
      <c r="G203">
        <v>4</v>
      </c>
      <c r="H203">
        <v>5</v>
      </c>
      <c r="I203">
        <v>83</v>
      </c>
      <c r="J203">
        <v>18</v>
      </c>
      <c r="K203">
        <v>29</v>
      </c>
      <c r="L203">
        <v>17</v>
      </c>
      <c r="M203">
        <v>9</v>
      </c>
      <c r="N203">
        <f t="shared" si="3"/>
        <v>0</v>
      </c>
    </row>
    <row r="204" spans="1:14" hidden="1" x14ac:dyDescent="0.25">
      <c r="A204" s="1" t="s">
        <v>303</v>
      </c>
      <c r="B204" s="1" t="s">
        <v>90</v>
      </c>
      <c r="C204">
        <v>1</v>
      </c>
      <c r="D204">
        <v>6</v>
      </c>
      <c r="E204">
        <v>4</v>
      </c>
      <c r="F204">
        <v>6</v>
      </c>
      <c r="G204">
        <v>3</v>
      </c>
      <c r="H204">
        <v>2</v>
      </c>
      <c r="I204">
        <v>48</v>
      </c>
      <c r="J204">
        <v>65</v>
      </c>
      <c r="K204">
        <v>86</v>
      </c>
      <c r="L204">
        <v>18</v>
      </c>
      <c r="M204">
        <v>88</v>
      </c>
      <c r="N204">
        <f t="shared" si="3"/>
        <v>0</v>
      </c>
    </row>
    <row r="205" spans="1:14" hidden="1" x14ac:dyDescent="0.25">
      <c r="A205" s="1" t="s">
        <v>304</v>
      </c>
      <c r="B205" s="1" t="s">
        <v>70</v>
      </c>
      <c r="C205">
        <v>4</v>
      </c>
      <c r="D205">
        <v>5</v>
      </c>
      <c r="E205">
        <v>3</v>
      </c>
      <c r="F205">
        <v>5</v>
      </c>
      <c r="G205">
        <v>5</v>
      </c>
      <c r="H205">
        <v>2</v>
      </c>
      <c r="I205">
        <v>70</v>
      </c>
      <c r="J205">
        <v>20</v>
      </c>
      <c r="K205">
        <v>38</v>
      </c>
      <c r="L205">
        <v>18</v>
      </c>
      <c r="M205">
        <v>65</v>
      </c>
      <c r="N205">
        <f t="shared" si="3"/>
        <v>0</v>
      </c>
    </row>
    <row r="206" spans="1:14" hidden="1" x14ac:dyDescent="0.25">
      <c r="A206" s="1" t="s">
        <v>305</v>
      </c>
      <c r="B206" s="1" t="s">
        <v>306</v>
      </c>
      <c r="C206">
        <v>2</v>
      </c>
      <c r="D206">
        <v>2</v>
      </c>
      <c r="E206">
        <v>6</v>
      </c>
      <c r="F206">
        <v>5</v>
      </c>
      <c r="G206">
        <v>2</v>
      </c>
      <c r="H206">
        <v>6</v>
      </c>
      <c r="I206">
        <v>74</v>
      </c>
      <c r="J206">
        <v>61</v>
      </c>
      <c r="K206">
        <v>24</v>
      </c>
      <c r="L206">
        <v>72</v>
      </c>
      <c r="M206">
        <v>41</v>
      </c>
      <c r="N206">
        <f t="shared" si="3"/>
        <v>0</v>
      </c>
    </row>
    <row r="207" spans="1:14" hidden="1" x14ac:dyDescent="0.25">
      <c r="A207" s="1" t="s">
        <v>125</v>
      </c>
      <c r="B207" s="1" t="s">
        <v>307</v>
      </c>
      <c r="C207">
        <v>2</v>
      </c>
      <c r="D207">
        <v>2</v>
      </c>
      <c r="E207">
        <v>4</v>
      </c>
      <c r="F207">
        <v>4</v>
      </c>
      <c r="G207">
        <v>4</v>
      </c>
      <c r="H207">
        <v>3</v>
      </c>
      <c r="I207">
        <v>18</v>
      </c>
      <c r="J207">
        <v>50</v>
      </c>
      <c r="K207">
        <v>99</v>
      </c>
      <c r="L207">
        <v>35</v>
      </c>
      <c r="M207">
        <v>8</v>
      </c>
      <c r="N207">
        <f t="shared" si="3"/>
        <v>0</v>
      </c>
    </row>
    <row r="208" spans="1:14" hidden="1" x14ac:dyDescent="0.25">
      <c r="A208" s="1" t="s">
        <v>308</v>
      </c>
      <c r="B208" s="1" t="s">
        <v>166</v>
      </c>
      <c r="C208">
        <v>6</v>
      </c>
      <c r="D208">
        <v>6</v>
      </c>
      <c r="E208">
        <v>4</v>
      </c>
      <c r="F208">
        <v>3</v>
      </c>
      <c r="G208">
        <v>6</v>
      </c>
      <c r="H208">
        <v>2</v>
      </c>
      <c r="I208">
        <v>68</v>
      </c>
      <c r="J208">
        <v>82</v>
      </c>
      <c r="K208">
        <v>74</v>
      </c>
      <c r="L208">
        <v>4</v>
      </c>
      <c r="M208">
        <v>9</v>
      </c>
      <c r="N208">
        <f t="shared" si="3"/>
        <v>0</v>
      </c>
    </row>
    <row r="209" spans="1:14" hidden="1" x14ac:dyDescent="0.25">
      <c r="A209" s="1" t="s">
        <v>309</v>
      </c>
      <c r="B209" s="1" t="s">
        <v>239</v>
      </c>
      <c r="C209">
        <v>3</v>
      </c>
      <c r="D209">
        <v>4</v>
      </c>
      <c r="E209">
        <v>2</v>
      </c>
      <c r="F209">
        <v>2</v>
      </c>
      <c r="G209">
        <v>6</v>
      </c>
      <c r="H209">
        <v>4</v>
      </c>
      <c r="I209">
        <v>48</v>
      </c>
      <c r="J209">
        <v>56</v>
      </c>
      <c r="K209">
        <v>97</v>
      </c>
      <c r="L209">
        <v>34</v>
      </c>
      <c r="M209">
        <v>50</v>
      </c>
      <c r="N209">
        <f t="shared" si="3"/>
        <v>0</v>
      </c>
    </row>
    <row r="210" spans="1:14" hidden="1" x14ac:dyDescent="0.25">
      <c r="A210" s="1" t="s">
        <v>310</v>
      </c>
      <c r="B210" s="1" t="s">
        <v>311</v>
      </c>
      <c r="C210">
        <v>2</v>
      </c>
      <c r="D210">
        <v>5</v>
      </c>
      <c r="E210">
        <v>5</v>
      </c>
      <c r="F210">
        <v>5</v>
      </c>
      <c r="G210">
        <v>3</v>
      </c>
      <c r="H210">
        <v>2</v>
      </c>
      <c r="I210">
        <v>69</v>
      </c>
      <c r="J210">
        <v>49</v>
      </c>
      <c r="K210">
        <v>67</v>
      </c>
      <c r="L210">
        <v>20</v>
      </c>
      <c r="M210">
        <v>3</v>
      </c>
      <c r="N210">
        <f t="shared" si="3"/>
        <v>0</v>
      </c>
    </row>
    <row r="211" spans="1:14" hidden="1" x14ac:dyDescent="0.25">
      <c r="A211" s="1" t="s">
        <v>312</v>
      </c>
      <c r="B211" s="1" t="s">
        <v>313</v>
      </c>
      <c r="C211">
        <v>5</v>
      </c>
      <c r="D211">
        <v>2</v>
      </c>
      <c r="E211">
        <v>4</v>
      </c>
      <c r="F211">
        <v>5</v>
      </c>
      <c r="G211">
        <v>6</v>
      </c>
      <c r="H211">
        <v>4</v>
      </c>
      <c r="I211">
        <v>68</v>
      </c>
      <c r="J211">
        <v>37</v>
      </c>
      <c r="K211">
        <v>91</v>
      </c>
      <c r="L211">
        <v>56</v>
      </c>
      <c r="M211">
        <v>46</v>
      </c>
      <c r="N211">
        <f t="shared" si="3"/>
        <v>0</v>
      </c>
    </row>
    <row r="212" spans="1:14" hidden="1" x14ac:dyDescent="0.25">
      <c r="A212" s="1" t="s">
        <v>314</v>
      </c>
      <c r="B212" s="1" t="s">
        <v>249</v>
      </c>
      <c r="C212">
        <v>7</v>
      </c>
      <c r="D212">
        <v>2</v>
      </c>
      <c r="E212">
        <v>2</v>
      </c>
      <c r="F212">
        <v>3</v>
      </c>
      <c r="G212">
        <v>6</v>
      </c>
      <c r="H212">
        <v>5</v>
      </c>
      <c r="I212">
        <v>11</v>
      </c>
      <c r="J212">
        <v>6</v>
      </c>
      <c r="K212">
        <v>24</v>
      </c>
      <c r="L212">
        <v>72</v>
      </c>
      <c r="M212">
        <v>17</v>
      </c>
      <c r="N212">
        <f t="shared" si="3"/>
        <v>0</v>
      </c>
    </row>
    <row r="213" spans="1:14" hidden="1" x14ac:dyDescent="0.25">
      <c r="A213" s="1" t="s">
        <v>315</v>
      </c>
      <c r="B213" s="1" t="s">
        <v>316</v>
      </c>
      <c r="C213">
        <v>2</v>
      </c>
      <c r="D213">
        <v>2</v>
      </c>
      <c r="E213">
        <v>6</v>
      </c>
      <c r="F213">
        <v>2</v>
      </c>
      <c r="G213">
        <v>2</v>
      </c>
      <c r="H213">
        <v>4</v>
      </c>
      <c r="I213">
        <v>13</v>
      </c>
      <c r="J213">
        <v>7</v>
      </c>
      <c r="K213">
        <v>71</v>
      </c>
      <c r="L213">
        <v>64</v>
      </c>
      <c r="M213">
        <v>96</v>
      </c>
      <c r="N213">
        <f t="shared" si="3"/>
        <v>0</v>
      </c>
    </row>
    <row r="214" spans="1:14" hidden="1" x14ac:dyDescent="0.25">
      <c r="A214" s="1" t="s">
        <v>317</v>
      </c>
      <c r="B214" s="1" t="s">
        <v>232</v>
      </c>
      <c r="C214">
        <v>8</v>
      </c>
      <c r="D214">
        <v>4</v>
      </c>
      <c r="E214">
        <v>5</v>
      </c>
      <c r="F214">
        <v>5</v>
      </c>
      <c r="G214">
        <v>3</v>
      </c>
      <c r="H214">
        <v>4</v>
      </c>
      <c r="I214">
        <v>92</v>
      </c>
      <c r="J214">
        <v>71</v>
      </c>
      <c r="K214">
        <v>26</v>
      </c>
      <c r="L214">
        <v>42</v>
      </c>
      <c r="M214">
        <v>46</v>
      </c>
      <c r="N214">
        <f t="shared" si="3"/>
        <v>0</v>
      </c>
    </row>
    <row r="215" spans="1:14" hidden="1" x14ac:dyDescent="0.25">
      <c r="A215" s="1" t="s">
        <v>318</v>
      </c>
      <c r="B215" s="1" t="s">
        <v>279</v>
      </c>
      <c r="C215">
        <v>5</v>
      </c>
      <c r="D215">
        <v>6</v>
      </c>
      <c r="E215">
        <v>2</v>
      </c>
      <c r="F215">
        <v>6</v>
      </c>
      <c r="G215">
        <v>6</v>
      </c>
      <c r="H215">
        <v>5</v>
      </c>
      <c r="I215">
        <v>79</v>
      </c>
      <c r="J215">
        <v>19</v>
      </c>
      <c r="K215">
        <v>23</v>
      </c>
      <c r="L215">
        <v>18</v>
      </c>
      <c r="M215">
        <v>13</v>
      </c>
      <c r="N215">
        <f t="shared" si="3"/>
        <v>0</v>
      </c>
    </row>
    <row r="216" spans="1:14" hidden="1" x14ac:dyDescent="0.25">
      <c r="A216" s="1" t="s">
        <v>319</v>
      </c>
      <c r="B216" s="1" t="s">
        <v>197</v>
      </c>
      <c r="C216">
        <v>3</v>
      </c>
      <c r="D216">
        <v>2</v>
      </c>
      <c r="E216">
        <v>5</v>
      </c>
      <c r="F216">
        <v>3</v>
      </c>
      <c r="G216">
        <v>5</v>
      </c>
      <c r="H216">
        <v>2</v>
      </c>
      <c r="I216">
        <v>47</v>
      </c>
      <c r="J216">
        <v>7</v>
      </c>
      <c r="K216">
        <v>72</v>
      </c>
      <c r="L216">
        <v>74</v>
      </c>
      <c r="M216">
        <v>85</v>
      </c>
      <c r="N216">
        <f t="shared" si="3"/>
        <v>0</v>
      </c>
    </row>
    <row r="217" spans="1:14" hidden="1" x14ac:dyDescent="0.25">
      <c r="A217" s="1" t="s">
        <v>320</v>
      </c>
      <c r="B217" s="1" t="s">
        <v>145</v>
      </c>
      <c r="C217">
        <v>1</v>
      </c>
      <c r="D217">
        <v>6</v>
      </c>
      <c r="E217">
        <v>2</v>
      </c>
      <c r="F217">
        <v>5</v>
      </c>
      <c r="G217">
        <v>6</v>
      </c>
      <c r="H217">
        <v>3</v>
      </c>
      <c r="I217">
        <v>74</v>
      </c>
      <c r="J217">
        <v>64</v>
      </c>
      <c r="K217">
        <v>17</v>
      </c>
      <c r="L217">
        <v>76</v>
      </c>
      <c r="M217">
        <v>23</v>
      </c>
      <c r="N217">
        <f t="shared" si="3"/>
        <v>0</v>
      </c>
    </row>
    <row r="218" spans="1:14" hidden="1" x14ac:dyDescent="0.25">
      <c r="A218" s="1" t="s">
        <v>321</v>
      </c>
      <c r="B218" s="1" t="s">
        <v>322</v>
      </c>
      <c r="C218">
        <v>3</v>
      </c>
      <c r="D218">
        <v>4</v>
      </c>
      <c r="E218">
        <v>2</v>
      </c>
      <c r="F218">
        <v>4</v>
      </c>
      <c r="G218">
        <v>5</v>
      </c>
      <c r="H218">
        <v>6</v>
      </c>
      <c r="I218">
        <v>47</v>
      </c>
      <c r="J218">
        <v>80</v>
      </c>
      <c r="K218">
        <v>34</v>
      </c>
      <c r="L218">
        <v>4</v>
      </c>
      <c r="M218">
        <v>81</v>
      </c>
      <c r="N218">
        <f t="shared" si="3"/>
        <v>0</v>
      </c>
    </row>
    <row r="219" spans="1:14" hidden="1" x14ac:dyDescent="0.25">
      <c r="A219" s="1" t="s">
        <v>323</v>
      </c>
      <c r="B219" s="1" t="s">
        <v>324</v>
      </c>
      <c r="C219">
        <v>3</v>
      </c>
      <c r="D219">
        <v>4</v>
      </c>
      <c r="E219">
        <v>3</v>
      </c>
      <c r="F219">
        <v>2</v>
      </c>
      <c r="G219">
        <v>4</v>
      </c>
      <c r="H219">
        <v>4</v>
      </c>
      <c r="I219">
        <v>14</v>
      </c>
      <c r="J219">
        <v>35</v>
      </c>
      <c r="K219">
        <v>43</v>
      </c>
      <c r="L219">
        <v>57</v>
      </c>
      <c r="M219">
        <v>34</v>
      </c>
      <c r="N219">
        <f t="shared" si="3"/>
        <v>0</v>
      </c>
    </row>
    <row r="220" spans="1:14" hidden="1" x14ac:dyDescent="0.25">
      <c r="A220" s="1" t="s">
        <v>325</v>
      </c>
      <c r="B220" s="1" t="s">
        <v>326</v>
      </c>
      <c r="C220">
        <v>7</v>
      </c>
      <c r="D220">
        <v>3</v>
      </c>
      <c r="E220">
        <v>3</v>
      </c>
      <c r="F220">
        <v>2</v>
      </c>
      <c r="G220">
        <v>6</v>
      </c>
      <c r="H220">
        <v>5</v>
      </c>
      <c r="I220">
        <v>84</v>
      </c>
      <c r="J220">
        <v>70</v>
      </c>
      <c r="K220">
        <v>57</v>
      </c>
      <c r="L220">
        <v>62</v>
      </c>
      <c r="M220">
        <v>1</v>
      </c>
      <c r="N220">
        <f t="shared" si="3"/>
        <v>0</v>
      </c>
    </row>
    <row r="221" spans="1:14" hidden="1" x14ac:dyDescent="0.25">
      <c r="A221" s="1" t="s">
        <v>108</v>
      </c>
      <c r="B221" s="1" t="s">
        <v>327</v>
      </c>
      <c r="C221">
        <v>1</v>
      </c>
      <c r="D221">
        <v>5</v>
      </c>
      <c r="E221">
        <v>3</v>
      </c>
      <c r="F221">
        <v>5</v>
      </c>
      <c r="G221">
        <v>2</v>
      </c>
      <c r="H221">
        <v>4</v>
      </c>
      <c r="I221">
        <v>42</v>
      </c>
      <c r="J221">
        <v>82</v>
      </c>
      <c r="K221">
        <v>89</v>
      </c>
      <c r="L221">
        <v>2</v>
      </c>
      <c r="M221">
        <v>41</v>
      </c>
      <c r="N221">
        <f t="shared" si="3"/>
        <v>0</v>
      </c>
    </row>
    <row r="222" spans="1:14" hidden="1" x14ac:dyDescent="0.25">
      <c r="A222" s="1" t="s">
        <v>328</v>
      </c>
      <c r="B222" s="1" t="s">
        <v>68</v>
      </c>
      <c r="C222">
        <v>0</v>
      </c>
      <c r="D222">
        <v>6</v>
      </c>
      <c r="E222">
        <v>6</v>
      </c>
      <c r="F222">
        <v>4</v>
      </c>
      <c r="G222">
        <v>4</v>
      </c>
      <c r="H222">
        <v>3</v>
      </c>
      <c r="I222">
        <v>25</v>
      </c>
      <c r="J222">
        <v>40</v>
      </c>
      <c r="K222">
        <v>61</v>
      </c>
      <c r="L222">
        <v>59</v>
      </c>
      <c r="M222">
        <v>88</v>
      </c>
      <c r="N222">
        <f t="shared" si="3"/>
        <v>0</v>
      </c>
    </row>
    <row r="223" spans="1:14" hidden="1" x14ac:dyDescent="0.25">
      <c r="A223" s="1" t="s">
        <v>329</v>
      </c>
      <c r="B223" s="1" t="s">
        <v>188</v>
      </c>
      <c r="C223">
        <v>2</v>
      </c>
      <c r="D223">
        <v>4</v>
      </c>
      <c r="E223">
        <v>3</v>
      </c>
      <c r="F223">
        <v>3</v>
      </c>
      <c r="G223">
        <v>3</v>
      </c>
      <c r="H223">
        <v>2</v>
      </c>
      <c r="I223">
        <v>76</v>
      </c>
      <c r="J223">
        <v>21</v>
      </c>
      <c r="K223">
        <v>59</v>
      </c>
      <c r="L223">
        <v>79</v>
      </c>
      <c r="M223">
        <v>33</v>
      </c>
      <c r="N223">
        <f t="shared" si="3"/>
        <v>0</v>
      </c>
    </row>
    <row r="224" spans="1:14" hidden="1" x14ac:dyDescent="0.25">
      <c r="A224" s="1" t="s">
        <v>330</v>
      </c>
      <c r="B224" s="1" t="s">
        <v>30</v>
      </c>
      <c r="C224">
        <v>3</v>
      </c>
      <c r="D224">
        <v>6</v>
      </c>
      <c r="E224">
        <v>5</v>
      </c>
      <c r="F224">
        <v>2</v>
      </c>
      <c r="G224">
        <v>5</v>
      </c>
      <c r="H224">
        <v>4</v>
      </c>
      <c r="I224">
        <v>18</v>
      </c>
      <c r="J224">
        <v>33</v>
      </c>
      <c r="K224">
        <v>57</v>
      </c>
      <c r="L224">
        <v>34</v>
      </c>
      <c r="M224">
        <v>74</v>
      </c>
      <c r="N224">
        <f t="shared" si="3"/>
        <v>0</v>
      </c>
    </row>
    <row r="225" spans="1:14" hidden="1" x14ac:dyDescent="0.25">
      <c r="A225" s="1" t="s">
        <v>131</v>
      </c>
      <c r="B225" s="1" t="s">
        <v>171</v>
      </c>
      <c r="C225">
        <v>8</v>
      </c>
      <c r="D225">
        <v>4</v>
      </c>
      <c r="E225">
        <v>3</v>
      </c>
      <c r="F225">
        <v>2</v>
      </c>
      <c r="G225">
        <v>6</v>
      </c>
      <c r="H225">
        <v>5</v>
      </c>
      <c r="I225">
        <v>67</v>
      </c>
      <c r="J225">
        <v>34</v>
      </c>
      <c r="K225">
        <v>96</v>
      </c>
      <c r="L225">
        <v>61</v>
      </c>
      <c r="M225">
        <v>40</v>
      </c>
      <c r="N225">
        <f t="shared" si="3"/>
        <v>0</v>
      </c>
    </row>
    <row r="226" spans="1:14" hidden="1" x14ac:dyDescent="0.25">
      <c r="A226" s="1" t="s">
        <v>265</v>
      </c>
      <c r="B226" s="1" t="s">
        <v>16</v>
      </c>
      <c r="C226">
        <v>5</v>
      </c>
      <c r="D226">
        <v>4</v>
      </c>
      <c r="E226">
        <v>4</v>
      </c>
      <c r="F226">
        <v>6</v>
      </c>
      <c r="G226">
        <v>4</v>
      </c>
      <c r="H226">
        <v>5</v>
      </c>
      <c r="I226">
        <v>39</v>
      </c>
      <c r="J226">
        <v>12</v>
      </c>
      <c r="K226">
        <v>100</v>
      </c>
      <c r="L226">
        <v>47</v>
      </c>
      <c r="M226">
        <v>42</v>
      </c>
      <c r="N226">
        <f t="shared" si="3"/>
        <v>1</v>
      </c>
    </row>
    <row r="227" spans="1:14" hidden="1" x14ac:dyDescent="0.25">
      <c r="A227" s="1" t="s">
        <v>331</v>
      </c>
      <c r="B227" s="1" t="s">
        <v>155</v>
      </c>
      <c r="C227">
        <v>0</v>
      </c>
      <c r="D227">
        <v>3</v>
      </c>
      <c r="E227">
        <v>2</v>
      </c>
      <c r="F227">
        <v>4</v>
      </c>
      <c r="G227">
        <v>4</v>
      </c>
      <c r="H227">
        <v>2</v>
      </c>
      <c r="I227">
        <v>88</v>
      </c>
      <c r="J227">
        <v>79</v>
      </c>
      <c r="K227">
        <v>26</v>
      </c>
      <c r="L227">
        <v>8</v>
      </c>
      <c r="M227">
        <v>70</v>
      </c>
      <c r="N227">
        <f t="shared" si="3"/>
        <v>0</v>
      </c>
    </row>
    <row r="228" spans="1:14" hidden="1" x14ac:dyDescent="0.25">
      <c r="A228" s="1" t="s">
        <v>332</v>
      </c>
      <c r="B228" s="1" t="s">
        <v>117</v>
      </c>
      <c r="C228">
        <v>1</v>
      </c>
      <c r="D228">
        <v>2</v>
      </c>
      <c r="E228">
        <v>2</v>
      </c>
      <c r="F228">
        <v>6</v>
      </c>
      <c r="G228">
        <v>6</v>
      </c>
      <c r="H228">
        <v>3</v>
      </c>
      <c r="I228">
        <v>83</v>
      </c>
      <c r="J228">
        <v>76</v>
      </c>
      <c r="K228">
        <v>52</v>
      </c>
      <c r="L228">
        <v>43</v>
      </c>
      <c r="M228">
        <v>64</v>
      </c>
      <c r="N228">
        <f t="shared" si="3"/>
        <v>0</v>
      </c>
    </row>
    <row r="229" spans="1:14" hidden="1" x14ac:dyDescent="0.25">
      <c r="A229" s="1" t="s">
        <v>333</v>
      </c>
      <c r="B229" s="1" t="s">
        <v>216</v>
      </c>
      <c r="C229">
        <v>1</v>
      </c>
      <c r="D229">
        <v>6</v>
      </c>
      <c r="E229">
        <v>6</v>
      </c>
      <c r="F229">
        <v>3</v>
      </c>
      <c r="G229">
        <v>6</v>
      </c>
      <c r="H229">
        <v>4</v>
      </c>
      <c r="I229">
        <v>54</v>
      </c>
      <c r="J229">
        <v>50</v>
      </c>
      <c r="K229">
        <v>36</v>
      </c>
      <c r="L229">
        <v>23</v>
      </c>
      <c r="M229">
        <v>9</v>
      </c>
      <c r="N229">
        <f t="shared" si="3"/>
        <v>0</v>
      </c>
    </row>
    <row r="230" spans="1:14" hidden="1" x14ac:dyDescent="0.25">
      <c r="A230" s="1" t="s">
        <v>334</v>
      </c>
      <c r="B230" s="1" t="s">
        <v>242</v>
      </c>
      <c r="C230">
        <v>0</v>
      </c>
      <c r="D230">
        <v>3</v>
      </c>
      <c r="E230">
        <v>4</v>
      </c>
      <c r="F230">
        <v>6</v>
      </c>
      <c r="G230">
        <v>3</v>
      </c>
      <c r="H230">
        <v>5</v>
      </c>
      <c r="I230">
        <v>49</v>
      </c>
      <c r="J230">
        <v>31</v>
      </c>
      <c r="K230">
        <v>34</v>
      </c>
      <c r="L230">
        <v>22</v>
      </c>
      <c r="M230">
        <v>76</v>
      </c>
      <c r="N230">
        <f t="shared" si="3"/>
        <v>0</v>
      </c>
    </row>
    <row r="231" spans="1:14" hidden="1" x14ac:dyDescent="0.25">
      <c r="A231" s="1" t="s">
        <v>335</v>
      </c>
      <c r="B231" s="1" t="s">
        <v>177</v>
      </c>
      <c r="C231">
        <v>1</v>
      </c>
      <c r="D231">
        <v>3</v>
      </c>
      <c r="E231">
        <v>2</v>
      </c>
      <c r="F231">
        <v>2</v>
      </c>
      <c r="G231">
        <v>2</v>
      </c>
      <c r="H231">
        <v>3</v>
      </c>
      <c r="I231">
        <v>71</v>
      </c>
      <c r="J231">
        <v>20</v>
      </c>
      <c r="K231">
        <v>46</v>
      </c>
      <c r="L231">
        <v>6</v>
      </c>
      <c r="M231">
        <v>22</v>
      </c>
      <c r="N231">
        <f t="shared" si="3"/>
        <v>0</v>
      </c>
    </row>
    <row r="232" spans="1:14" hidden="1" x14ac:dyDescent="0.25">
      <c r="A232" s="1" t="s">
        <v>336</v>
      </c>
      <c r="B232" s="1" t="s">
        <v>210</v>
      </c>
      <c r="C232">
        <v>8</v>
      </c>
      <c r="D232">
        <v>5</v>
      </c>
      <c r="E232">
        <v>6</v>
      </c>
      <c r="F232">
        <v>4</v>
      </c>
      <c r="G232">
        <v>5</v>
      </c>
      <c r="H232">
        <v>4</v>
      </c>
      <c r="I232">
        <v>5</v>
      </c>
      <c r="J232">
        <v>48</v>
      </c>
      <c r="K232">
        <v>2</v>
      </c>
      <c r="L232">
        <v>12</v>
      </c>
      <c r="M232">
        <v>15</v>
      </c>
      <c r="N232">
        <f t="shared" si="3"/>
        <v>0</v>
      </c>
    </row>
    <row r="233" spans="1:14" hidden="1" x14ac:dyDescent="0.25">
      <c r="A233" s="1" t="s">
        <v>337</v>
      </c>
      <c r="B233" s="1" t="s">
        <v>338</v>
      </c>
      <c r="C233">
        <v>7</v>
      </c>
      <c r="D233">
        <v>4</v>
      </c>
      <c r="E233">
        <v>3</v>
      </c>
      <c r="F233">
        <v>4</v>
      </c>
      <c r="G233">
        <v>6</v>
      </c>
      <c r="H233">
        <v>6</v>
      </c>
      <c r="I233">
        <v>27</v>
      </c>
      <c r="J233">
        <v>12</v>
      </c>
      <c r="K233">
        <v>19</v>
      </c>
      <c r="L233">
        <v>10</v>
      </c>
      <c r="M233">
        <v>66</v>
      </c>
      <c r="N233">
        <f t="shared" si="3"/>
        <v>0</v>
      </c>
    </row>
    <row r="234" spans="1:14" hidden="1" x14ac:dyDescent="0.25">
      <c r="A234" s="1" t="s">
        <v>339</v>
      </c>
      <c r="B234" s="1" t="s">
        <v>340</v>
      </c>
      <c r="C234">
        <v>6</v>
      </c>
      <c r="D234">
        <v>2</v>
      </c>
      <c r="E234">
        <v>5</v>
      </c>
      <c r="F234">
        <v>3</v>
      </c>
      <c r="G234">
        <v>5</v>
      </c>
      <c r="H234">
        <v>3</v>
      </c>
      <c r="I234">
        <v>95</v>
      </c>
      <c r="J234">
        <v>12</v>
      </c>
      <c r="K234">
        <v>76</v>
      </c>
      <c r="L234">
        <v>52</v>
      </c>
      <c r="M234">
        <v>36</v>
      </c>
      <c r="N234">
        <f t="shared" si="3"/>
        <v>0</v>
      </c>
    </row>
    <row r="235" spans="1:14" hidden="1" x14ac:dyDescent="0.25">
      <c r="A235" s="1" t="s">
        <v>341</v>
      </c>
      <c r="B235" s="1" t="s">
        <v>177</v>
      </c>
      <c r="C235">
        <v>4</v>
      </c>
      <c r="D235">
        <v>6</v>
      </c>
      <c r="E235">
        <v>4</v>
      </c>
      <c r="F235">
        <v>5</v>
      </c>
      <c r="G235">
        <v>5</v>
      </c>
      <c r="H235">
        <v>2</v>
      </c>
      <c r="I235">
        <v>48</v>
      </c>
      <c r="J235">
        <v>9</v>
      </c>
      <c r="K235">
        <v>45</v>
      </c>
      <c r="L235">
        <v>10</v>
      </c>
      <c r="M235">
        <v>3</v>
      </c>
      <c r="N235">
        <f t="shared" si="3"/>
        <v>0</v>
      </c>
    </row>
    <row r="236" spans="1:14" hidden="1" x14ac:dyDescent="0.25">
      <c r="A236" s="1" t="s">
        <v>342</v>
      </c>
      <c r="B236" s="1" t="s">
        <v>343</v>
      </c>
      <c r="C236">
        <v>2</v>
      </c>
      <c r="D236">
        <v>5</v>
      </c>
      <c r="E236">
        <v>2</v>
      </c>
      <c r="F236">
        <v>4</v>
      </c>
      <c r="G236">
        <v>4</v>
      </c>
      <c r="H236">
        <v>4</v>
      </c>
      <c r="I236">
        <v>46</v>
      </c>
      <c r="J236">
        <v>58</v>
      </c>
      <c r="K236">
        <v>72</v>
      </c>
      <c r="L236">
        <v>83</v>
      </c>
      <c r="M236">
        <v>48</v>
      </c>
      <c r="N236">
        <f t="shared" si="3"/>
        <v>0</v>
      </c>
    </row>
    <row r="237" spans="1:14" hidden="1" x14ac:dyDescent="0.25">
      <c r="A237" s="1" t="s">
        <v>344</v>
      </c>
      <c r="B237" s="1" t="s">
        <v>345</v>
      </c>
      <c r="C237">
        <v>7</v>
      </c>
      <c r="D237">
        <v>3</v>
      </c>
      <c r="E237">
        <v>3</v>
      </c>
      <c r="F237">
        <v>3</v>
      </c>
      <c r="G237">
        <v>3</v>
      </c>
      <c r="H237">
        <v>6</v>
      </c>
      <c r="I237">
        <v>72</v>
      </c>
      <c r="J237">
        <v>40</v>
      </c>
      <c r="K237">
        <v>54</v>
      </c>
      <c r="L237">
        <v>44</v>
      </c>
      <c r="M237">
        <v>78</v>
      </c>
      <c r="N237">
        <f t="shared" si="3"/>
        <v>0</v>
      </c>
    </row>
    <row r="238" spans="1:14" hidden="1" x14ac:dyDescent="0.25">
      <c r="A238" s="1" t="s">
        <v>346</v>
      </c>
      <c r="B238" s="1" t="s">
        <v>347</v>
      </c>
      <c r="C238">
        <v>4</v>
      </c>
      <c r="D238">
        <v>4</v>
      </c>
      <c r="E238">
        <v>5</v>
      </c>
      <c r="F238">
        <v>2</v>
      </c>
      <c r="G238">
        <v>3</v>
      </c>
      <c r="H238">
        <v>5</v>
      </c>
      <c r="I238">
        <v>80</v>
      </c>
      <c r="J238">
        <v>63</v>
      </c>
      <c r="K238">
        <v>36</v>
      </c>
      <c r="L238">
        <v>13</v>
      </c>
      <c r="M238">
        <v>38</v>
      </c>
      <c r="N238">
        <f t="shared" si="3"/>
        <v>0</v>
      </c>
    </row>
    <row r="239" spans="1:14" hidden="1" x14ac:dyDescent="0.25">
      <c r="A239" s="1" t="s">
        <v>348</v>
      </c>
      <c r="B239" s="1" t="s">
        <v>210</v>
      </c>
      <c r="C239">
        <v>7</v>
      </c>
      <c r="D239">
        <v>5</v>
      </c>
      <c r="E239">
        <v>3</v>
      </c>
      <c r="F239">
        <v>2</v>
      </c>
      <c r="G239">
        <v>5</v>
      </c>
      <c r="H239">
        <v>3</v>
      </c>
      <c r="I239">
        <v>89</v>
      </c>
      <c r="J239">
        <v>97</v>
      </c>
      <c r="K239">
        <v>66</v>
      </c>
      <c r="L239">
        <v>5</v>
      </c>
      <c r="M239">
        <v>68</v>
      </c>
      <c r="N239">
        <f t="shared" si="3"/>
        <v>0</v>
      </c>
    </row>
    <row r="240" spans="1:14" hidden="1" x14ac:dyDescent="0.25">
      <c r="A240" s="1" t="s">
        <v>349</v>
      </c>
      <c r="B240" s="1" t="s">
        <v>350</v>
      </c>
      <c r="C240">
        <v>8</v>
      </c>
      <c r="D240">
        <v>3</v>
      </c>
      <c r="E240">
        <v>5</v>
      </c>
      <c r="F240">
        <v>3</v>
      </c>
      <c r="G240">
        <v>6</v>
      </c>
      <c r="H240">
        <v>6</v>
      </c>
      <c r="I240">
        <v>98</v>
      </c>
      <c r="J240">
        <v>27</v>
      </c>
      <c r="K240">
        <v>75</v>
      </c>
      <c r="L240">
        <v>69</v>
      </c>
      <c r="M240">
        <v>29</v>
      </c>
      <c r="N240">
        <f t="shared" si="3"/>
        <v>0</v>
      </c>
    </row>
    <row r="241" spans="1:14" hidden="1" x14ac:dyDescent="0.25">
      <c r="A241" s="1" t="s">
        <v>351</v>
      </c>
      <c r="B241" s="1" t="s">
        <v>45</v>
      </c>
      <c r="C241">
        <v>2</v>
      </c>
      <c r="D241">
        <v>2</v>
      </c>
      <c r="E241">
        <v>3</v>
      </c>
      <c r="F241">
        <v>4</v>
      </c>
      <c r="G241">
        <v>2</v>
      </c>
      <c r="H241">
        <v>6</v>
      </c>
      <c r="I241">
        <v>43</v>
      </c>
      <c r="J241">
        <v>45</v>
      </c>
      <c r="K241">
        <v>16</v>
      </c>
      <c r="L241">
        <v>56</v>
      </c>
      <c r="M241">
        <v>7</v>
      </c>
      <c r="N241">
        <f t="shared" si="3"/>
        <v>0</v>
      </c>
    </row>
    <row r="242" spans="1:14" hidden="1" x14ac:dyDescent="0.25">
      <c r="A242" s="1" t="s">
        <v>352</v>
      </c>
      <c r="B242" s="1" t="s">
        <v>193</v>
      </c>
      <c r="C242">
        <v>7</v>
      </c>
      <c r="D242">
        <v>6</v>
      </c>
      <c r="E242">
        <v>6</v>
      </c>
      <c r="F242">
        <v>2</v>
      </c>
      <c r="G242">
        <v>3</v>
      </c>
      <c r="H242">
        <v>6</v>
      </c>
      <c r="I242">
        <v>19</v>
      </c>
      <c r="J242">
        <v>5</v>
      </c>
      <c r="K242">
        <v>76</v>
      </c>
      <c r="L242">
        <v>74</v>
      </c>
      <c r="M242">
        <v>16</v>
      </c>
      <c r="N242">
        <f t="shared" si="3"/>
        <v>0</v>
      </c>
    </row>
    <row r="243" spans="1:14" hidden="1" x14ac:dyDescent="0.25">
      <c r="A243" s="1" t="s">
        <v>353</v>
      </c>
      <c r="B243" s="1" t="s">
        <v>86</v>
      </c>
      <c r="C243">
        <v>2</v>
      </c>
      <c r="D243">
        <v>3</v>
      </c>
      <c r="E243">
        <v>2</v>
      </c>
      <c r="F243">
        <v>5</v>
      </c>
      <c r="G243">
        <v>5</v>
      </c>
      <c r="H243">
        <v>4</v>
      </c>
      <c r="I243">
        <v>60</v>
      </c>
      <c r="J243">
        <v>48</v>
      </c>
      <c r="K243">
        <v>73</v>
      </c>
      <c r="L243">
        <v>93</v>
      </c>
      <c r="M243">
        <v>51</v>
      </c>
      <c r="N243">
        <f t="shared" si="3"/>
        <v>0</v>
      </c>
    </row>
    <row r="244" spans="1:14" hidden="1" x14ac:dyDescent="0.25">
      <c r="A244" s="1" t="s">
        <v>354</v>
      </c>
      <c r="B244" s="1" t="s">
        <v>355</v>
      </c>
      <c r="C244">
        <v>4</v>
      </c>
      <c r="D244">
        <v>6</v>
      </c>
      <c r="E244">
        <v>3</v>
      </c>
      <c r="F244">
        <v>6</v>
      </c>
      <c r="G244">
        <v>5</v>
      </c>
      <c r="H244">
        <v>6</v>
      </c>
      <c r="I244">
        <v>82</v>
      </c>
      <c r="J244">
        <v>21</v>
      </c>
      <c r="K244">
        <v>64</v>
      </c>
      <c r="L244">
        <v>61</v>
      </c>
      <c r="M244">
        <v>93</v>
      </c>
      <c r="N244">
        <f t="shared" si="3"/>
        <v>0</v>
      </c>
    </row>
    <row r="245" spans="1:14" hidden="1" x14ac:dyDescent="0.25">
      <c r="A245" s="1" t="s">
        <v>356</v>
      </c>
      <c r="B245" s="1" t="s">
        <v>357</v>
      </c>
      <c r="C245">
        <v>2</v>
      </c>
      <c r="D245">
        <v>4</v>
      </c>
      <c r="E245">
        <v>2</v>
      </c>
      <c r="F245">
        <v>4</v>
      </c>
      <c r="G245">
        <v>3</v>
      </c>
      <c r="H245">
        <v>4</v>
      </c>
      <c r="I245">
        <v>65</v>
      </c>
      <c r="J245">
        <v>50</v>
      </c>
      <c r="K245">
        <v>15</v>
      </c>
      <c r="L245">
        <v>67</v>
      </c>
      <c r="M245">
        <v>88</v>
      </c>
      <c r="N245">
        <f t="shared" si="3"/>
        <v>0</v>
      </c>
    </row>
    <row r="246" spans="1:14" hidden="1" x14ac:dyDescent="0.25">
      <c r="A246" s="1" t="s">
        <v>358</v>
      </c>
      <c r="B246" s="1" t="s">
        <v>174</v>
      </c>
      <c r="C246">
        <v>8</v>
      </c>
      <c r="D246">
        <v>3</v>
      </c>
      <c r="E246">
        <v>6</v>
      </c>
      <c r="F246">
        <v>3</v>
      </c>
      <c r="G246">
        <v>6</v>
      </c>
      <c r="H246">
        <v>3</v>
      </c>
      <c r="I246">
        <v>85</v>
      </c>
      <c r="J246">
        <v>68</v>
      </c>
      <c r="K246">
        <v>59</v>
      </c>
      <c r="L246">
        <v>5</v>
      </c>
      <c r="M246">
        <v>29</v>
      </c>
      <c r="N246">
        <f t="shared" si="3"/>
        <v>0</v>
      </c>
    </row>
    <row r="247" spans="1:14" hidden="1" x14ac:dyDescent="0.25">
      <c r="A247" s="1" t="s">
        <v>359</v>
      </c>
      <c r="B247" s="1" t="s">
        <v>360</v>
      </c>
      <c r="C247">
        <v>7</v>
      </c>
      <c r="D247">
        <v>6</v>
      </c>
      <c r="E247">
        <v>2</v>
      </c>
      <c r="F247">
        <v>3</v>
      </c>
      <c r="G247">
        <v>2</v>
      </c>
      <c r="H247">
        <v>2</v>
      </c>
      <c r="I247">
        <v>91</v>
      </c>
      <c r="J247">
        <v>65</v>
      </c>
      <c r="K247">
        <v>12</v>
      </c>
      <c r="L247">
        <v>78</v>
      </c>
      <c r="M247">
        <v>87</v>
      </c>
      <c r="N247">
        <f t="shared" si="3"/>
        <v>0</v>
      </c>
    </row>
    <row r="248" spans="1:14" hidden="1" x14ac:dyDescent="0.25">
      <c r="A248" s="1" t="s">
        <v>361</v>
      </c>
      <c r="B248" s="1" t="s">
        <v>362</v>
      </c>
      <c r="C248">
        <v>2</v>
      </c>
      <c r="D248">
        <v>6</v>
      </c>
      <c r="E248">
        <v>6</v>
      </c>
      <c r="F248">
        <v>6</v>
      </c>
      <c r="G248">
        <v>2</v>
      </c>
      <c r="H248">
        <v>3</v>
      </c>
      <c r="I248">
        <v>65</v>
      </c>
      <c r="J248">
        <v>28</v>
      </c>
      <c r="K248">
        <v>80</v>
      </c>
      <c r="L248">
        <v>55</v>
      </c>
      <c r="M248">
        <v>60</v>
      </c>
      <c r="N248">
        <f t="shared" si="3"/>
        <v>0</v>
      </c>
    </row>
    <row r="249" spans="1:14" hidden="1" x14ac:dyDescent="0.25">
      <c r="A249" s="1" t="s">
        <v>363</v>
      </c>
      <c r="B249" s="1" t="s">
        <v>139</v>
      </c>
      <c r="C249">
        <v>4</v>
      </c>
      <c r="D249">
        <v>4</v>
      </c>
      <c r="E249">
        <v>2</v>
      </c>
      <c r="F249">
        <v>3</v>
      </c>
      <c r="G249">
        <v>3</v>
      </c>
      <c r="H249">
        <v>5</v>
      </c>
      <c r="I249">
        <v>14</v>
      </c>
      <c r="J249">
        <v>4</v>
      </c>
      <c r="K249">
        <v>93</v>
      </c>
      <c r="L249">
        <v>36</v>
      </c>
      <c r="M249">
        <v>26</v>
      </c>
      <c r="N249">
        <f t="shared" si="3"/>
        <v>0</v>
      </c>
    </row>
    <row r="250" spans="1:14" hidden="1" x14ac:dyDescent="0.25">
      <c r="A250" s="1" t="s">
        <v>364</v>
      </c>
      <c r="B250" s="1" t="s">
        <v>203</v>
      </c>
      <c r="C250">
        <v>0</v>
      </c>
      <c r="D250">
        <v>6</v>
      </c>
      <c r="E250">
        <v>2</v>
      </c>
      <c r="F250">
        <v>6</v>
      </c>
      <c r="G250">
        <v>5</v>
      </c>
      <c r="H250">
        <v>6</v>
      </c>
      <c r="I250">
        <v>15</v>
      </c>
      <c r="J250">
        <v>42</v>
      </c>
      <c r="K250">
        <v>90</v>
      </c>
      <c r="L250">
        <v>14</v>
      </c>
      <c r="M250">
        <v>88</v>
      </c>
      <c r="N250">
        <f t="shared" si="3"/>
        <v>0</v>
      </c>
    </row>
    <row r="251" spans="1:14" hidden="1" x14ac:dyDescent="0.25">
      <c r="A251" s="1" t="s">
        <v>365</v>
      </c>
      <c r="B251" s="1" t="s">
        <v>16</v>
      </c>
      <c r="C251">
        <v>8</v>
      </c>
      <c r="D251">
        <v>5</v>
      </c>
      <c r="E251">
        <v>4</v>
      </c>
      <c r="F251">
        <v>4</v>
      </c>
      <c r="G251">
        <v>4</v>
      </c>
      <c r="H251">
        <v>3</v>
      </c>
      <c r="I251">
        <v>39</v>
      </c>
      <c r="J251">
        <v>45</v>
      </c>
      <c r="K251">
        <v>68</v>
      </c>
      <c r="L251">
        <v>26</v>
      </c>
      <c r="M251">
        <v>30</v>
      </c>
      <c r="N251">
        <f t="shared" si="3"/>
        <v>0</v>
      </c>
    </row>
    <row r="252" spans="1:14" hidden="1" x14ac:dyDescent="0.25">
      <c r="A252" s="1" t="s">
        <v>366</v>
      </c>
      <c r="B252" s="1" t="s">
        <v>367</v>
      </c>
      <c r="C252">
        <v>3</v>
      </c>
      <c r="D252">
        <v>6</v>
      </c>
      <c r="E252">
        <v>3</v>
      </c>
      <c r="F252">
        <v>4</v>
      </c>
      <c r="G252">
        <v>3</v>
      </c>
      <c r="H252">
        <v>5</v>
      </c>
      <c r="I252">
        <v>86</v>
      </c>
      <c r="J252">
        <v>46</v>
      </c>
      <c r="K252">
        <v>9</v>
      </c>
      <c r="L252">
        <v>68</v>
      </c>
      <c r="M252">
        <v>39</v>
      </c>
      <c r="N252">
        <f t="shared" si="3"/>
        <v>0</v>
      </c>
    </row>
    <row r="253" spans="1:14" hidden="1" x14ac:dyDescent="0.25">
      <c r="A253" s="1" t="s">
        <v>368</v>
      </c>
      <c r="B253" s="1" t="s">
        <v>369</v>
      </c>
      <c r="C253">
        <v>7</v>
      </c>
      <c r="D253">
        <v>4</v>
      </c>
      <c r="E253">
        <v>6</v>
      </c>
      <c r="F253">
        <v>6</v>
      </c>
      <c r="G253">
        <v>6</v>
      </c>
      <c r="H253">
        <v>2</v>
      </c>
      <c r="I253">
        <v>17</v>
      </c>
      <c r="J253">
        <v>16</v>
      </c>
      <c r="K253">
        <v>12</v>
      </c>
      <c r="L253">
        <v>54</v>
      </c>
      <c r="M253">
        <v>91</v>
      </c>
      <c r="N253">
        <f t="shared" si="3"/>
        <v>0</v>
      </c>
    </row>
    <row r="254" spans="1:14" hidden="1" x14ac:dyDescent="0.25">
      <c r="A254" s="1" t="s">
        <v>370</v>
      </c>
      <c r="B254" s="1" t="s">
        <v>371</v>
      </c>
      <c r="C254">
        <v>4</v>
      </c>
      <c r="D254">
        <v>2</v>
      </c>
      <c r="E254">
        <v>4</v>
      </c>
      <c r="F254">
        <v>3</v>
      </c>
      <c r="G254">
        <v>5</v>
      </c>
      <c r="H254">
        <v>2</v>
      </c>
      <c r="I254">
        <v>68</v>
      </c>
      <c r="J254">
        <v>87</v>
      </c>
      <c r="K254">
        <v>48</v>
      </c>
      <c r="L254">
        <v>54</v>
      </c>
      <c r="M254">
        <v>39</v>
      </c>
      <c r="N254">
        <f t="shared" si="3"/>
        <v>0</v>
      </c>
    </row>
    <row r="255" spans="1:14" hidden="1" x14ac:dyDescent="0.25">
      <c r="A255" s="1" t="s">
        <v>372</v>
      </c>
      <c r="B255" s="1" t="s">
        <v>180</v>
      </c>
      <c r="C255">
        <v>8</v>
      </c>
      <c r="D255">
        <v>3</v>
      </c>
      <c r="E255">
        <v>5</v>
      </c>
      <c r="F255">
        <v>2</v>
      </c>
      <c r="G255">
        <v>5</v>
      </c>
      <c r="H255">
        <v>3</v>
      </c>
      <c r="I255">
        <v>99</v>
      </c>
      <c r="J255">
        <v>90</v>
      </c>
      <c r="K255">
        <v>59</v>
      </c>
      <c r="L255">
        <v>78</v>
      </c>
      <c r="M255">
        <v>93</v>
      </c>
      <c r="N255">
        <f t="shared" si="3"/>
        <v>0</v>
      </c>
    </row>
    <row r="256" spans="1:14" hidden="1" x14ac:dyDescent="0.25">
      <c r="A256" s="1" t="s">
        <v>373</v>
      </c>
      <c r="B256" s="1" t="s">
        <v>357</v>
      </c>
      <c r="C256">
        <v>1</v>
      </c>
      <c r="D256">
        <v>6</v>
      </c>
      <c r="E256">
        <v>6</v>
      </c>
      <c r="F256">
        <v>5</v>
      </c>
      <c r="G256">
        <v>3</v>
      </c>
      <c r="H256">
        <v>6</v>
      </c>
      <c r="I256">
        <v>58</v>
      </c>
      <c r="J256">
        <v>93</v>
      </c>
      <c r="K256">
        <v>93</v>
      </c>
      <c r="L256">
        <v>82</v>
      </c>
      <c r="M256">
        <v>17</v>
      </c>
      <c r="N256">
        <f t="shared" si="3"/>
        <v>0</v>
      </c>
    </row>
    <row r="257" spans="1:14" hidden="1" x14ac:dyDescent="0.25">
      <c r="A257" s="1" t="s">
        <v>374</v>
      </c>
      <c r="B257" s="1" t="s">
        <v>327</v>
      </c>
      <c r="C257">
        <v>6</v>
      </c>
      <c r="D257">
        <v>4</v>
      </c>
      <c r="E257">
        <v>5</v>
      </c>
      <c r="F257">
        <v>3</v>
      </c>
      <c r="G257">
        <v>2</v>
      </c>
      <c r="H257">
        <v>2</v>
      </c>
      <c r="I257">
        <v>38</v>
      </c>
      <c r="J257">
        <v>13</v>
      </c>
      <c r="K257">
        <v>62</v>
      </c>
      <c r="L257">
        <v>22</v>
      </c>
      <c r="M257">
        <v>14</v>
      </c>
      <c r="N257">
        <f t="shared" si="3"/>
        <v>0</v>
      </c>
    </row>
    <row r="258" spans="1:14" hidden="1" x14ac:dyDescent="0.25">
      <c r="A258" s="1" t="s">
        <v>375</v>
      </c>
      <c r="B258" s="1" t="s">
        <v>205</v>
      </c>
      <c r="C258">
        <v>6</v>
      </c>
      <c r="D258">
        <v>6</v>
      </c>
      <c r="E258">
        <v>3</v>
      </c>
      <c r="F258">
        <v>6</v>
      </c>
      <c r="G258">
        <v>6</v>
      </c>
      <c r="H258">
        <v>2</v>
      </c>
      <c r="I258">
        <v>1</v>
      </c>
      <c r="J258">
        <v>34</v>
      </c>
      <c r="K258">
        <v>76</v>
      </c>
      <c r="L258">
        <v>39</v>
      </c>
      <c r="M258">
        <v>56</v>
      </c>
      <c r="N258">
        <f t="shared" ref="N258:N321" si="4">COUNTIF(I258:M258, 100)</f>
        <v>0</v>
      </c>
    </row>
    <row r="259" spans="1:14" hidden="1" x14ac:dyDescent="0.25">
      <c r="A259" s="1" t="s">
        <v>376</v>
      </c>
      <c r="B259" s="1" t="s">
        <v>38</v>
      </c>
      <c r="C259">
        <v>3</v>
      </c>
      <c r="D259">
        <v>5</v>
      </c>
      <c r="E259">
        <v>3</v>
      </c>
      <c r="F259">
        <v>6</v>
      </c>
      <c r="G259">
        <v>2</v>
      </c>
      <c r="H259">
        <v>4</v>
      </c>
      <c r="I259">
        <v>91</v>
      </c>
      <c r="J259">
        <v>99</v>
      </c>
      <c r="K259">
        <v>61</v>
      </c>
      <c r="L259">
        <v>2</v>
      </c>
      <c r="M259">
        <v>52</v>
      </c>
      <c r="N259">
        <f t="shared" si="4"/>
        <v>0</v>
      </c>
    </row>
    <row r="260" spans="1:14" hidden="1" x14ac:dyDescent="0.25">
      <c r="A260" s="1" t="s">
        <v>377</v>
      </c>
      <c r="B260" s="1" t="s">
        <v>180</v>
      </c>
      <c r="C260">
        <v>3</v>
      </c>
      <c r="D260">
        <v>4</v>
      </c>
      <c r="E260">
        <v>6</v>
      </c>
      <c r="F260">
        <v>2</v>
      </c>
      <c r="G260">
        <v>2</v>
      </c>
      <c r="H260">
        <v>4</v>
      </c>
      <c r="I260">
        <v>2</v>
      </c>
      <c r="J260">
        <v>85</v>
      </c>
      <c r="K260">
        <v>51</v>
      </c>
      <c r="L260">
        <v>87</v>
      </c>
      <c r="M260">
        <v>27</v>
      </c>
      <c r="N260">
        <f t="shared" si="4"/>
        <v>0</v>
      </c>
    </row>
    <row r="261" spans="1:14" hidden="1" x14ac:dyDescent="0.25">
      <c r="A261" s="1" t="s">
        <v>378</v>
      </c>
      <c r="B261" s="1" t="s">
        <v>30</v>
      </c>
      <c r="C261">
        <v>6</v>
      </c>
      <c r="D261">
        <v>3</v>
      </c>
      <c r="E261">
        <v>3</v>
      </c>
      <c r="F261">
        <v>6</v>
      </c>
      <c r="G261">
        <v>6</v>
      </c>
      <c r="H261">
        <v>3</v>
      </c>
      <c r="I261">
        <v>78</v>
      </c>
      <c r="J261">
        <v>57</v>
      </c>
      <c r="K261">
        <v>69</v>
      </c>
      <c r="L261">
        <v>18</v>
      </c>
      <c r="M261">
        <v>87</v>
      </c>
      <c r="N261">
        <f t="shared" si="4"/>
        <v>0</v>
      </c>
    </row>
    <row r="262" spans="1:14" hidden="1" x14ac:dyDescent="0.25">
      <c r="A262" s="1" t="s">
        <v>379</v>
      </c>
      <c r="B262" s="1" t="s">
        <v>180</v>
      </c>
      <c r="C262">
        <v>3</v>
      </c>
      <c r="D262">
        <v>5</v>
      </c>
      <c r="E262">
        <v>4</v>
      </c>
      <c r="F262">
        <v>5</v>
      </c>
      <c r="G262">
        <v>6</v>
      </c>
      <c r="H262">
        <v>4</v>
      </c>
      <c r="I262">
        <v>64</v>
      </c>
      <c r="J262">
        <v>35</v>
      </c>
      <c r="K262">
        <v>42</v>
      </c>
      <c r="L262">
        <v>54</v>
      </c>
      <c r="M262">
        <v>15</v>
      </c>
      <c r="N262">
        <f t="shared" si="4"/>
        <v>0</v>
      </c>
    </row>
    <row r="263" spans="1:14" hidden="1" x14ac:dyDescent="0.25">
      <c r="A263" s="1" t="s">
        <v>380</v>
      </c>
      <c r="B263" s="1" t="s">
        <v>381</v>
      </c>
      <c r="C263">
        <v>3</v>
      </c>
      <c r="D263">
        <v>2</v>
      </c>
      <c r="E263">
        <v>2</v>
      </c>
      <c r="F263">
        <v>4</v>
      </c>
      <c r="G263">
        <v>3</v>
      </c>
      <c r="H263">
        <v>5</v>
      </c>
      <c r="I263">
        <v>40</v>
      </c>
      <c r="J263">
        <v>28</v>
      </c>
      <c r="K263">
        <v>88</v>
      </c>
      <c r="L263">
        <v>11</v>
      </c>
      <c r="M263">
        <v>9</v>
      </c>
      <c r="N263">
        <f t="shared" si="4"/>
        <v>0</v>
      </c>
    </row>
    <row r="264" spans="1:14" hidden="1" x14ac:dyDescent="0.25">
      <c r="A264" s="1" t="s">
        <v>382</v>
      </c>
      <c r="B264" s="1" t="s">
        <v>45</v>
      </c>
      <c r="C264">
        <v>2</v>
      </c>
      <c r="D264">
        <v>5</v>
      </c>
      <c r="E264">
        <v>3</v>
      </c>
      <c r="F264">
        <v>4</v>
      </c>
      <c r="G264">
        <v>6</v>
      </c>
      <c r="H264">
        <v>3</v>
      </c>
      <c r="I264">
        <v>8</v>
      </c>
      <c r="J264">
        <v>46</v>
      </c>
      <c r="K264">
        <v>55</v>
      </c>
      <c r="L264">
        <v>39</v>
      </c>
      <c r="M264">
        <v>21</v>
      </c>
      <c r="N264">
        <f t="shared" si="4"/>
        <v>0</v>
      </c>
    </row>
    <row r="265" spans="1:14" hidden="1" x14ac:dyDescent="0.25">
      <c r="A265" s="1" t="s">
        <v>383</v>
      </c>
      <c r="B265" s="1" t="s">
        <v>384</v>
      </c>
      <c r="C265">
        <v>2</v>
      </c>
      <c r="D265">
        <v>5</v>
      </c>
      <c r="E265">
        <v>3</v>
      </c>
      <c r="F265">
        <v>6</v>
      </c>
      <c r="G265">
        <v>3</v>
      </c>
      <c r="H265">
        <v>3</v>
      </c>
      <c r="I265">
        <v>86</v>
      </c>
      <c r="J265">
        <v>36</v>
      </c>
      <c r="K265">
        <v>76</v>
      </c>
      <c r="L265">
        <v>91</v>
      </c>
      <c r="M265">
        <v>19</v>
      </c>
      <c r="N265">
        <f t="shared" si="4"/>
        <v>0</v>
      </c>
    </row>
    <row r="266" spans="1:14" hidden="1" x14ac:dyDescent="0.25">
      <c r="A266" s="1" t="s">
        <v>385</v>
      </c>
      <c r="B266" s="1" t="s">
        <v>288</v>
      </c>
      <c r="C266">
        <v>0</v>
      </c>
      <c r="D266">
        <v>4</v>
      </c>
      <c r="E266">
        <v>3</v>
      </c>
      <c r="F266">
        <v>5</v>
      </c>
      <c r="G266">
        <v>2</v>
      </c>
      <c r="H266">
        <v>6</v>
      </c>
      <c r="I266">
        <v>86</v>
      </c>
      <c r="J266">
        <v>76</v>
      </c>
      <c r="K266">
        <v>17</v>
      </c>
      <c r="L266">
        <v>68</v>
      </c>
      <c r="M266">
        <v>39</v>
      </c>
      <c r="N266">
        <f t="shared" si="4"/>
        <v>0</v>
      </c>
    </row>
    <row r="267" spans="1:14" hidden="1" x14ac:dyDescent="0.25">
      <c r="A267" s="1" t="s">
        <v>386</v>
      </c>
      <c r="B267" s="1" t="s">
        <v>311</v>
      </c>
      <c r="C267">
        <v>8</v>
      </c>
      <c r="D267">
        <v>4</v>
      </c>
      <c r="E267">
        <v>5</v>
      </c>
      <c r="F267">
        <v>5</v>
      </c>
      <c r="G267">
        <v>4</v>
      </c>
      <c r="H267">
        <v>5</v>
      </c>
      <c r="I267">
        <v>7</v>
      </c>
      <c r="J267">
        <v>8</v>
      </c>
      <c r="K267">
        <v>77</v>
      </c>
      <c r="L267">
        <v>77</v>
      </c>
      <c r="M267">
        <v>21</v>
      </c>
      <c r="N267">
        <f t="shared" si="4"/>
        <v>0</v>
      </c>
    </row>
    <row r="268" spans="1:14" hidden="1" x14ac:dyDescent="0.25">
      <c r="A268" s="1" t="s">
        <v>387</v>
      </c>
      <c r="B268" s="1" t="s">
        <v>388</v>
      </c>
      <c r="C268">
        <v>8</v>
      </c>
      <c r="D268">
        <v>2</v>
      </c>
      <c r="E268">
        <v>6</v>
      </c>
      <c r="F268">
        <v>4</v>
      </c>
      <c r="G268">
        <v>3</v>
      </c>
      <c r="H268">
        <v>2</v>
      </c>
      <c r="I268">
        <v>77</v>
      </c>
      <c r="J268">
        <v>98</v>
      </c>
      <c r="K268">
        <v>4</v>
      </c>
      <c r="L268">
        <v>85</v>
      </c>
      <c r="M268">
        <v>63</v>
      </c>
      <c r="N268">
        <f t="shared" si="4"/>
        <v>0</v>
      </c>
    </row>
    <row r="269" spans="1:14" hidden="1" x14ac:dyDescent="0.25">
      <c r="A269" s="1" t="s">
        <v>389</v>
      </c>
      <c r="B269" s="1" t="s">
        <v>324</v>
      </c>
      <c r="C269">
        <v>6</v>
      </c>
      <c r="D269">
        <v>4</v>
      </c>
      <c r="E269">
        <v>6</v>
      </c>
      <c r="F269">
        <v>3</v>
      </c>
      <c r="G269">
        <v>3</v>
      </c>
      <c r="H269">
        <v>3</v>
      </c>
      <c r="I269">
        <v>9</v>
      </c>
      <c r="J269">
        <v>15</v>
      </c>
      <c r="K269">
        <v>6</v>
      </c>
      <c r="L269">
        <v>65</v>
      </c>
      <c r="M269">
        <v>75</v>
      </c>
      <c r="N269">
        <f t="shared" si="4"/>
        <v>0</v>
      </c>
    </row>
    <row r="270" spans="1:14" hidden="1" x14ac:dyDescent="0.25">
      <c r="A270" s="1" t="s">
        <v>390</v>
      </c>
      <c r="B270" s="1" t="s">
        <v>391</v>
      </c>
      <c r="C270">
        <v>0</v>
      </c>
      <c r="D270">
        <v>5</v>
      </c>
      <c r="E270">
        <v>3</v>
      </c>
      <c r="F270">
        <v>3</v>
      </c>
      <c r="G270">
        <v>3</v>
      </c>
      <c r="H270">
        <v>5</v>
      </c>
      <c r="I270">
        <v>27</v>
      </c>
      <c r="J270">
        <v>30</v>
      </c>
      <c r="K270">
        <v>23</v>
      </c>
      <c r="L270">
        <v>16</v>
      </c>
      <c r="M270">
        <v>21</v>
      </c>
      <c r="N270">
        <f t="shared" si="4"/>
        <v>0</v>
      </c>
    </row>
    <row r="271" spans="1:14" hidden="1" x14ac:dyDescent="0.25">
      <c r="A271" s="1" t="s">
        <v>392</v>
      </c>
      <c r="B271" s="1" t="s">
        <v>16</v>
      </c>
      <c r="C271">
        <v>5</v>
      </c>
      <c r="D271">
        <v>2</v>
      </c>
      <c r="E271">
        <v>5</v>
      </c>
      <c r="F271">
        <v>5</v>
      </c>
      <c r="G271">
        <v>6</v>
      </c>
      <c r="H271">
        <v>5</v>
      </c>
      <c r="I271">
        <v>17</v>
      </c>
      <c r="J271">
        <v>23</v>
      </c>
      <c r="K271">
        <v>33</v>
      </c>
      <c r="L271">
        <v>16</v>
      </c>
      <c r="M271">
        <v>62</v>
      </c>
      <c r="N271">
        <f t="shared" si="4"/>
        <v>0</v>
      </c>
    </row>
    <row r="272" spans="1:14" hidden="1" x14ac:dyDescent="0.25">
      <c r="A272" s="1" t="s">
        <v>393</v>
      </c>
      <c r="B272" s="1" t="s">
        <v>251</v>
      </c>
      <c r="C272">
        <v>2</v>
      </c>
      <c r="D272">
        <v>5</v>
      </c>
      <c r="E272">
        <v>3</v>
      </c>
      <c r="F272">
        <v>6</v>
      </c>
      <c r="G272">
        <v>6</v>
      </c>
      <c r="H272">
        <v>2</v>
      </c>
      <c r="I272">
        <v>87</v>
      </c>
      <c r="J272">
        <v>23</v>
      </c>
      <c r="K272">
        <v>15</v>
      </c>
      <c r="L272">
        <v>44</v>
      </c>
      <c r="M272">
        <v>30</v>
      </c>
      <c r="N272">
        <f t="shared" si="4"/>
        <v>0</v>
      </c>
    </row>
    <row r="273" spans="1:14" hidden="1" x14ac:dyDescent="0.25">
      <c r="A273" s="1" t="s">
        <v>394</v>
      </c>
      <c r="B273" s="1" t="s">
        <v>395</v>
      </c>
      <c r="C273">
        <v>2</v>
      </c>
      <c r="D273">
        <v>6</v>
      </c>
      <c r="E273">
        <v>3</v>
      </c>
      <c r="F273">
        <v>3</v>
      </c>
      <c r="G273">
        <v>3</v>
      </c>
      <c r="H273">
        <v>6</v>
      </c>
      <c r="I273">
        <v>83</v>
      </c>
      <c r="J273">
        <v>27</v>
      </c>
      <c r="K273">
        <v>18</v>
      </c>
      <c r="L273">
        <v>41</v>
      </c>
      <c r="M273">
        <v>94</v>
      </c>
      <c r="N273">
        <f t="shared" si="4"/>
        <v>0</v>
      </c>
    </row>
    <row r="274" spans="1:14" hidden="1" x14ac:dyDescent="0.25">
      <c r="A274" s="1" t="s">
        <v>396</v>
      </c>
      <c r="B274" s="1" t="s">
        <v>397</v>
      </c>
      <c r="C274">
        <v>5</v>
      </c>
      <c r="D274">
        <v>5</v>
      </c>
      <c r="E274">
        <v>5</v>
      </c>
      <c r="F274">
        <v>2</v>
      </c>
      <c r="G274">
        <v>4</v>
      </c>
      <c r="H274">
        <v>5</v>
      </c>
      <c r="I274">
        <v>35</v>
      </c>
      <c r="J274">
        <v>16</v>
      </c>
      <c r="K274">
        <v>94</v>
      </c>
      <c r="L274">
        <v>87</v>
      </c>
      <c r="M274">
        <v>38</v>
      </c>
      <c r="N274">
        <f t="shared" si="4"/>
        <v>0</v>
      </c>
    </row>
    <row r="275" spans="1:14" hidden="1" x14ac:dyDescent="0.25">
      <c r="A275" s="1" t="s">
        <v>398</v>
      </c>
      <c r="B275" s="1" t="s">
        <v>399</v>
      </c>
      <c r="C275">
        <v>0</v>
      </c>
      <c r="D275">
        <v>5</v>
      </c>
      <c r="E275">
        <v>3</v>
      </c>
      <c r="F275">
        <v>3</v>
      </c>
      <c r="G275">
        <v>2</v>
      </c>
      <c r="H275">
        <v>2</v>
      </c>
      <c r="I275">
        <v>92</v>
      </c>
      <c r="J275">
        <v>79</v>
      </c>
      <c r="K275">
        <v>94</v>
      </c>
      <c r="L275">
        <v>42</v>
      </c>
      <c r="M275">
        <v>95</v>
      </c>
      <c r="N275">
        <f t="shared" si="4"/>
        <v>0</v>
      </c>
    </row>
    <row r="276" spans="1:14" hidden="1" x14ac:dyDescent="0.25">
      <c r="A276" s="1" t="s">
        <v>75</v>
      </c>
      <c r="B276" s="1" t="s">
        <v>76</v>
      </c>
      <c r="C276">
        <v>5</v>
      </c>
      <c r="D276">
        <v>3</v>
      </c>
      <c r="E276">
        <v>5</v>
      </c>
      <c r="F276">
        <v>3</v>
      </c>
      <c r="G276">
        <v>6</v>
      </c>
      <c r="H276">
        <v>6</v>
      </c>
      <c r="I276">
        <v>82</v>
      </c>
      <c r="J276">
        <v>7</v>
      </c>
      <c r="K276">
        <v>24</v>
      </c>
      <c r="L276">
        <v>80</v>
      </c>
      <c r="M276">
        <v>33</v>
      </c>
      <c r="N276">
        <f t="shared" si="4"/>
        <v>0</v>
      </c>
    </row>
    <row r="277" spans="1:14" hidden="1" x14ac:dyDescent="0.25">
      <c r="A277" s="1" t="s">
        <v>400</v>
      </c>
      <c r="B277" s="1" t="s">
        <v>101</v>
      </c>
      <c r="C277">
        <v>6</v>
      </c>
      <c r="D277">
        <v>4</v>
      </c>
      <c r="E277">
        <v>6</v>
      </c>
      <c r="F277">
        <v>6</v>
      </c>
      <c r="G277">
        <v>4</v>
      </c>
      <c r="H277">
        <v>4</v>
      </c>
      <c r="I277">
        <v>94</v>
      </c>
      <c r="J277">
        <v>44</v>
      </c>
      <c r="K277">
        <v>96</v>
      </c>
      <c r="L277">
        <v>9</v>
      </c>
      <c r="M277">
        <v>97</v>
      </c>
      <c r="N277">
        <f t="shared" si="4"/>
        <v>0</v>
      </c>
    </row>
    <row r="278" spans="1:14" hidden="1" x14ac:dyDescent="0.25">
      <c r="A278" s="1" t="s">
        <v>401</v>
      </c>
      <c r="B278" s="1" t="s">
        <v>402</v>
      </c>
      <c r="C278">
        <v>3</v>
      </c>
      <c r="D278">
        <v>5</v>
      </c>
      <c r="E278">
        <v>3</v>
      </c>
      <c r="F278">
        <v>6</v>
      </c>
      <c r="G278">
        <v>4</v>
      </c>
      <c r="H278">
        <v>2</v>
      </c>
      <c r="I278">
        <v>32</v>
      </c>
      <c r="J278">
        <v>50</v>
      </c>
      <c r="K278">
        <v>94</v>
      </c>
      <c r="L278">
        <v>52</v>
      </c>
      <c r="M278">
        <v>100</v>
      </c>
      <c r="N278">
        <f t="shared" si="4"/>
        <v>1</v>
      </c>
    </row>
    <row r="279" spans="1:14" hidden="1" x14ac:dyDescent="0.25">
      <c r="A279" s="1" t="s">
        <v>403</v>
      </c>
      <c r="B279" s="1" t="s">
        <v>64</v>
      </c>
      <c r="C279">
        <v>3</v>
      </c>
      <c r="D279">
        <v>2</v>
      </c>
      <c r="E279">
        <v>3</v>
      </c>
      <c r="F279">
        <v>5</v>
      </c>
      <c r="G279">
        <v>3</v>
      </c>
      <c r="H279">
        <v>6</v>
      </c>
      <c r="I279">
        <v>84</v>
      </c>
      <c r="J279">
        <v>53</v>
      </c>
      <c r="K279">
        <v>73</v>
      </c>
      <c r="L279">
        <v>7</v>
      </c>
      <c r="M279">
        <v>3</v>
      </c>
      <c r="N279">
        <f t="shared" si="4"/>
        <v>0</v>
      </c>
    </row>
    <row r="280" spans="1:14" hidden="1" x14ac:dyDescent="0.25">
      <c r="A280" s="1" t="s">
        <v>404</v>
      </c>
      <c r="B280" s="1" t="s">
        <v>397</v>
      </c>
      <c r="C280">
        <v>2</v>
      </c>
      <c r="D280">
        <v>2</v>
      </c>
      <c r="E280">
        <v>5</v>
      </c>
      <c r="F280">
        <v>5</v>
      </c>
      <c r="G280">
        <v>5</v>
      </c>
      <c r="H280">
        <v>4</v>
      </c>
      <c r="I280">
        <v>88</v>
      </c>
      <c r="J280">
        <v>37</v>
      </c>
      <c r="K280">
        <v>50</v>
      </c>
      <c r="L280">
        <v>19</v>
      </c>
      <c r="M280">
        <v>28</v>
      </c>
      <c r="N280">
        <f t="shared" si="4"/>
        <v>0</v>
      </c>
    </row>
    <row r="281" spans="1:14" hidden="1" x14ac:dyDescent="0.25">
      <c r="A281" s="1" t="s">
        <v>405</v>
      </c>
      <c r="B281" s="1" t="s">
        <v>197</v>
      </c>
      <c r="C281">
        <v>7</v>
      </c>
      <c r="D281">
        <v>2</v>
      </c>
      <c r="E281">
        <v>3</v>
      </c>
      <c r="F281">
        <v>5</v>
      </c>
      <c r="G281">
        <v>5</v>
      </c>
      <c r="H281">
        <v>2</v>
      </c>
      <c r="I281">
        <v>26</v>
      </c>
      <c r="J281">
        <v>30</v>
      </c>
      <c r="K281">
        <v>96</v>
      </c>
      <c r="L281">
        <v>59</v>
      </c>
      <c r="M281">
        <v>28</v>
      </c>
      <c r="N281">
        <f t="shared" si="4"/>
        <v>0</v>
      </c>
    </row>
    <row r="282" spans="1:14" hidden="1" x14ac:dyDescent="0.25">
      <c r="A282" s="1" t="s">
        <v>406</v>
      </c>
      <c r="B282" s="1" t="s">
        <v>38</v>
      </c>
      <c r="C282">
        <v>0</v>
      </c>
      <c r="D282">
        <v>5</v>
      </c>
      <c r="E282">
        <v>6</v>
      </c>
      <c r="F282">
        <v>2</v>
      </c>
      <c r="G282">
        <v>2</v>
      </c>
      <c r="H282">
        <v>3</v>
      </c>
      <c r="I282">
        <v>50</v>
      </c>
      <c r="J282">
        <v>5</v>
      </c>
      <c r="K282">
        <v>14</v>
      </c>
      <c r="L282">
        <v>44</v>
      </c>
      <c r="M282">
        <v>45</v>
      </c>
      <c r="N282">
        <f t="shared" si="4"/>
        <v>0</v>
      </c>
    </row>
    <row r="283" spans="1:14" hidden="1" x14ac:dyDescent="0.25">
      <c r="A283" s="1" t="s">
        <v>407</v>
      </c>
      <c r="B283" s="1" t="s">
        <v>395</v>
      </c>
      <c r="C283">
        <v>5</v>
      </c>
      <c r="D283">
        <v>5</v>
      </c>
      <c r="E283">
        <v>5</v>
      </c>
      <c r="F283">
        <v>4</v>
      </c>
      <c r="G283">
        <v>6</v>
      </c>
      <c r="H283">
        <v>5</v>
      </c>
      <c r="I283">
        <v>73</v>
      </c>
      <c r="J283">
        <v>49</v>
      </c>
      <c r="K283">
        <v>54</v>
      </c>
      <c r="L283">
        <v>67</v>
      </c>
      <c r="M283">
        <v>5</v>
      </c>
      <c r="N283">
        <f t="shared" si="4"/>
        <v>0</v>
      </c>
    </row>
    <row r="284" spans="1:14" hidden="1" x14ac:dyDescent="0.25">
      <c r="A284" s="1" t="s">
        <v>408</v>
      </c>
      <c r="B284" s="1" t="s">
        <v>316</v>
      </c>
      <c r="C284">
        <v>2</v>
      </c>
      <c r="D284">
        <v>3</v>
      </c>
      <c r="E284">
        <v>4</v>
      </c>
      <c r="F284">
        <v>2</v>
      </c>
      <c r="G284">
        <v>5</v>
      </c>
      <c r="H284">
        <v>6</v>
      </c>
      <c r="I284">
        <v>100</v>
      </c>
      <c r="J284">
        <v>13</v>
      </c>
      <c r="K284">
        <v>93</v>
      </c>
      <c r="L284">
        <v>32</v>
      </c>
      <c r="M284">
        <v>23</v>
      </c>
      <c r="N284">
        <f t="shared" si="4"/>
        <v>1</v>
      </c>
    </row>
    <row r="285" spans="1:14" hidden="1" x14ac:dyDescent="0.25">
      <c r="A285" s="1" t="s">
        <v>408</v>
      </c>
      <c r="B285" s="1" t="s">
        <v>409</v>
      </c>
      <c r="C285">
        <v>6</v>
      </c>
      <c r="D285">
        <v>4</v>
      </c>
      <c r="E285">
        <v>4</v>
      </c>
      <c r="F285">
        <v>3</v>
      </c>
      <c r="G285">
        <v>2</v>
      </c>
      <c r="H285">
        <v>5</v>
      </c>
      <c r="I285">
        <v>52</v>
      </c>
      <c r="J285">
        <v>46</v>
      </c>
      <c r="K285">
        <v>54</v>
      </c>
      <c r="L285">
        <v>22</v>
      </c>
      <c r="M285">
        <v>42</v>
      </c>
      <c r="N285">
        <f t="shared" si="4"/>
        <v>0</v>
      </c>
    </row>
    <row r="286" spans="1:14" hidden="1" x14ac:dyDescent="0.25">
      <c r="A286" s="1" t="s">
        <v>410</v>
      </c>
      <c r="B286" s="1" t="s">
        <v>70</v>
      </c>
      <c r="C286">
        <v>2</v>
      </c>
      <c r="D286">
        <v>5</v>
      </c>
      <c r="E286">
        <v>6</v>
      </c>
      <c r="F286">
        <v>4</v>
      </c>
      <c r="G286">
        <v>6</v>
      </c>
      <c r="H286">
        <v>3</v>
      </c>
      <c r="I286">
        <v>88</v>
      </c>
      <c r="J286">
        <v>14</v>
      </c>
      <c r="K286">
        <v>98</v>
      </c>
      <c r="L286">
        <v>46</v>
      </c>
      <c r="M286">
        <v>66</v>
      </c>
      <c r="N286">
        <f t="shared" si="4"/>
        <v>0</v>
      </c>
    </row>
    <row r="287" spans="1:14" hidden="1" x14ac:dyDescent="0.25">
      <c r="A287" s="1" t="s">
        <v>411</v>
      </c>
      <c r="B287" s="1" t="s">
        <v>412</v>
      </c>
      <c r="C287">
        <v>3</v>
      </c>
      <c r="D287">
        <v>2</v>
      </c>
      <c r="E287">
        <v>4</v>
      </c>
      <c r="F287">
        <v>2</v>
      </c>
      <c r="G287">
        <v>6</v>
      </c>
      <c r="H287">
        <v>6</v>
      </c>
      <c r="I287">
        <v>85</v>
      </c>
      <c r="J287">
        <v>91</v>
      </c>
      <c r="K287">
        <v>9</v>
      </c>
      <c r="L287">
        <v>9</v>
      </c>
      <c r="M287">
        <v>53</v>
      </c>
      <c r="N287">
        <f t="shared" si="4"/>
        <v>0</v>
      </c>
    </row>
    <row r="288" spans="1:14" hidden="1" x14ac:dyDescent="0.25">
      <c r="A288" s="1" t="s">
        <v>413</v>
      </c>
      <c r="B288" s="1" t="s">
        <v>414</v>
      </c>
      <c r="C288">
        <v>3</v>
      </c>
      <c r="D288">
        <v>4</v>
      </c>
      <c r="E288">
        <v>4</v>
      </c>
      <c r="F288">
        <v>4</v>
      </c>
      <c r="G288">
        <v>3</v>
      </c>
      <c r="H288">
        <v>3</v>
      </c>
      <c r="I288">
        <v>93</v>
      </c>
      <c r="J288">
        <v>12</v>
      </c>
      <c r="K288">
        <v>63</v>
      </c>
      <c r="L288">
        <v>3</v>
      </c>
      <c r="M288">
        <v>60</v>
      </c>
      <c r="N288">
        <f t="shared" si="4"/>
        <v>0</v>
      </c>
    </row>
    <row r="289" spans="1:14" hidden="1" x14ac:dyDescent="0.25">
      <c r="A289" s="1" t="s">
        <v>40</v>
      </c>
      <c r="B289" s="1" t="s">
        <v>43</v>
      </c>
      <c r="C289">
        <v>0</v>
      </c>
      <c r="D289">
        <v>6</v>
      </c>
      <c r="E289">
        <v>3</v>
      </c>
      <c r="F289">
        <v>5</v>
      </c>
      <c r="G289">
        <v>6</v>
      </c>
      <c r="H289">
        <v>3</v>
      </c>
      <c r="I289">
        <v>67</v>
      </c>
      <c r="J289">
        <v>66</v>
      </c>
      <c r="K289">
        <v>56</v>
      </c>
      <c r="L289">
        <v>41</v>
      </c>
      <c r="M289">
        <v>26</v>
      </c>
      <c r="N289">
        <f t="shared" si="4"/>
        <v>0</v>
      </c>
    </row>
    <row r="290" spans="1:14" hidden="1" x14ac:dyDescent="0.25">
      <c r="A290" s="1" t="s">
        <v>415</v>
      </c>
      <c r="B290" s="1" t="s">
        <v>416</v>
      </c>
      <c r="C290">
        <v>4</v>
      </c>
      <c r="D290">
        <v>5</v>
      </c>
      <c r="E290">
        <v>6</v>
      </c>
      <c r="F290">
        <v>5</v>
      </c>
      <c r="G290">
        <v>2</v>
      </c>
      <c r="H290">
        <v>4</v>
      </c>
      <c r="I290">
        <v>65</v>
      </c>
      <c r="J290">
        <v>75</v>
      </c>
      <c r="K290">
        <v>95</v>
      </c>
      <c r="L290">
        <v>100</v>
      </c>
      <c r="M290">
        <v>89</v>
      </c>
      <c r="N290">
        <f t="shared" si="4"/>
        <v>1</v>
      </c>
    </row>
    <row r="291" spans="1:14" hidden="1" x14ac:dyDescent="0.25">
      <c r="A291" s="1" t="s">
        <v>417</v>
      </c>
      <c r="B291" s="1" t="s">
        <v>110</v>
      </c>
      <c r="C291">
        <v>1</v>
      </c>
      <c r="D291">
        <v>3</v>
      </c>
      <c r="E291">
        <v>5</v>
      </c>
      <c r="F291">
        <v>2</v>
      </c>
      <c r="G291">
        <v>2</v>
      </c>
      <c r="H291">
        <v>5</v>
      </c>
      <c r="I291">
        <v>45</v>
      </c>
      <c r="J291">
        <v>30</v>
      </c>
      <c r="K291">
        <v>64</v>
      </c>
      <c r="L291">
        <v>95</v>
      </c>
      <c r="M291">
        <v>83</v>
      </c>
      <c r="N291">
        <f t="shared" si="4"/>
        <v>0</v>
      </c>
    </row>
    <row r="292" spans="1:14" hidden="1" x14ac:dyDescent="0.25">
      <c r="A292" s="1" t="s">
        <v>418</v>
      </c>
      <c r="B292" s="1" t="s">
        <v>171</v>
      </c>
      <c r="C292">
        <v>4</v>
      </c>
      <c r="D292">
        <v>6</v>
      </c>
      <c r="E292">
        <v>4</v>
      </c>
      <c r="F292">
        <v>2</v>
      </c>
      <c r="G292">
        <v>3</v>
      </c>
      <c r="H292">
        <v>5</v>
      </c>
      <c r="I292">
        <v>40</v>
      </c>
      <c r="J292">
        <v>80</v>
      </c>
      <c r="K292">
        <v>8</v>
      </c>
      <c r="L292">
        <v>99</v>
      </c>
      <c r="M292">
        <v>20</v>
      </c>
      <c r="N292">
        <f t="shared" si="4"/>
        <v>0</v>
      </c>
    </row>
    <row r="293" spans="1:14" hidden="1" x14ac:dyDescent="0.25">
      <c r="A293" s="1" t="s">
        <v>419</v>
      </c>
      <c r="B293" s="1" t="s">
        <v>260</v>
      </c>
      <c r="C293">
        <v>6</v>
      </c>
      <c r="D293">
        <v>3</v>
      </c>
      <c r="E293">
        <v>6</v>
      </c>
      <c r="F293">
        <v>2</v>
      </c>
      <c r="G293">
        <v>4</v>
      </c>
      <c r="H293">
        <v>6</v>
      </c>
      <c r="I293">
        <v>47</v>
      </c>
      <c r="J293">
        <v>54</v>
      </c>
      <c r="K293">
        <v>40</v>
      </c>
      <c r="L293">
        <v>83</v>
      </c>
      <c r="M293">
        <v>16</v>
      </c>
      <c r="N293">
        <f t="shared" si="4"/>
        <v>0</v>
      </c>
    </row>
    <row r="294" spans="1:14" hidden="1" x14ac:dyDescent="0.25">
      <c r="A294" s="1" t="s">
        <v>420</v>
      </c>
      <c r="B294" s="1" t="s">
        <v>188</v>
      </c>
      <c r="C294">
        <v>3</v>
      </c>
      <c r="D294">
        <v>2</v>
      </c>
      <c r="E294">
        <v>4</v>
      </c>
      <c r="F294">
        <v>5</v>
      </c>
      <c r="G294">
        <v>4</v>
      </c>
      <c r="H294">
        <v>6</v>
      </c>
      <c r="I294">
        <v>99</v>
      </c>
      <c r="J294">
        <v>60</v>
      </c>
      <c r="K294">
        <v>96</v>
      </c>
      <c r="L294">
        <v>89</v>
      </c>
      <c r="M294">
        <v>29</v>
      </c>
      <c r="N294">
        <f t="shared" si="4"/>
        <v>0</v>
      </c>
    </row>
    <row r="295" spans="1:14" hidden="1" x14ac:dyDescent="0.25">
      <c r="A295" s="1" t="s">
        <v>421</v>
      </c>
      <c r="B295" s="1" t="s">
        <v>249</v>
      </c>
      <c r="C295">
        <v>8</v>
      </c>
      <c r="D295">
        <v>2</v>
      </c>
      <c r="E295">
        <v>2</v>
      </c>
      <c r="F295">
        <v>4</v>
      </c>
      <c r="G295">
        <v>3</v>
      </c>
      <c r="H295">
        <v>5</v>
      </c>
      <c r="I295">
        <v>83</v>
      </c>
      <c r="J295">
        <v>29</v>
      </c>
      <c r="K295">
        <v>91</v>
      </c>
      <c r="L295">
        <v>26</v>
      </c>
      <c r="M295">
        <v>21</v>
      </c>
      <c r="N295">
        <f t="shared" si="4"/>
        <v>0</v>
      </c>
    </row>
    <row r="296" spans="1:14" hidden="1" x14ac:dyDescent="0.25">
      <c r="A296" s="1" t="s">
        <v>422</v>
      </c>
      <c r="B296" s="1" t="s">
        <v>340</v>
      </c>
      <c r="C296">
        <v>0</v>
      </c>
      <c r="D296">
        <v>4</v>
      </c>
      <c r="E296">
        <v>3</v>
      </c>
      <c r="F296">
        <v>6</v>
      </c>
      <c r="G296">
        <v>5</v>
      </c>
      <c r="H296">
        <v>5</v>
      </c>
      <c r="I296">
        <v>5</v>
      </c>
      <c r="J296">
        <v>26</v>
      </c>
      <c r="K296">
        <v>6</v>
      </c>
      <c r="L296">
        <v>82</v>
      </c>
      <c r="M296">
        <v>94</v>
      </c>
      <c r="N296">
        <f t="shared" si="4"/>
        <v>0</v>
      </c>
    </row>
    <row r="297" spans="1:14" hidden="1" x14ac:dyDescent="0.25">
      <c r="A297" s="1" t="s">
        <v>423</v>
      </c>
      <c r="B297" s="1" t="s">
        <v>76</v>
      </c>
      <c r="C297">
        <v>5</v>
      </c>
      <c r="D297">
        <v>3</v>
      </c>
      <c r="E297">
        <v>3</v>
      </c>
      <c r="F297">
        <v>3</v>
      </c>
      <c r="G297">
        <v>4</v>
      </c>
      <c r="H297">
        <v>3</v>
      </c>
      <c r="I297">
        <v>97</v>
      </c>
      <c r="J297">
        <v>83</v>
      </c>
      <c r="K297">
        <v>27</v>
      </c>
      <c r="L297">
        <v>61</v>
      </c>
      <c r="M297">
        <v>34</v>
      </c>
      <c r="N297">
        <f t="shared" si="4"/>
        <v>0</v>
      </c>
    </row>
    <row r="298" spans="1:14" hidden="1" x14ac:dyDescent="0.25">
      <c r="A298" s="1" t="s">
        <v>424</v>
      </c>
      <c r="B298" s="1" t="s">
        <v>425</v>
      </c>
      <c r="C298">
        <v>8</v>
      </c>
      <c r="D298">
        <v>5</v>
      </c>
      <c r="E298">
        <v>4</v>
      </c>
      <c r="F298">
        <v>6</v>
      </c>
      <c r="G298">
        <v>6</v>
      </c>
      <c r="H298">
        <v>5</v>
      </c>
      <c r="I298">
        <v>37</v>
      </c>
      <c r="J298">
        <v>52</v>
      </c>
      <c r="K298">
        <v>6</v>
      </c>
      <c r="L298">
        <v>34</v>
      </c>
      <c r="M298">
        <v>84</v>
      </c>
      <c r="N298">
        <f t="shared" si="4"/>
        <v>0</v>
      </c>
    </row>
    <row r="299" spans="1:14" hidden="1" x14ac:dyDescent="0.25">
      <c r="A299" s="1" t="s">
        <v>426</v>
      </c>
      <c r="B299" s="1" t="s">
        <v>427</v>
      </c>
      <c r="C299">
        <v>5</v>
      </c>
      <c r="D299">
        <v>2</v>
      </c>
      <c r="E299">
        <v>5</v>
      </c>
      <c r="F299">
        <v>3</v>
      </c>
      <c r="G299">
        <v>5</v>
      </c>
      <c r="H299">
        <v>5</v>
      </c>
      <c r="I299">
        <v>30</v>
      </c>
      <c r="J299">
        <v>42</v>
      </c>
      <c r="K299">
        <v>80</v>
      </c>
      <c r="L299">
        <v>74</v>
      </c>
      <c r="M299">
        <v>75</v>
      </c>
      <c r="N299">
        <f t="shared" si="4"/>
        <v>0</v>
      </c>
    </row>
    <row r="300" spans="1:14" hidden="1" x14ac:dyDescent="0.25">
      <c r="A300" s="1" t="s">
        <v>428</v>
      </c>
      <c r="B300" s="1" t="s">
        <v>429</v>
      </c>
      <c r="C300">
        <v>3</v>
      </c>
      <c r="D300">
        <v>2</v>
      </c>
      <c r="E300">
        <v>5</v>
      </c>
      <c r="F300">
        <v>5</v>
      </c>
      <c r="G300">
        <v>2</v>
      </c>
      <c r="H300">
        <v>2</v>
      </c>
      <c r="I300">
        <v>81</v>
      </c>
      <c r="J300">
        <v>88</v>
      </c>
      <c r="K300">
        <v>99</v>
      </c>
      <c r="L300">
        <v>75</v>
      </c>
      <c r="M300">
        <v>60</v>
      </c>
      <c r="N300">
        <f t="shared" si="4"/>
        <v>0</v>
      </c>
    </row>
    <row r="301" spans="1:14" hidden="1" x14ac:dyDescent="0.25">
      <c r="A301" s="1" t="s">
        <v>428</v>
      </c>
      <c r="B301" s="1" t="s">
        <v>430</v>
      </c>
      <c r="C301">
        <v>3</v>
      </c>
      <c r="D301">
        <v>6</v>
      </c>
      <c r="E301">
        <v>2</v>
      </c>
      <c r="F301">
        <v>5</v>
      </c>
      <c r="G301">
        <v>6</v>
      </c>
      <c r="H301">
        <v>4</v>
      </c>
      <c r="I301">
        <v>36</v>
      </c>
      <c r="J301">
        <v>63</v>
      </c>
      <c r="K301">
        <v>40</v>
      </c>
      <c r="L301">
        <v>82</v>
      </c>
      <c r="M301">
        <v>89</v>
      </c>
      <c r="N301">
        <f t="shared" si="4"/>
        <v>0</v>
      </c>
    </row>
    <row r="302" spans="1:14" hidden="1" x14ac:dyDescent="0.25">
      <c r="A302" s="1" t="s">
        <v>431</v>
      </c>
      <c r="B302" s="1" t="s">
        <v>242</v>
      </c>
      <c r="C302">
        <v>0</v>
      </c>
      <c r="D302">
        <v>6</v>
      </c>
      <c r="E302">
        <v>3</v>
      </c>
      <c r="F302">
        <v>2</v>
      </c>
      <c r="G302">
        <v>3</v>
      </c>
      <c r="H302">
        <v>5</v>
      </c>
      <c r="I302">
        <v>27</v>
      </c>
      <c r="J302">
        <v>62</v>
      </c>
      <c r="K302">
        <v>56</v>
      </c>
      <c r="L302">
        <v>66</v>
      </c>
      <c r="M302">
        <v>92</v>
      </c>
      <c r="N302">
        <f t="shared" si="4"/>
        <v>0</v>
      </c>
    </row>
    <row r="303" spans="1:14" hidden="1" x14ac:dyDescent="0.25">
      <c r="A303" s="1" t="s">
        <v>432</v>
      </c>
      <c r="B303" s="1" t="s">
        <v>429</v>
      </c>
      <c r="C303">
        <v>8</v>
      </c>
      <c r="D303">
        <v>5</v>
      </c>
      <c r="E303">
        <v>5</v>
      </c>
      <c r="F303">
        <v>5</v>
      </c>
      <c r="G303">
        <v>4</v>
      </c>
      <c r="H303">
        <v>6</v>
      </c>
      <c r="I303">
        <v>65</v>
      </c>
      <c r="J303">
        <v>57</v>
      </c>
      <c r="K303">
        <v>24</v>
      </c>
      <c r="L303">
        <v>97</v>
      </c>
      <c r="M303">
        <v>47</v>
      </c>
      <c r="N303">
        <f t="shared" si="4"/>
        <v>0</v>
      </c>
    </row>
    <row r="304" spans="1:14" hidden="1" x14ac:dyDescent="0.25">
      <c r="A304" s="1" t="s">
        <v>433</v>
      </c>
      <c r="B304" s="1" t="s">
        <v>434</v>
      </c>
      <c r="C304">
        <v>5</v>
      </c>
      <c r="D304">
        <v>2</v>
      </c>
      <c r="E304">
        <v>6</v>
      </c>
      <c r="F304">
        <v>4</v>
      </c>
      <c r="G304">
        <v>5</v>
      </c>
      <c r="H304">
        <v>6</v>
      </c>
      <c r="I304">
        <v>35</v>
      </c>
      <c r="J304">
        <v>77</v>
      </c>
      <c r="K304">
        <v>82</v>
      </c>
      <c r="L304">
        <v>42</v>
      </c>
      <c r="M304">
        <v>17</v>
      </c>
      <c r="N304">
        <f t="shared" si="4"/>
        <v>0</v>
      </c>
    </row>
    <row r="305" spans="1:14" hidden="1" x14ac:dyDescent="0.25">
      <c r="A305" s="1" t="s">
        <v>435</v>
      </c>
      <c r="B305" s="1" t="s">
        <v>436</v>
      </c>
      <c r="C305">
        <v>3</v>
      </c>
      <c r="D305">
        <v>5</v>
      </c>
      <c r="E305">
        <v>5</v>
      </c>
      <c r="F305">
        <v>2</v>
      </c>
      <c r="G305">
        <v>3</v>
      </c>
      <c r="H305">
        <v>6</v>
      </c>
      <c r="I305">
        <v>47</v>
      </c>
      <c r="J305">
        <v>52</v>
      </c>
      <c r="K305">
        <v>43</v>
      </c>
      <c r="L305">
        <v>47</v>
      </c>
      <c r="M305">
        <v>3</v>
      </c>
      <c r="N305">
        <f t="shared" si="4"/>
        <v>0</v>
      </c>
    </row>
    <row r="306" spans="1:14" hidden="1" x14ac:dyDescent="0.25">
      <c r="A306" s="1" t="s">
        <v>437</v>
      </c>
      <c r="B306" s="1" t="s">
        <v>438</v>
      </c>
      <c r="C306">
        <v>5</v>
      </c>
      <c r="D306">
        <v>2</v>
      </c>
      <c r="E306">
        <v>6</v>
      </c>
      <c r="F306">
        <v>3</v>
      </c>
      <c r="G306">
        <v>3</v>
      </c>
      <c r="H306">
        <v>5</v>
      </c>
      <c r="I306">
        <v>69</v>
      </c>
      <c r="J306">
        <v>15</v>
      </c>
      <c r="K306">
        <v>39</v>
      </c>
      <c r="L306">
        <v>69</v>
      </c>
      <c r="M306">
        <v>39</v>
      </c>
      <c r="N306">
        <f t="shared" si="4"/>
        <v>0</v>
      </c>
    </row>
    <row r="307" spans="1:14" hidden="1" x14ac:dyDescent="0.25">
      <c r="A307" s="1" t="s">
        <v>439</v>
      </c>
      <c r="B307" s="1" t="s">
        <v>395</v>
      </c>
      <c r="C307">
        <v>0</v>
      </c>
      <c r="D307">
        <v>3</v>
      </c>
      <c r="E307">
        <v>6</v>
      </c>
      <c r="F307">
        <v>4</v>
      </c>
      <c r="G307">
        <v>3</v>
      </c>
      <c r="H307">
        <v>6</v>
      </c>
      <c r="I307">
        <v>35</v>
      </c>
      <c r="J307">
        <v>41</v>
      </c>
      <c r="K307">
        <v>92</v>
      </c>
      <c r="L307">
        <v>96</v>
      </c>
      <c r="M307">
        <v>19</v>
      </c>
      <c r="N307">
        <f t="shared" si="4"/>
        <v>0</v>
      </c>
    </row>
    <row r="308" spans="1:14" hidden="1" x14ac:dyDescent="0.25">
      <c r="A308" s="1" t="s">
        <v>440</v>
      </c>
      <c r="B308" s="1" t="s">
        <v>251</v>
      </c>
      <c r="C308">
        <v>1</v>
      </c>
      <c r="D308">
        <v>6</v>
      </c>
      <c r="E308">
        <v>6</v>
      </c>
      <c r="F308">
        <v>5</v>
      </c>
      <c r="G308">
        <v>3</v>
      </c>
      <c r="H308">
        <v>6</v>
      </c>
      <c r="I308">
        <v>8</v>
      </c>
      <c r="J308">
        <v>17</v>
      </c>
      <c r="K308">
        <v>37</v>
      </c>
      <c r="L308">
        <v>10</v>
      </c>
      <c r="M308">
        <v>56</v>
      </c>
      <c r="N308">
        <f t="shared" si="4"/>
        <v>0</v>
      </c>
    </row>
    <row r="309" spans="1:14" hidden="1" x14ac:dyDescent="0.25">
      <c r="A309" s="1" t="s">
        <v>441</v>
      </c>
      <c r="B309" s="1" t="s">
        <v>177</v>
      </c>
      <c r="C309">
        <v>2</v>
      </c>
      <c r="D309">
        <v>5</v>
      </c>
      <c r="E309">
        <v>6</v>
      </c>
      <c r="F309">
        <v>2</v>
      </c>
      <c r="G309">
        <v>5</v>
      </c>
      <c r="H309">
        <v>3</v>
      </c>
      <c r="I309">
        <v>44</v>
      </c>
      <c r="J309">
        <v>32</v>
      </c>
      <c r="K309">
        <v>4</v>
      </c>
      <c r="L309">
        <v>95</v>
      </c>
      <c r="M309">
        <v>55</v>
      </c>
      <c r="N309">
        <f t="shared" si="4"/>
        <v>0</v>
      </c>
    </row>
    <row r="310" spans="1:14" hidden="1" x14ac:dyDescent="0.25">
      <c r="A310" s="1" t="s">
        <v>442</v>
      </c>
      <c r="B310" s="1" t="s">
        <v>70</v>
      </c>
      <c r="C310">
        <v>0</v>
      </c>
      <c r="D310">
        <v>6</v>
      </c>
      <c r="E310">
        <v>4</v>
      </c>
      <c r="F310">
        <v>2</v>
      </c>
      <c r="G310">
        <v>4</v>
      </c>
      <c r="H310">
        <v>5</v>
      </c>
      <c r="I310">
        <v>72</v>
      </c>
      <c r="J310">
        <v>100</v>
      </c>
      <c r="K310">
        <v>96</v>
      </c>
      <c r="L310">
        <v>5</v>
      </c>
      <c r="M310">
        <v>41</v>
      </c>
      <c r="N310">
        <f t="shared" si="4"/>
        <v>1</v>
      </c>
    </row>
    <row r="311" spans="1:14" hidden="1" x14ac:dyDescent="0.25">
      <c r="A311" s="1" t="s">
        <v>443</v>
      </c>
      <c r="B311" s="1" t="s">
        <v>357</v>
      </c>
      <c r="C311">
        <v>2</v>
      </c>
      <c r="D311">
        <v>6</v>
      </c>
      <c r="E311">
        <v>6</v>
      </c>
      <c r="F311">
        <v>4</v>
      </c>
      <c r="G311">
        <v>6</v>
      </c>
      <c r="H311">
        <v>2</v>
      </c>
      <c r="I311">
        <v>68</v>
      </c>
      <c r="J311">
        <v>15</v>
      </c>
      <c r="K311">
        <v>53</v>
      </c>
      <c r="L311">
        <v>47</v>
      </c>
      <c r="M311">
        <v>8</v>
      </c>
      <c r="N311">
        <f t="shared" si="4"/>
        <v>0</v>
      </c>
    </row>
    <row r="312" spans="1:14" hidden="1" x14ac:dyDescent="0.25">
      <c r="A312" s="1" t="s">
        <v>444</v>
      </c>
      <c r="B312" s="1" t="s">
        <v>445</v>
      </c>
      <c r="C312">
        <v>0</v>
      </c>
      <c r="D312">
        <v>3</v>
      </c>
      <c r="E312">
        <v>5</v>
      </c>
      <c r="F312">
        <v>2</v>
      </c>
      <c r="G312">
        <v>3</v>
      </c>
      <c r="H312">
        <v>6</v>
      </c>
      <c r="I312">
        <v>33</v>
      </c>
      <c r="J312">
        <v>86</v>
      </c>
      <c r="K312">
        <v>90</v>
      </c>
      <c r="L312">
        <v>78</v>
      </c>
      <c r="M312">
        <v>15</v>
      </c>
      <c r="N312">
        <f t="shared" si="4"/>
        <v>0</v>
      </c>
    </row>
    <row r="313" spans="1:14" hidden="1" x14ac:dyDescent="0.25">
      <c r="A313" s="1" t="s">
        <v>446</v>
      </c>
      <c r="B313" s="1" t="s">
        <v>30</v>
      </c>
      <c r="C313">
        <v>3</v>
      </c>
      <c r="D313">
        <v>2</v>
      </c>
      <c r="E313">
        <v>5</v>
      </c>
      <c r="F313">
        <v>3</v>
      </c>
      <c r="G313">
        <v>3</v>
      </c>
      <c r="H313">
        <v>4</v>
      </c>
      <c r="I313">
        <v>95</v>
      </c>
      <c r="J313">
        <v>25</v>
      </c>
      <c r="K313">
        <v>48</v>
      </c>
      <c r="L313">
        <v>27</v>
      </c>
      <c r="M313">
        <v>23</v>
      </c>
      <c r="N313">
        <f t="shared" si="4"/>
        <v>0</v>
      </c>
    </row>
    <row r="314" spans="1:14" hidden="1" x14ac:dyDescent="0.25">
      <c r="A314" s="1" t="s">
        <v>400</v>
      </c>
      <c r="B314" s="1" t="s">
        <v>409</v>
      </c>
      <c r="C314">
        <v>0</v>
      </c>
      <c r="D314">
        <v>4</v>
      </c>
      <c r="E314">
        <v>5</v>
      </c>
      <c r="F314">
        <v>6</v>
      </c>
      <c r="G314">
        <v>3</v>
      </c>
      <c r="H314">
        <v>5</v>
      </c>
      <c r="I314">
        <v>66</v>
      </c>
      <c r="J314">
        <v>31</v>
      </c>
      <c r="K314">
        <v>5</v>
      </c>
      <c r="L314">
        <v>9</v>
      </c>
      <c r="M314">
        <v>38</v>
      </c>
      <c r="N314">
        <f t="shared" si="4"/>
        <v>0</v>
      </c>
    </row>
    <row r="315" spans="1:14" hidden="1" x14ac:dyDescent="0.25">
      <c r="A315" s="1" t="s">
        <v>447</v>
      </c>
      <c r="B315" s="1" t="s">
        <v>448</v>
      </c>
      <c r="C315">
        <v>0</v>
      </c>
      <c r="D315">
        <v>4</v>
      </c>
      <c r="E315">
        <v>4</v>
      </c>
      <c r="F315">
        <v>5</v>
      </c>
      <c r="G315">
        <v>4</v>
      </c>
      <c r="H315">
        <v>3</v>
      </c>
      <c r="I315">
        <v>82</v>
      </c>
      <c r="J315">
        <v>31</v>
      </c>
      <c r="K315">
        <v>77</v>
      </c>
      <c r="L315">
        <v>49</v>
      </c>
      <c r="M315">
        <v>81</v>
      </c>
      <c r="N315">
        <f t="shared" si="4"/>
        <v>0</v>
      </c>
    </row>
    <row r="316" spans="1:14" hidden="1" x14ac:dyDescent="0.25">
      <c r="A316" s="1" t="s">
        <v>449</v>
      </c>
      <c r="B316" s="1" t="s">
        <v>34</v>
      </c>
      <c r="C316">
        <v>5</v>
      </c>
      <c r="D316">
        <v>2</v>
      </c>
      <c r="E316">
        <v>3</v>
      </c>
      <c r="F316">
        <v>2</v>
      </c>
      <c r="G316">
        <v>4</v>
      </c>
      <c r="H316">
        <v>3</v>
      </c>
      <c r="I316">
        <v>53</v>
      </c>
      <c r="J316">
        <v>95</v>
      </c>
      <c r="K316">
        <v>23</v>
      </c>
      <c r="L316">
        <v>16</v>
      </c>
      <c r="M316">
        <v>90</v>
      </c>
      <c r="N316">
        <f t="shared" si="4"/>
        <v>0</v>
      </c>
    </row>
    <row r="317" spans="1:14" hidden="1" x14ac:dyDescent="0.25">
      <c r="A317" s="1" t="s">
        <v>450</v>
      </c>
      <c r="B317" s="1" t="s">
        <v>395</v>
      </c>
      <c r="C317">
        <v>7</v>
      </c>
      <c r="D317">
        <v>2</v>
      </c>
      <c r="E317">
        <v>4</v>
      </c>
      <c r="F317">
        <v>3</v>
      </c>
      <c r="G317">
        <v>4</v>
      </c>
      <c r="H317">
        <v>2</v>
      </c>
      <c r="I317">
        <v>58</v>
      </c>
      <c r="J317">
        <v>56</v>
      </c>
      <c r="K317">
        <v>47</v>
      </c>
      <c r="L317">
        <v>61</v>
      </c>
      <c r="M317">
        <v>69</v>
      </c>
      <c r="N317">
        <f t="shared" si="4"/>
        <v>0</v>
      </c>
    </row>
    <row r="318" spans="1:14" hidden="1" x14ac:dyDescent="0.25">
      <c r="A318" s="1" t="s">
        <v>163</v>
      </c>
      <c r="B318" s="1" t="s">
        <v>164</v>
      </c>
      <c r="C318">
        <v>6</v>
      </c>
      <c r="D318">
        <v>6</v>
      </c>
      <c r="E318">
        <v>4</v>
      </c>
      <c r="F318">
        <v>3</v>
      </c>
      <c r="G318">
        <v>2</v>
      </c>
      <c r="H318">
        <v>3</v>
      </c>
      <c r="I318">
        <v>88</v>
      </c>
      <c r="J318">
        <v>10</v>
      </c>
      <c r="K318">
        <v>92</v>
      </c>
      <c r="L318">
        <v>82</v>
      </c>
      <c r="M318">
        <v>2</v>
      </c>
      <c r="N318">
        <f t="shared" si="4"/>
        <v>0</v>
      </c>
    </row>
    <row r="319" spans="1:14" hidden="1" x14ac:dyDescent="0.25">
      <c r="A319" s="1" t="s">
        <v>451</v>
      </c>
      <c r="B319" s="1" t="s">
        <v>23</v>
      </c>
      <c r="C319">
        <v>6</v>
      </c>
      <c r="D319">
        <v>4</v>
      </c>
      <c r="E319">
        <v>2</v>
      </c>
      <c r="F319">
        <v>3</v>
      </c>
      <c r="G319">
        <v>5</v>
      </c>
      <c r="H319">
        <v>4</v>
      </c>
      <c r="I319">
        <v>50</v>
      </c>
      <c r="J319">
        <v>3</v>
      </c>
      <c r="K319">
        <v>27</v>
      </c>
      <c r="L319">
        <v>70</v>
      </c>
      <c r="M319">
        <v>25</v>
      </c>
      <c r="N319">
        <f t="shared" si="4"/>
        <v>0</v>
      </c>
    </row>
    <row r="320" spans="1:14" hidden="1" x14ac:dyDescent="0.25">
      <c r="A320" s="1" t="s">
        <v>283</v>
      </c>
      <c r="B320" s="1" t="s">
        <v>452</v>
      </c>
      <c r="C320">
        <v>8</v>
      </c>
      <c r="D320">
        <v>2</v>
      </c>
      <c r="E320">
        <v>5</v>
      </c>
      <c r="F320">
        <v>3</v>
      </c>
      <c r="G320">
        <v>2</v>
      </c>
      <c r="H320">
        <v>3</v>
      </c>
      <c r="I320">
        <v>93</v>
      </c>
      <c r="J320">
        <v>98</v>
      </c>
      <c r="K320">
        <v>43</v>
      </c>
      <c r="L320">
        <v>97</v>
      </c>
      <c r="M320">
        <v>90</v>
      </c>
      <c r="N320">
        <f t="shared" si="4"/>
        <v>0</v>
      </c>
    </row>
    <row r="321" spans="1:14" hidden="1" x14ac:dyDescent="0.25">
      <c r="A321" s="1" t="s">
        <v>453</v>
      </c>
      <c r="B321" s="1" t="s">
        <v>130</v>
      </c>
      <c r="C321">
        <v>6</v>
      </c>
      <c r="D321">
        <v>4</v>
      </c>
      <c r="E321">
        <v>4</v>
      </c>
      <c r="F321">
        <v>5</v>
      </c>
      <c r="G321">
        <v>2</v>
      </c>
      <c r="H321">
        <v>4</v>
      </c>
      <c r="I321">
        <v>41</v>
      </c>
      <c r="J321">
        <v>62</v>
      </c>
      <c r="K321">
        <v>60</v>
      </c>
      <c r="L321">
        <v>18</v>
      </c>
      <c r="M321">
        <v>83</v>
      </c>
      <c r="N321">
        <f t="shared" si="4"/>
        <v>0</v>
      </c>
    </row>
    <row r="322" spans="1:14" hidden="1" x14ac:dyDescent="0.25">
      <c r="A322" s="1" t="s">
        <v>454</v>
      </c>
      <c r="B322" s="1" t="s">
        <v>369</v>
      </c>
      <c r="C322">
        <v>3</v>
      </c>
      <c r="D322">
        <v>2</v>
      </c>
      <c r="E322">
        <v>3</v>
      </c>
      <c r="F322">
        <v>4</v>
      </c>
      <c r="G322">
        <v>2</v>
      </c>
      <c r="H322">
        <v>4</v>
      </c>
      <c r="I322">
        <v>90</v>
      </c>
      <c r="J322">
        <v>26</v>
      </c>
      <c r="K322">
        <v>50</v>
      </c>
      <c r="L322">
        <v>74</v>
      </c>
      <c r="M322">
        <v>53</v>
      </c>
      <c r="N322">
        <f t="shared" ref="N322:N385" si="5">COUNTIF(I322:M322, 100)</f>
        <v>0</v>
      </c>
    </row>
    <row r="323" spans="1:14" hidden="1" x14ac:dyDescent="0.25">
      <c r="A323" s="1" t="s">
        <v>455</v>
      </c>
      <c r="B323" s="1" t="s">
        <v>369</v>
      </c>
      <c r="C323">
        <v>4</v>
      </c>
      <c r="D323">
        <v>4</v>
      </c>
      <c r="E323">
        <v>3</v>
      </c>
      <c r="F323">
        <v>2</v>
      </c>
      <c r="G323">
        <v>3</v>
      </c>
      <c r="H323">
        <v>2</v>
      </c>
      <c r="I323">
        <v>31</v>
      </c>
      <c r="J323">
        <v>59</v>
      </c>
      <c r="K323">
        <v>7</v>
      </c>
      <c r="L323">
        <v>38</v>
      </c>
      <c r="M323">
        <v>24</v>
      </c>
      <c r="N323">
        <f t="shared" si="5"/>
        <v>0</v>
      </c>
    </row>
    <row r="324" spans="1:14" hidden="1" x14ac:dyDescent="0.25">
      <c r="A324" s="1" t="s">
        <v>456</v>
      </c>
      <c r="B324" s="1" t="s">
        <v>159</v>
      </c>
      <c r="C324">
        <v>6</v>
      </c>
      <c r="D324">
        <v>6</v>
      </c>
      <c r="E324">
        <v>6</v>
      </c>
      <c r="F324">
        <v>2</v>
      </c>
      <c r="G324">
        <v>3</v>
      </c>
      <c r="H324">
        <v>2</v>
      </c>
      <c r="I324">
        <v>56</v>
      </c>
      <c r="J324">
        <v>34</v>
      </c>
      <c r="K324">
        <v>52</v>
      </c>
      <c r="L324">
        <v>30</v>
      </c>
      <c r="M324">
        <v>94</v>
      </c>
      <c r="N324">
        <f t="shared" si="5"/>
        <v>0</v>
      </c>
    </row>
    <row r="325" spans="1:14" hidden="1" x14ac:dyDescent="0.25">
      <c r="A325" s="1" t="s">
        <v>457</v>
      </c>
      <c r="B325" s="1" t="s">
        <v>409</v>
      </c>
      <c r="C325">
        <v>0</v>
      </c>
      <c r="D325">
        <v>3</v>
      </c>
      <c r="E325">
        <v>6</v>
      </c>
      <c r="F325">
        <v>4</v>
      </c>
      <c r="G325">
        <v>6</v>
      </c>
      <c r="H325">
        <v>3</v>
      </c>
      <c r="I325">
        <v>13</v>
      </c>
      <c r="J325">
        <v>42</v>
      </c>
      <c r="K325">
        <v>23</v>
      </c>
      <c r="L325">
        <v>14</v>
      </c>
      <c r="M325">
        <v>73</v>
      </c>
      <c r="N325">
        <f t="shared" si="5"/>
        <v>0</v>
      </c>
    </row>
    <row r="326" spans="1:14" hidden="1" x14ac:dyDescent="0.25">
      <c r="A326" s="1" t="s">
        <v>458</v>
      </c>
      <c r="B326" s="1" t="s">
        <v>74</v>
      </c>
      <c r="C326">
        <v>2</v>
      </c>
      <c r="D326">
        <v>3</v>
      </c>
      <c r="E326">
        <v>6</v>
      </c>
      <c r="F326">
        <v>6</v>
      </c>
      <c r="G326">
        <v>4</v>
      </c>
      <c r="H326">
        <v>4</v>
      </c>
      <c r="I326">
        <v>61</v>
      </c>
      <c r="J326">
        <v>3</v>
      </c>
      <c r="K326">
        <v>88</v>
      </c>
      <c r="L326">
        <v>72</v>
      </c>
      <c r="M326">
        <v>84</v>
      </c>
      <c r="N326">
        <f t="shared" si="5"/>
        <v>0</v>
      </c>
    </row>
    <row r="327" spans="1:14" hidden="1" x14ac:dyDescent="0.25">
      <c r="A327" s="1" t="s">
        <v>459</v>
      </c>
      <c r="B327" s="1" t="s">
        <v>130</v>
      </c>
      <c r="C327">
        <v>6</v>
      </c>
      <c r="D327">
        <v>4</v>
      </c>
      <c r="E327">
        <v>4</v>
      </c>
      <c r="F327">
        <v>2</v>
      </c>
      <c r="G327">
        <v>4</v>
      </c>
      <c r="H327">
        <v>2</v>
      </c>
      <c r="I327">
        <v>30</v>
      </c>
      <c r="J327">
        <v>28</v>
      </c>
      <c r="K327">
        <v>30</v>
      </c>
      <c r="L327">
        <v>66</v>
      </c>
      <c r="M327">
        <v>98</v>
      </c>
      <c r="N327">
        <f t="shared" si="5"/>
        <v>0</v>
      </c>
    </row>
    <row r="328" spans="1:14" hidden="1" x14ac:dyDescent="0.25">
      <c r="A328" s="1" t="s">
        <v>460</v>
      </c>
      <c r="B328" s="1" t="s">
        <v>130</v>
      </c>
      <c r="C328">
        <v>4</v>
      </c>
      <c r="D328">
        <v>4</v>
      </c>
      <c r="E328">
        <v>4</v>
      </c>
      <c r="F328">
        <v>6</v>
      </c>
      <c r="G328">
        <v>6</v>
      </c>
      <c r="H328">
        <v>2</v>
      </c>
      <c r="I328">
        <v>80</v>
      </c>
      <c r="J328">
        <v>75</v>
      </c>
      <c r="K328">
        <v>57</v>
      </c>
      <c r="L328">
        <v>43</v>
      </c>
      <c r="M328">
        <v>92</v>
      </c>
      <c r="N328">
        <f t="shared" si="5"/>
        <v>0</v>
      </c>
    </row>
    <row r="329" spans="1:14" hidden="1" x14ac:dyDescent="0.25">
      <c r="A329" s="1" t="s">
        <v>461</v>
      </c>
      <c r="B329" s="1" t="s">
        <v>28</v>
      </c>
      <c r="C329">
        <v>2</v>
      </c>
      <c r="D329">
        <v>4</v>
      </c>
      <c r="E329">
        <v>5</v>
      </c>
      <c r="F329">
        <v>2</v>
      </c>
      <c r="G329">
        <v>5</v>
      </c>
      <c r="H329">
        <v>2</v>
      </c>
      <c r="I329">
        <v>26</v>
      </c>
      <c r="J329">
        <v>69</v>
      </c>
      <c r="K329">
        <v>46</v>
      </c>
      <c r="L329">
        <v>57</v>
      </c>
      <c r="M329">
        <v>91</v>
      </c>
      <c r="N329">
        <f t="shared" si="5"/>
        <v>0</v>
      </c>
    </row>
    <row r="330" spans="1:14" hidden="1" x14ac:dyDescent="0.25">
      <c r="A330" s="1" t="s">
        <v>462</v>
      </c>
      <c r="B330" s="1" t="s">
        <v>463</v>
      </c>
      <c r="C330">
        <v>4</v>
      </c>
      <c r="D330">
        <v>3</v>
      </c>
      <c r="E330">
        <v>5</v>
      </c>
      <c r="F330">
        <v>5</v>
      </c>
      <c r="G330">
        <v>3</v>
      </c>
      <c r="H330">
        <v>3</v>
      </c>
      <c r="I330">
        <v>5</v>
      </c>
      <c r="J330">
        <v>44</v>
      </c>
      <c r="K330">
        <v>37</v>
      </c>
      <c r="L330">
        <v>5</v>
      </c>
      <c r="M330">
        <v>62</v>
      </c>
      <c r="N330">
        <f t="shared" si="5"/>
        <v>0</v>
      </c>
    </row>
    <row r="331" spans="1:14" hidden="1" x14ac:dyDescent="0.25">
      <c r="A331" s="1" t="s">
        <v>464</v>
      </c>
      <c r="B331" s="1" t="s">
        <v>445</v>
      </c>
      <c r="C331">
        <v>6</v>
      </c>
      <c r="D331">
        <v>3</v>
      </c>
      <c r="E331">
        <v>5</v>
      </c>
      <c r="F331">
        <v>5</v>
      </c>
      <c r="G331">
        <v>2</v>
      </c>
      <c r="H331">
        <v>6</v>
      </c>
      <c r="I331">
        <v>56</v>
      </c>
      <c r="J331">
        <v>90</v>
      </c>
      <c r="K331">
        <v>35</v>
      </c>
      <c r="L331">
        <v>68</v>
      </c>
      <c r="M331">
        <v>48</v>
      </c>
      <c r="N331">
        <f t="shared" si="5"/>
        <v>0</v>
      </c>
    </row>
    <row r="332" spans="1:14" hidden="1" x14ac:dyDescent="0.25">
      <c r="A332" s="1" t="s">
        <v>465</v>
      </c>
      <c r="B332" s="1" t="s">
        <v>239</v>
      </c>
      <c r="C332">
        <v>4</v>
      </c>
      <c r="D332">
        <v>3</v>
      </c>
      <c r="E332">
        <v>6</v>
      </c>
      <c r="F332">
        <v>2</v>
      </c>
      <c r="G332">
        <v>3</v>
      </c>
      <c r="H332">
        <v>3</v>
      </c>
      <c r="I332">
        <v>7</v>
      </c>
      <c r="J332">
        <v>15</v>
      </c>
      <c r="K332">
        <v>62</v>
      </c>
      <c r="L332">
        <v>9</v>
      </c>
      <c r="M332">
        <v>43</v>
      </c>
      <c r="N332">
        <f t="shared" si="5"/>
        <v>0</v>
      </c>
    </row>
    <row r="333" spans="1:14" hidden="1" x14ac:dyDescent="0.25">
      <c r="A333" s="1" t="s">
        <v>466</v>
      </c>
      <c r="B333" s="1" t="s">
        <v>16</v>
      </c>
      <c r="C333">
        <v>3</v>
      </c>
      <c r="D333">
        <v>6</v>
      </c>
      <c r="E333">
        <v>6</v>
      </c>
      <c r="F333">
        <v>6</v>
      </c>
      <c r="G333">
        <v>4</v>
      </c>
      <c r="H333">
        <v>5</v>
      </c>
      <c r="I333">
        <v>27</v>
      </c>
      <c r="J333">
        <v>73</v>
      </c>
      <c r="K333">
        <v>63</v>
      </c>
      <c r="L333">
        <v>14</v>
      </c>
      <c r="M333">
        <v>72</v>
      </c>
      <c r="N333">
        <f t="shared" si="5"/>
        <v>0</v>
      </c>
    </row>
    <row r="334" spans="1:14" hidden="1" x14ac:dyDescent="0.25">
      <c r="A334" s="1" t="s">
        <v>467</v>
      </c>
      <c r="B334" s="1" t="s">
        <v>395</v>
      </c>
      <c r="C334">
        <v>1</v>
      </c>
      <c r="D334">
        <v>6</v>
      </c>
      <c r="E334">
        <v>5</v>
      </c>
      <c r="F334">
        <v>2</v>
      </c>
      <c r="G334">
        <v>2</v>
      </c>
      <c r="H334">
        <v>3</v>
      </c>
      <c r="I334">
        <v>70</v>
      </c>
      <c r="J334">
        <v>59</v>
      </c>
      <c r="K334">
        <v>15</v>
      </c>
      <c r="L334">
        <v>13</v>
      </c>
      <c r="M334">
        <v>66</v>
      </c>
      <c r="N334">
        <f t="shared" si="5"/>
        <v>0</v>
      </c>
    </row>
    <row r="335" spans="1:14" hidden="1" x14ac:dyDescent="0.25">
      <c r="A335" s="1" t="s">
        <v>468</v>
      </c>
      <c r="B335" s="1" t="s">
        <v>164</v>
      </c>
      <c r="C335">
        <v>5</v>
      </c>
      <c r="D335">
        <v>3</v>
      </c>
      <c r="E335">
        <v>5</v>
      </c>
      <c r="F335">
        <v>3</v>
      </c>
      <c r="G335">
        <v>5</v>
      </c>
      <c r="H335">
        <v>3</v>
      </c>
      <c r="I335">
        <v>52</v>
      </c>
      <c r="J335">
        <v>65</v>
      </c>
      <c r="K335">
        <v>48</v>
      </c>
      <c r="L335">
        <v>58</v>
      </c>
      <c r="M335">
        <v>48</v>
      </c>
      <c r="N335">
        <f t="shared" si="5"/>
        <v>0</v>
      </c>
    </row>
    <row r="336" spans="1:14" hidden="1" x14ac:dyDescent="0.25">
      <c r="A336" s="1" t="s">
        <v>469</v>
      </c>
      <c r="B336" s="1" t="s">
        <v>130</v>
      </c>
      <c r="C336">
        <v>5</v>
      </c>
      <c r="D336">
        <v>2</v>
      </c>
      <c r="E336">
        <v>2</v>
      </c>
      <c r="F336">
        <v>2</v>
      </c>
      <c r="G336">
        <v>4</v>
      </c>
      <c r="H336">
        <v>2</v>
      </c>
      <c r="I336">
        <v>27</v>
      </c>
      <c r="J336">
        <v>64</v>
      </c>
      <c r="K336">
        <v>22</v>
      </c>
      <c r="L336">
        <v>32</v>
      </c>
      <c r="M336">
        <v>91</v>
      </c>
      <c r="N336">
        <f t="shared" si="5"/>
        <v>0</v>
      </c>
    </row>
    <row r="337" spans="1:14" hidden="1" x14ac:dyDescent="0.25">
      <c r="A337" s="1" t="s">
        <v>470</v>
      </c>
      <c r="B337" s="1" t="s">
        <v>32</v>
      </c>
      <c r="C337">
        <v>1</v>
      </c>
      <c r="D337">
        <v>3</v>
      </c>
      <c r="E337">
        <v>3</v>
      </c>
      <c r="F337">
        <v>2</v>
      </c>
      <c r="G337">
        <v>5</v>
      </c>
      <c r="H337">
        <v>2</v>
      </c>
      <c r="I337">
        <v>84</v>
      </c>
      <c r="J337">
        <v>92</v>
      </c>
      <c r="K337">
        <v>92</v>
      </c>
      <c r="L337">
        <v>81</v>
      </c>
      <c r="M337">
        <v>68</v>
      </c>
      <c r="N337">
        <f t="shared" si="5"/>
        <v>0</v>
      </c>
    </row>
    <row r="338" spans="1:14" hidden="1" x14ac:dyDescent="0.25">
      <c r="A338" s="1" t="s">
        <v>471</v>
      </c>
      <c r="B338" s="1" t="s">
        <v>340</v>
      </c>
      <c r="C338">
        <v>4</v>
      </c>
      <c r="D338">
        <v>5</v>
      </c>
      <c r="E338">
        <v>4</v>
      </c>
      <c r="F338">
        <v>4</v>
      </c>
      <c r="G338">
        <v>2</v>
      </c>
      <c r="H338">
        <v>6</v>
      </c>
      <c r="I338">
        <v>75</v>
      </c>
      <c r="J338">
        <v>22</v>
      </c>
      <c r="K338">
        <v>91</v>
      </c>
      <c r="L338">
        <v>31</v>
      </c>
      <c r="M338">
        <v>93</v>
      </c>
      <c r="N338">
        <f t="shared" si="5"/>
        <v>0</v>
      </c>
    </row>
    <row r="339" spans="1:14" hidden="1" x14ac:dyDescent="0.25">
      <c r="A339" s="1" t="s">
        <v>472</v>
      </c>
      <c r="B339" s="1" t="s">
        <v>70</v>
      </c>
      <c r="C339">
        <v>2</v>
      </c>
      <c r="D339">
        <v>4</v>
      </c>
      <c r="E339">
        <v>4</v>
      </c>
      <c r="F339">
        <v>6</v>
      </c>
      <c r="G339">
        <v>5</v>
      </c>
      <c r="H339">
        <v>4</v>
      </c>
      <c r="I339">
        <v>35</v>
      </c>
      <c r="J339">
        <v>77</v>
      </c>
      <c r="K339">
        <v>81</v>
      </c>
      <c r="L339">
        <v>17</v>
      </c>
      <c r="M339">
        <v>27</v>
      </c>
      <c r="N339">
        <f t="shared" si="5"/>
        <v>0</v>
      </c>
    </row>
    <row r="340" spans="1:14" hidden="1" x14ac:dyDescent="0.25">
      <c r="A340" s="1" t="s">
        <v>473</v>
      </c>
      <c r="B340" s="1" t="s">
        <v>55</v>
      </c>
      <c r="C340">
        <v>7</v>
      </c>
      <c r="D340">
        <v>5</v>
      </c>
      <c r="E340">
        <v>4</v>
      </c>
      <c r="F340">
        <v>3</v>
      </c>
      <c r="G340">
        <v>3</v>
      </c>
      <c r="H340">
        <v>2</v>
      </c>
      <c r="I340">
        <v>2</v>
      </c>
      <c r="J340">
        <v>88</v>
      </c>
      <c r="K340">
        <v>61</v>
      </c>
      <c r="L340">
        <v>2</v>
      </c>
      <c r="M340">
        <v>49</v>
      </c>
      <c r="N340">
        <f t="shared" si="5"/>
        <v>0</v>
      </c>
    </row>
    <row r="341" spans="1:14" hidden="1" x14ac:dyDescent="0.25">
      <c r="A341" s="1" t="s">
        <v>474</v>
      </c>
      <c r="B341" s="1" t="s">
        <v>197</v>
      </c>
      <c r="C341">
        <v>7</v>
      </c>
      <c r="D341">
        <v>6</v>
      </c>
      <c r="E341">
        <v>5</v>
      </c>
      <c r="F341">
        <v>3</v>
      </c>
      <c r="G341">
        <v>3</v>
      </c>
      <c r="H341">
        <v>3</v>
      </c>
      <c r="I341">
        <v>71</v>
      </c>
      <c r="J341">
        <v>55</v>
      </c>
      <c r="K341">
        <v>33</v>
      </c>
      <c r="L341">
        <v>97</v>
      </c>
      <c r="M341">
        <v>73</v>
      </c>
      <c r="N341">
        <f t="shared" si="5"/>
        <v>0</v>
      </c>
    </row>
    <row r="342" spans="1:14" hidden="1" x14ac:dyDescent="0.25">
      <c r="A342" s="1" t="s">
        <v>475</v>
      </c>
      <c r="B342" s="1" t="s">
        <v>232</v>
      </c>
      <c r="C342">
        <v>5</v>
      </c>
      <c r="D342">
        <v>5</v>
      </c>
      <c r="E342">
        <v>6</v>
      </c>
      <c r="F342">
        <v>4</v>
      </c>
      <c r="G342">
        <v>5</v>
      </c>
      <c r="H342">
        <v>5</v>
      </c>
      <c r="I342">
        <v>53</v>
      </c>
      <c r="J342">
        <v>97</v>
      </c>
      <c r="K342">
        <v>28</v>
      </c>
      <c r="L342">
        <v>88</v>
      </c>
      <c r="M342">
        <v>87</v>
      </c>
      <c r="N342">
        <f t="shared" si="5"/>
        <v>0</v>
      </c>
    </row>
    <row r="343" spans="1:14" hidden="1" x14ac:dyDescent="0.25">
      <c r="A343" s="1" t="s">
        <v>476</v>
      </c>
      <c r="B343" s="1" t="s">
        <v>477</v>
      </c>
      <c r="C343">
        <v>0</v>
      </c>
      <c r="D343">
        <v>5</v>
      </c>
      <c r="E343">
        <v>5</v>
      </c>
      <c r="F343">
        <v>3</v>
      </c>
      <c r="G343">
        <v>4</v>
      </c>
      <c r="H343">
        <v>4</v>
      </c>
      <c r="I343">
        <v>73</v>
      </c>
      <c r="J343">
        <v>67</v>
      </c>
      <c r="K343">
        <v>18</v>
      </c>
      <c r="L343">
        <v>84</v>
      </c>
      <c r="M343">
        <v>75</v>
      </c>
      <c r="N343">
        <f t="shared" si="5"/>
        <v>0</v>
      </c>
    </row>
    <row r="344" spans="1:14" hidden="1" x14ac:dyDescent="0.25">
      <c r="A344" s="1" t="s">
        <v>478</v>
      </c>
      <c r="B344" s="1" t="s">
        <v>101</v>
      </c>
      <c r="C344">
        <v>3</v>
      </c>
      <c r="D344">
        <v>6</v>
      </c>
      <c r="E344">
        <v>2</v>
      </c>
      <c r="F344">
        <v>2</v>
      </c>
      <c r="G344">
        <v>5</v>
      </c>
      <c r="H344">
        <v>2</v>
      </c>
      <c r="I344">
        <v>97</v>
      </c>
      <c r="J344">
        <v>40</v>
      </c>
      <c r="K344">
        <v>41</v>
      </c>
      <c r="L344">
        <v>46</v>
      </c>
      <c r="M344">
        <v>59</v>
      </c>
      <c r="N344">
        <f t="shared" si="5"/>
        <v>0</v>
      </c>
    </row>
    <row r="345" spans="1:14" hidden="1" x14ac:dyDescent="0.25">
      <c r="A345" s="1" t="s">
        <v>479</v>
      </c>
      <c r="B345" s="1" t="s">
        <v>30</v>
      </c>
      <c r="C345">
        <v>7</v>
      </c>
      <c r="D345">
        <v>4</v>
      </c>
      <c r="E345">
        <v>4</v>
      </c>
      <c r="F345">
        <v>6</v>
      </c>
      <c r="G345">
        <v>5</v>
      </c>
      <c r="H345">
        <v>5</v>
      </c>
      <c r="I345">
        <v>10</v>
      </c>
      <c r="J345">
        <v>32</v>
      </c>
      <c r="K345">
        <v>73</v>
      </c>
      <c r="L345">
        <v>96</v>
      </c>
      <c r="M345">
        <v>29</v>
      </c>
      <c r="N345">
        <f t="shared" si="5"/>
        <v>0</v>
      </c>
    </row>
    <row r="346" spans="1:14" hidden="1" x14ac:dyDescent="0.25">
      <c r="A346" s="1" t="s">
        <v>480</v>
      </c>
      <c r="B346" s="1" t="s">
        <v>477</v>
      </c>
      <c r="C346">
        <v>3</v>
      </c>
      <c r="D346">
        <v>2</v>
      </c>
      <c r="E346">
        <v>5</v>
      </c>
      <c r="F346">
        <v>5</v>
      </c>
      <c r="G346">
        <v>4</v>
      </c>
      <c r="H346">
        <v>5</v>
      </c>
      <c r="I346">
        <v>91</v>
      </c>
      <c r="J346">
        <v>53</v>
      </c>
      <c r="K346">
        <v>13</v>
      </c>
      <c r="L346">
        <v>58</v>
      </c>
      <c r="M346">
        <v>75</v>
      </c>
      <c r="N346">
        <f t="shared" si="5"/>
        <v>0</v>
      </c>
    </row>
    <row r="347" spans="1:14" hidden="1" x14ac:dyDescent="0.25">
      <c r="A347" s="1" t="s">
        <v>481</v>
      </c>
      <c r="B347" s="1" t="s">
        <v>61</v>
      </c>
      <c r="C347">
        <v>5</v>
      </c>
      <c r="D347">
        <v>4</v>
      </c>
      <c r="E347">
        <v>6</v>
      </c>
      <c r="F347">
        <v>5</v>
      </c>
      <c r="G347">
        <v>2</v>
      </c>
      <c r="H347">
        <v>3</v>
      </c>
      <c r="I347">
        <v>21</v>
      </c>
      <c r="J347">
        <v>48</v>
      </c>
      <c r="K347">
        <v>45</v>
      </c>
      <c r="L347">
        <v>1</v>
      </c>
      <c r="M347">
        <v>51</v>
      </c>
      <c r="N347">
        <f t="shared" si="5"/>
        <v>0</v>
      </c>
    </row>
    <row r="348" spans="1:14" hidden="1" x14ac:dyDescent="0.25">
      <c r="A348" s="1" t="s">
        <v>482</v>
      </c>
      <c r="B348" s="1" t="s">
        <v>311</v>
      </c>
      <c r="C348">
        <v>2</v>
      </c>
      <c r="D348">
        <v>2</v>
      </c>
      <c r="E348">
        <v>5</v>
      </c>
      <c r="F348">
        <v>2</v>
      </c>
      <c r="G348">
        <v>4</v>
      </c>
      <c r="H348">
        <v>4</v>
      </c>
      <c r="I348">
        <v>83</v>
      </c>
      <c r="J348">
        <v>28</v>
      </c>
      <c r="K348">
        <v>43</v>
      </c>
      <c r="L348">
        <v>19</v>
      </c>
      <c r="M348">
        <v>83</v>
      </c>
      <c r="N348">
        <f t="shared" si="5"/>
        <v>0</v>
      </c>
    </row>
    <row r="349" spans="1:14" hidden="1" x14ac:dyDescent="0.25">
      <c r="A349" s="1" t="s">
        <v>483</v>
      </c>
      <c r="B349" s="1" t="s">
        <v>133</v>
      </c>
      <c r="C349">
        <v>2</v>
      </c>
      <c r="D349">
        <v>4</v>
      </c>
      <c r="E349">
        <v>4</v>
      </c>
      <c r="F349">
        <v>3</v>
      </c>
      <c r="G349">
        <v>3</v>
      </c>
      <c r="H349">
        <v>6</v>
      </c>
      <c r="I349">
        <v>97</v>
      </c>
      <c r="J349">
        <v>80</v>
      </c>
      <c r="K349">
        <v>54</v>
      </c>
      <c r="L349">
        <v>78</v>
      </c>
      <c r="M349">
        <v>43</v>
      </c>
      <c r="N349">
        <f t="shared" si="5"/>
        <v>0</v>
      </c>
    </row>
    <row r="350" spans="1:14" hidden="1" x14ac:dyDescent="0.25">
      <c r="A350" s="1" t="s">
        <v>484</v>
      </c>
      <c r="B350" s="1" t="s">
        <v>101</v>
      </c>
      <c r="C350">
        <v>2</v>
      </c>
      <c r="D350">
        <v>5</v>
      </c>
      <c r="E350">
        <v>2</v>
      </c>
      <c r="F350">
        <v>3</v>
      </c>
      <c r="G350">
        <v>5</v>
      </c>
      <c r="H350">
        <v>2</v>
      </c>
      <c r="I350">
        <v>26</v>
      </c>
      <c r="J350">
        <v>31</v>
      </c>
      <c r="K350">
        <v>88</v>
      </c>
      <c r="L350">
        <v>98</v>
      </c>
      <c r="M350">
        <v>45</v>
      </c>
      <c r="N350">
        <f t="shared" si="5"/>
        <v>0</v>
      </c>
    </row>
    <row r="351" spans="1:14" hidden="1" x14ac:dyDescent="0.25">
      <c r="A351" s="1" t="s">
        <v>485</v>
      </c>
      <c r="B351" s="1" t="s">
        <v>58</v>
      </c>
      <c r="C351">
        <v>7</v>
      </c>
      <c r="D351">
        <v>6</v>
      </c>
      <c r="E351">
        <v>4</v>
      </c>
      <c r="F351">
        <v>5</v>
      </c>
      <c r="G351">
        <v>4</v>
      </c>
      <c r="H351">
        <v>3</v>
      </c>
      <c r="I351">
        <v>17</v>
      </c>
      <c r="J351">
        <v>54</v>
      </c>
      <c r="K351">
        <v>78</v>
      </c>
      <c r="L351">
        <v>68</v>
      </c>
      <c r="M351">
        <v>41</v>
      </c>
      <c r="N351">
        <f t="shared" si="5"/>
        <v>0</v>
      </c>
    </row>
    <row r="352" spans="1:14" hidden="1" x14ac:dyDescent="0.25">
      <c r="A352" s="1" t="s">
        <v>486</v>
      </c>
      <c r="B352" s="1" t="s">
        <v>70</v>
      </c>
      <c r="C352">
        <v>0</v>
      </c>
      <c r="D352">
        <v>2</v>
      </c>
      <c r="E352">
        <v>5</v>
      </c>
      <c r="F352">
        <v>3</v>
      </c>
      <c r="G352">
        <v>6</v>
      </c>
      <c r="H352">
        <v>6</v>
      </c>
      <c r="I352">
        <v>5</v>
      </c>
      <c r="J352">
        <v>93</v>
      </c>
      <c r="K352">
        <v>4</v>
      </c>
      <c r="L352">
        <v>59</v>
      </c>
      <c r="M352">
        <v>71</v>
      </c>
      <c r="N352">
        <f t="shared" si="5"/>
        <v>0</v>
      </c>
    </row>
    <row r="353" spans="1:14" hidden="1" x14ac:dyDescent="0.25">
      <c r="A353" s="1" t="s">
        <v>487</v>
      </c>
      <c r="B353" s="1" t="s">
        <v>76</v>
      </c>
      <c r="C353">
        <v>3</v>
      </c>
      <c r="D353">
        <v>5</v>
      </c>
      <c r="E353">
        <v>3</v>
      </c>
      <c r="F353">
        <v>3</v>
      </c>
      <c r="G353">
        <v>6</v>
      </c>
      <c r="H353">
        <v>4</v>
      </c>
      <c r="I353">
        <v>78</v>
      </c>
      <c r="J353">
        <v>80</v>
      </c>
      <c r="K353">
        <v>56</v>
      </c>
      <c r="L353">
        <v>31</v>
      </c>
      <c r="M353">
        <v>81</v>
      </c>
      <c r="N353">
        <f t="shared" si="5"/>
        <v>0</v>
      </c>
    </row>
    <row r="354" spans="1:14" hidden="1" x14ac:dyDescent="0.25">
      <c r="A354" s="1" t="s">
        <v>488</v>
      </c>
      <c r="B354" s="1" t="s">
        <v>489</v>
      </c>
      <c r="C354">
        <v>6</v>
      </c>
      <c r="D354">
        <v>6</v>
      </c>
      <c r="E354">
        <v>6</v>
      </c>
      <c r="F354">
        <v>4</v>
      </c>
      <c r="G354">
        <v>6</v>
      </c>
      <c r="H354">
        <v>4</v>
      </c>
      <c r="I354">
        <v>64</v>
      </c>
      <c r="J354">
        <v>18</v>
      </c>
      <c r="K354">
        <v>23</v>
      </c>
      <c r="L354">
        <v>81</v>
      </c>
      <c r="M354">
        <v>18</v>
      </c>
      <c r="N354">
        <f t="shared" si="5"/>
        <v>0</v>
      </c>
    </row>
    <row r="355" spans="1:14" hidden="1" x14ac:dyDescent="0.25">
      <c r="A355" s="1" t="s">
        <v>490</v>
      </c>
      <c r="B355" s="1" t="s">
        <v>38</v>
      </c>
      <c r="C355">
        <v>2</v>
      </c>
      <c r="D355">
        <v>4</v>
      </c>
      <c r="E355">
        <v>3</v>
      </c>
      <c r="F355">
        <v>5</v>
      </c>
      <c r="G355">
        <v>2</v>
      </c>
      <c r="H355">
        <v>3</v>
      </c>
      <c r="I355">
        <v>96</v>
      </c>
      <c r="J355">
        <v>32</v>
      </c>
      <c r="K355">
        <v>73</v>
      </c>
      <c r="L355">
        <v>7</v>
      </c>
      <c r="M355">
        <v>74</v>
      </c>
      <c r="N355">
        <f t="shared" si="5"/>
        <v>0</v>
      </c>
    </row>
    <row r="356" spans="1:14" hidden="1" x14ac:dyDescent="0.25">
      <c r="A356" s="1" t="s">
        <v>491</v>
      </c>
      <c r="B356" s="1" t="s">
        <v>340</v>
      </c>
      <c r="C356">
        <v>6</v>
      </c>
      <c r="D356">
        <v>6</v>
      </c>
      <c r="E356">
        <v>5</v>
      </c>
      <c r="F356">
        <v>5</v>
      </c>
      <c r="G356">
        <v>3</v>
      </c>
      <c r="H356">
        <v>6</v>
      </c>
      <c r="I356">
        <v>85</v>
      </c>
      <c r="J356">
        <v>35</v>
      </c>
      <c r="K356">
        <v>70</v>
      </c>
      <c r="L356">
        <v>99</v>
      </c>
      <c r="M356">
        <v>85</v>
      </c>
      <c r="N356">
        <f t="shared" si="5"/>
        <v>0</v>
      </c>
    </row>
    <row r="357" spans="1:14" hidden="1" x14ac:dyDescent="0.25">
      <c r="A357" s="1" t="s">
        <v>492</v>
      </c>
      <c r="B357" s="1" t="s">
        <v>90</v>
      </c>
      <c r="C357">
        <v>4</v>
      </c>
      <c r="D357">
        <v>2</v>
      </c>
      <c r="E357">
        <v>4</v>
      </c>
      <c r="F357">
        <v>5</v>
      </c>
      <c r="G357">
        <v>4</v>
      </c>
      <c r="H357">
        <v>2</v>
      </c>
      <c r="I357">
        <v>17</v>
      </c>
      <c r="J357">
        <v>17</v>
      </c>
      <c r="K357">
        <v>92</v>
      </c>
      <c r="L357">
        <v>6</v>
      </c>
      <c r="M357">
        <v>64</v>
      </c>
      <c r="N357">
        <f t="shared" si="5"/>
        <v>0</v>
      </c>
    </row>
    <row r="358" spans="1:14" hidden="1" x14ac:dyDescent="0.25">
      <c r="A358" s="1" t="s">
        <v>493</v>
      </c>
      <c r="B358" s="1" t="s">
        <v>180</v>
      </c>
      <c r="C358">
        <v>4</v>
      </c>
      <c r="D358">
        <v>2</v>
      </c>
      <c r="E358">
        <v>4</v>
      </c>
      <c r="F358">
        <v>2</v>
      </c>
      <c r="G358">
        <v>5</v>
      </c>
      <c r="H358">
        <v>4</v>
      </c>
      <c r="I358">
        <v>62</v>
      </c>
      <c r="J358">
        <v>3</v>
      </c>
      <c r="K358">
        <v>84</v>
      </c>
      <c r="L358">
        <v>48</v>
      </c>
      <c r="M358">
        <v>94</v>
      </c>
      <c r="N358">
        <f t="shared" si="5"/>
        <v>0</v>
      </c>
    </row>
    <row r="359" spans="1:14" hidden="1" x14ac:dyDescent="0.25">
      <c r="A359" s="1" t="s">
        <v>494</v>
      </c>
      <c r="B359" s="1" t="s">
        <v>495</v>
      </c>
      <c r="C359">
        <v>4</v>
      </c>
      <c r="D359">
        <v>5</v>
      </c>
      <c r="E359">
        <v>5</v>
      </c>
      <c r="F359">
        <v>6</v>
      </c>
      <c r="G359">
        <v>2</v>
      </c>
      <c r="H359">
        <v>3</v>
      </c>
      <c r="I359">
        <v>35</v>
      </c>
      <c r="J359">
        <v>49</v>
      </c>
      <c r="K359">
        <v>59</v>
      </c>
      <c r="L359">
        <v>44</v>
      </c>
      <c r="M359">
        <v>68</v>
      </c>
      <c r="N359">
        <f t="shared" si="5"/>
        <v>0</v>
      </c>
    </row>
    <row r="360" spans="1:14" hidden="1" x14ac:dyDescent="0.25">
      <c r="A360" s="1" t="s">
        <v>496</v>
      </c>
      <c r="B360" s="1" t="s">
        <v>369</v>
      </c>
      <c r="C360">
        <v>7</v>
      </c>
      <c r="D360">
        <v>3</v>
      </c>
      <c r="E360">
        <v>6</v>
      </c>
      <c r="F360">
        <v>2</v>
      </c>
      <c r="G360">
        <v>6</v>
      </c>
      <c r="H360">
        <v>5</v>
      </c>
      <c r="I360">
        <v>20</v>
      </c>
      <c r="J360">
        <v>58</v>
      </c>
      <c r="K360">
        <v>93</v>
      </c>
      <c r="L360">
        <v>53</v>
      </c>
      <c r="M360">
        <v>35</v>
      </c>
      <c r="N360">
        <f t="shared" si="5"/>
        <v>0</v>
      </c>
    </row>
    <row r="361" spans="1:14" hidden="1" x14ac:dyDescent="0.25">
      <c r="A361" s="1" t="s">
        <v>497</v>
      </c>
      <c r="B361" s="1" t="s">
        <v>498</v>
      </c>
      <c r="C361">
        <v>5</v>
      </c>
      <c r="D361">
        <v>6</v>
      </c>
      <c r="E361">
        <v>2</v>
      </c>
      <c r="F361">
        <v>3</v>
      </c>
      <c r="G361">
        <v>4</v>
      </c>
      <c r="H361">
        <v>3</v>
      </c>
      <c r="I361">
        <v>2</v>
      </c>
      <c r="J361">
        <v>97</v>
      </c>
      <c r="K361">
        <v>14</v>
      </c>
      <c r="L361">
        <v>81</v>
      </c>
      <c r="M361">
        <v>38</v>
      </c>
      <c r="N361">
        <f t="shared" si="5"/>
        <v>0</v>
      </c>
    </row>
    <row r="362" spans="1:14" hidden="1" x14ac:dyDescent="0.25">
      <c r="A362" s="1" t="s">
        <v>499</v>
      </c>
      <c r="B362" s="1" t="s">
        <v>498</v>
      </c>
      <c r="C362">
        <v>4</v>
      </c>
      <c r="D362">
        <v>6</v>
      </c>
      <c r="E362">
        <v>2</v>
      </c>
      <c r="F362">
        <v>6</v>
      </c>
      <c r="G362">
        <v>4</v>
      </c>
      <c r="H362">
        <v>5</v>
      </c>
      <c r="I362">
        <v>98</v>
      </c>
      <c r="J362">
        <v>42</v>
      </c>
      <c r="K362">
        <v>49</v>
      </c>
      <c r="L362">
        <v>83</v>
      </c>
      <c r="M362">
        <v>32</v>
      </c>
      <c r="N362">
        <f t="shared" si="5"/>
        <v>0</v>
      </c>
    </row>
    <row r="363" spans="1:14" hidden="1" x14ac:dyDescent="0.25">
      <c r="A363" s="1" t="s">
        <v>500</v>
      </c>
      <c r="B363" s="1" t="s">
        <v>121</v>
      </c>
      <c r="C363">
        <v>7</v>
      </c>
      <c r="D363">
        <v>5</v>
      </c>
      <c r="E363">
        <v>5</v>
      </c>
      <c r="F363">
        <v>4</v>
      </c>
      <c r="G363">
        <v>5</v>
      </c>
      <c r="H363">
        <v>6</v>
      </c>
      <c r="I363">
        <v>97</v>
      </c>
      <c r="J363">
        <v>45</v>
      </c>
      <c r="K363">
        <v>42</v>
      </c>
      <c r="L363">
        <v>25</v>
      </c>
      <c r="M363">
        <v>51</v>
      </c>
      <c r="N363">
        <f t="shared" si="5"/>
        <v>0</v>
      </c>
    </row>
    <row r="364" spans="1:14" hidden="1" x14ac:dyDescent="0.25">
      <c r="A364" s="1" t="s">
        <v>501</v>
      </c>
      <c r="B364" s="1" t="s">
        <v>18</v>
      </c>
      <c r="C364">
        <v>8</v>
      </c>
      <c r="D364">
        <v>3</v>
      </c>
      <c r="E364">
        <v>2</v>
      </c>
      <c r="F364">
        <v>2</v>
      </c>
      <c r="G364">
        <v>4</v>
      </c>
      <c r="H364">
        <v>2</v>
      </c>
      <c r="I364">
        <v>54</v>
      </c>
      <c r="J364">
        <v>48</v>
      </c>
      <c r="K364">
        <v>35</v>
      </c>
      <c r="L364">
        <v>28</v>
      </c>
      <c r="M364">
        <v>35</v>
      </c>
      <c r="N364">
        <f t="shared" si="5"/>
        <v>0</v>
      </c>
    </row>
    <row r="365" spans="1:14" hidden="1" x14ac:dyDescent="0.25">
      <c r="A365" s="1" t="s">
        <v>502</v>
      </c>
      <c r="B365" s="1" t="s">
        <v>503</v>
      </c>
      <c r="C365">
        <v>5</v>
      </c>
      <c r="D365">
        <v>2</v>
      </c>
      <c r="E365">
        <v>6</v>
      </c>
      <c r="F365">
        <v>3</v>
      </c>
      <c r="G365">
        <v>2</v>
      </c>
      <c r="H365">
        <v>5</v>
      </c>
      <c r="I365">
        <v>35</v>
      </c>
      <c r="J365">
        <v>56</v>
      </c>
      <c r="K365">
        <v>6</v>
      </c>
      <c r="L365">
        <v>84</v>
      </c>
      <c r="M365">
        <v>54</v>
      </c>
      <c r="N365">
        <f t="shared" si="5"/>
        <v>0</v>
      </c>
    </row>
    <row r="366" spans="1:14" hidden="1" x14ac:dyDescent="0.25">
      <c r="A366" s="1" t="s">
        <v>504</v>
      </c>
      <c r="B366" s="1" t="s">
        <v>367</v>
      </c>
      <c r="C366">
        <v>0</v>
      </c>
      <c r="D366">
        <v>2</v>
      </c>
      <c r="E366">
        <v>5</v>
      </c>
      <c r="F366">
        <v>6</v>
      </c>
      <c r="G366">
        <v>6</v>
      </c>
      <c r="H366">
        <v>3</v>
      </c>
      <c r="I366">
        <v>36</v>
      </c>
      <c r="J366">
        <v>94</v>
      </c>
      <c r="K366">
        <v>52</v>
      </c>
      <c r="L366">
        <v>50</v>
      </c>
      <c r="M366">
        <v>57</v>
      </c>
      <c r="N366">
        <f t="shared" si="5"/>
        <v>0</v>
      </c>
    </row>
    <row r="367" spans="1:14" hidden="1" x14ac:dyDescent="0.25">
      <c r="A367" s="1" t="s">
        <v>505</v>
      </c>
      <c r="B367" s="1" t="s">
        <v>506</v>
      </c>
      <c r="C367">
        <v>2</v>
      </c>
      <c r="D367">
        <v>3</v>
      </c>
      <c r="E367">
        <v>2</v>
      </c>
      <c r="F367">
        <v>2</v>
      </c>
      <c r="G367">
        <v>5</v>
      </c>
      <c r="H367">
        <v>6</v>
      </c>
      <c r="I367">
        <v>100</v>
      </c>
      <c r="J367">
        <v>48</v>
      </c>
      <c r="K367">
        <v>88</v>
      </c>
      <c r="L367">
        <v>48</v>
      </c>
      <c r="M367">
        <v>8</v>
      </c>
      <c r="N367">
        <f t="shared" si="5"/>
        <v>1</v>
      </c>
    </row>
    <row r="368" spans="1:14" hidden="1" x14ac:dyDescent="0.25">
      <c r="A368" s="1" t="s">
        <v>507</v>
      </c>
      <c r="B368" s="1" t="s">
        <v>508</v>
      </c>
      <c r="C368">
        <v>1</v>
      </c>
      <c r="D368">
        <v>3</v>
      </c>
      <c r="E368">
        <v>4</v>
      </c>
      <c r="F368">
        <v>3</v>
      </c>
      <c r="G368">
        <v>5</v>
      </c>
      <c r="H368">
        <v>6</v>
      </c>
      <c r="I368">
        <v>89</v>
      </c>
      <c r="J368">
        <v>70</v>
      </c>
      <c r="K368">
        <v>58</v>
      </c>
      <c r="L368">
        <v>39</v>
      </c>
      <c r="M368">
        <v>43</v>
      </c>
      <c r="N368">
        <f t="shared" si="5"/>
        <v>0</v>
      </c>
    </row>
    <row r="369" spans="1:14" hidden="1" x14ac:dyDescent="0.25">
      <c r="A369" s="1" t="s">
        <v>509</v>
      </c>
      <c r="B369" s="1" t="s">
        <v>188</v>
      </c>
      <c r="C369">
        <v>0</v>
      </c>
      <c r="D369">
        <v>6</v>
      </c>
      <c r="E369">
        <v>2</v>
      </c>
      <c r="F369">
        <v>2</v>
      </c>
      <c r="G369">
        <v>6</v>
      </c>
      <c r="H369">
        <v>2</v>
      </c>
      <c r="I369">
        <v>21</v>
      </c>
      <c r="J369">
        <v>80</v>
      </c>
      <c r="K369">
        <v>59</v>
      </c>
      <c r="L369">
        <v>35</v>
      </c>
      <c r="M369">
        <v>12</v>
      </c>
      <c r="N369">
        <f t="shared" si="5"/>
        <v>0</v>
      </c>
    </row>
    <row r="370" spans="1:14" hidden="1" x14ac:dyDescent="0.25">
      <c r="A370" s="1" t="s">
        <v>510</v>
      </c>
      <c r="B370" s="1" t="s">
        <v>188</v>
      </c>
      <c r="C370">
        <v>1</v>
      </c>
      <c r="D370">
        <v>3</v>
      </c>
      <c r="E370">
        <v>2</v>
      </c>
      <c r="F370">
        <v>5</v>
      </c>
      <c r="G370">
        <v>4</v>
      </c>
      <c r="H370">
        <v>4</v>
      </c>
      <c r="I370">
        <v>38</v>
      </c>
      <c r="J370">
        <v>5</v>
      </c>
      <c r="K370">
        <v>69</v>
      </c>
      <c r="L370">
        <v>94</v>
      </c>
      <c r="M370">
        <v>25</v>
      </c>
      <c r="N370">
        <f t="shared" si="5"/>
        <v>0</v>
      </c>
    </row>
    <row r="371" spans="1:14" hidden="1" x14ac:dyDescent="0.25">
      <c r="A371" s="1" t="s">
        <v>511</v>
      </c>
      <c r="B371" s="1" t="s">
        <v>311</v>
      </c>
      <c r="C371">
        <v>8</v>
      </c>
      <c r="D371">
        <v>4</v>
      </c>
      <c r="E371">
        <v>5</v>
      </c>
      <c r="F371">
        <v>4</v>
      </c>
      <c r="G371">
        <v>5</v>
      </c>
      <c r="H371">
        <v>3</v>
      </c>
      <c r="I371">
        <v>24</v>
      </c>
      <c r="J371">
        <v>47</v>
      </c>
      <c r="K371">
        <v>99</v>
      </c>
      <c r="L371">
        <v>64</v>
      </c>
      <c r="M371">
        <v>11</v>
      </c>
      <c r="N371">
        <f t="shared" si="5"/>
        <v>0</v>
      </c>
    </row>
    <row r="372" spans="1:14" hidden="1" x14ac:dyDescent="0.25">
      <c r="A372" s="1" t="s">
        <v>512</v>
      </c>
      <c r="B372" s="1" t="s">
        <v>311</v>
      </c>
      <c r="C372">
        <v>3</v>
      </c>
      <c r="D372">
        <v>5</v>
      </c>
      <c r="E372">
        <v>2</v>
      </c>
      <c r="F372">
        <v>4</v>
      </c>
      <c r="G372">
        <v>5</v>
      </c>
      <c r="H372">
        <v>4</v>
      </c>
      <c r="I372">
        <v>48</v>
      </c>
      <c r="J372">
        <v>100</v>
      </c>
      <c r="K372">
        <v>7</v>
      </c>
      <c r="L372">
        <v>64</v>
      </c>
      <c r="M372">
        <v>74</v>
      </c>
      <c r="N372">
        <f t="shared" si="5"/>
        <v>1</v>
      </c>
    </row>
    <row r="373" spans="1:14" hidden="1" x14ac:dyDescent="0.25">
      <c r="A373" s="1" t="s">
        <v>308</v>
      </c>
      <c r="B373" s="1" t="s">
        <v>30</v>
      </c>
      <c r="C373">
        <v>8</v>
      </c>
      <c r="D373">
        <v>3</v>
      </c>
      <c r="E373">
        <v>5</v>
      </c>
      <c r="F373">
        <v>2</v>
      </c>
      <c r="G373">
        <v>4</v>
      </c>
      <c r="H373">
        <v>6</v>
      </c>
      <c r="I373">
        <v>46</v>
      </c>
      <c r="J373">
        <v>88</v>
      </c>
      <c r="K373">
        <v>1</v>
      </c>
      <c r="L373">
        <v>49</v>
      </c>
      <c r="M373">
        <v>84</v>
      </c>
      <c r="N373">
        <f t="shared" si="5"/>
        <v>0</v>
      </c>
    </row>
    <row r="374" spans="1:14" hidden="1" x14ac:dyDescent="0.25">
      <c r="A374" s="1" t="s">
        <v>69</v>
      </c>
      <c r="B374" s="1" t="s">
        <v>70</v>
      </c>
      <c r="C374">
        <v>3</v>
      </c>
      <c r="D374">
        <v>5</v>
      </c>
      <c r="E374">
        <v>4</v>
      </c>
      <c r="F374">
        <v>4</v>
      </c>
      <c r="G374">
        <v>6</v>
      </c>
      <c r="H374">
        <v>4</v>
      </c>
      <c r="I374">
        <v>77</v>
      </c>
      <c r="J374">
        <v>80</v>
      </c>
      <c r="K374">
        <v>44</v>
      </c>
      <c r="L374">
        <v>96</v>
      </c>
      <c r="M374">
        <v>10</v>
      </c>
      <c r="N374">
        <f t="shared" si="5"/>
        <v>0</v>
      </c>
    </row>
    <row r="375" spans="1:14" hidden="1" x14ac:dyDescent="0.25">
      <c r="A375" s="1" t="s">
        <v>513</v>
      </c>
      <c r="B375" s="1" t="s">
        <v>48</v>
      </c>
      <c r="C375">
        <v>8</v>
      </c>
      <c r="D375">
        <v>3</v>
      </c>
      <c r="E375">
        <v>5</v>
      </c>
      <c r="F375">
        <v>3</v>
      </c>
      <c r="G375">
        <v>5</v>
      </c>
      <c r="H375">
        <v>3</v>
      </c>
      <c r="I375">
        <v>28</v>
      </c>
      <c r="J375">
        <v>5</v>
      </c>
      <c r="K375">
        <v>29</v>
      </c>
      <c r="L375">
        <v>7</v>
      </c>
      <c r="M375">
        <v>19</v>
      </c>
      <c r="N375">
        <f t="shared" si="5"/>
        <v>0</v>
      </c>
    </row>
    <row r="376" spans="1:14" hidden="1" x14ac:dyDescent="0.25">
      <c r="A376" s="1" t="s">
        <v>514</v>
      </c>
      <c r="B376" s="1" t="s">
        <v>38</v>
      </c>
      <c r="C376">
        <v>0</v>
      </c>
      <c r="D376">
        <v>5</v>
      </c>
      <c r="E376">
        <v>5</v>
      </c>
      <c r="F376">
        <v>4</v>
      </c>
      <c r="G376">
        <v>5</v>
      </c>
      <c r="H376">
        <v>5</v>
      </c>
      <c r="I376">
        <v>100</v>
      </c>
      <c r="J376">
        <v>100</v>
      </c>
      <c r="K376">
        <v>68</v>
      </c>
      <c r="L376">
        <v>69</v>
      </c>
      <c r="M376">
        <v>46</v>
      </c>
      <c r="N376">
        <f t="shared" si="5"/>
        <v>2</v>
      </c>
    </row>
    <row r="377" spans="1:14" hidden="1" x14ac:dyDescent="0.25">
      <c r="A377" s="1" t="s">
        <v>411</v>
      </c>
      <c r="B377" s="1" t="s">
        <v>515</v>
      </c>
      <c r="C377">
        <v>0</v>
      </c>
      <c r="D377">
        <v>6</v>
      </c>
      <c r="E377">
        <v>6</v>
      </c>
      <c r="F377">
        <v>3</v>
      </c>
      <c r="G377">
        <v>4</v>
      </c>
      <c r="H377">
        <v>3</v>
      </c>
      <c r="I377">
        <v>86</v>
      </c>
      <c r="J377">
        <v>20</v>
      </c>
      <c r="K377">
        <v>40</v>
      </c>
      <c r="L377">
        <v>37</v>
      </c>
      <c r="M377">
        <v>24</v>
      </c>
      <c r="N377">
        <f t="shared" si="5"/>
        <v>0</v>
      </c>
    </row>
    <row r="378" spans="1:14" hidden="1" x14ac:dyDescent="0.25">
      <c r="A378" s="1" t="s">
        <v>516</v>
      </c>
      <c r="B378" s="1" t="s">
        <v>16</v>
      </c>
      <c r="C378">
        <v>8</v>
      </c>
      <c r="D378">
        <v>2</v>
      </c>
      <c r="E378">
        <v>4</v>
      </c>
      <c r="F378">
        <v>3</v>
      </c>
      <c r="G378">
        <v>2</v>
      </c>
      <c r="H378">
        <v>4</v>
      </c>
      <c r="I378">
        <v>37</v>
      </c>
      <c r="J378">
        <v>45</v>
      </c>
      <c r="K378">
        <v>53</v>
      </c>
      <c r="L378">
        <v>100</v>
      </c>
      <c r="M378">
        <v>63</v>
      </c>
      <c r="N378">
        <f t="shared" si="5"/>
        <v>1</v>
      </c>
    </row>
    <row r="379" spans="1:14" hidden="1" x14ac:dyDescent="0.25">
      <c r="A379" s="1" t="s">
        <v>517</v>
      </c>
      <c r="B379" s="1" t="s">
        <v>518</v>
      </c>
      <c r="C379">
        <v>5</v>
      </c>
      <c r="D379">
        <v>2</v>
      </c>
      <c r="E379">
        <v>4</v>
      </c>
      <c r="F379">
        <v>5</v>
      </c>
      <c r="G379">
        <v>2</v>
      </c>
      <c r="H379">
        <v>4</v>
      </c>
      <c r="I379">
        <v>63</v>
      </c>
      <c r="J379">
        <v>100</v>
      </c>
      <c r="K379">
        <v>26</v>
      </c>
      <c r="L379">
        <v>46</v>
      </c>
      <c r="M379">
        <v>85</v>
      </c>
      <c r="N379">
        <f t="shared" si="5"/>
        <v>1</v>
      </c>
    </row>
    <row r="380" spans="1:14" hidden="1" x14ac:dyDescent="0.25">
      <c r="A380" s="1" t="s">
        <v>519</v>
      </c>
      <c r="B380" s="1" t="s">
        <v>520</v>
      </c>
      <c r="C380">
        <v>3</v>
      </c>
      <c r="D380">
        <v>3</v>
      </c>
      <c r="E380">
        <v>3</v>
      </c>
      <c r="F380">
        <v>6</v>
      </c>
      <c r="G380">
        <v>3</v>
      </c>
      <c r="H380">
        <v>2</v>
      </c>
      <c r="I380">
        <v>62</v>
      </c>
      <c r="J380">
        <v>92</v>
      </c>
      <c r="K380">
        <v>75</v>
      </c>
      <c r="L380">
        <v>30</v>
      </c>
      <c r="M380">
        <v>86</v>
      </c>
      <c r="N380">
        <f t="shared" si="5"/>
        <v>0</v>
      </c>
    </row>
    <row r="381" spans="1:14" hidden="1" x14ac:dyDescent="0.25">
      <c r="A381" s="1" t="s">
        <v>521</v>
      </c>
      <c r="B381" s="1" t="s">
        <v>43</v>
      </c>
      <c r="C381">
        <v>6</v>
      </c>
      <c r="D381">
        <v>4</v>
      </c>
      <c r="E381">
        <v>2</v>
      </c>
      <c r="F381">
        <v>4</v>
      </c>
      <c r="G381">
        <v>4</v>
      </c>
      <c r="H381">
        <v>6</v>
      </c>
      <c r="I381">
        <v>16</v>
      </c>
      <c r="J381">
        <v>19</v>
      </c>
      <c r="K381">
        <v>66</v>
      </c>
      <c r="L381">
        <v>96</v>
      </c>
      <c r="M381">
        <v>61</v>
      </c>
      <c r="N381">
        <f t="shared" si="5"/>
        <v>0</v>
      </c>
    </row>
    <row r="382" spans="1:14" hidden="1" x14ac:dyDescent="0.25">
      <c r="A382" s="1" t="s">
        <v>237</v>
      </c>
      <c r="B382" s="1" t="s">
        <v>166</v>
      </c>
      <c r="C382">
        <v>4</v>
      </c>
      <c r="D382">
        <v>5</v>
      </c>
      <c r="E382">
        <v>4</v>
      </c>
      <c r="F382">
        <v>4</v>
      </c>
      <c r="G382">
        <v>2</v>
      </c>
      <c r="H382">
        <v>2</v>
      </c>
      <c r="I382">
        <v>71</v>
      </c>
      <c r="J382">
        <v>99</v>
      </c>
      <c r="K382">
        <v>56</v>
      </c>
      <c r="L382">
        <v>2</v>
      </c>
      <c r="M382">
        <v>43</v>
      </c>
      <c r="N382">
        <f t="shared" si="5"/>
        <v>0</v>
      </c>
    </row>
    <row r="383" spans="1:14" hidden="1" x14ac:dyDescent="0.25">
      <c r="A383" s="1" t="s">
        <v>522</v>
      </c>
      <c r="B383" s="1" t="s">
        <v>288</v>
      </c>
      <c r="C383">
        <v>8</v>
      </c>
      <c r="D383">
        <v>2</v>
      </c>
      <c r="E383">
        <v>6</v>
      </c>
      <c r="F383">
        <v>2</v>
      </c>
      <c r="G383">
        <v>6</v>
      </c>
      <c r="H383">
        <v>5</v>
      </c>
      <c r="I383">
        <v>62</v>
      </c>
      <c r="J383">
        <v>49</v>
      </c>
      <c r="K383">
        <v>45</v>
      </c>
      <c r="L383">
        <v>42</v>
      </c>
      <c r="M383">
        <v>53</v>
      </c>
      <c r="N383">
        <f t="shared" si="5"/>
        <v>0</v>
      </c>
    </row>
    <row r="384" spans="1:14" hidden="1" x14ac:dyDescent="0.25">
      <c r="A384" s="1" t="s">
        <v>523</v>
      </c>
      <c r="B384" s="1" t="s">
        <v>279</v>
      </c>
      <c r="C384">
        <v>2</v>
      </c>
      <c r="D384">
        <v>3</v>
      </c>
      <c r="E384">
        <v>2</v>
      </c>
      <c r="F384">
        <v>5</v>
      </c>
      <c r="G384">
        <v>5</v>
      </c>
      <c r="H384">
        <v>2</v>
      </c>
      <c r="I384">
        <v>44</v>
      </c>
      <c r="J384">
        <v>30</v>
      </c>
      <c r="K384">
        <v>61</v>
      </c>
      <c r="L384">
        <v>13</v>
      </c>
      <c r="M384">
        <v>30</v>
      </c>
      <c r="N384">
        <f t="shared" si="5"/>
        <v>0</v>
      </c>
    </row>
    <row r="385" spans="1:14" hidden="1" x14ac:dyDescent="0.25">
      <c r="A385" s="1" t="s">
        <v>524</v>
      </c>
      <c r="B385" s="1" t="s">
        <v>99</v>
      </c>
      <c r="C385">
        <v>5</v>
      </c>
      <c r="D385">
        <v>6</v>
      </c>
      <c r="E385">
        <v>5</v>
      </c>
      <c r="F385">
        <v>3</v>
      </c>
      <c r="G385">
        <v>2</v>
      </c>
      <c r="H385">
        <v>4</v>
      </c>
      <c r="I385">
        <v>55</v>
      </c>
      <c r="J385">
        <v>18</v>
      </c>
      <c r="K385">
        <v>46</v>
      </c>
      <c r="L385">
        <v>82</v>
      </c>
      <c r="M385">
        <v>71</v>
      </c>
      <c r="N385">
        <f t="shared" si="5"/>
        <v>0</v>
      </c>
    </row>
    <row r="386" spans="1:14" hidden="1" x14ac:dyDescent="0.25">
      <c r="A386" s="1" t="s">
        <v>525</v>
      </c>
      <c r="B386" s="1" t="s">
        <v>526</v>
      </c>
      <c r="C386">
        <v>5</v>
      </c>
      <c r="D386">
        <v>2</v>
      </c>
      <c r="E386">
        <v>5</v>
      </c>
      <c r="F386">
        <v>6</v>
      </c>
      <c r="G386">
        <v>3</v>
      </c>
      <c r="H386">
        <v>3</v>
      </c>
      <c r="I386">
        <v>23</v>
      </c>
      <c r="J386">
        <v>10</v>
      </c>
      <c r="K386">
        <v>99</v>
      </c>
      <c r="L386">
        <v>23</v>
      </c>
      <c r="M386">
        <v>4</v>
      </c>
      <c r="N386">
        <f t="shared" ref="N386:N449" si="6">COUNTIF(I386:M386, 100)</f>
        <v>0</v>
      </c>
    </row>
    <row r="387" spans="1:14" hidden="1" x14ac:dyDescent="0.25">
      <c r="A387" s="1" t="s">
        <v>527</v>
      </c>
      <c r="B387" s="1" t="s">
        <v>340</v>
      </c>
      <c r="C387">
        <v>5</v>
      </c>
      <c r="D387">
        <v>4</v>
      </c>
      <c r="E387">
        <v>3</v>
      </c>
      <c r="F387">
        <v>5</v>
      </c>
      <c r="G387">
        <v>6</v>
      </c>
      <c r="H387">
        <v>2</v>
      </c>
      <c r="I387">
        <v>72</v>
      </c>
      <c r="J387">
        <v>22</v>
      </c>
      <c r="K387">
        <v>90</v>
      </c>
      <c r="L387">
        <v>8</v>
      </c>
      <c r="M387">
        <v>61</v>
      </c>
      <c r="N387">
        <f t="shared" si="6"/>
        <v>0</v>
      </c>
    </row>
    <row r="388" spans="1:14" hidden="1" x14ac:dyDescent="0.25">
      <c r="A388" s="1" t="s">
        <v>528</v>
      </c>
      <c r="B388" s="1" t="s">
        <v>126</v>
      </c>
      <c r="C388">
        <v>3</v>
      </c>
      <c r="D388">
        <v>3</v>
      </c>
      <c r="E388">
        <v>6</v>
      </c>
      <c r="F388">
        <v>2</v>
      </c>
      <c r="G388">
        <v>4</v>
      </c>
      <c r="H388">
        <v>6</v>
      </c>
      <c r="I388">
        <v>95</v>
      </c>
      <c r="J388">
        <v>18</v>
      </c>
      <c r="K388">
        <v>32</v>
      </c>
      <c r="L388">
        <v>67</v>
      </c>
      <c r="M388">
        <v>36</v>
      </c>
      <c r="N388">
        <f t="shared" si="6"/>
        <v>0</v>
      </c>
    </row>
    <row r="389" spans="1:14" hidden="1" x14ac:dyDescent="0.25">
      <c r="A389" s="1" t="s">
        <v>529</v>
      </c>
      <c r="B389" s="1" t="s">
        <v>530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3</v>
      </c>
      <c r="I389">
        <v>99</v>
      </c>
      <c r="J389">
        <v>47</v>
      </c>
      <c r="K389">
        <v>3</v>
      </c>
      <c r="L389">
        <v>6</v>
      </c>
      <c r="M389">
        <v>59</v>
      </c>
      <c r="N389">
        <f t="shared" si="6"/>
        <v>0</v>
      </c>
    </row>
    <row r="390" spans="1:14" hidden="1" x14ac:dyDescent="0.25">
      <c r="A390" s="1" t="s">
        <v>531</v>
      </c>
      <c r="B390" s="1" t="s">
        <v>532</v>
      </c>
      <c r="C390">
        <v>5</v>
      </c>
      <c r="D390">
        <v>5</v>
      </c>
      <c r="E390">
        <v>3</v>
      </c>
      <c r="F390">
        <v>4</v>
      </c>
      <c r="G390">
        <v>5</v>
      </c>
      <c r="H390">
        <v>2</v>
      </c>
      <c r="I390">
        <v>97</v>
      </c>
      <c r="J390">
        <v>87</v>
      </c>
      <c r="K390">
        <v>7</v>
      </c>
      <c r="L390">
        <v>93</v>
      </c>
      <c r="M390">
        <v>19</v>
      </c>
      <c r="N390">
        <f t="shared" si="6"/>
        <v>0</v>
      </c>
    </row>
    <row r="391" spans="1:14" hidden="1" x14ac:dyDescent="0.25">
      <c r="A391" s="1" t="s">
        <v>533</v>
      </c>
      <c r="B391" s="1" t="s">
        <v>45</v>
      </c>
      <c r="C391">
        <v>3</v>
      </c>
      <c r="D391">
        <v>6</v>
      </c>
      <c r="E391">
        <v>6</v>
      </c>
      <c r="F391">
        <v>6</v>
      </c>
      <c r="G391">
        <v>2</v>
      </c>
      <c r="H391">
        <v>5</v>
      </c>
      <c r="I391">
        <v>57</v>
      </c>
      <c r="J391">
        <v>44</v>
      </c>
      <c r="K391">
        <v>90</v>
      </c>
      <c r="L391">
        <v>33</v>
      </c>
      <c r="M391">
        <v>78</v>
      </c>
      <c r="N391">
        <f t="shared" si="6"/>
        <v>0</v>
      </c>
    </row>
    <row r="392" spans="1:14" hidden="1" x14ac:dyDescent="0.25">
      <c r="A392" s="1" t="s">
        <v>534</v>
      </c>
      <c r="B392" s="1" t="s">
        <v>90</v>
      </c>
      <c r="C392">
        <v>2</v>
      </c>
      <c r="D392">
        <v>4</v>
      </c>
      <c r="E392">
        <v>5</v>
      </c>
      <c r="F392">
        <v>3</v>
      </c>
      <c r="G392">
        <v>2</v>
      </c>
      <c r="H392">
        <v>2</v>
      </c>
      <c r="I392">
        <v>35</v>
      </c>
      <c r="J392">
        <v>82</v>
      </c>
      <c r="K392">
        <v>52</v>
      </c>
      <c r="L392">
        <v>15</v>
      </c>
      <c r="M392">
        <v>51</v>
      </c>
      <c r="N392">
        <f t="shared" si="6"/>
        <v>0</v>
      </c>
    </row>
    <row r="393" spans="1:14" hidden="1" x14ac:dyDescent="0.25">
      <c r="A393" s="1" t="s">
        <v>535</v>
      </c>
      <c r="B393" s="1" t="s">
        <v>536</v>
      </c>
      <c r="C393">
        <v>1</v>
      </c>
      <c r="D393">
        <v>5</v>
      </c>
      <c r="E393">
        <v>5</v>
      </c>
      <c r="F393">
        <v>6</v>
      </c>
      <c r="G393">
        <v>4</v>
      </c>
      <c r="H393">
        <v>6</v>
      </c>
      <c r="I393">
        <v>19</v>
      </c>
      <c r="J393">
        <v>32</v>
      </c>
      <c r="K393">
        <v>74</v>
      </c>
      <c r="L393">
        <v>31</v>
      </c>
      <c r="M393">
        <v>58</v>
      </c>
      <c r="N393">
        <f t="shared" si="6"/>
        <v>0</v>
      </c>
    </row>
    <row r="394" spans="1:14" hidden="1" x14ac:dyDescent="0.25">
      <c r="A394" s="1" t="s">
        <v>537</v>
      </c>
      <c r="B394" s="1" t="s">
        <v>538</v>
      </c>
      <c r="C394">
        <v>0</v>
      </c>
      <c r="D394">
        <v>5</v>
      </c>
      <c r="E394">
        <v>2</v>
      </c>
      <c r="F394">
        <v>2</v>
      </c>
      <c r="G394">
        <v>5</v>
      </c>
      <c r="H394">
        <v>3</v>
      </c>
      <c r="I394">
        <v>45</v>
      </c>
      <c r="J394">
        <v>52</v>
      </c>
      <c r="K394">
        <v>32</v>
      </c>
      <c r="L394">
        <v>42</v>
      </c>
      <c r="M394">
        <v>33</v>
      </c>
      <c r="N394">
        <f t="shared" si="6"/>
        <v>0</v>
      </c>
    </row>
    <row r="395" spans="1:14" hidden="1" x14ac:dyDescent="0.25">
      <c r="A395" s="1" t="s">
        <v>539</v>
      </c>
      <c r="B395" s="1" t="s">
        <v>540</v>
      </c>
      <c r="C395">
        <v>8</v>
      </c>
      <c r="D395">
        <v>5</v>
      </c>
      <c r="E395">
        <v>6</v>
      </c>
      <c r="F395">
        <v>2</v>
      </c>
      <c r="G395">
        <v>4</v>
      </c>
      <c r="H395">
        <v>3</v>
      </c>
      <c r="I395">
        <v>78</v>
      </c>
      <c r="J395">
        <v>38</v>
      </c>
      <c r="K395">
        <v>62</v>
      </c>
      <c r="L395">
        <v>45</v>
      </c>
      <c r="M395">
        <v>55</v>
      </c>
      <c r="N395">
        <f t="shared" si="6"/>
        <v>0</v>
      </c>
    </row>
    <row r="396" spans="1:14" hidden="1" x14ac:dyDescent="0.25">
      <c r="A396" s="1" t="s">
        <v>541</v>
      </c>
      <c r="B396" s="1" t="s">
        <v>503</v>
      </c>
      <c r="C396">
        <v>6</v>
      </c>
      <c r="D396">
        <v>4</v>
      </c>
      <c r="E396">
        <v>2</v>
      </c>
      <c r="F396">
        <v>6</v>
      </c>
      <c r="G396">
        <v>2</v>
      </c>
      <c r="H396">
        <v>6</v>
      </c>
      <c r="I396">
        <v>20</v>
      </c>
      <c r="J396">
        <v>92</v>
      </c>
      <c r="K396">
        <v>44</v>
      </c>
      <c r="L396">
        <v>89</v>
      </c>
      <c r="M396">
        <v>79</v>
      </c>
      <c r="N396">
        <f t="shared" si="6"/>
        <v>0</v>
      </c>
    </row>
    <row r="397" spans="1:14" hidden="1" x14ac:dyDescent="0.25">
      <c r="A397" s="1" t="s">
        <v>542</v>
      </c>
      <c r="B397" s="1" t="s">
        <v>117</v>
      </c>
      <c r="C397">
        <v>4</v>
      </c>
      <c r="D397">
        <v>2</v>
      </c>
      <c r="E397">
        <v>2</v>
      </c>
      <c r="F397">
        <v>4</v>
      </c>
      <c r="G397">
        <v>3</v>
      </c>
      <c r="H397">
        <v>3</v>
      </c>
      <c r="I397">
        <v>36</v>
      </c>
      <c r="J397">
        <v>79</v>
      </c>
      <c r="K397">
        <v>62</v>
      </c>
      <c r="L397">
        <v>8</v>
      </c>
      <c r="M397">
        <v>47</v>
      </c>
      <c r="N397">
        <f t="shared" si="6"/>
        <v>0</v>
      </c>
    </row>
    <row r="398" spans="1:14" hidden="1" x14ac:dyDescent="0.25">
      <c r="A398" s="1" t="s">
        <v>543</v>
      </c>
      <c r="B398" s="1" t="s">
        <v>41</v>
      </c>
      <c r="C398">
        <v>0</v>
      </c>
      <c r="D398">
        <v>2</v>
      </c>
      <c r="E398">
        <v>2</v>
      </c>
      <c r="F398">
        <v>4</v>
      </c>
      <c r="G398">
        <v>2</v>
      </c>
      <c r="H398">
        <v>4</v>
      </c>
      <c r="I398">
        <v>24</v>
      </c>
      <c r="J398">
        <v>81</v>
      </c>
      <c r="K398">
        <v>74</v>
      </c>
      <c r="L398">
        <v>4</v>
      </c>
      <c r="M398">
        <v>92</v>
      </c>
      <c r="N398">
        <f t="shared" si="6"/>
        <v>0</v>
      </c>
    </row>
    <row r="399" spans="1:14" hidden="1" x14ac:dyDescent="0.25">
      <c r="A399" s="1" t="s">
        <v>544</v>
      </c>
      <c r="B399" s="1" t="s">
        <v>324</v>
      </c>
      <c r="C399">
        <v>3</v>
      </c>
      <c r="D399">
        <v>3</v>
      </c>
      <c r="E399">
        <v>5</v>
      </c>
      <c r="F399">
        <v>6</v>
      </c>
      <c r="G399">
        <v>4</v>
      </c>
      <c r="H399">
        <v>3</v>
      </c>
      <c r="I399">
        <v>68</v>
      </c>
      <c r="J399">
        <v>76</v>
      </c>
      <c r="K399">
        <v>21</v>
      </c>
      <c r="L399">
        <v>59</v>
      </c>
      <c r="M399">
        <v>66</v>
      </c>
      <c r="N399">
        <f t="shared" si="6"/>
        <v>0</v>
      </c>
    </row>
    <row r="400" spans="1:14" hidden="1" x14ac:dyDescent="0.25">
      <c r="A400" s="1" t="s">
        <v>545</v>
      </c>
      <c r="B400" s="1" t="s">
        <v>253</v>
      </c>
      <c r="C400">
        <v>4</v>
      </c>
      <c r="D400">
        <v>3</v>
      </c>
      <c r="E400">
        <v>2</v>
      </c>
      <c r="F400">
        <v>4</v>
      </c>
      <c r="G400">
        <v>4</v>
      </c>
      <c r="H400">
        <v>5</v>
      </c>
      <c r="I400">
        <v>70</v>
      </c>
      <c r="J400">
        <v>34</v>
      </c>
      <c r="K400">
        <v>18</v>
      </c>
      <c r="L400">
        <v>27</v>
      </c>
      <c r="M400">
        <v>70</v>
      </c>
      <c r="N400">
        <f t="shared" si="6"/>
        <v>0</v>
      </c>
    </row>
    <row r="401" spans="1:14" hidden="1" x14ac:dyDescent="0.25">
      <c r="A401" s="1" t="s">
        <v>546</v>
      </c>
      <c r="B401" s="1" t="s">
        <v>249</v>
      </c>
      <c r="C401">
        <v>2</v>
      </c>
      <c r="D401">
        <v>4</v>
      </c>
      <c r="E401">
        <v>2</v>
      </c>
      <c r="F401">
        <v>4</v>
      </c>
      <c r="G401">
        <v>5</v>
      </c>
      <c r="H401">
        <v>2</v>
      </c>
      <c r="I401">
        <v>9</v>
      </c>
      <c r="J401">
        <v>76</v>
      </c>
      <c r="K401">
        <v>35</v>
      </c>
      <c r="L401">
        <v>83</v>
      </c>
      <c r="M401">
        <v>13</v>
      </c>
      <c r="N401">
        <f t="shared" si="6"/>
        <v>0</v>
      </c>
    </row>
    <row r="402" spans="1:14" hidden="1" x14ac:dyDescent="0.25">
      <c r="A402" s="1" t="s">
        <v>547</v>
      </c>
      <c r="B402" s="1" t="s">
        <v>526</v>
      </c>
      <c r="C402">
        <v>6</v>
      </c>
      <c r="D402">
        <v>2</v>
      </c>
      <c r="E402">
        <v>4</v>
      </c>
      <c r="F402">
        <v>2</v>
      </c>
      <c r="G402">
        <v>3</v>
      </c>
      <c r="H402">
        <v>2</v>
      </c>
      <c r="I402">
        <v>63</v>
      </c>
      <c r="J402">
        <v>31</v>
      </c>
      <c r="K402">
        <v>2</v>
      </c>
      <c r="L402">
        <v>74</v>
      </c>
      <c r="M402">
        <v>15</v>
      </c>
      <c r="N402">
        <f t="shared" si="6"/>
        <v>0</v>
      </c>
    </row>
    <row r="403" spans="1:14" hidden="1" x14ac:dyDescent="0.25">
      <c r="A403" s="1" t="s">
        <v>548</v>
      </c>
      <c r="B403" s="1" t="s">
        <v>126</v>
      </c>
      <c r="C403">
        <v>4</v>
      </c>
      <c r="D403">
        <v>6</v>
      </c>
      <c r="E403">
        <v>3</v>
      </c>
      <c r="F403">
        <v>5</v>
      </c>
      <c r="G403">
        <v>4</v>
      </c>
      <c r="H403">
        <v>4</v>
      </c>
      <c r="I403">
        <v>15</v>
      </c>
      <c r="J403">
        <v>57</v>
      </c>
      <c r="K403">
        <v>64</v>
      </c>
      <c r="L403">
        <v>60</v>
      </c>
      <c r="M403">
        <v>60</v>
      </c>
      <c r="N403">
        <f t="shared" si="6"/>
        <v>0</v>
      </c>
    </row>
    <row r="404" spans="1:14" hidden="1" x14ac:dyDescent="0.25">
      <c r="A404" s="1" t="s">
        <v>549</v>
      </c>
      <c r="B404" s="1" t="s">
        <v>355</v>
      </c>
      <c r="C404">
        <v>6</v>
      </c>
      <c r="D404">
        <v>4</v>
      </c>
      <c r="E404">
        <v>4</v>
      </c>
      <c r="F404">
        <v>2</v>
      </c>
      <c r="G404">
        <v>2</v>
      </c>
      <c r="H404">
        <v>2</v>
      </c>
      <c r="I404">
        <v>26</v>
      </c>
      <c r="J404">
        <v>6</v>
      </c>
      <c r="K404">
        <v>12</v>
      </c>
      <c r="L404">
        <v>71</v>
      </c>
      <c r="M404">
        <v>85</v>
      </c>
      <c r="N404">
        <f t="shared" si="6"/>
        <v>0</v>
      </c>
    </row>
    <row r="405" spans="1:14" hidden="1" x14ac:dyDescent="0.25">
      <c r="A405" s="1" t="s">
        <v>550</v>
      </c>
      <c r="B405" s="1" t="s">
        <v>551</v>
      </c>
      <c r="C405">
        <v>5</v>
      </c>
      <c r="D405">
        <v>6</v>
      </c>
      <c r="E405">
        <v>2</v>
      </c>
      <c r="F405">
        <v>4</v>
      </c>
      <c r="G405">
        <v>4</v>
      </c>
      <c r="H405">
        <v>3</v>
      </c>
      <c r="I405">
        <v>3</v>
      </c>
      <c r="J405">
        <v>8</v>
      </c>
      <c r="K405">
        <v>22</v>
      </c>
      <c r="L405">
        <v>75</v>
      </c>
      <c r="M405">
        <v>52</v>
      </c>
      <c r="N405">
        <f t="shared" si="6"/>
        <v>0</v>
      </c>
    </row>
    <row r="406" spans="1:14" hidden="1" x14ac:dyDescent="0.25">
      <c r="A406" s="1" t="s">
        <v>552</v>
      </c>
      <c r="B406" s="1" t="s">
        <v>553</v>
      </c>
      <c r="C406">
        <v>0</v>
      </c>
      <c r="D406">
        <v>5</v>
      </c>
      <c r="E406">
        <v>2</v>
      </c>
      <c r="F406">
        <v>4</v>
      </c>
      <c r="G406">
        <v>4</v>
      </c>
      <c r="H406">
        <v>4</v>
      </c>
      <c r="I406">
        <v>68</v>
      </c>
      <c r="J406">
        <v>77</v>
      </c>
      <c r="K406">
        <v>39</v>
      </c>
      <c r="L406">
        <v>95</v>
      </c>
      <c r="M406">
        <v>42</v>
      </c>
      <c r="N406">
        <f t="shared" si="6"/>
        <v>0</v>
      </c>
    </row>
    <row r="407" spans="1:14" hidden="1" x14ac:dyDescent="0.25">
      <c r="A407" s="1" t="s">
        <v>554</v>
      </c>
      <c r="B407" s="1" t="s">
        <v>16</v>
      </c>
      <c r="C407">
        <v>4</v>
      </c>
      <c r="D407">
        <v>4</v>
      </c>
      <c r="E407">
        <v>3</v>
      </c>
      <c r="F407">
        <v>2</v>
      </c>
      <c r="G407">
        <v>5</v>
      </c>
      <c r="H407">
        <v>4</v>
      </c>
      <c r="I407">
        <v>65</v>
      </c>
      <c r="J407">
        <v>42</v>
      </c>
      <c r="K407">
        <v>95</v>
      </c>
      <c r="L407">
        <v>95</v>
      </c>
      <c r="M407">
        <v>95</v>
      </c>
      <c r="N407">
        <f t="shared" si="6"/>
        <v>0</v>
      </c>
    </row>
    <row r="408" spans="1:14" hidden="1" x14ac:dyDescent="0.25">
      <c r="A408" s="1" t="s">
        <v>555</v>
      </c>
      <c r="B408" s="1" t="s">
        <v>64</v>
      </c>
      <c r="C408">
        <v>6</v>
      </c>
      <c r="D408">
        <v>2</v>
      </c>
      <c r="E408">
        <v>2</v>
      </c>
      <c r="F408">
        <v>2</v>
      </c>
      <c r="G408">
        <v>2</v>
      </c>
      <c r="H408">
        <v>4</v>
      </c>
      <c r="I408">
        <v>32</v>
      </c>
      <c r="J408">
        <v>39</v>
      </c>
      <c r="K408">
        <v>61</v>
      </c>
      <c r="L408">
        <v>67</v>
      </c>
      <c r="M408">
        <v>14</v>
      </c>
      <c r="N408">
        <f t="shared" si="6"/>
        <v>0</v>
      </c>
    </row>
    <row r="409" spans="1:14" hidden="1" x14ac:dyDescent="0.25">
      <c r="A409" s="1" t="s">
        <v>466</v>
      </c>
      <c r="B409" s="1" t="s">
        <v>16</v>
      </c>
      <c r="C409">
        <v>8</v>
      </c>
      <c r="D409">
        <v>3</v>
      </c>
      <c r="E409">
        <v>5</v>
      </c>
      <c r="F409">
        <v>6</v>
      </c>
      <c r="G409">
        <v>3</v>
      </c>
      <c r="H409">
        <v>5</v>
      </c>
      <c r="I409">
        <v>7</v>
      </c>
      <c r="J409">
        <v>96</v>
      </c>
      <c r="K409">
        <v>85</v>
      </c>
      <c r="L409">
        <v>8</v>
      </c>
      <c r="M409">
        <v>46</v>
      </c>
      <c r="N409">
        <f t="shared" si="6"/>
        <v>0</v>
      </c>
    </row>
    <row r="410" spans="1:14" hidden="1" x14ac:dyDescent="0.25">
      <c r="A410" s="1" t="s">
        <v>556</v>
      </c>
      <c r="B410" s="1" t="s">
        <v>367</v>
      </c>
      <c r="C410">
        <v>7</v>
      </c>
      <c r="D410">
        <v>5</v>
      </c>
      <c r="E410">
        <v>5</v>
      </c>
      <c r="F410">
        <v>5</v>
      </c>
      <c r="G410">
        <v>2</v>
      </c>
      <c r="H410">
        <v>2</v>
      </c>
      <c r="I410">
        <v>35</v>
      </c>
      <c r="J410">
        <v>95</v>
      </c>
      <c r="K410">
        <v>11</v>
      </c>
      <c r="L410">
        <v>36</v>
      </c>
      <c r="M410">
        <v>19</v>
      </c>
      <c r="N410">
        <f t="shared" si="6"/>
        <v>0</v>
      </c>
    </row>
    <row r="411" spans="1:14" hidden="1" x14ac:dyDescent="0.25">
      <c r="A411" s="1" t="s">
        <v>557</v>
      </c>
      <c r="B411" s="1" t="s">
        <v>558</v>
      </c>
      <c r="C411">
        <v>1</v>
      </c>
      <c r="D411">
        <v>4</v>
      </c>
      <c r="E411">
        <v>4</v>
      </c>
      <c r="F411">
        <v>6</v>
      </c>
      <c r="G411">
        <v>3</v>
      </c>
      <c r="H411">
        <v>4</v>
      </c>
      <c r="I411">
        <v>73</v>
      </c>
      <c r="J411">
        <v>61</v>
      </c>
      <c r="K411">
        <v>49</v>
      </c>
      <c r="L411">
        <v>70</v>
      </c>
      <c r="M411">
        <v>52</v>
      </c>
      <c r="N411">
        <f t="shared" si="6"/>
        <v>0</v>
      </c>
    </row>
    <row r="412" spans="1:14" hidden="1" x14ac:dyDescent="0.25">
      <c r="A412" s="1" t="s">
        <v>559</v>
      </c>
      <c r="B412" s="1" t="s">
        <v>145</v>
      </c>
      <c r="C412">
        <v>8</v>
      </c>
      <c r="D412">
        <v>2</v>
      </c>
      <c r="E412">
        <v>5</v>
      </c>
      <c r="F412">
        <v>2</v>
      </c>
      <c r="G412">
        <v>2</v>
      </c>
      <c r="H412">
        <v>6</v>
      </c>
      <c r="I412">
        <v>52</v>
      </c>
      <c r="J412">
        <v>90</v>
      </c>
      <c r="K412">
        <v>95</v>
      </c>
      <c r="L412">
        <v>83</v>
      </c>
      <c r="M412">
        <v>23</v>
      </c>
      <c r="N412">
        <f t="shared" si="6"/>
        <v>0</v>
      </c>
    </row>
    <row r="413" spans="1:14" hidden="1" x14ac:dyDescent="0.25">
      <c r="A413" s="1" t="s">
        <v>418</v>
      </c>
      <c r="B413" s="1" t="s">
        <v>32</v>
      </c>
      <c r="C413">
        <v>8</v>
      </c>
      <c r="D413">
        <v>5</v>
      </c>
      <c r="E413">
        <v>6</v>
      </c>
      <c r="F413">
        <v>5</v>
      </c>
      <c r="G413">
        <v>6</v>
      </c>
      <c r="H413">
        <v>5</v>
      </c>
      <c r="I413">
        <v>5</v>
      </c>
      <c r="J413">
        <v>84</v>
      </c>
      <c r="K413">
        <v>88</v>
      </c>
      <c r="L413">
        <v>35</v>
      </c>
      <c r="M413">
        <v>40</v>
      </c>
      <c r="N413">
        <f t="shared" si="6"/>
        <v>0</v>
      </c>
    </row>
    <row r="414" spans="1:14" hidden="1" x14ac:dyDescent="0.25">
      <c r="A414" s="1" t="s">
        <v>123</v>
      </c>
      <c r="B414" s="1" t="s">
        <v>273</v>
      </c>
      <c r="C414">
        <v>5</v>
      </c>
      <c r="D414">
        <v>4</v>
      </c>
      <c r="E414">
        <v>6</v>
      </c>
      <c r="F414">
        <v>2</v>
      </c>
      <c r="G414">
        <v>3</v>
      </c>
      <c r="H414">
        <v>4</v>
      </c>
      <c r="I414">
        <v>53</v>
      </c>
      <c r="J414">
        <v>57</v>
      </c>
      <c r="K414">
        <v>30</v>
      </c>
      <c r="L414">
        <v>7</v>
      </c>
      <c r="M414">
        <v>52</v>
      </c>
      <c r="N414">
        <f t="shared" si="6"/>
        <v>0</v>
      </c>
    </row>
    <row r="415" spans="1:14" hidden="1" x14ac:dyDescent="0.25">
      <c r="A415" s="1" t="s">
        <v>560</v>
      </c>
      <c r="B415" s="1" t="s">
        <v>145</v>
      </c>
      <c r="C415">
        <v>4</v>
      </c>
      <c r="D415">
        <v>2</v>
      </c>
      <c r="E415">
        <v>4</v>
      </c>
      <c r="F415">
        <v>5</v>
      </c>
      <c r="G415">
        <v>5</v>
      </c>
      <c r="H415">
        <v>4</v>
      </c>
      <c r="I415">
        <v>52</v>
      </c>
      <c r="J415">
        <v>73</v>
      </c>
      <c r="K415">
        <v>12</v>
      </c>
      <c r="L415">
        <v>3</v>
      </c>
      <c r="M415">
        <v>7</v>
      </c>
      <c r="N415">
        <f t="shared" si="6"/>
        <v>0</v>
      </c>
    </row>
    <row r="416" spans="1:14" hidden="1" x14ac:dyDescent="0.25">
      <c r="A416" s="1" t="s">
        <v>561</v>
      </c>
      <c r="B416" s="1" t="s">
        <v>133</v>
      </c>
      <c r="C416">
        <v>7</v>
      </c>
      <c r="D416">
        <v>4</v>
      </c>
      <c r="E416">
        <v>3</v>
      </c>
      <c r="F416">
        <v>2</v>
      </c>
      <c r="G416">
        <v>5</v>
      </c>
      <c r="H416">
        <v>5</v>
      </c>
      <c r="I416">
        <v>41</v>
      </c>
      <c r="J416">
        <v>23</v>
      </c>
      <c r="K416">
        <v>84</v>
      </c>
      <c r="L416">
        <v>93</v>
      </c>
      <c r="M416">
        <v>6</v>
      </c>
      <c r="N416">
        <f t="shared" si="6"/>
        <v>0</v>
      </c>
    </row>
    <row r="417" spans="1:14" hidden="1" x14ac:dyDescent="0.25">
      <c r="A417" s="1" t="s">
        <v>562</v>
      </c>
      <c r="B417" s="1" t="s">
        <v>369</v>
      </c>
      <c r="C417">
        <v>3</v>
      </c>
      <c r="D417">
        <v>3</v>
      </c>
      <c r="E417">
        <v>4</v>
      </c>
      <c r="F417">
        <v>4</v>
      </c>
      <c r="G417">
        <v>5</v>
      </c>
      <c r="H417">
        <v>5</v>
      </c>
      <c r="I417">
        <v>44</v>
      </c>
      <c r="J417">
        <v>90</v>
      </c>
      <c r="K417">
        <v>71</v>
      </c>
      <c r="L417">
        <v>41</v>
      </c>
      <c r="M417">
        <v>60</v>
      </c>
      <c r="N417">
        <f t="shared" si="6"/>
        <v>0</v>
      </c>
    </row>
    <row r="418" spans="1:14" hidden="1" x14ac:dyDescent="0.25">
      <c r="A418" s="1" t="s">
        <v>563</v>
      </c>
      <c r="B418" s="1" t="s">
        <v>101</v>
      </c>
      <c r="C418">
        <v>0</v>
      </c>
      <c r="D418">
        <v>5</v>
      </c>
      <c r="E418">
        <v>2</v>
      </c>
      <c r="F418">
        <v>4</v>
      </c>
      <c r="G418">
        <v>2</v>
      </c>
      <c r="H418">
        <v>6</v>
      </c>
      <c r="I418">
        <v>27</v>
      </c>
      <c r="J418">
        <v>56</v>
      </c>
      <c r="K418">
        <v>54</v>
      </c>
      <c r="L418">
        <v>99</v>
      </c>
      <c r="M418">
        <v>27</v>
      </c>
      <c r="N418">
        <f t="shared" si="6"/>
        <v>0</v>
      </c>
    </row>
    <row r="419" spans="1:14" hidden="1" x14ac:dyDescent="0.25">
      <c r="A419" s="1" t="s">
        <v>564</v>
      </c>
      <c r="B419" s="1" t="s">
        <v>145</v>
      </c>
      <c r="C419">
        <v>6</v>
      </c>
      <c r="D419">
        <v>4</v>
      </c>
      <c r="E419">
        <v>5</v>
      </c>
      <c r="F419">
        <v>6</v>
      </c>
      <c r="G419">
        <v>2</v>
      </c>
      <c r="H419">
        <v>5</v>
      </c>
      <c r="I419">
        <v>56</v>
      </c>
      <c r="J419">
        <v>47</v>
      </c>
      <c r="K419">
        <v>34</v>
      </c>
      <c r="L419">
        <v>65</v>
      </c>
      <c r="M419">
        <v>87</v>
      </c>
      <c r="N419">
        <f t="shared" si="6"/>
        <v>0</v>
      </c>
    </row>
    <row r="420" spans="1:14" hidden="1" x14ac:dyDescent="0.25">
      <c r="A420" s="1" t="s">
        <v>565</v>
      </c>
      <c r="B420" s="1" t="s">
        <v>302</v>
      </c>
      <c r="C420">
        <v>3</v>
      </c>
      <c r="D420">
        <v>5</v>
      </c>
      <c r="E420">
        <v>6</v>
      </c>
      <c r="F420">
        <v>4</v>
      </c>
      <c r="G420">
        <v>6</v>
      </c>
      <c r="H420">
        <v>6</v>
      </c>
      <c r="I420">
        <v>79</v>
      </c>
      <c r="J420">
        <v>52</v>
      </c>
      <c r="K420">
        <v>11</v>
      </c>
      <c r="L420">
        <v>9</v>
      </c>
      <c r="M420">
        <v>83</v>
      </c>
      <c r="N420">
        <f t="shared" si="6"/>
        <v>0</v>
      </c>
    </row>
    <row r="421" spans="1:14" hidden="1" x14ac:dyDescent="0.25">
      <c r="A421" s="1" t="s">
        <v>566</v>
      </c>
      <c r="B421" s="1" t="s">
        <v>174</v>
      </c>
      <c r="C421">
        <v>6</v>
      </c>
      <c r="D421">
        <v>5</v>
      </c>
      <c r="E421">
        <v>5</v>
      </c>
      <c r="F421">
        <v>5</v>
      </c>
      <c r="G421">
        <v>4</v>
      </c>
      <c r="H421">
        <v>4</v>
      </c>
      <c r="I421">
        <v>34</v>
      </c>
      <c r="J421">
        <v>15</v>
      </c>
      <c r="K421">
        <v>40</v>
      </c>
      <c r="L421">
        <v>85</v>
      </c>
      <c r="M421">
        <v>52</v>
      </c>
      <c r="N421">
        <f t="shared" si="6"/>
        <v>0</v>
      </c>
    </row>
    <row r="422" spans="1:14" hidden="1" x14ac:dyDescent="0.25">
      <c r="A422" s="1" t="s">
        <v>567</v>
      </c>
      <c r="B422" s="1" t="s">
        <v>568</v>
      </c>
      <c r="C422">
        <v>1</v>
      </c>
      <c r="D422">
        <v>3</v>
      </c>
      <c r="E422">
        <v>4</v>
      </c>
      <c r="F422">
        <v>6</v>
      </c>
      <c r="G422">
        <v>6</v>
      </c>
      <c r="H422">
        <v>3</v>
      </c>
      <c r="I422">
        <v>52</v>
      </c>
      <c r="J422">
        <v>36</v>
      </c>
      <c r="K422">
        <v>41</v>
      </c>
      <c r="L422">
        <v>96</v>
      </c>
      <c r="M422">
        <v>66</v>
      </c>
      <c r="N422">
        <f t="shared" si="6"/>
        <v>0</v>
      </c>
    </row>
    <row r="423" spans="1:14" hidden="1" x14ac:dyDescent="0.25">
      <c r="A423" s="1" t="s">
        <v>569</v>
      </c>
      <c r="B423" s="1" t="s">
        <v>222</v>
      </c>
      <c r="C423">
        <v>5</v>
      </c>
      <c r="D423">
        <v>4</v>
      </c>
      <c r="E423">
        <v>6</v>
      </c>
      <c r="F423">
        <v>5</v>
      </c>
      <c r="G423">
        <v>5</v>
      </c>
      <c r="H423">
        <v>3</v>
      </c>
      <c r="I423">
        <v>41</v>
      </c>
      <c r="J423">
        <v>35</v>
      </c>
      <c r="K423">
        <v>54</v>
      </c>
      <c r="L423">
        <v>14</v>
      </c>
      <c r="M423">
        <v>29</v>
      </c>
      <c r="N423">
        <f t="shared" si="6"/>
        <v>0</v>
      </c>
    </row>
    <row r="424" spans="1:14" hidden="1" x14ac:dyDescent="0.25">
      <c r="A424" s="1" t="s">
        <v>570</v>
      </c>
      <c r="B424" s="1" t="s">
        <v>571</v>
      </c>
      <c r="C424">
        <v>5</v>
      </c>
      <c r="D424">
        <v>3</v>
      </c>
      <c r="E424">
        <v>5</v>
      </c>
      <c r="F424">
        <v>5</v>
      </c>
      <c r="G424">
        <v>3</v>
      </c>
      <c r="H424">
        <v>2</v>
      </c>
      <c r="I424">
        <v>25</v>
      </c>
      <c r="J424">
        <v>24</v>
      </c>
      <c r="K424">
        <v>28</v>
      </c>
      <c r="L424">
        <v>21</v>
      </c>
      <c r="M424">
        <v>24</v>
      </c>
      <c r="N424">
        <f t="shared" si="6"/>
        <v>0</v>
      </c>
    </row>
    <row r="425" spans="1:14" hidden="1" x14ac:dyDescent="0.25">
      <c r="A425" s="1" t="s">
        <v>572</v>
      </c>
      <c r="B425" s="1" t="s">
        <v>177</v>
      </c>
      <c r="C425">
        <v>3</v>
      </c>
      <c r="D425">
        <v>4</v>
      </c>
      <c r="E425">
        <v>2</v>
      </c>
      <c r="F425">
        <v>5</v>
      </c>
      <c r="G425">
        <v>2</v>
      </c>
      <c r="H425">
        <v>6</v>
      </c>
      <c r="I425">
        <v>80</v>
      </c>
      <c r="J425">
        <v>86</v>
      </c>
      <c r="K425">
        <v>29</v>
      </c>
      <c r="L425">
        <v>32</v>
      </c>
      <c r="M425">
        <v>85</v>
      </c>
      <c r="N425">
        <f t="shared" si="6"/>
        <v>0</v>
      </c>
    </row>
    <row r="426" spans="1:14" hidden="1" x14ac:dyDescent="0.25">
      <c r="A426" s="1" t="s">
        <v>573</v>
      </c>
      <c r="B426" s="1" t="s">
        <v>526</v>
      </c>
      <c r="C426">
        <v>4</v>
      </c>
      <c r="D426">
        <v>3</v>
      </c>
      <c r="E426">
        <v>5</v>
      </c>
      <c r="F426">
        <v>6</v>
      </c>
      <c r="G426">
        <v>3</v>
      </c>
      <c r="H426">
        <v>4</v>
      </c>
      <c r="I426">
        <v>68</v>
      </c>
      <c r="J426">
        <v>19</v>
      </c>
      <c r="K426">
        <v>94</v>
      </c>
      <c r="L426">
        <v>92</v>
      </c>
      <c r="M426">
        <v>62</v>
      </c>
      <c r="N426">
        <f t="shared" si="6"/>
        <v>0</v>
      </c>
    </row>
    <row r="427" spans="1:14" hidden="1" x14ac:dyDescent="0.25">
      <c r="A427" s="1" t="s">
        <v>574</v>
      </c>
      <c r="B427" s="1" t="s">
        <v>575</v>
      </c>
      <c r="C427">
        <v>4</v>
      </c>
      <c r="D427">
        <v>2</v>
      </c>
      <c r="E427">
        <v>5</v>
      </c>
      <c r="F427">
        <v>2</v>
      </c>
      <c r="G427">
        <v>5</v>
      </c>
      <c r="H427">
        <v>4</v>
      </c>
      <c r="I427">
        <v>74</v>
      </c>
      <c r="J427">
        <v>85</v>
      </c>
      <c r="K427">
        <v>21</v>
      </c>
      <c r="L427">
        <v>33</v>
      </c>
      <c r="M427">
        <v>9</v>
      </c>
      <c r="N427">
        <f t="shared" si="6"/>
        <v>0</v>
      </c>
    </row>
    <row r="428" spans="1:14" hidden="1" x14ac:dyDescent="0.25">
      <c r="A428" s="1" t="s">
        <v>403</v>
      </c>
      <c r="B428" s="1" t="s">
        <v>64</v>
      </c>
      <c r="C428">
        <v>0</v>
      </c>
      <c r="D428">
        <v>2</v>
      </c>
      <c r="E428">
        <v>3</v>
      </c>
      <c r="F428">
        <v>5</v>
      </c>
      <c r="G428">
        <v>4</v>
      </c>
      <c r="H428">
        <v>6</v>
      </c>
      <c r="I428">
        <v>40</v>
      </c>
      <c r="J428">
        <v>46</v>
      </c>
      <c r="K428">
        <v>1</v>
      </c>
      <c r="L428">
        <v>98</v>
      </c>
      <c r="M428">
        <v>39</v>
      </c>
      <c r="N428">
        <f t="shared" si="6"/>
        <v>0</v>
      </c>
    </row>
    <row r="429" spans="1:14" hidden="1" x14ac:dyDescent="0.25">
      <c r="A429" s="1" t="s">
        <v>576</v>
      </c>
      <c r="B429" s="1" t="s">
        <v>430</v>
      </c>
      <c r="C429">
        <v>7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1</v>
      </c>
      <c r="J429">
        <v>25</v>
      </c>
      <c r="K429">
        <v>33</v>
      </c>
      <c r="L429">
        <v>91</v>
      </c>
      <c r="M429">
        <v>60</v>
      </c>
      <c r="N429">
        <f t="shared" si="6"/>
        <v>0</v>
      </c>
    </row>
    <row r="430" spans="1:14" hidden="1" x14ac:dyDescent="0.25">
      <c r="A430" s="1" t="s">
        <v>577</v>
      </c>
      <c r="B430" s="1" t="s">
        <v>360</v>
      </c>
      <c r="C430">
        <v>3</v>
      </c>
      <c r="D430">
        <v>3</v>
      </c>
      <c r="E430">
        <v>6</v>
      </c>
      <c r="F430">
        <v>4</v>
      </c>
      <c r="G430">
        <v>4</v>
      </c>
      <c r="H430">
        <v>3</v>
      </c>
      <c r="I430">
        <v>87</v>
      </c>
      <c r="J430">
        <v>50</v>
      </c>
      <c r="K430">
        <v>61</v>
      </c>
      <c r="L430">
        <v>48</v>
      </c>
      <c r="M430">
        <v>86</v>
      </c>
      <c r="N430">
        <f t="shared" si="6"/>
        <v>0</v>
      </c>
    </row>
    <row r="431" spans="1:14" hidden="1" x14ac:dyDescent="0.25">
      <c r="A431" s="1" t="s">
        <v>578</v>
      </c>
      <c r="B431" s="1" t="s">
        <v>579</v>
      </c>
      <c r="C431">
        <v>5</v>
      </c>
      <c r="D431">
        <v>6</v>
      </c>
      <c r="E431">
        <v>4</v>
      </c>
      <c r="F431">
        <v>2</v>
      </c>
      <c r="G431">
        <v>4</v>
      </c>
      <c r="H431">
        <v>3</v>
      </c>
      <c r="I431">
        <v>100</v>
      </c>
      <c r="J431">
        <v>74</v>
      </c>
      <c r="K431">
        <v>76</v>
      </c>
      <c r="L431">
        <v>47</v>
      </c>
      <c r="M431">
        <v>29</v>
      </c>
      <c r="N431">
        <f t="shared" si="6"/>
        <v>1</v>
      </c>
    </row>
    <row r="432" spans="1:14" hidden="1" x14ac:dyDescent="0.25">
      <c r="A432" s="1" t="s">
        <v>580</v>
      </c>
      <c r="B432" s="1" t="s">
        <v>14</v>
      </c>
      <c r="C432">
        <v>1</v>
      </c>
      <c r="D432">
        <v>6</v>
      </c>
      <c r="E432">
        <v>5</v>
      </c>
      <c r="F432">
        <v>2</v>
      </c>
      <c r="G432">
        <v>5</v>
      </c>
      <c r="H432">
        <v>5</v>
      </c>
      <c r="I432">
        <v>59</v>
      </c>
      <c r="J432">
        <v>30</v>
      </c>
      <c r="K432">
        <v>96</v>
      </c>
      <c r="L432">
        <v>53</v>
      </c>
      <c r="M432">
        <v>87</v>
      </c>
      <c r="N432">
        <f t="shared" si="6"/>
        <v>0</v>
      </c>
    </row>
    <row r="433" spans="1:14" hidden="1" x14ac:dyDescent="0.25">
      <c r="A433" s="1" t="s">
        <v>581</v>
      </c>
      <c r="B433" s="1" t="s">
        <v>70</v>
      </c>
      <c r="C433">
        <v>6</v>
      </c>
      <c r="D433">
        <v>2</v>
      </c>
      <c r="E433">
        <v>6</v>
      </c>
      <c r="F433">
        <v>4</v>
      </c>
      <c r="G433">
        <v>4</v>
      </c>
      <c r="H433">
        <v>6</v>
      </c>
      <c r="I433">
        <v>51</v>
      </c>
      <c r="J433">
        <v>98</v>
      </c>
      <c r="K433">
        <v>20</v>
      </c>
      <c r="L433">
        <v>37</v>
      </c>
      <c r="M433">
        <v>54</v>
      </c>
      <c r="N433">
        <f t="shared" si="6"/>
        <v>0</v>
      </c>
    </row>
    <row r="434" spans="1:14" hidden="1" x14ac:dyDescent="0.25">
      <c r="A434" s="1" t="s">
        <v>380</v>
      </c>
      <c r="B434" s="1" t="s">
        <v>126</v>
      </c>
      <c r="C434">
        <v>7</v>
      </c>
      <c r="D434">
        <v>6</v>
      </c>
      <c r="E434">
        <v>2</v>
      </c>
      <c r="F434">
        <v>6</v>
      </c>
      <c r="G434">
        <v>2</v>
      </c>
      <c r="H434">
        <v>6</v>
      </c>
      <c r="I434">
        <v>75</v>
      </c>
      <c r="J434">
        <v>60</v>
      </c>
      <c r="K434">
        <v>80</v>
      </c>
      <c r="L434">
        <v>86</v>
      </c>
      <c r="M434">
        <v>91</v>
      </c>
      <c r="N434">
        <f t="shared" si="6"/>
        <v>0</v>
      </c>
    </row>
    <row r="435" spans="1:14" hidden="1" x14ac:dyDescent="0.25">
      <c r="A435" s="1" t="s">
        <v>582</v>
      </c>
      <c r="B435" s="1" t="s">
        <v>367</v>
      </c>
      <c r="C435">
        <v>5</v>
      </c>
      <c r="D435">
        <v>3</v>
      </c>
      <c r="E435">
        <v>2</v>
      </c>
      <c r="F435">
        <v>6</v>
      </c>
      <c r="G435">
        <v>2</v>
      </c>
      <c r="H435">
        <v>2</v>
      </c>
      <c r="I435">
        <v>28</v>
      </c>
      <c r="J435">
        <v>28</v>
      </c>
      <c r="K435">
        <v>14</v>
      </c>
      <c r="L435">
        <v>52</v>
      </c>
      <c r="M435">
        <v>35</v>
      </c>
      <c r="N435">
        <f t="shared" si="6"/>
        <v>0</v>
      </c>
    </row>
    <row r="436" spans="1:14" hidden="1" x14ac:dyDescent="0.25">
      <c r="A436" s="1" t="s">
        <v>583</v>
      </c>
      <c r="B436" s="1" t="s">
        <v>133</v>
      </c>
      <c r="C436">
        <v>8</v>
      </c>
      <c r="D436">
        <v>3</v>
      </c>
      <c r="E436">
        <v>5</v>
      </c>
      <c r="F436">
        <v>5</v>
      </c>
      <c r="G436">
        <v>5</v>
      </c>
      <c r="H436">
        <v>6</v>
      </c>
      <c r="I436">
        <v>63</v>
      </c>
      <c r="J436">
        <v>66</v>
      </c>
      <c r="K436">
        <v>71</v>
      </c>
      <c r="L436">
        <v>11</v>
      </c>
      <c r="M436">
        <v>57</v>
      </c>
      <c r="N436">
        <f t="shared" si="6"/>
        <v>0</v>
      </c>
    </row>
    <row r="437" spans="1:14" hidden="1" x14ac:dyDescent="0.25">
      <c r="A437" s="1" t="s">
        <v>584</v>
      </c>
      <c r="B437" s="1" t="s">
        <v>171</v>
      </c>
      <c r="C437">
        <v>5</v>
      </c>
      <c r="D437">
        <v>5</v>
      </c>
      <c r="E437">
        <v>5</v>
      </c>
      <c r="F437">
        <v>5</v>
      </c>
      <c r="G437">
        <v>2</v>
      </c>
      <c r="H437">
        <v>6</v>
      </c>
      <c r="I437">
        <v>45</v>
      </c>
      <c r="J437">
        <v>94</v>
      </c>
      <c r="K437">
        <v>45</v>
      </c>
      <c r="L437">
        <v>100</v>
      </c>
      <c r="M437">
        <v>98</v>
      </c>
      <c r="N437">
        <f t="shared" si="6"/>
        <v>1</v>
      </c>
    </row>
    <row r="438" spans="1:14" hidden="1" x14ac:dyDescent="0.25">
      <c r="A438" s="1" t="s">
        <v>585</v>
      </c>
      <c r="B438" s="1" t="s">
        <v>586</v>
      </c>
      <c r="C438">
        <v>6</v>
      </c>
      <c r="D438">
        <v>5</v>
      </c>
      <c r="E438">
        <v>4</v>
      </c>
      <c r="F438">
        <v>5</v>
      </c>
      <c r="G438">
        <v>6</v>
      </c>
      <c r="H438">
        <v>3</v>
      </c>
      <c r="I438">
        <v>90</v>
      </c>
      <c r="J438">
        <v>98</v>
      </c>
      <c r="K438">
        <v>10</v>
      </c>
      <c r="L438">
        <v>95</v>
      </c>
      <c r="M438">
        <v>63</v>
      </c>
      <c r="N438">
        <f t="shared" si="6"/>
        <v>0</v>
      </c>
    </row>
    <row r="439" spans="1:14" hidden="1" x14ac:dyDescent="0.25">
      <c r="A439" s="1" t="s">
        <v>587</v>
      </c>
      <c r="B439" s="1" t="s">
        <v>495</v>
      </c>
      <c r="C439">
        <v>7</v>
      </c>
      <c r="D439">
        <v>4</v>
      </c>
      <c r="E439">
        <v>6</v>
      </c>
      <c r="F439">
        <v>5</v>
      </c>
      <c r="G439">
        <v>4</v>
      </c>
      <c r="H439">
        <v>6</v>
      </c>
      <c r="I439">
        <v>3</v>
      </c>
      <c r="J439">
        <v>73</v>
      </c>
      <c r="K439">
        <v>19</v>
      </c>
      <c r="L439">
        <v>42</v>
      </c>
      <c r="M439">
        <v>88</v>
      </c>
      <c r="N439">
        <f t="shared" si="6"/>
        <v>0</v>
      </c>
    </row>
    <row r="440" spans="1:14" hidden="1" x14ac:dyDescent="0.25">
      <c r="A440" s="1" t="s">
        <v>588</v>
      </c>
      <c r="B440" s="1" t="s">
        <v>586</v>
      </c>
      <c r="C440">
        <v>0</v>
      </c>
      <c r="D440">
        <v>2</v>
      </c>
      <c r="E440">
        <v>3</v>
      </c>
      <c r="F440">
        <v>3</v>
      </c>
      <c r="G440">
        <v>5</v>
      </c>
      <c r="H440">
        <v>2</v>
      </c>
      <c r="I440">
        <v>82</v>
      </c>
      <c r="J440">
        <v>61</v>
      </c>
      <c r="K440">
        <v>59</v>
      </c>
      <c r="L440">
        <v>51</v>
      </c>
      <c r="M440">
        <v>71</v>
      </c>
      <c r="N440">
        <f t="shared" si="6"/>
        <v>0</v>
      </c>
    </row>
    <row r="441" spans="1:14" hidden="1" x14ac:dyDescent="0.25">
      <c r="A441" s="1" t="s">
        <v>235</v>
      </c>
      <c r="B441" s="1" t="s">
        <v>110</v>
      </c>
      <c r="C441">
        <v>0</v>
      </c>
      <c r="D441">
        <v>5</v>
      </c>
      <c r="E441">
        <v>6</v>
      </c>
      <c r="F441">
        <v>4</v>
      </c>
      <c r="G441">
        <v>2</v>
      </c>
      <c r="H441">
        <v>6</v>
      </c>
      <c r="I441">
        <v>8</v>
      </c>
      <c r="J441">
        <v>13</v>
      </c>
      <c r="K441">
        <v>38</v>
      </c>
      <c r="L441">
        <v>1</v>
      </c>
      <c r="M441">
        <v>39</v>
      </c>
      <c r="N441">
        <f t="shared" si="6"/>
        <v>0</v>
      </c>
    </row>
    <row r="442" spans="1:14" hidden="1" x14ac:dyDescent="0.25">
      <c r="A442" s="1" t="s">
        <v>589</v>
      </c>
      <c r="B442" s="1" t="s">
        <v>590</v>
      </c>
      <c r="C442">
        <v>4</v>
      </c>
      <c r="D442">
        <v>2</v>
      </c>
      <c r="E442">
        <v>4</v>
      </c>
      <c r="F442">
        <v>4</v>
      </c>
      <c r="G442">
        <v>4</v>
      </c>
      <c r="H442">
        <v>3</v>
      </c>
      <c r="I442">
        <v>25</v>
      </c>
      <c r="J442">
        <v>86</v>
      </c>
      <c r="K442">
        <v>7</v>
      </c>
      <c r="L442">
        <v>3</v>
      </c>
      <c r="M442">
        <v>94</v>
      </c>
      <c r="N442">
        <f t="shared" si="6"/>
        <v>0</v>
      </c>
    </row>
    <row r="443" spans="1:14" hidden="1" x14ac:dyDescent="0.25">
      <c r="A443" s="1" t="s">
        <v>591</v>
      </c>
      <c r="B443" s="1" t="s">
        <v>197</v>
      </c>
      <c r="C443">
        <v>6</v>
      </c>
      <c r="D443">
        <v>3</v>
      </c>
      <c r="E443">
        <v>3</v>
      </c>
      <c r="F443">
        <v>3</v>
      </c>
      <c r="G443">
        <v>2</v>
      </c>
      <c r="H443">
        <v>3</v>
      </c>
      <c r="I443">
        <v>53</v>
      </c>
      <c r="J443">
        <v>53</v>
      </c>
      <c r="K443">
        <v>15</v>
      </c>
      <c r="L443">
        <v>53</v>
      </c>
      <c r="M443">
        <v>80</v>
      </c>
      <c r="N443">
        <f t="shared" si="6"/>
        <v>0</v>
      </c>
    </row>
    <row r="444" spans="1:14" hidden="1" x14ac:dyDescent="0.25">
      <c r="A444" s="1" t="s">
        <v>592</v>
      </c>
      <c r="B444" s="1" t="s">
        <v>593</v>
      </c>
      <c r="C444">
        <v>3</v>
      </c>
      <c r="D444">
        <v>3</v>
      </c>
      <c r="E444">
        <v>4</v>
      </c>
      <c r="F444">
        <v>2</v>
      </c>
      <c r="G444">
        <v>6</v>
      </c>
      <c r="H444">
        <v>4</v>
      </c>
      <c r="I444">
        <v>22</v>
      </c>
      <c r="J444">
        <v>48</v>
      </c>
      <c r="K444">
        <v>26</v>
      </c>
      <c r="L444">
        <v>43</v>
      </c>
      <c r="M444">
        <v>10</v>
      </c>
      <c r="N444">
        <f t="shared" si="6"/>
        <v>0</v>
      </c>
    </row>
    <row r="445" spans="1:14" hidden="1" x14ac:dyDescent="0.25">
      <c r="A445" s="1" t="s">
        <v>594</v>
      </c>
      <c r="B445" s="1" t="s">
        <v>32</v>
      </c>
      <c r="C445">
        <v>3</v>
      </c>
      <c r="D445">
        <v>2</v>
      </c>
      <c r="E445">
        <v>4</v>
      </c>
      <c r="F445">
        <v>3</v>
      </c>
      <c r="G445">
        <v>2</v>
      </c>
      <c r="H445">
        <v>5</v>
      </c>
      <c r="I445">
        <v>90</v>
      </c>
      <c r="J445">
        <v>97</v>
      </c>
      <c r="K445">
        <v>7</v>
      </c>
      <c r="L445">
        <v>59</v>
      </c>
      <c r="M445">
        <v>100</v>
      </c>
      <c r="N445">
        <f t="shared" si="6"/>
        <v>1</v>
      </c>
    </row>
    <row r="446" spans="1:14" hidden="1" x14ac:dyDescent="0.25">
      <c r="A446" s="1" t="s">
        <v>595</v>
      </c>
      <c r="B446" s="1" t="s">
        <v>177</v>
      </c>
      <c r="C446">
        <v>4</v>
      </c>
      <c r="D446">
        <v>2</v>
      </c>
      <c r="E446">
        <v>4</v>
      </c>
      <c r="F446">
        <v>5</v>
      </c>
      <c r="G446">
        <v>4</v>
      </c>
      <c r="H446">
        <v>2</v>
      </c>
      <c r="I446">
        <v>9</v>
      </c>
      <c r="J446">
        <v>47</v>
      </c>
      <c r="K446">
        <v>56</v>
      </c>
      <c r="L446">
        <v>89</v>
      </c>
      <c r="M446">
        <v>55</v>
      </c>
      <c r="N446">
        <f t="shared" si="6"/>
        <v>0</v>
      </c>
    </row>
    <row r="447" spans="1:14" hidden="1" x14ac:dyDescent="0.25">
      <c r="A447" s="1" t="s">
        <v>596</v>
      </c>
      <c r="B447" s="1" t="s">
        <v>180</v>
      </c>
      <c r="C447">
        <v>4</v>
      </c>
      <c r="D447">
        <v>2</v>
      </c>
      <c r="E447">
        <v>2</v>
      </c>
      <c r="F447">
        <v>6</v>
      </c>
      <c r="G447">
        <v>4</v>
      </c>
      <c r="H447">
        <v>3</v>
      </c>
      <c r="I447">
        <v>47</v>
      </c>
      <c r="J447">
        <v>8</v>
      </c>
      <c r="K447">
        <v>77</v>
      </c>
      <c r="L447">
        <v>85</v>
      </c>
      <c r="M447">
        <v>10</v>
      </c>
      <c r="N447">
        <f t="shared" si="6"/>
        <v>0</v>
      </c>
    </row>
    <row r="448" spans="1:14" hidden="1" x14ac:dyDescent="0.25">
      <c r="A448" s="1" t="s">
        <v>597</v>
      </c>
      <c r="B448" s="1" t="s">
        <v>218</v>
      </c>
      <c r="C448">
        <v>4</v>
      </c>
      <c r="D448">
        <v>5</v>
      </c>
      <c r="E448">
        <v>4</v>
      </c>
      <c r="F448">
        <v>4</v>
      </c>
      <c r="G448">
        <v>5</v>
      </c>
      <c r="H448">
        <v>3</v>
      </c>
      <c r="I448">
        <v>59</v>
      </c>
      <c r="J448">
        <v>89</v>
      </c>
      <c r="K448">
        <v>32</v>
      </c>
      <c r="L448">
        <v>80</v>
      </c>
      <c r="M448">
        <v>38</v>
      </c>
      <c r="N448">
        <f t="shared" si="6"/>
        <v>0</v>
      </c>
    </row>
    <row r="449" spans="1:14" hidden="1" x14ac:dyDescent="0.25">
      <c r="A449" s="1" t="s">
        <v>598</v>
      </c>
      <c r="B449" s="1" t="s">
        <v>166</v>
      </c>
      <c r="C449">
        <v>8</v>
      </c>
      <c r="D449">
        <v>5</v>
      </c>
      <c r="E449">
        <v>5</v>
      </c>
      <c r="F449">
        <v>4</v>
      </c>
      <c r="G449">
        <v>6</v>
      </c>
      <c r="H449">
        <v>2</v>
      </c>
      <c r="I449">
        <v>60</v>
      </c>
      <c r="J449">
        <v>31</v>
      </c>
      <c r="K449">
        <v>86</v>
      </c>
      <c r="L449">
        <v>76</v>
      </c>
      <c r="M449">
        <v>64</v>
      </c>
      <c r="N449">
        <f t="shared" si="6"/>
        <v>0</v>
      </c>
    </row>
    <row r="450" spans="1:14" hidden="1" x14ac:dyDescent="0.25">
      <c r="A450" s="1" t="s">
        <v>599</v>
      </c>
      <c r="B450" s="1" t="s">
        <v>600</v>
      </c>
      <c r="C450">
        <v>3</v>
      </c>
      <c r="D450">
        <v>4</v>
      </c>
      <c r="E450">
        <v>3</v>
      </c>
      <c r="F450">
        <v>5</v>
      </c>
      <c r="G450">
        <v>5</v>
      </c>
      <c r="H450">
        <v>5</v>
      </c>
      <c r="I450">
        <v>53</v>
      </c>
      <c r="J450">
        <v>78</v>
      </c>
      <c r="K450">
        <v>73</v>
      </c>
      <c r="L450">
        <v>89</v>
      </c>
      <c r="M450">
        <v>32</v>
      </c>
      <c r="N450">
        <f t="shared" ref="N450:N513" si="7">COUNTIF(I450:M450, 100)</f>
        <v>0</v>
      </c>
    </row>
    <row r="451" spans="1:14" hidden="1" x14ac:dyDescent="0.25">
      <c r="A451" s="1" t="s">
        <v>601</v>
      </c>
      <c r="B451" s="1" t="s">
        <v>121</v>
      </c>
      <c r="C451">
        <v>0</v>
      </c>
      <c r="D451">
        <v>4</v>
      </c>
      <c r="E451">
        <v>2</v>
      </c>
      <c r="F451">
        <v>2</v>
      </c>
      <c r="G451">
        <v>2</v>
      </c>
      <c r="H451">
        <v>6</v>
      </c>
      <c r="I451">
        <v>88</v>
      </c>
      <c r="J451">
        <v>43</v>
      </c>
      <c r="K451">
        <v>91</v>
      </c>
      <c r="L451">
        <v>4</v>
      </c>
      <c r="M451">
        <v>78</v>
      </c>
      <c r="N451">
        <f t="shared" si="7"/>
        <v>0</v>
      </c>
    </row>
    <row r="452" spans="1:14" hidden="1" x14ac:dyDescent="0.25">
      <c r="A452" s="1" t="s">
        <v>602</v>
      </c>
      <c r="B452" s="1" t="s">
        <v>58</v>
      </c>
      <c r="C452">
        <v>1</v>
      </c>
      <c r="D452">
        <v>5</v>
      </c>
      <c r="E452">
        <v>4</v>
      </c>
      <c r="F452">
        <v>6</v>
      </c>
      <c r="G452">
        <v>4</v>
      </c>
      <c r="H452">
        <v>2</v>
      </c>
      <c r="I452">
        <v>4</v>
      </c>
      <c r="J452">
        <v>97</v>
      </c>
      <c r="K452">
        <v>75</v>
      </c>
      <c r="L452">
        <v>86</v>
      </c>
      <c r="M452">
        <v>10</v>
      </c>
      <c r="N452">
        <f t="shared" si="7"/>
        <v>0</v>
      </c>
    </row>
    <row r="453" spans="1:14" hidden="1" x14ac:dyDescent="0.25">
      <c r="A453" s="1" t="s">
        <v>603</v>
      </c>
      <c r="B453" s="1" t="s">
        <v>604</v>
      </c>
      <c r="C453">
        <v>7</v>
      </c>
      <c r="D453">
        <v>4</v>
      </c>
      <c r="E453">
        <v>3</v>
      </c>
      <c r="F453">
        <v>6</v>
      </c>
      <c r="G453">
        <v>3</v>
      </c>
      <c r="H453">
        <v>2</v>
      </c>
      <c r="I453">
        <v>28</v>
      </c>
      <c r="J453">
        <v>75</v>
      </c>
      <c r="K453">
        <v>15</v>
      </c>
      <c r="L453">
        <v>6</v>
      </c>
      <c r="M453">
        <v>33</v>
      </c>
      <c r="N453">
        <f t="shared" si="7"/>
        <v>0</v>
      </c>
    </row>
    <row r="454" spans="1:14" hidden="1" x14ac:dyDescent="0.25">
      <c r="A454" s="1" t="s">
        <v>605</v>
      </c>
      <c r="B454" s="1" t="s">
        <v>110</v>
      </c>
      <c r="C454">
        <v>4</v>
      </c>
      <c r="D454">
        <v>2</v>
      </c>
      <c r="E454">
        <v>4</v>
      </c>
      <c r="F454">
        <v>6</v>
      </c>
      <c r="G454">
        <v>5</v>
      </c>
      <c r="H454">
        <v>5</v>
      </c>
      <c r="I454">
        <v>29</v>
      </c>
      <c r="J454">
        <v>92</v>
      </c>
      <c r="K454">
        <v>99</v>
      </c>
      <c r="L454">
        <v>79</v>
      </c>
      <c r="M454">
        <v>8</v>
      </c>
      <c r="N454">
        <f t="shared" si="7"/>
        <v>0</v>
      </c>
    </row>
    <row r="455" spans="1:14" hidden="1" x14ac:dyDescent="0.25">
      <c r="A455" s="1" t="s">
        <v>606</v>
      </c>
      <c r="B455" s="1" t="s">
        <v>242</v>
      </c>
      <c r="C455">
        <v>2</v>
      </c>
      <c r="D455">
        <v>5</v>
      </c>
      <c r="E455">
        <v>3</v>
      </c>
      <c r="F455">
        <v>2</v>
      </c>
      <c r="G455">
        <v>3</v>
      </c>
      <c r="H455">
        <v>6</v>
      </c>
      <c r="I455">
        <v>59</v>
      </c>
      <c r="J455">
        <v>29</v>
      </c>
      <c r="K455">
        <v>92</v>
      </c>
      <c r="L455">
        <v>96</v>
      </c>
      <c r="M455">
        <v>77</v>
      </c>
      <c r="N455">
        <f t="shared" si="7"/>
        <v>0</v>
      </c>
    </row>
    <row r="456" spans="1:14" hidden="1" x14ac:dyDescent="0.25">
      <c r="A456" s="1" t="s">
        <v>423</v>
      </c>
      <c r="B456" s="1" t="s">
        <v>76</v>
      </c>
      <c r="C456">
        <v>0</v>
      </c>
      <c r="D456">
        <v>6</v>
      </c>
      <c r="E456">
        <v>6</v>
      </c>
      <c r="F456">
        <v>5</v>
      </c>
      <c r="G456">
        <v>4</v>
      </c>
      <c r="H456">
        <v>3</v>
      </c>
      <c r="I456">
        <v>98</v>
      </c>
      <c r="J456">
        <v>79</v>
      </c>
      <c r="K456">
        <v>65</v>
      </c>
      <c r="L456">
        <v>41</v>
      </c>
      <c r="M456">
        <v>48</v>
      </c>
      <c r="N456">
        <f t="shared" si="7"/>
        <v>0</v>
      </c>
    </row>
    <row r="457" spans="1:14" hidden="1" x14ac:dyDescent="0.25">
      <c r="A457" s="1" t="s">
        <v>607</v>
      </c>
      <c r="B457" s="1" t="s">
        <v>608</v>
      </c>
      <c r="C457">
        <v>2</v>
      </c>
      <c r="D457">
        <v>2</v>
      </c>
      <c r="E457">
        <v>6</v>
      </c>
      <c r="F457">
        <v>5</v>
      </c>
      <c r="G457">
        <v>6</v>
      </c>
      <c r="H457">
        <v>3</v>
      </c>
      <c r="I457">
        <v>74</v>
      </c>
      <c r="J457">
        <v>25</v>
      </c>
      <c r="K457">
        <v>78</v>
      </c>
      <c r="L457">
        <v>6</v>
      </c>
      <c r="M457">
        <v>69</v>
      </c>
      <c r="N457">
        <f t="shared" si="7"/>
        <v>0</v>
      </c>
    </row>
    <row r="458" spans="1:14" hidden="1" x14ac:dyDescent="0.25">
      <c r="A458" s="1" t="s">
        <v>609</v>
      </c>
      <c r="B458" s="1" t="s">
        <v>242</v>
      </c>
      <c r="C458">
        <v>3</v>
      </c>
      <c r="D458">
        <v>2</v>
      </c>
      <c r="E458">
        <v>4</v>
      </c>
      <c r="F458">
        <v>5</v>
      </c>
      <c r="G458">
        <v>2</v>
      </c>
      <c r="H458">
        <v>5</v>
      </c>
      <c r="I458">
        <v>12</v>
      </c>
      <c r="J458">
        <v>96</v>
      </c>
      <c r="K458">
        <v>66</v>
      </c>
      <c r="L458">
        <v>17</v>
      </c>
      <c r="M458">
        <v>86</v>
      </c>
      <c r="N458">
        <f t="shared" si="7"/>
        <v>0</v>
      </c>
    </row>
    <row r="459" spans="1:14" hidden="1" x14ac:dyDescent="0.25">
      <c r="A459" s="1" t="s">
        <v>514</v>
      </c>
      <c r="B459" s="1" t="s">
        <v>316</v>
      </c>
      <c r="C459">
        <v>3</v>
      </c>
      <c r="D459">
        <v>5</v>
      </c>
      <c r="E459">
        <v>5</v>
      </c>
      <c r="F459">
        <v>3</v>
      </c>
      <c r="G459">
        <v>2</v>
      </c>
      <c r="H459">
        <v>2</v>
      </c>
      <c r="I459">
        <v>53</v>
      </c>
      <c r="J459">
        <v>89</v>
      </c>
      <c r="K459">
        <v>16</v>
      </c>
      <c r="L459">
        <v>27</v>
      </c>
      <c r="M459">
        <v>62</v>
      </c>
      <c r="N459">
        <f t="shared" si="7"/>
        <v>0</v>
      </c>
    </row>
    <row r="460" spans="1:14" hidden="1" x14ac:dyDescent="0.25">
      <c r="A460" s="1" t="s">
        <v>610</v>
      </c>
      <c r="B460" s="1" t="s">
        <v>395</v>
      </c>
      <c r="C460">
        <v>4</v>
      </c>
      <c r="D460">
        <v>3</v>
      </c>
      <c r="E460">
        <v>6</v>
      </c>
      <c r="F460">
        <v>4</v>
      </c>
      <c r="G460">
        <v>6</v>
      </c>
      <c r="H460">
        <v>6</v>
      </c>
      <c r="I460">
        <v>90</v>
      </c>
      <c r="J460">
        <v>31</v>
      </c>
      <c r="K460">
        <v>75</v>
      </c>
      <c r="L460">
        <v>1</v>
      </c>
      <c r="M460">
        <v>58</v>
      </c>
      <c r="N460">
        <f t="shared" si="7"/>
        <v>0</v>
      </c>
    </row>
    <row r="461" spans="1:14" hidden="1" x14ac:dyDescent="0.25">
      <c r="A461" s="1" t="s">
        <v>611</v>
      </c>
      <c r="B461" s="1" t="s">
        <v>395</v>
      </c>
      <c r="C461">
        <v>0</v>
      </c>
      <c r="D461">
        <v>3</v>
      </c>
      <c r="E461">
        <v>3</v>
      </c>
      <c r="F461">
        <v>4</v>
      </c>
      <c r="G461">
        <v>2</v>
      </c>
      <c r="H461">
        <v>4</v>
      </c>
      <c r="I461">
        <v>92</v>
      </c>
      <c r="J461">
        <v>47</v>
      </c>
      <c r="K461">
        <v>27</v>
      </c>
      <c r="L461">
        <v>40</v>
      </c>
      <c r="M461">
        <v>35</v>
      </c>
      <c r="N461">
        <f t="shared" si="7"/>
        <v>0</v>
      </c>
    </row>
    <row r="462" spans="1:14" hidden="1" x14ac:dyDescent="0.25">
      <c r="A462" s="1" t="s">
        <v>612</v>
      </c>
      <c r="B462" s="1" t="s">
        <v>164</v>
      </c>
      <c r="C462">
        <v>6</v>
      </c>
      <c r="D462">
        <v>4</v>
      </c>
      <c r="E462">
        <v>3</v>
      </c>
      <c r="F462">
        <v>2</v>
      </c>
      <c r="G462">
        <v>3</v>
      </c>
      <c r="H462">
        <v>5</v>
      </c>
      <c r="I462">
        <v>57</v>
      </c>
      <c r="J462">
        <v>67</v>
      </c>
      <c r="K462">
        <v>51</v>
      </c>
      <c r="L462">
        <v>92</v>
      </c>
      <c r="M462">
        <v>72</v>
      </c>
      <c r="N462">
        <f t="shared" si="7"/>
        <v>0</v>
      </c>
    </row>
    <row r="463" spans="1:14" hidden="1" x14ac:dyDescent="0.25">
      <c r="A463" s="1" t="s">
        <v>613</v>
      </c>
      <c r="B463" s="1" t="s">
        <v>412</v>
      </c>
      <c r="C463">
        <v>0</v>
      </c>
      <c r="D463">
        <v>6</v>
      </c>
      <c r="E463">
        <v>3</v>
      </c>
      <c r="F463">
        <v>6</v>
      </c>
      <c r="G463">
        <v>6</v>
      </c>
      <c r="H463">
        <v>4</v>
      </c>
      <c r="I463">
        <v>74</v>
      </c>
      <c r="J463">
        <v>60</v>
      </c>
      <c r="K463">
        <v>83</v>
      </c>
      <c r="L463">
        <v>39</v>
      </c>
      <c r="M463">
        <v>97</v>
      </c>
      <c r="N463">
        <f t="shared" si="7"/>
        <v>0</v>
      </c>
    </row>
    <row r="464" spans="1:14" hidden="1" x14ac:dyDescent="0.25">
      <c r="A464" s="1" t="s">
        <v>614</v>
      </c>
      <c r="B464" s="1" t="s">
        <v>615</v>
      </c>
      <c r="C464">
        <v>7</v>
      </c>
      <c r="D464">
        <v>6</v>
      </c>
      <c r="E464">
        <v>2</v>
      </c>
      <c r="F464">
        <v>3</v>
      </c>
      <c r="G464">
        <v>2</v>
      </c>
      <c r="H464">
        <v>3</v>
      </c>
      <c r="I464">
        <v>21</v>
      </c>
      <c r="J464">
        <v>16</v>
      </c>
      <c r="K464">
        <v>9</v>
      </c>
      <c r="L464">
        <v>49</v>
      </c>
      <c r="M464">
        <v>47</v>
      </c>
      <c r="N464">
        <f t="shared" si="7"/>
        <v>0</v>
      </c>
    </row>
    <row r="465" spans="1:14" hidden="1" x14ac:dyDescent="0.25">
      <c r="A465" s="1" t="s">
        <v>616</v>
      </c>
      <c r="B465" s="1" t="s">
        <v>249</v>
      </c>
      <c r="C465">
        <v>8</v>
      </c>
      <c r="D465">
        <v>3</v>
      </c>
      <c r="E465">
        <v>5</v>
      </c>
      <c r="F465">
        <v>6</v>
      </c>
      <c r="G465">
        <v>2</v>
      </c>
      <c r="H465">
        <v>4</v>
      </c>
      <c r="I465">
        <v>73</v>
      </c>
      <c r="J465">
        <v>70</v>
      </c>
      <c r="K465">
        <v>71</v>
      </c>
      <c r="L465">
        <v>84</v>
      </c>
      <c r="M465">
        <v>81</v>
      </c>
      <c r="N465">
        <f t="shared" si="7"/>
        <v>0</v>
      </c>
    </row>
    <row r="466" spans="1:14" hidden="1" x14ac:dyDescent="0.25">
      <c r="A466" s="1" t="s">
        <v>617</v>
      </c>
      <c r="B466" s="1" t="s">
        <v>397</v>
      </c>
      <c r="C466">
        <v>2</v>
      </c>
      <c r="D466">
        <v>4</v>
      </c>
      <c r="E466">
        <v>6</v>
      </c>
      <c r="F466">
        <v>4</v>
      </c>
      <c r="G466">
        <v>5</v>
      </c>
      <c r="H466">
        <v>2</v>
      </c>
      <c r="I466">
        <v>44</v>
      </c>
      <c r="J466">
        <v>8</v>
      </c>
      <c r="K466">
        <v>100</v>
      </c>
      <c r="L466">
        <v>54</v>
      </c>
      <c r="M466">
        <v>77</v>
      </c>
      <c r="N466">
        <f t="shared" si="7"/>
        <v>1</v>
      </c>
    </row>
    <row r="467" spans="1:14" hidden="1" x14ac:dyDescent="0.25">
      <c r="A467" s="1" t="s">
        <v>618</v>
      </c>
      <c r="B467" s="1" t="s">
        <v>180</v>
      </c>
      <c r="C467">
        <v>6</v>
      </c>
      <c r="D467">
        <v>3</v>
      </c>
      <c r="E467">
        <v>5</v>
      </c>
      <c r="F467">
        <v>4</v>
      </c>
      <c r="G467">
        <v>3</v>
      </c>
      <c r="H467">
        <v>2</v>
      </c>
      <c r="I467">
        <v>78</v>
      </c>
      <c r="J467">
        <v>17</v>
      </c>
      <c r="K467">
        <v>48</v>
      </c>
      <c r="L467">
        <v>42</v>
      </c>
      <c r="M467">
        <v>85</v>
      </c>
      <c r="N467">
        <f t="shared" si="7"/>
        <v>0</v>
      </c>
    </row>
    <row r="468" spans="1:14" hidden="1" x14ac:dyDescent="0.25">
      <c r="A468" s="1" t="s">
        <v>619</v>
      </c>
      <c r="B468" s="1" t="s">
        <v>620</v>
      </c>
      <c r="C468">
        <v>0</v>
      </c>
      <c r="D468">
        <v>3</v>
      </c>
      <c r="E468">
        <v>6</v>
      </c>
      <c r="F468">
        <v>2</v>
      </c>
      <c r="G468">
        <v>5</v>
      </c>
      <c r="H468">
        <v>2</v>
      </c>
      <c r="I468">
        <v>72</v>
      </c>
      <c r="J468">
        <v>53</v>
      </c>
      <c r="K468">
        <v>43</v>
      </c>
      <c r="L468">
        <v>72</v>
      </c>
      <c r="M468">
        <v>52</v>
      </c>
      <c r="N468">
        <f t="shared" si="7"/>
        <v>0</v>
      </c>
    </row>
    <row r="469" spans="1:14" hidden="1" x14ac:dyDescent="0.25">
      <c r="A469" s="1" t="s">
        <v>621</v>
      </c>
      <c r="B469" s="1" t="s">
        <v>210</v>
      </c>
      <c r="C469">
        <v>7</v>
      </c>
      <c r="D469">
        <v>5</v>
      </c>
      <c r="E469">
        <v>6</v>
      </c>
      <c r="F469">
        <v>2</v>
      </c>
      <c r="G469">
        <v>5</v>
      </c>
      <c r="H469">
        <v>4</v>
      </c>
      <c r="I469">
        <v>15</v>
      </c>
      <c r="J469">
        <v>64</v>
      </c>
      <c r="K469">
        <v>20</v>
      </c>
      <c r="L469">
        <v>59</v>
      </c>
      <c r="M469">
        <v>52</v>
      </c>
      <c r="N469">
        <f t="shared" si="7"/>
        <v>0</v>
      </c>
    </row>
    <row r="470" spans="1:14" hidden="1" x14ac:dyDescent="0.25">
      <c r="A470" s="1" t="s">
        <v>622</v>
      </c>
      <c r="B470" s="1" t="s">
        <v>448</v>
      </c>
      <c r="C470">
        <v>1</v>
      </c>
      <c r="D470">
        <v>2</v>
      </c>
      <c r="E470">
        <v>3</v>
      </c>
      <c r="F470">
        <v>3</v>
      </c>
      <c r="G470">
        <v>2</v>
      </c>
      <c r="H470">
        <v>6</v>
      </c>
      <c r="I470">
        <v>35</v>
      </c>
      <c r="J470">
        <v>20</v>
      </c>
      <c r="K470">
        <v>46</v>
      </c>
      <c r="L470">
        <v>84</v>
      </c>
      <c r="M470">
        <v>11</v>
      </c>
      <c r="N470">
        <f t="shared" si="7"/>
        <v>0</v>
      </c>
    </row>
    <row r="471" spans="1:14" hidden="1" x14ac:dyDescent="0.25">
      <c r="A471" s="1" t="s">
        <v>623</v>
      </c>
      <c r="B471" s="1" t="s">
        <v>239</v>
      </c>
      <c r="C471">
        <v>0</v>
      </c>
      <c r="D471">
        <v>2</v>
      </c>
      <c r="E471">
        <v>2</v>
      </c>
      <c r="F471">
        <v>5</v>
      </c>
      <c r="G471">
        <v>6</v>
      </c>
      <c r="H471">
        <v>2</v>
      </c>
      <c r="I471">
        <v>87</v>
      </c>
      <c r="J471">
        <v>18</v>
      </c>
      <c r="K471">
        <v>93</v>
      </c>
      <c r="L471">
        <v>62</v>
      </c>
      <c r="M471">
        <v>95</v>
      </c>
      <c r="N471">
        <f t="shared" si="7"/>
        <v>0</v>
      </c>
    </row>
    <row r="472" spans="1:14" hidden="1" x14ac:dyDescent="0.25">
      <c r="A472" s="1" t="s">
        <v>624</v>
      </c>
      <c r="B472" s="1" t="s">
        <v>414</v>
      </c>
      <c r="C472">
        <v>6</v>
      </c>
      <c r="D472">
        <v>2</v>
      </c>
      <c r="E472">
        <v>4</v>
      </c>
      <c r="F472">
        <v>3</v>
      </c>
      <c r="G472">
        <v>3</v>
      </c>
      <c r="H472">
        <v>2</v>
      </c>
      <c r="I472">
        <v>72</v>
      </c>
      <c r="J472">
        <v>79</v>
      </c>
      <c r="K472">
        <v>98</v>
      </c>
      <c r="L472">
        <v>86</v>
      </c>
      <c r="M472">
        <v>31</v>
      </c>
      <c r="N472">
        <f t="shared" si="7"/>
        <v>0</v>
      </c>
    </row>
    <row r="473" spans="1:14" hidden="1" x14ac:dyDescent="0.25">
      <c r="A473" s="1" t="s">
        <v>625</v>
      </c>
      <c r="B473" s="1" t="s">
        <v>161</v>
      </c>
      <c r="C473">
        <v>3</v>
      </c>
      <c r="D473">
        <v>3</v>
      </c>
      <c r="E473">
        <v>3</v>
      </c>
      <c r="F473">
        <v>3</v>
      </c>
      <c r="G473">
        <v>5</v>
      </c>
      <c r="H473">
        <v>4</v>
      </c>
      <c r="I473">
        <v>71</v>
      </c>
      <c r="J473">
        <v>68</v>
      </c>
      <c r="K473">
        <v>38</v>
      </c>
      <c r="L473">
        <v>8</v>
      </c>
      <c r="M473">
        <v>98</v>
      </c>
      <c r="N473">
        <f t="shared" si="7"/>
        <v>0</v>
      </c>
    </row>
    <row r="474" spans="1:14" hidden="1" x14ac:dyDescent="0.25">
      <c r="A474" s="1" t="s">
        <v>626</v>
      </c>
      <c r="B474" s="1" t="s">
        <v>38</v>
      </c>
      <c r="C474">
        <v>8</v>
      </c>
      <c r="D474">
        <v>2</v>
      </c>
      <c r="E474">
        <v>2</v>
      </c>
      <c r="F474">
        <v>3</v>
      </c>
      <c r="G474">
        <v>4</v>
      </c>
      <c r="H474">
        <v>4</v>
      </c>
      <c r="I474">
        <v>96</v>
      </c>
      <c r="J474">
        <v>47</v>
      </c>
      <c r="K474">
        <v>90</v>
      </c>
      <c r="L474">
        <v>24</v>
      </c>
      <c r="M474">
        <v>96</v>
      </c>
      <c r="N474">
        <f t="shared" si="7"/>
        <v>0</v>
      </c>
    </row>
    <row r="475" spans="1:14" hidden="1" x14ac:dyDescent="0.25">
      <c r="A475" s="1" t="s">
        <v>627</v>
      </c>
      <c r="B475" s="1" t="s">
        <v>133</v>
      </c>
      <c r="C475">
        <v>3</v>
      </c>
      <c r="D475">
        <v>3</v>
      </c>
      <c r="E475">
        <v>3</v>
      </c>
      <c r="F475">
        <v>3</v>
      </c>
      <c r="G475">
        <v>4</v>
      </c>
      <c r="H475">
        <v>5</v>
      </c>
      <c r="I475">
        <v>18</v>
      </c>
      <c r="J475">
        <v>94</v>
      </c>
      <c r="K475">
        <v>29</v>
      </c>
      <c r="L475">
        <v>50</v>
      </c>
      <c r="M475">
        <v>54</v>
      </c>
      <c r="N475">
        <f t="shared" si="7"/>
        <v>0</v>
      </c>
    </row>
    <row r="476" spans="1:14" hidden="1" x14ac:dyDescent="0.25">
      <c r="A476" s="1" t="s">
        <v>628</v>
      </c>
      <c r="B476" s="1" t="s">
        <v>251</v>
      </c>
      <c r="C476">
        <v>0</v>
      </c>
      <c r="D476">
        <v>5</v>
      </c>
      <c r="E476">
        <v>5</v>
      </c>
      <c r="F476">
        <v>6</v>
      </c>
      <c r="G476">
        <v>2</v>
      </c>
      <c r="H476">
        <v>5</v>
      </c>
      <c r="I476">
        <v>47</v>
      </c>
      <c r="J476">
        <v>34</v>
      </c>
      <c r="K476">
        <v>86</v>
      </c>
      <c r="L476">
        <v>56</v>
      </c>
      <c r="M476">
        <v>39</v>
      </c>
      <c r="N476">
        <f t="shared" si="7"/>
        <v>0</v>
      </c>
    </row>
    <row r="477" spans="1:14" hidden="1" x14ac:dyDescent="0.25">
      <c r="A477" s="1" t="s">
        <v>629</v>
      </c>
      <c r="B477" s="1" t="s">
        <v>430</v>
      </c>
      <c r="C477">
        <v>7</v>
      </c>
      <c r="D477">
        <v>5</v>
      </c>
      <c r="E477">
        <v>5</v>
      </c>
      <c r="F477">
        <v>2</v>
      </c>
      <c r="G477">
        <v>6</v>
      </c>
      <c r="H477">
        <v>6</v>
      </c>
      <c r="I477">
        <v>6</v>
      </c>
      <c r="J477">
        <v>88</v>
      </c>
      <c r="K477">
        <v>24</v>
      </c>
      <c r="L477">
        <v>3</v>
      </c>
      <c r="M477">
        <v>43</v>
      </c>
      <c r="N477">
        <f t="shared" si="7"/>
        <v>0</v>
      </c>
    </row>
    <row r="478" spans="1:14" hidden="1" x14ac:dyDescent="0.25">
      <c r="A478" s="1" t="s">
        <v>630</v>
      </c>
      <c r="B478" s="1" t="s">
        <v>273</v>
      </c>
      <c r="C478">
        <v>8</v>
      </c>
      <c r="D478">
        <v>4</v>
      </c>
      <c r="E478">
        <v>3</v>
      </c>
      <c r="F478">
        <v>6</v>
      </c>
      <c r="G478">
        <v>2</v>
      </c>
      <c r="H478">
        <v>6</v>
      </c>
      <c r="I478">
        <v>87</v>
      </c>
      <c r="J478">
        <v>54</v>
      </c>
      <c r="K478">
        <v>69</v>
      </c>
      <c r="L478">
        <v>96</v>
      </c>
      <c r="M478">
        <v>7</v>
      </c>
      <c r="N478">
        <f t="shared" si="7"/>
        <v>0</v>
      </c>
    </row>
    <row r="479" spans="1:14" hidden="1" x14ac:dyDescent="0.25">
      <c r="A479" s="1" t="s">
        <v>631</v>
      </c>
      <c r="B479" s="1" t="s">
        <v>288</v>
      </c>
      <c r="C479">
        <v>8</v>
      </c>
      <c r="D479">
        <v>3</v>
      </c>
      <c r="E479">
        <v>2</v>
      </c>
      <c r="F479">
        <v>4</v>
      </c>
      <c r="G479">
        <v>6</v>
      </c>
      <c r="H479">
        <v>6</v>
      </c>
      <c r="I479">
        <v>99</v>
      </c>
      <c r="J479">
        <v>51</v>
      </c>
      <c r="K479">
        <v>25</v>
      </c>
      <c r="L479">
        <v>89</v>
      </c>
      <c r="M479">
        <v>73</v>
      </c>
      <c r="N479">
        <f t="shared" si="7"/>
        <v>0</v>
      </c>
    </row>
    <row r="480" spans="1:14" hidden="1" x14ac:dyDescent="0.25">
      <c r="A480" s="1" t="s">
        <v>632</v>
      </c>
      <c r="B480" s="1" t="s">
        <v>633</v>
      </c>
      <c r="C480">
        <v>0</v>
      </c>
      <c r="D480">
        <v>4</v>
      </c>
      <c r="E480">
        <v>6</v>
      </c>
      <c r="F480">
        <v>5</v>
      </c>
      <c r="G480">
        <v>2</v>
      </c>
      <c r="H480">
        <v>4</v>
      </c>
      <c r="I480">
        <v>72</v>
      </c>
      <c r="J480">
        <v>33</v>
      </c>
      <c r="K480">
        <v>40</v>
      </c>
      <c r="L480">
        <v>62</v>
      </c>
      <c r="M480">
        <v>19</v>
      </c>
      <c r="N480">
        <f t="shared" si="7"/>
        <v>0</v>
      </c>
    </row>
    <row r="481" spans="1:14" hidden="1" x14ac:dyDescent="0.25">
      <c r="A481" s="1" t="s">
        <v>634</v>
      </c>
      <c r="B481" s="1" t="s">
        <v>635</v>
      </c>
      <c r="C481">
        <v>0</v>
      </c>
      <c r="D481">
        <v>4</v>
      </c>
      <c r="E481">
        <v>2</v>
      </c>
      <c r="F481">
        <v>6</v>
      </c>
      <c r="G481">
        <v>2</v>
      </c>
      <c r="H481">
        <v>5</v>
      </c>
      <c r="I481">
        <v>57</v>
      </c>
      <c r="J481">
        <v>88</v>
      </c>
      <c r="K481">
        <v>53</v>
      </c>
      <c r="L481">
        <v>42</v>
      </c>
      <c r="M481">
        <v>49</v>
      </c>
      <c r="N481">
        <f t="shared" si="7"/>
        <v>0</v>
      </c>
    </row>
    <row r="482" spans="1:14" hidden="1" x14ac:dyDescent="0.25">
      <c r="A482" s="1" t="s">
        <v>636</v>
      </c>
      <c r="B482" s="1" t="s">
        <v>340</v>
      </c>
      <c r="C482">
        <v>1</v>
      </c>
      <c r="D482">
        <v>4</v>
      </c>
      <c r="E482">
        <v>2</v>
      </c>
      <c r="F482">
        <v>2</v>
      </c>
      <c r="G482">
        <v>4</v>
      </c>
      <c r="H482">
        <v>2</v>
      </c>
      <c r="I482">
        <v>68</v>
      </c>
      <c r="J482">
        <v>81</v>
      </c>
      <c r="K482">
        <v>24</v>
      </c>
      <c r="L482">
        <v>15</v>
      </c>
      <c r="M482">
        <v>48</v>
      </c>
      <c r="N482">
        <f t="shared" si="7"/>
        <v>0</v>
      </c>
    </row>
    <row r="483" spans="1:14" hidden="1" x14ac:dyDescent="0.25">
      <c r="A483" s="1" t="s">
        <v>637</v>
      </c>
      <c r="B483" s="1" t="s">
        <v>86</v>
      </c>
      <c r="C483">
        <v>6</v>
      </c>
      <c r="D483">
        <v>4</v>
      </c>
      <c r="E483">
        <v>3</v>
      </c>
      <c r="F483">
        <v>2</v>
      </c>
      <c r="G483">
        <v>3</v>
      </c>
      <c r="H483">
        <v>3</v>
      </c>
      <c r="I483">
        <v>43</v>
      </c>
      <c r="J483">
        <v>36</v>
      </c>
      <c r="K483">
        <v>9</v>
      </c>
      <c r="L483">
        <v>88</v>
      </c>
      <c r="M483">
        <v>44</v>
      </c>
      <c r="N483">
        <f t="shared" si="7"/>
        <v>0</v>
      </c>
    </row>
    <row r="484" spans="1:14" hidden="1" x14ac:dyDescent="0.25">
      <c r="A484" s="1" t="s">
        <v>638</v>
      </c>
      <c r="B484" s="1" t="s">
        <v>395</v>
      </c>
      <c r="C484">
        <v>2</v>
      </c>
      <c r="D484">
        <v>6</v>
      </c>
      <c r="E484">
        <v>2</v>
      </c>
      <c r="F484">
        <v>2</v>
      </c>
      <c r="G484">
        <v>3</v>
      </c>
      <c r="H484">
        <v>3</v>
      </c>
      <c r="I484">
        <v>69</v>
      </c>
      <c r="J484">
        <v>17</v>
      </c>
      <c r="K484">
        <v>84</v>
      </c>
      <c r="L484">
        <v>87</v>
      </c>
      <c r="M484">
        <v>56</v>
      </c>
      <c r="N484">
        <f t="shared" si="7"/>
        <v>0</v>
      </c>
    </row>
    <row r="485" spans="1:14" hidden="1" x14ac:dyDescent="0.25">
      <c r="A485" s="1" t="s">
        <v>639</v>
      </c>
      <c r="B485" s="1" t="s">
        <v>34</v>
      </c>
      <c r="C485">
        <v>0</v>
      </c>
      <c r="D485">
        <v>6</v>
      </c>
      <c r="E485">
        <v>6</v>
      </c>
      <c r="F485">
        <v>3</v>
      </c>
      <c r="G485">
        <v>2</v>
      </c>
      <c r="H485">
        <v>5</v>
      </c>
      <c r="I485">
        <v>25</v>
      </c>
      <c r="J485">
        <v>23</v>
      </c>
      <c r="K485">
        <v>92</v>
      </c>
      <c r="L485">
        <v>37</v>
      </c>
      <c r="M485">
        <v>40</v>
      </c>
      <c r="N485">
        <f t="shared" si="7"/>
        <v>0</v>
      </c>
    </row>
    <row r="486" spans="1:14" hidden="1" x14ac:dyDescent="0.25">
      <c r="A486" s="1" t="s">
        <v>640</v>
      </c>
      <c r="B486" s="1" t="s">
        <v>249</v>
      </c>
      <c r="C486">
        <v>8</v>
      </c>
      <c r="D486">
        <v>4</v>
      </c>
      <c r="E486">
        <v>6</v>
      </c>
      <c r="F486">
        <v>4</v>
      </c>
      <c r="G486">
        <v>3</v>
      </c>
      <c r="H486">
        <v>2</v>
      </c>
      <c r="I486">
        <v>12</v>
      </c>
      <c r="J486">
        <v>56</v>
      </c>
      <c r="K486">
        <v>75</v>
      </c>
      <c r="L486">
        <v>76</v>
      </c>
      <c r="M486">
        <v>41</v>
      </c>
      <c r="N486">
        <f t="shared" si="7"/>
        <v>0</v>
      </c>
    </row>
    <row r="487" spans="1:14" hidden="1" x14ac:dyDescent="0.25">
      <c r="A487" s="1" t="s">
        <v>641</v>
      </c>
      <c r="B487" s="1" t="s">
        <v>222</v>
      </c>
      <c r="C487">
        <v>5</v>
      </c>
      <c r="D487">
        <v>2</v>
      </c>
      <c r="E487">
        <v>5</v>
      </c>
      <c r="F487">
        <v>6</v>
      </c>
      <c r="G487">
        <v>2</v>
      </c>
      <c r="H487">
        <v>5</v>
      </c>
      <c r="I487">
        <v>39</v>
      </c>
      <c r="J487">
        <v>77</v>
      </c>
      <c r="K487">
        <v>37</v>
      </c>
      <c r="L487">
        <v>72</v>
      </c>
      <c r="M487">
        <v>32</v>
      </c>
      <c r="N487">
        <f t="shared" si="7"/>
        <v>0</v>
      </c>
    </row>
    <row r="488" spans="1:14" hidden="1" x14ac:dyDescent="0.25">
      <c r="A488" s="1" t="s">
        <v>642</v>
      </c>
      <c r="B488" s="1" t="s">
        <v>43</v>
      </c>
      <c r="C488">
        <v>1</v>
      </c>
      <c r="D488">
        <v>3</v>
      </c>
      <c r="E488">
        <v>5</v>
      </c>
      <c r="F488">
        <v>6</v>
      </c>
      <c r="G488">
        <v>2</v>
      </c>
      <c r="H488">
        <v>5</v>
      </c>
      <c r="I488">
        <v>53</v>
      </c>
      <c r="J488">
        <v>25</v>
      </c>
      <c r="K488">
        <v>62</v>
      </c>
      <c r="L488">
        <v>74</v>
      </c>
      <c r="M488">
        <v>81</v>
      </c>
      <c r="N488">
        <f t="shared" si="7"/>
        <v>0</v>
      </c>
    </row>
    <row r="489" spans="1:14" hidden="1" x14ac:dyDescent="0.25">
      <c r="A489" s="1" t="s">
        <v>643</v>
      </c>
      <c r="B489" s="1" t="s">
        <v>72</v>
      </c>
      <c r="C489">
        <v>7</v>
      </c>
      <c r="D489">
        <v>6</v>
      </c>
      <c r="E489">
        <v>3</v>
      </c>
      <c r="F489">
        <v>6</v>
      </c>
      <c r="G489">
        <v>4</v>
      </c>
      <c r="H489">
        <v>2</v>
      </c>
      <c r="I489">
        <v>11</v>
      </c>
      <c r="J489">
        <v>8</v>
      </c>
      <c r="K489">
        <v>29</v>
      </c>
      <c r="L489">
        <v>7</v>
      </c>
      <c r="M489">
        <v>38</v>
      </c>
      <c r="N489">
        <f t="shared" si="7"/>
        <v>0</v>
      </c>
    </row>
    <row r="490" spans="1:14" hidden="1" x14ac:dyDescent="0.25">
      <c r="A490" s="1" t="s">
        <v>644</v>
      </c>
      <c r="B490" s="1" t="s">
        <v>145</v>
      </c>
      <c r="C490">
        <v>3</v>
      </c>
      <c r="D490">
        <v>4</v>
      </c>
      <c r="E490">
        <v>6</v>
      </c>
      <c r="F490">
        <v>4</v>
      </c>
      <c r="G490">
        <v>6</v>
      </c>
      <c r="H490">
        <v>2</v>
      </c>
      <c r="I490">
        <v>62</v>
      </c>
      <c r="J490">
        <v>31</v>
      </c>
      <c r="K490">
        <v>64</v>
      </c>
      <c r="L490">
        <v>1</v>
      </c>
      <c r="M490">
        <v>25</v>
      </c>
      <c r="N490">
        <f t="shared" si="7"/>
        <v>0</v>
      </c>
    </row>
    <row r="491" spans="1:14" hidden="1" x14ac:dyDescent="0.25">
      <c r="A491" s="1" t="s">
        <v>645</v>
      </c>
      <c r="B491" s="1" t="s">
        <v>646</v>
      </c>
      <c r="C491">
        <v>4</v>
      </c>
      <c r="D491">
        <v>4</v>
      </c>
      <c r="E491">
        <v>6</v>
      </c>
      <c r="F491">
        <v>3</v>
      </c>
      <c r="G491">
        <v>2</v>
      </c>
      <c r="H491">
        <v>3</v>
      </c>
      <c r="I491">
        <v>24</v>
      </c>
      <c r="J491">
        <v>33</v>
      </c>
      <c r="K491">
        <v>90</v>
      </c>
      <c r="L491">
        <v>28</v>
      </c>
      <c r="M491">
        <v>23</v>
      </c>
      <c r="N491">
        <f t="shared" si="7"/>
        <v>0</v>
      </c>
    </row>
    <row r="492" spans="1:14" hidden="1" x14ac:dyDescent="0.25">
      <c r="A492" s="1" t="s">
        <v>647</v>
      </c>
      <c r="B492" s="1" t="s">
        <v>32</v>
      </c>
      <c r="C492">
        <v>5</v>
      </c>
      <c r="D492">
        <v>6</v>
      </c>
      <c r="E492">
        <v>5</v>
      </c>
      <c r="F492">
        <v>6</v>
      </c>
      <c r="G492">
        <v>5</v>
      </c>
      <c r="H492">
        <v>4</v>
      </c>
      <c r="I492">
        <v>92</v>
      </c>
      <c r="J492">
        <v>67</v>
      </c>
      <c r="K492">
        <v>92</v>
      </c>
      <c r="L492">
        <v>79</v>
      </c>
      <c r="M492">
        <v>81</v>
      </c>
      <c r="N492">
        <f t="shared" si="7"/>
        <v>0</v>
      </c>
    </row>
    <row r="493" spans="1:14" hidden="1" x14ac:dyDescent="0.25">
      <c r="A493" s="1" t="s">
        <v>648</v>
      </c>
      <c r="B493" s="1" t="s">
        <v>649</v>
      </c>
      <c r="C493">
        <v>5</v>
      </c>
      <c r="D493">
        <v>3</v>
      </c>
      <c r="E493">
        <v>4</v>
      </c>
      <c r="F493">
        <v>2</v>
      </c>
      <c r="G493">
        <v>6</v>
      </c>
      <c r="H493">
        <v>6</v>
      </c>
      <c r="I493">
        <v>21</v>
      </c>
      <c r="J493">
        <v>40</v>
      </c>
      <c r="K493">
        <v>18</v>
      </c>
      <c r="L493">
        <v>81</v>
      </c>
      <c r="M493">
        <v>88</v>
      </c>
      <c r="N493">
        <f t="shared" si="7"/>
        <v>0</v>
      </c>
    </row>
    <row r="494" spans="1:14" hidden="1" x14ac:dyDescent="0.25">
      <c r="A494" s="1" t="s">
        <v>650</v>
      </c>
      <c r="B494" s="1" t="s">
        <v>651</v>
      </c>
      <c r="C494">
        <v>6</v>
      </c>
      <c r="D494">
        <v>2</v>
      </c>
      <c r="E494">
        <v>3</v>
      </c>
      <c r="F494">
        <v>6</v>
      </c>
      <c r="G494">
        <v>5</v>
      </c>
      <c r="H494">
        <v>4</v>
      </c>
      <c r="I494">
        <v>78</v>
      </c>
      <c r="J494">
        <v>1</v>
      </c>
      <c r="K494">
        <v>9</v>
      </c>
      <c r="L494">
        <v>33</v>
      </c>
      <c r="M494">
        <v>81</v>
      </c>
      <c r="N494">
        <f t="shared" si="7"/>
        <v>0</v>
      </c>
    </row>
    <row r="495" spans="1:14" hidden="1" x14ac:dyDescent="0.25">
      <c r="A495" s="1" t="s">
        <v>652</v>
      </c>
      <c r="B495" s="1" t="s">
        <v>239</v>
      </c>
      <c r="C495">
        <v>8</v>
      </c>
      <c r="D495">
        <v>2</v>
      </c>
      <c r="E495">
        <v>3</v>
      </c>
      <c r="F495">
        <v>4</v>
      </c>
      <c r="G495">
        <v>5</v>
      </c>
      <c r="H495">
        <v>4</v>
      </c>
      <c r="I495">
        <v>65</v>
      </c>
      <c r="J495">
        <v>19</v>
      </c>
      <c r="K495">
        <v>19</v>
      </c>
      <c r="L495">
        <v>8</v>
      </c>
      <c r="M495">
        <v>20</v>
      </c>
      <c r="N495">
        <f t="shared" si="7"/>
        <v>0</v>
      </c>
    </row>
    <row r="496" spans="1:14" hidden="1" x14ac:dyDescent="0.25">
      <c r="A496" s="1" t="s">
        <v>653</v>
      </c>
      <c r="B496" s="1" t="s">
        <v>340</v>
      </c>
      <c r="C496">
        <v>2</v>
      </c>
      <c r="D496">
        <v>2</v>
      </c>
      <c r="E496">
        <v>2</v>
      </c>
      <c r="F496">
        <v>5</v>
      </c>
      <c r="G496">
        <v>5</v>
      </c>
      <c r="H496">
        <v>4</v>
      </c>
      <c r="I496">
        <v>60</v>
      </c>
      <c r="J496">
        <v>79</v>
      </c>
      <c r="K496">
        <v>51</v>
      </c>
      <c r="L496">
        <v>40</v>
      </c>
      <c r="M496">
        <v>16</v>
      </c>
      <c r="N496">
        <f t="shared" si="7"/>
        <v>0</v>
      </c>
    </row>
    <row r="497" spans="1:14" hidden="1" x14ac:dyDescent="0.25">
      <c r="A497" s="1" t="s">
        <v>654</v>
      </c>
      <c r="B497" s="1" t="s">
        <v>340</v>
      </c>
      <c r="C497">
        <v>5</v>
      </c>
      <c r="D497">
        <v>2</v>
      </c>
      <c r="E497">
        <v>3</v>
      </c>
      <c r="F497">
        <v>3</v>
      </c>
      <c r="G497">
        <v>6</v>
      </c>
      <c r="H497">
        <v>3</v>
      </c>
      <c r="I497">
        <v>79</v>
      </c>
      <c r="J497">
        <v>21</v>
      </c>
      <c r="K497">
        <v>41</v>
      </c>
      <c r="L497">
        <v>39</v>
      </c>
      <c r="M497">
        <v>74</v>
      </c>
      <c r="N497">
        <f t="shared" si="7"/>
        <v>0</v>
      </c>
    </row>
    <row r="498" spans="1:14" hidden="1" x14ac:dyDescent="0.25">
      <c r="A498" s="1" t="s">
        <v>655</v>
      </c>
      <c r="B498" s="1" t="s">
        <v>38</v>
      </c>
      <c r="C498">
        <v>7</v>
      </c>
      <c r="D498">
        <v>2</v>
      </c>
      <c r="E498">
        <v>6</v>
      </c>
      <c r="F498">
        <v>6</v>
      </c>
      <c r="G498">
        <v>6</v>
      </c>
      <c r="H498">
        <v>5</v>
      </c>
      <c r="I498">
        <v>27</v>
      </c>
      <c r="J498">
        <v>93</v>
      </c>
      <c r="K498">
        <v>10</v>
      </c>
      <c r="L498">
        <v>43</v>
      </c>
      <c r="M498">
        <v>28</v>
      </c>
      <c r="N498">
        <f t="shared" si="7"/>
        <v>0</v>
      </c>
    </row>
    <row r="499" spans="1:14" hidden="1" x14ac:dyDescent="0.25">
      <c r="A499" s="1" t="s">
        <v>656</v>
      </c>
      <c r="B499" s="1" t="s">
        <v>119</v>
      </c>
      <c r="C499">
        <v>5</v>
      </c>
      <c r="D499">
        <v>4</v>
      </c>
      <c r="E499">
        <v>6</v>
      </c>
      <c r="F499">
        <v>5</v>
      </c>
      <c r="G499">
        <v>4</v>
      </c>
      <c r="H499">
        <v>4</v>
      </c>
      <c r="I499">
        <v>44</v>
      </c>
      <c r="J499">
        <v>95</v>
      </c>
      <c r="K499">
        <v>15</v>
      </c>
      <c r="L499">
        <v>66</v>
      </c>
      <c r="M499">
        <v>82</v>
      </c>
      <c r="N499">
        <f t="shared" si="7"/>
        <v>0</v>
      </c>
    </row>
    <row r="500" spans="1:14" hidden="1" x14ac:dyDescent="0.25">
      <c r="A500" s="1" t="s">
        <v>657</v>
      </c>
      <c r="B500" s="1" t="s">
        <v>340</v>
      </c>
      <c r="C500">
        <v>0</v>
      </c>
      <c r="D500">
        <v>6</v>
      </c>
      <c r="E500">
        <v>6</v>
      </c>
      <c r="F500">
        <v>2</v>
      </c>
      <c r="G500">
        <v>4</v>
      </c>
      <c r="H500">
        <v>3</v>
      </c>
      <c r="I500">
        <v>15</v>
      </c>
      <c r="J500">
        <v>15</v>
      </c>
      <c r="K500">
        <v>58</v>
      </c>
      <c r="L500">
        <v>15</v>
      </c>
      <c r="M500">
        <v>87</v>
      </c>
      <c r="N500">
        <f t="shared" si="7"/>
        <v>0</v>
      </c>
    </row>
    <row r="501" spans="1:14" hidden="1" x14ac:dyDescent="0.25">
      <c r="A501" s="1" t="s">
        <v>658</v>
      </c>
      <c r="B501" s="1" t="s">
        <v>16</v>
      </c>
      <c r="C501">
        <v>4</v>
      </c>
      <c r="D501">
        <v>6</v>
      </c>
      <c r="E501">
        <v>6</v>
      </c>
      <c r="F501">
        <v>3</v>
      </c>
      <c r="G501">
        <v>6</v>
      </c>
      <c r="H501">
        <v>2</v>
      </c>
      <c r="I501">
        <v>69</v>
      </c>
      <c r="J501">
        <v>78</v>
      </c>
      <c r="K501">
        <v>32</v>
      </c>
      <c r="L501">
        <v>73</v>
      </c>
      <c r="M501">
        <v>93</v>
      </c>
      <c r="N501">
        <f t="shared" si="7"/>
        <v>0</v>
      </c>
    </row>
    <row r="502" spans="1:14" hidden="1" x14ac:dyDescent="0.25">
      <c r="A502" s="1" t="s">
        <v>659</v>
      </c>
      <c r="B502" s="1" t="s">
        <v>660</v>
      </c>
      <c r="C502">
        <v>7</v>
      </c>
      <c r="D502">
        <v>3</v>
      </c>
      <c r="E502">
        <v>4</v>
      </c>
      <c r="F502">
        <v>6</v>
      </c>
      <c r="G502">
        <v>3</v>
      </c>
      <c r="H502">
        <v>6</v>
      </c>
      <c r="I502">
        <v>14</v>
      </c>
      <c r="J502">
        <v>42</v>
      </c>
      <c r="K502">
        <v>40</v>
      </c>
      <c r="L502">
        <v>48</v>
      </c>
      <c r="M502">
        <v>35</v>
      </c>
      <c r="N502">
        <f t="shared" si="7"/>
        <v>0</v>
      </c>
    </row>
    <row r="503" spans="1:14" hidden="1" x14ac:dyDescent="0.25">
      <c r="A503" s="1" t="s">
        <v>661</v>
      </c>
      <c r="B503" s="1" t="s">
        <v>83</v>
      </c>
      <c r="C503">
        <v>5</v>
      </c>
      <c r="D503">
        <v>2</v>
      </c>
      <c r="E503">
        <v>5</v>
      </c>
      <c r="F503">
        <v>6</v>
      </c>
      <c r="G503">
        <v>3</v>
      </c>
      <c r="H503">
        <v>3</v>
      </c>
      <c r="I503">
        <v>90</v>
      </c>
      <c r="J503">
        <v>70</v>
      </c>
      <c r="K503">
        <v>84</v>
      </c>
      <c r="L503">
        <v>62</v>
      </c>
      <c r="M503">
        <v>20</v>
      </c>
      <c r="N503">
        <f t="shared" si="7"/>
        <v>0</v>
      </c>
    </row>
    <row r="504" spans="1:14" hidden="1" x14ac:dyDescent="0.25">
      <c r="A504" s="1" t="s">
        <v>662</v>
      </c>
      <c r="B504" s="1" t="s">
        <v>355</v>
      </c>
      <c r="C504">
        <v>1</v>
      </c>
      <c r="D504">
        <v>6</v>
      </c>
      <c r="E504">
        <v>4</v>
      </c>
      <c r="F504">
        <v>3</v>
      </c>
      <c r="G504">
        <v>3</v>
      </c>
      <c r="H504">
        <v>6</v>
      </c>
      <c r="I504">
        <v>79</v>
      </c>
      <c r="J504">
        <v>71</v>
      </c>
      <c r="K504">
        <v>89</v>
      </c>
      <c r="L504">
        <v>26</v>
      </c>
      <c r="M504">
        <v>96</v>
      </c>
      <c r="N504">
        <f t="shared" si="7"/>
        <v>0</v>
      </c>
    </row>
    <row r="505" spans="1:14" hidden="1" x14ac:dyDescent="0.25">
      <c r="A505" s="1" t="s">
        <v>663</v>
      </c>
      <c r="B505" s="1" t="s">
        <v>369</v>
      </c>
      <c r="C505">
        <v>5</v>
      </c>
      <c r="D505">
        <v>5</v>
      </c>
      <c r="E505">
        <v>6</v>
      </c>
      <c r="F505">
        <v>3</v>
      </c>
      <c r="G505">
        <v>4</v>
      </c>
      <c r="H505">
        <v>2</v>
      </c>
      <c r="I505">
        <v>45</v>
      </c>
      <c r="J505">
        <v>46</v>
      </c>
      <c r="K505">
        <v>47</v>
      </c>
      <c r="L505">
        <v>70</v>
      </c>
      <c r="M505">
        <v>56</v>
      </c>
      <c r="N505">
        <f t="shared" si="7"/>
        <v>0</v>
      </c>
    </row>
    <row r="506" spans="1:14" hidden="1" x14ac:dyDescent="0.25">
      <c r="A506" s="1" t="s">
        <v>235</v>
      </c>
      <c r="B506" s="1" t="s">
        <v>311</v>
      </c>
      <c r="C506">
        <v>6</v>
      </c>
      <c r="D506">
        <v>5</v>
      </c>
      <c r="E506">
        <v>6</v>
      </c>
      <c r="F506">
        <v>6</v>
      </c>
      <c r="G506">
        <v>5</v>
      </c>
      <c r="H506">
        <v>3</v>
      </c>
      <c r="I506">
        <v>100</v>
      </c>
      <c r="J506">
        <v>44</v>
      </c>
      <c r="K506">
        <v>54</v>
      </c>
      <c r="L506">
        <v>75</v>
      </c>
      <c r="M506">
        <v>64</v>
      </c>
      <c r="N506">
        <f t="shared" si="7"/>
        <v>1</v>
      </c>
    </row>
    <row r="507" spans="1:14" hidden="1" x14ac:dyDescent="0.25">
      <c r="A507" s="1" t="s">
        <v>211</v>
      </c>
      <c r="B507" s="1" t="s">
        <v>78</v>
      </c>
      <c r="C507">
        <v>5</v>
      </c>
      <c r="D507">
        <v>6</v>
      </c>
      <c r="E507">
        <v>5</v>
      </c>
      <c r="F507">
        <v>2</v>
      </c>
      <c r="G507">
        <v>2</v>
      </c>
      <c r="H507">
        <v>2</v>
      </c>
      <c r="I507">
        <v>74</v>
      </c>
      <c r="J507">
        <v>70</v>
      </c>
      <c r="K507">
        <v>43</v>
      </c>
      <c r="L507">
        <v>43</v>
      </c>
      <c r="M507">
        <v>37</v>
      </c>
      <c r="N507">
        <f t="shared" si="7"/>
        <v>0</v>
      </c>
    </row>
    <row r="508" spans="1:14" hidden="1" x14ac:dyDescent="0.25">
      <c r="A508" s="1" t="s">
        <v>664</v>
      </c>
      <c r="B508" s="1" t="s">
        <v>665</v>
      </c>
      <c r="C508">
        <v>8</v>
      </c>
      <c r="D508">
        <v>3</v>
      </c>
      <c r="E508">
        <v>3</v>
      </c>
      <c r="F508">
        <v>4</v>
      </c>
      <c r="G508">
        <v>5</v>
      </c>
      <c r="H508">
        <v>5</v>
      </c>
      <c r="I508">
        <v>78</v>
      </c>
      <c r="J508">
        <v>45</v>
      </c>
      <c r="K508">
        <v>23</v>
      </c>
      <c r="L508">
        <v>91</v>
      </c>
      <c r="M508">
        <v>58</v>
      </c>
      <c r="N508">
        <f t="shared" si="7"/>
        <v>0</v>
      </c>
    </row>
    <row r="509" spans="1:14" hidden="1" x14ac:dyDescent="0.25">
      <c r="A509" s="1" t="s">
        <v>666</v>
      </c>
      <c r="B509" s="1" t="s">
        <v>34</v>
      </c>
      <c r="C509">
        <v>4</v>
      </c>
      <c r="D509">
        <v>5</v>
      </c>
      <c r="E509">
        <v>3</v>
      </c>
      <c r="F509">
        <v>6</v>
      </c>
      <c r="G509">
        <v>6</v>
      </c>
      <c r="H509">
        <v>3</v>
      </c>
      <c r="I509">
        <v>23</v>
      </c>
      <c r="J509">
        <v>16</v>
      </c>
      <c r="K509">
        <v>85</v>
      </c>
      <c r="L509">
        <v>82</v>
      </c>
      <c r="M509">
        <v>75</v>
      </c>
      <c r="N509">
        <f t="shared" si="7"/>
        <v>0</v>
      </c>
    </row>
    <row r="510" spans="1:14" hidden="1" x14ac:dyDescent="0.25">
      <c r="A510" s="1" t="s">
        <v>667</v>
      </c>
      <c r="B510" s="1" t="s">
        <v>203</v>
      </c>
      <c r="C510">
        <v>1</v>
      </c>
      <c r="D510">
        <v>2</v>
      </c>
      <c r="E510">
        <v>5</v>
      </c>
      <c r="F510">
        <v>2</v>
      </c>
      <c r="G510">
        <v>6</v>
      </c>
      <c r="H510">
        <v>6</v>
      </c>
      <c r="I510">
        <v>62</v>
      </c>
      <c r="J510">
        <v>89</v>
      </c>
      <c r="K510">
        <v>20</v>
      </c>
      <c r="L510">
        <v>56</v>
      </c>
      <c r="M510">
        <v>80</v>
      </c>
      <c r="N510">
        <f t="shared" si="7"/>
        <v>0</v>
      </c>
    </row>
    <row r="511" spans="1:14" hidden="1" x14ac:dyDescent="0.25">
      <c r="A511" s="1" t="s">
        <v>668</v>
      </c>
      <c r="B511" s="1" t="s">
        <v>83</v>
      </c>
      <c r="C511">
        <v>6</v>
      </c>
      <c r="D511">
        <v>6</v>
      </c>
      <c r="E511">
        <v>5</v>
      </c>
      <c r="F511">
        <v>6</v>
      </c>
      <c r="G511">
        <v>2</v>
      </c>
      <c r="H511">
        <v>4</v>
      </c>
      <c r="I511">
        <v>22</v>
      </c>
      <c r="J511">
        <v>29</v>
      </c>
      <c r="K511">
        <v>31</v>
      </c>
      <c r="L511">
        <v>9</v>
      </c>
      <c r="M511">
        <v>56</v>
      </c>
      <c r="N511">
        <f t="shared" si="7"/>
        <v>0</v>
      </c>
    </row>
    <row r="512" spans="1:14" hidden="1" x14ac:dyDescent="0.25">
      <c r="A512" s="1" t="s">
        <v>669</v>
      </c>
      <c r="B512" s="1" t="s">
        <v>540</v>
      </c>
      <c r="C512">
        <v>8</v>
      </c>
      <c r="D512">
        <v>3</v>
      </c>
      <c r="E512">
        <v>4</v>
      </c>
      <c r="F512">
        <v>5</v>
      </c>
      <c r="G512">
        <v>2</v>
      </c>
      <c r="H512">
        <v>4</v>
      </c>
      <c r="I512">
        <v>30</v>
      </c>
      <c r="J512">
        <v>10</v>
      </c>
      <c r="K512">
        <v>78</v>
      </c>
      <c r="L512">
        <v>57</v>
      </c>
      <c r="M512">
        <v>67</v>
      </c>
      <c r="N512">
        <f t="shared" si="7"/>
        <v>0</v>
      </c>
    </row>
    <row r="513" spans="1:14" hidden="1" x14ac:dyDescent="0.25">
      <c r="A513" s="1" t="s">
        <v>670</v>
      </c>
      <c r="B513" s="1" t="s">
        <v>302</v>
      </c>
      <c r="C513">
        <v>7</v>
      </c>
      <c r="D513">
        <v>6</v>
      </c>
      <c r="E513">
        <v>4</v>
      </c>
      <c r="F513">
        <v>6</v>
      </c>
      <c r="G513">
        <v>2</v>
      </c>
      <c r="H513">
        <v>2</v>
      </c>
      <c r="I513">
        <v>29</v>
      </c>
      <c r="J513">
        <v>64</v>
      </c>
      <c r="K513">
        <v>39</v>
      </c>
      <c r="L513">
        <v>62</v>
      </c>
      <c r="M513">
        <v>1</v>
      </c>
      <c r="N513">
        <f t="shared" si="7"/>
        <v>0</v>
      </c>
    </row>
    <row r="514" spans="1:14" hidden="1" x14ac:dyDescent="0.25">
      <c r="A514" s="1" t="s">
        <v>671</v>
      </c>
      <c r="B514" s="1" t="s">
        <v>101</v>
      </c>
      <c r="C514">
        <v>3</v>
      </c>
      <c r="D514">
        <v>2</v>
      </c>
      <c r="E514">
        <v>2</v>
      </c>
      <c r="F514">
        <v>3</v>
      </c>
      <c r="G514">
        <v>5</v>
      </c>
      <c r="H514">
        <v>4</v>
      </c>
      <c r="I514">
        <v>32</v>
      </c>
      <c r="J514">
        <v>80</v>
      </c>
      <c r="K514">
        <v>47</v>
      </c>
      <c r="L514">
        <v>98</v>
      </c>
      <c r="M514">
        <v>30</v>
      </c>
      <c r="N514">
        <f t="shared" ref="N514:N577" si="8">COUNTIF(I514:M514, 100)</f>
        <v>0</v>
      </c>
    </row>
    <row r="515" spans="1:14" hidden="1" x14ac:dyDescent="0.25">
      <c r="A515" s="1" t="s">
        <v>269</v>
      </c>
      <c r="B515" s="1" t="s">
        <v>171</v>
      </c>
      <c r="C515">
        <v>3</v>
      </c>
      <c r="D515">
        <v>5</v>
      </c>
      <c r="E515">
        <v>2</v>
      </c>
      <c r="F515">
        <v>3</v>
      </c>
      <c r="G515">
        <v>2</v>
      </c>
      <c r="H515">
        <v>6</v>
      </c>
      <c r="I515">
        <v>81</v>
      </c>
      <c r="J515">
        <v>8</v>
      </c>
      <c r="K515">
        <v>48</v>
      </c>
      <c r="L515">
        <v>7</v>
      </c>
      <c r="M515">
        <v>21</v>
      </c>
      <c r="N515">
        <f t="shared" si="8"/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968F-59E3-4BA9-B8E9-8AAFECDBEF35}">
  <dimension ref="A1:V515"/>
  <sheetViews>
    <sheetView topLeftCell="F1" zoomScale="175" zoomScaleNormal="175" workbookViewId="0">
      <selection activeCell="R7" sqref="R7:V12"/>
    </sheetView>
  </sheetViews>
  <sheetFormatPr defaultRowHeight="15" x14ac:dyDescent="0.25"/>
  <cols>
    <col min="18" max="18" width="15.5703125" bestFit="1" customWidth="1"/>
    <col min="19" max="19" width="11.28515625" bestFit="1" customWidth="1"/>
    <col min="20" max="20" width="12" bestFit="1" customWidth="1"/>
    <col min="21" max="21" width="8.140625" bestFit="1" customWidth="1"/>
    <col min="22" max="22" width="9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2" x14ac:dyDescent="0.25">
      <c r="A2" s="1" t="s">
        <v>13</v>
      </c>
      <c r="B2" s="1" t="s">
        <v>14</v>
      </c>
      <c r="C2">
        <v>0</v>
      </c>
      <c r="D2">
        <v>4</v>
      </c>
      <c r="E2">
        <v>4</v>
      </c>
      <c r="F2">
        <v>5</v>
      </c>
      <c r="G2">
        <v>6</v>
      </c>
      <c r="H2">
        <v>6</v>
      </c>
      <c r="I2">
        <v>62</v>
      </c>
      <c r="J2">
        <v>13</v>
      </c>
      <c r="K2">
        <v>26</v>
      </c>
      <c r="L2">
        <v>67</v>
      </c>
      <c r="M2">
        <v>62</v>
      </c>
    </row>
    <row r="3" spans="1:22" x14ac:dyDescent="0.25">
      <c r="A3" s="1" t="s">
        <v>15</v>
      </c>
      <c r="B3" s="1" t="s">
        <v>16</v>
      </c>
      <c r="C3">
        <v>7</v>
      </c>
      <c r="D3">
        <v>4</v>
      </c>
      <c r="E3">
        <v>4</v>
      </c>
      <c r="F3">
        <v>2</v>
      </c>
      <c r="G3">
        <v>5</v>
      </c>
      <c r="H3">
        <v>6</v>
      </c>
      <c r="I3">
        <v>90</v>
      </c>
      <c r="J3">
        <v>8</v>
      </c>
      <c r="K3">
        <v>21</v>
      </c>
      <c r="L3">
        <v>52</v>
      </c>
      <c r="M3">
        <v>33</v>
      </c>
    </row>
    <row r="4" spans="1:22" x14ac:dyDescent="0.25">
      <c r="A4" s="1" t="s">
        <v>17</v>
      </c>
      <c r="B4" s="1" t="s">
        <v>18</v>
      </c>
      <c r="C4">
        <v>7</v>
      </c>
      <c r="D4">
        <v>4</v>
      </c>
      <c r="E4">
        <v>4</v>
      </c>
      <c r="F4">
        <v>6</v>
      </c>
      <c r="G4">
        <v>6</v>
      </c>
      <c r="H4">
        <v>5</v>
      </c>
      <c r="I4">
        <v>96</v>
      </c>
      <c r="J4">
        <v>99</v>
      </c>
      <c r="K4">
        <v>16</v>
      </c>
      <c r="L4">
        <v>85</v>
      </c>
      <c r="M4">
        <v>65</v>
      </c>
    </row>
    <row r="5" spans="1:22" x14ac:dyDescent="0.25">
      <c r="A5" s="1" t="s">
        <v>19</v>
      </c>
      <c r="B5" s="1" t="s">
        <v>20</v>
      </c>
      <c r="C5">
        <v>8</v>
      </c>
      <c r="D5">
        <v>6</v>
      </c>
      <c r="E5">
        <v>4</v>
      </c>
      <c r="F5">
        <v>4</v>
      </c>
      <c r="G5">
        <v>3</v>
      </c>
      <c r="H5">
        <v>5</v>
      </c>
      <c r="I5">
        <v>17</v>
      </c>
      <c r="J5">
        <v>100</v>
      </c>
      <c r="K5">
        <v>100</v>
      </c>
      <c r="L5">
        <v>100</v>
      </c>
      <c r="M5">
        <v>31</v>
      </c>
    </row>
    <row r="6" spans="1:22" x14ac:dyDescent="0.25">
      <c r="A6" s="1" t="s">
        <v>21</v>
      </c>
      <c r="B6" s="1" t="s">
        <v>18</v>
      </c>
      <c r="C6">
        <v>5</v>
      </c>
      <c r="D6">
        <v>4</v>
      </c>
      <c r="E6">
        <v>2</v>
      </c>
      <c r="F6">
        <v>4</v>
      </c>
      <c r="G6">
        <v>5</v>
      </c>
      <c r="H6">
        <v>4</v>
      </c>
      <c r="I6">
        <v>20</v>
      </c>
      <c r="J6">
        <v>28</v>
      </c>
      <c r="K6">
        <v>58</v>
      </c>
      <c r="L6">
        <v>86</v>
      </c>
      <c r="M6">
        <v>48</v>
      </c>
    </row>
    <row r="7" spans="1:22" x14ac:dyDescent="0.25">
      <c r="A7" s="1" t="s">
        <v>22</v>
      </c>
      <c r="B7" s="1" t="s">
        <v>23</v>
      </c>
      <c r="C7">
        <v>7</v>
      </c>
      <c r="D7">
        <v>3</v>
      </c>
      <c r="E7">
        <v>2</v>
      </c>
      <c r="F7">
        <v>2</v>
      </c>
      <c r="G7">
        <v>2</v>
      </c>
      <c r="H7">
        <v>3</v>
      </c>
      <c r="I7">
        <v>77</v>
      </c>
      <c r="J7">
        <v>10</v>
      </c>
      <c r="K7">
        <v>11</v>
      </c>
      <c r="L7">
        <v>72</v>
      </c>
      <c r="M7">
        <v>78</v>
      </c>
      <c r="R7" s="10" t="s">
        <v>682</v>
      </c>
      <c r="S7" s="10" t="s">
        <v>683</v>
      </c>
      <c r="T7" s="10" t="s">
        <v>684</v>
      </c>
      <c r="U7" s="10" t="s">
        <v>685</v>
      </c>
      <c r="V7" s="10" t="s">
        <v>686</v>
      </c>
    </row>
    <row r="8" spans="1:22" x14ac:dyDescent="0.25">
      <c r="A8" s="1" t="s">
        <v>24</v>
      </c>
      <c r="B8" s="1" t="s">
        <v>23</v>
      </c>
      <c r="C8">
        <v>8</v>
      </c>
      <c r="D8">
        <v>6</v>
      </c>
      <c r="E8">
        <v>6</v>
      </c>
      <c r="F8">
        <v>5</v>
      </c>
      <c r="G8">
        <v>5</v>
      </c>
      <c r="H8">
        <v>2</v>
      </c>
      <c r="I8">
        <v>75</v>
      </c>
      <c r="J8">
        <v>25</v>
      </c>
      <c r="K8">
        <v>5</v>
      </c>
      <c r="L8">
        <v>3</v>
      </c>
      <c r="M8">
        <v>58</v>
      </c>
      <c r="R8" s="10" t="s">
        <v>687</v>
      </c>
      <c r="S8" s="9">
        <f>COUNTIF($E$2:$E$515, 2)</f>
        <v>95</v>
      </c>
      <c r="T8" s="9">
        <f>COUNTIF($F$2:$F$515, 2)</f>
        <v>110</v>
      </c>
      <c r="U8" s="9">
        <f>COUNTIF($G$2:$G$515, 2)</f>
        <v>101</v>
      </c>
      <c r="V8" s="9">
        <f>COUNTIF($H$2:$H$515, 2)</f>
        <v>112</v>
      </c>
    </row>
    <row r="9" spans="1:22" x14ac:dyDescent="0.25">
      <c r="A9" s="1" t="s">
        <v>25</v>
      </c>
      <c r="B9" s="1" t="s">
        <v>26</v>
      </c>
      <c r="C9">
        <v>6</v>
      </c>
      <c r="D9">
        <v>6</v>
      </c>
      <c r="E9">
        <v>2</v>
      </c>
      <c r="F9">
        <v>5</v>
      </c>
      <c r="G9">
        <v>5</v>
      </c>
      <c r="H9">
        <v>3</v>
      </c>
      <c r="I9">
        <v>12</v>
      </c>
      <c r="J9">
        <v>17</v>
      </c>
      <c r="K9">
        <v>14</v>
      </c>
      <c r="L9">
        <v>4</v>
      </c>
      <c r="M9">
        <v>3</v>
      </c>
      <c r="R9" s="10" t="s">
        <v>688</v>
      </c>
      <c r="S9" s="9">
        <f>COUNTIF($E$2:$E$515, 3)</f>
        <v>96</v>
      </c>
      <c r="T9" s="9">
        <f>COUNTIF($F$2:$F$515, 3)</f>
        <v>106</v>
      </c>
      <c r="U9" s="9">
        <f>COUNTIF($G$2:$G$515, 3)</f>
        <v>105</v>
      </c>
      <c r="V9" s="9">
        <f>COUNTIF($H$2:$H$515, 3)</f>
        <v>97</v>
      </c>
    </row>
    <row r="10" spans="1:22" x14ac:dyDescent="0.25">
      <c r="A10" s="1" t="s">
        <v>27</v>
      </c>
      <c r="B10" s="1" t="s">
        <v>28</v>
      </c>
      <c r="C10">
        <v>1</v>
      </c>
      <c r="D10">
        <v>6</v>
      </c>
      <c r="E10">
        <v>6</v>
      </c>
      <c r="F10">
        <v>2</v>
      </c>
      <c r="G10">
        <v>3</v>
      </c>
      <c r="H10">
        <v>6</v>
      </c>
      <c r="I10">
        <v>1</v>
      </c>
      <c r="J10">
        <v>3</v>
      </c>
      <c r="K10">
        <v>69</v>
      </c>
      <c r="L10">
        <v>89</v>
      </c>
      <c r="M10">
        <v>10</v>
      </c>
      <c r="R10" s="10" t="s">
        <v>689</v>
      </c>
      <c r="S10" s="9">
        <f>COUNTIF($E$2:$E$515, 4)</f>
        <v>101</v>
      </c>
      <c r="T10" s="9">
        <f>COUNTIF($F$2:$F$515, 4)</f>
        <v>100</v>
      </c>
      <c r="U10" s="9">
        <f>COUNTIF($G$2:$G$515, 4)</f>
        <v>94</v>
      </c>
      <c r="V10" s="9">
        <f>COUNTIF($H$2:$H$515, 4)</f>
        <v>96</v>
      </c>
    </row>
    <row r="11" spans="1:22" x14ac:dyDescent="0.25">
      <c r="A11" s="1" t="s">
        <v>29</v>
      </c>
      <c r="B11" s="1" t="s">
        <v>30</v>
      </c>
      <c r="C11">
        <v>0</v>
      </c>
      <c r="D11">
        <v>5</v>
      </c>
      <c r="E11">
        <v>3</v>
      </c>
      <c r="F11">
        <v>6</v>
      </c>
      <c r="G11">
        <v>6</v>
      </c>
      <c r="H11">
        <v>4</v>
      </c>
      <c r="I11">
        <v>28</v>
      </c>
      <c r="J11">
        <v>53</v>
      </c>
      <c r="K11">
        <v>38</v>
      </c>
      <c r="L11">
        <v>63</v>
      </c>
      <c r="M11">
        <v>70</v>
      </c>
      <c r="R11" s="10" t="s">
        <v>690</v>
      </c>
      <c r="S11" s="9">
        <f>COUNTIF($E$2:$E$515, 5)</f>
        <v>108</v>
      </c>
      <c r="T11" s="9">
        <f>COUNTIF($F$2:$F$515, 5)</f>
        <v>97</v>
      </c>
      <c r="U11" s="9">
        <f>COUNTIF($G$2:$G$515, 5)</f>
        <v>110</v>
      </c>
      <c r="V11" s="9">
        <f>COUNTIF($H$2:$H$515, 5)</f>
        <v>97</v>
      </c>
    </row>
    <row r="12" spans="1:22" x14ac:dyDescent="0.25">
      <c r="A12" s="1" t="s">
        <v>31</v>
      </c>
      <c r="B12" s="1" t="s">
        <v>32</v>
      </c>
      <c r="C12">
        <v>4</v>
      </c>
      <c r="D12">
        <v>3</v>
      </c>
      <c r="E12">
        <v>3</v>
      </c>
      <c r="F12">
        <v>6</v>
      </c>
      <c r="G12">
        <v>6</v>
      </c>
      <c r="H12">
        <v>2</v>
      </c>
      <c r="I12">
        <v>77</v>
      </c>
      <c r="J12">
        <v>8</v>
      </c>
      <c r="K12">
        <v>71</v>
      </c>
      <c r="L12">
        <v>88</v>
      </c>
      <c r="M12">
        <v>41</v>
      </c>
      <c r="R12" s="10" t="s">
        <v>691</v>
      </c>
      <c r="S12" s="9">
        <f>COUNTIF($E$2:$E$515, 6)</f>
        <v>114</v>
      </c>
      <c r="T12" s="9">
        <f>COUNTIF($F$2:$F$515, 6)</f>
        <v>101</v>
      </c>
      <c r="U12" s="9">
        <f>COUNTIF($G$2:$G$515, 6)</f>
        <v>104</v>
      </c>
      <c r="V12" s="9">
        <f>COUNTIF($H$2:$H$515, 6)</f>
        <v>112</v>
      </c>
    </row>
    <row r="13" spans="1:22" x14ac:dyDescent="0.25">
      <c r="A13" s="1" t="s">
        <v>33</v>
      </c>
      <c r="B13" s="1" t="s">
        <v>34</v>
      </c>
      <c r="C13">
        <v>4</v>
      </c>
      <c r="D13">
        <v>6</v>
      </c>
      <c r="E13">
        <v>5</v>
      </c>
      <c r="F13">
        <v>6</v>
      </c>
      <c r="G13">
        <v>3</v>
      </c>
      <c r="H13">
        <v>6</v>
      </c>
      <c r="I13">
        <v>83</v>
      </c>
      <c r="J13">
        <v>27</v>
      </c>
      <c r="K13">
        <v>79</v>
      </c>
      <c r="L13">
        <v>20</v>
      </c>
      <c r="M13">
        <v>43</v>
      </c>
    </row>
    <row r="14" spans="1:22" x14ac:dyDescent="0.25">
      <c r="A14" s="1" t="s">
        <v>35</v>
      </c>
      <c r="B14" s="1" t="s">
        <v>36</v>
      </c>
      <c r="C14">
        <v>1</v>
      </c>
      <c r="D14">
        <v>3</v>
      </c>
      <c r="E14">
        <v>6</v>
      </c>
      <c r="F14">
        <v>3</v>
      </c>
      <c r="G14">
        <v>3</v>
      </c>
      <c r="H14">
        <v>2</v>
      </c>
      <c r="I14">
        <v>16</v>
      </c>
      <c r="J14">
        <v>43</v>
      </c>
      <c r="K14">
        <v>92</v>
      </c>
      <c r="L14">
        <v>54</v>
      </c>
      <c r="M14">
        <v>27</v>
      </c>
    </row>
    <row r="15" spans="1:22" x14ac:dyDescent="0.25">
      <c r="A15" s="1" t="s">
        <v>37</v>
      </c>
      <c r="B15" s="1" t="s">
        <v>38</v>
      </c>
      <c r="C15">
        <v>6</v>
      </c>
      <c r="D15">
        <v>6</v>
      </c>
      <c r="E15">
        <v>5</v>
      </c>
      <c r="F15">
        <v>3</v>
      </c>
      <c r="G15">
        <v>2</v>
      </c>
      <c r="H15">
        <v>6</v>
      </c>
      <c r="I15">
        <v>11</v>
      </c>
      <c r="J15">
        <v>36</v>
      </c>
      <c r="K15">
        <v>4</v>
      </c>
      <c r="L15">
        <v>41</v>
      </c>
      <c r="M15">
        <v>62</v>
      </c>
    </row>
    <row r="16" spans="1:22" x14ac:dyDescent="0.25">
      <c r="A16" s="1" t="s">
        <v>39</v>
      </c>
      <c r="B16" s="1" t="s">
        <v>38</v>
      </c>
      <c r="C16">
        <v>5</v>
      </c>
      <c r="D16">
        <v>2</v>
      </c>
      <c r="E16">
        <v>4</v>
      </c>
      <c r="F16">
        <v>2</v>
      </c>
      <c r="G16">
        <v>3</v>
      </c>
      <c r="H16">
        <v>5</v>
      </c>
      <c r="I16">
        <v>80</v>
      </c>
      <c r="J16">
        <v>75</v>
      </c>
      <c r="K16">
        <v>60</v>
      </c>
      <c r="L16">
        <v>54</v>
      </c>
      <c r="M16">
        <v>69</v>
      </c>
    </row>
    <row r="17" spans="1:13" x14ac:dyDescent="0.25">
      <c r="A17" s="1" t="s">
        <v>40</v>
      </c>
      <c r="B17" s="1" t="s">
        <v>41</v>
      </c>
      <c r="C17">
        <v>8</v>
      </c>
      <c r="D17">
        <v>6</v>
      </c>
      <c r="E17">
        <v>4</v>
      </c>
      <c r="F17">
        <v>3</v>
      </c>
      <c r="G17">
        <v>4</v>
      </c>
      <c r="H17">
        <v>5</v>
      </c>
      <c r="I17">
        <v>22</v>
      </c>
      <c r="J17">
        <v>46</v>
      </c>
      <c r="K17">
        <v>36</v>
      </c>
      <c r="L17">
        <v>35</v>
      </c>
      <c r="M17">
        <v>91</v>
      </c>
    </row>
    <row r="18" spans="1:13" x14ac:dyDescent="0.25">
      <c r="A18" s="1" t="s">
        <v>42</v>
      </c>
      <c r="B18" s="1" t="s">
        <v>43</v>
      </c>
      <c r="C18">
        <v>2</v>
      </c>
      <c r="D18">
        <v>5</v>
      </c>
      <c r="E18">
        <v>3</v>
      </c>
      <c r="F18">
        <v>5</v>
      </c>
      <c r="G18">
        <v>6</v>
      </c>
      <c r="H18">
        <v>3</v>
      </c>
      <c r="I18">
        <v>47</v>
      </c>
      <c r="J18">
        <v>30</v>
      </c>
      <c r="K18">
        <v>2</v>
      </c>
      <c r="L18">
        <v>45</v>
      </c>
      <c r="M18">
        <v>76</v>
      </c>
    </row>
    <row r="19" spans="1:13" x14ac:dyDescent="0.25">
      <c r="A19" s="1" t="s">
        <v>44</v>
      </c>
      <c r="B19" s="1" t="s">
        <v>45</v>
      </c>
      <c r="C19">
        <v>8</v>
      </c>
      <c r="D19">
        <v>4</v>
      </c>
      <c r="E19">
        <v>3</v>
      </c>
      <c r="F19">
        <v>4</v>
      </c>
      <c r="G19">
        <v>6</v>
      </c>
      <c r="H19">
        <v>2</v>
      </c>
      <c r="I19">
        <v>23</v>
      </c>
      <c r="J19">
        <v>49</v>
      </c>
      <c r="K19">
        <v>16</v>
      </c>
      <c r="L19">
        <v>3</v>
      </c>
      <c r="M19">
        <v>81</v>
      </c>
    </row>
    <row r="20" spans="1:13" x14ac:dyDescent="0.25">
      <c r="A20" s="1" t="s">
        <v>46</v>
      </c>
      <c r="B20" s="1" t="s">
        <v>16</v>
      </c>
      <c r="C20">
        <v>1</v>
      </c>
      <c r="D20">
        <v>6</v>
      </c>
      <c r="E20">
        <v>6</v>
      </c>
      <c r="F20">
        <v>6</v>
      </c>
      <c r="G20">
        <v>3</v>
      </c>
      <c r="H20">
        <v>2</v>
      </c>
      <c r="I20">
        <v>14</v>
      </c>
      <c r="J20">
        <v>20</v>
      </c>
      <c r="K20">
        <v>14</v>
      </c>
      <c r="L20">
        <v>64</v>
      </c>
      <c r="M20">
        <v>55</v>
      </c>
    </row>
    <row r="21" spans="1:13" x14ac:dyDescent="0.25">
      <c r="A21" s="1" t="s">
        <v>47</v>
      </c>
      <c r="B21" s="1" t="s">
        <v>48</v>
      </c>
      <c r="C21">
        <v>5</v>
      </c>
      <c r="D21">
        <v>4</v>
      </c>
      <c r="E21">
        <v>3</v>
      </c>
      <c r="F21">
        <v>3</v>
      </c>
      <c r="G21">
        <v>3</v>
      </c>
      <c r="H21">
        <v>6</v>
      </c>
      <c r="I21">
        <v>98</v>
      </c>
      <c r="J21">
        <v>48</v>
      </c>
      <c r="K21">
        <v>6</v>
      </c>
      <c r="L21">
        <v>70</v>
      </c>
      <c r="M21">
        <v>6</v>
      </c>
    </row>
    <row r="22" spans="1:13" x14ac:dyDescent="0.25">
      <c r="A22" s="1" t="s">
        <v>49</v>
      </c>
      <c r="B22" s="1" t="s">
        <v>38</v>
      </c>
      <c r="C22">
        <v>3</v>
      </c>
      <c r="D22">
        <v>3</v>
      </c>
      <c r="E22">
        <v>2</v>
      </c>
      <c r="F22">
        <v>3</v>
      </c>
      <c r="G22">
        <v>3</v>
      </c>
      <c r="H22">
        <v>2</v>
      </c>
      <c r="I22">
        <v>38</v>
      </c>
      <c r="J22">
        <v>71</v>
      </c>
      <c r="K22">
        <v>35</v>
      </c>
      <c r="L22">
        <v>95</v>
      </c>
      <c r="M22">
        <v>84</v>
      </c>
    </row>
    <row r="23" spans="1:13" x14ac:dyDescent="0.25">
      <c r="A23" s="1" t="s">
        <v>50</v>
      </c>
      <c r="B23" s="1" t="s">
        <v>51</v>
      </c>
      <c r="C23">
        <v>7</v>
      </c>
      <c r="D23">
        <v>4</v>
      </c>
      <c r="E23">
        <v>6</v>
      </c>
      <c r="F23">
        <v>4</v>
      </c>
      <c r="G23">
        <v>6</v>
      </c>
      <c r="H23">
        <v>5</v>
      </c>
      <c r="I23">
        <v>95</v>
      </c>
      <c r="J23">
        <v>100</v>
      </c>
      <c r="K23">
        <v>100</v>
      </c>
      <c r="L23">
        <v>40</v>
      </c>
      <c r="M23">
        <v>100</v>
      </c>
    </row>
    <row r="24" spans="1:13" x14ac:dyDescent="0.25">
      <c r="A24" s="1" t="s">
        <v>52</v>
      </c>
      <c r="B24" s="1" t="s">
        <v>53</v>
      </c>
      <c r="C24">
        <v>7</v>
      </c>
      <c r="D24">
        <v>2</v>
      </c>
      <c r="E24">
        <v>4</v>
      </c>
      <c r="F24">
        <v>5</v>
      </c>
      <c r="G24">
        <v>3</v>
      </c>
      <c r="H24">
        <v>4</v>
      </c>
      <c r="I24">
        <v>59</v>
      </c>
      <c r="J24">
        <v>14</v>
      </c>
      <c r="K24">
        <v>99</v>
      </c>
      <c r="L24">
        <v>4</v>
      </c>
      <c r="M24">
        <v>3</v>
      </c>
    </row>
    <row r="25" spans="1:13" x14ac:dyDescent="0.25">
      <c r="A25" s="1" t="s">
        <v>54</v>
      </c>
      <c r="B25" s="1" t="s">
        <v>55</v>
      </c>
      <c r="C25">
        <v>3</v>
      </c>
      <c r="D25">
        <v>3</v>
      </c>
      <c r="E25">
        <v>5</v>
      </c>
      <c r="F25">
        <v>5</v>
      </c>
      <c r="G25">
        <v>2</v>
      </c>
      <c r="H25">
        <v>6</v>
      </c>
      <c r="I25">
        <v>26</v>
      </c>
      <c r="J25">
        <v>14</v>
      </c>
      <c r="K25">
        <v>18</v>
      </c>
      <c r="L25">
        <v>96</v>
      </c>
      <c r="M25">
        <v>41</v>
      </c>
    </row>
    <row r="26" spans="1:13" x14ac:dyDescent="0.25">
      <c r="A26" s="1" t="s">
        <v>56</v>
      </c>
      <c r="B26" s="1" t="s">
        <v>38</v>
      </c>
      <c r="C26">
        <v>8</v>
      </c>
      <c r="D26">
        <v>6</v>
      </c>
      <c r="E26">
        <v>3</v>
      </c>
      <c r="F26">
        <v>4</v>
      </c>
      <c r="G26">
        <v>2</v>
      </c>
      <c r="H26">
        <v>4</v>
      </c>
      <c r="I26">
        <v>8</v>
      </c>
      <c r="J26">
        <v>78</v>
      </c>
      <c r="K26">
        <v>64</v>
      </c>
      <c r="L26">
        <v>10</v>
      </c>
      <c r="M26">
        <v>55</v>
      </c>
    </row>
    <row r="27" spans="1:13" x14ac:dyDescent="0.25">
      <c r="A27" s="1" t="s">
        <v>57</v>
      </c>
      <c r="B27" s="1" t="s">
        <v>58</v>
      </c>
      <c r="C27">
        <v>3</v>
      </c>
      <c r="D27">
        <v>5</v>
      </c>
      <c r="E27">
        <v>2</v>
      </c>
      <c r="F27">
        <v>4</v>
      </c>
      <c r="G27">
        <v>3</v>
      </c>
      <c r="H27">
        <v>6</v>
      </c>
      <c r="I27">
        <v>41</v>
      </c>
      <c r="J27">
        <v>37</v>
      </c>
      <c r="K27">
        <v>5</v>
      </c>
      <c r="L27">
        <v>34</v>
      </c>
      <c r="M27">
        <v>93</v>
      </c>
    </row>
    <row r="28" spans="1:13" x14ac:dyDescent="0.25">
      <c r="A28" s="1" t="s">
        <v>59</v>
      </c>
      <c r="B28" s="1" t="s">
        <v>16</v>
      </c>
      <c r="C28">
        <v>4</v>
      </c>
      <c r="D28">
        <v>6</v>
      </c>
      <c r="E28">
        <v>4</v>
      </c>
      <c r="F28">
        <v>3</v>
      </c>
      <c r="G28">
        <v>2</v>
      </c>
      <c r="H28">
        <v>3</v>
      </c>
      <c r="I28">
        <v>60</v>
      </c>
      <c r="J28">
        <v>7</v>
      </c>
      <c r="K28">
        <v>97</v>
      </c>
      <c r="L28">
        <v>80</v>
      </c>
      <c r="M28">
        <v>43</v>
      </c>
    </row>
    <row r="29" spans="1:13" x14ac:dyDescent="0.25">
      <c r="A29" s="1" t="s">
        <v>60</v>
      </c>
      <c r="B29" s="1" t="s">
        <v>61</v>
      </c>
      <c r="C29">
        <v>1</v>
      </c>
      <c r="D29">
        <v>4</v>
      </c>
      <c r="E29">
        <v>5</v>
      </c>
      <c r="F29">
        <v>4</v>
      </c>
      <c r="G29">
        <v>2</v>
      </c>
      <c r="H29">
        <v>5</v>
      </c>
      <c r="I29">
        <v>53</v>
      </c>
      <c r="J29">
        <v>18</v>
      </c>
      <c r="K29">
        <v>94</v>
      </c>
      <c r="L29">
        <v>99</v>
      </c>
      <c r="M29">
        <v>76</v>
      </c>
    </row>
    <row r="30" spans="1:13" x14ac:dyDescent="0.25">
      <c r="A30" s="1" t="s">
        <v>62</v>
      </c>
      <c r="B30" s="1" t="s">
        <v>38</v>
      </c>
      <c r="C30">
        <v>5</v>
      </c>
      <c r="D30">
        <v>3</v>
      </c>
      <c r="E30">
        <v>3</v>
      </c>
      <c r="F30">
        <v>4</v>
      </c>
      <c r="G30">
        <v>6</v>
      </c>
      <c r="H30">
        <v>6</v>
      </c>
      <c r="I30">
        <v>84</v>
      </c>
      <c r="J30">
        <v>87</v>
      </c>
      <c r="K30">
        <v>96</v>
      </c>
      <c r="L30">
        <v>8</v>
      </c>
      <c r="M30">
        <v>17</v>
      </c>
    </row>
    <row r="31" spans="1:13" x14ac:dyDescent="0.25">
      <c r="A31" s="1" t="s">
        <v>63</v>
      </c>
      <c r="B31" s="1" t="s">
        <v>64</v>
      </c>
      <c r="C31">
        <v>2</v>
      </c>
      <c r="D31">
        <v>3</v>
      </c>
      <c r="E31">
        <v>5</v>
      </c>
      <c r="F31">
        <v>2</v>
      </c>
      <c r="G31">
        <v>2</v>
      </c>
      <c r="H31">
        <v>5</v>
      </c>
      <c r="I31">
        <v>6</v>
      </c>
      <c r="J31">
        <v>43</v>
      </c>
      <c r="K31">
        <v>53</v>
      </c>
      <c r="L31">
        <v>71</v>
      </c>
      <c r="M31">
        <v>3</v>
      </c>
    </row>
    <row r="32" spans="1:13" x14ac:dyDescent="0.25">
      <c r="A32" s="1" t="s">
        <v>65</v>
      </c>
      <c r="B32" s="1" t="s">
        <v>66</v>
      </c>
      <c r="C32">
        <v>0</v>
      </c>
      <c r="D32">
        <v>2</v>
      </c>
      <c r="E32">
        <v>6</v>
      </c>
      <c r="F32">
        <v>5</v>
      </c>
      <c r="G32">
        <v>6</v>
      </c>
      <c r="H32">
        <v>3</v>
      </c>
      <c r="I32">
        <v>89</v>
      </c>
      <c r="J32">
        <v>40</v>
      </c>
      <c r="K32">
        <v>28</v>
      </c>
      <c r="L32">
        <v>32</v>
      </c>
      <c r="M32">
        <v>47</v>
      </c>
    </row>
    <row r="33" spans="1:13" x14ac:dyDescent="0.25">
      <c r="A33" s="1" t="s">
        <v>67</v>
      </c>
      <c r="B33" s="1" t="s">
        <v>68</v>
      </c>
      <c r="C33">
        <v>0</v>
      </c>
      <c r="D33">
        <v>5</v>
      </c>
      <c r="E33">
        <v>6</v>
      </c>
      <c r="F33">
        <v>4</v>
      </c>
      <c r="G33">
        <v>4</v>
      </c>
      <c r="H33">
        <v>2</v>
      </c>
      <c r="I33">
        <v>22</v>
      </c>
      <c r="J33">
        <v>9</v>
      </c>
      <c r="K33">
        <v>1</v>
      </c>
      <c r="L33">
        <v>76</v>
      </c>
      <c r="M33">
        <v>28</v>
      </c>
    </row>
    <row r="34" spans="1:13" x14ac:dyDescent="0.25">
      <c r="A34" s="1" t="s">
        <v>69</v>
      </c>
      <c r="B34" s="1" t="s">
        <v>70</v>
      </c>
      <c r="C34">
        <v>6</v>
      </c>
      <c r="D34">
        <v>3</v>
      </c>
      <c r="E34">
        <v>2</v>
      </c>
      <c r="F34">
        <v>2</v>
      </c>
      <c r="G34">
        <v>2</v>
      </c>
      <c r="H34">
        <v>4</v>
      </c>
      <c r="I34">
        <v>82</v>
      </c>
      <c r="J34">
        <v>95</v>
      </c>
      <c r="K34">
        <v>8</v>
      </c>
      <c r="L34">
        <v>46</v>
      </c>
      <c r="M34">
        <v>76</v>
      </c>
    </row>
    <row r="35" spans="1:13" x14ac:dyDescent="0.25">
      <c r="A35" s="1" t="s">
        <v>71</v>
      </c>
      <c r="B35" s="1" t="s">
        <v>72</v>
      </c>
      <c r="C35">
        <v>7</v>
      </c>
      <c r="D35">
        <v>3</v>
      </c>
      <c r="E35">
        <v>2</v>
      </c>
      <c r="F35">
        <v>4</v>
      </c>
      <c r="G35">
        <v>4</v>
      </c>
      <c r="H35">
        <v>2</v>
      </c>
      <c r="I35">
        <v>67</v>
      </c>
      <c r="J35">
        <v>26</v>
      </c>
      <c r="K35">
        <v>50</v>
      </c>
      <c r="L35">
        <v>90</v>
      </c>
      <c r="M35">
        <v>34</v>
      </c>
    </row>
    <row r="36" spans="1:13" x14ac:dyDescent="0.25">
      <c r="A36" s="1" t="s">
        <v>73</v>
      </c>
      <c r="B36" s="1" t="s">
        <v>74</v>
      </c>
      <c r="C36">
        <v>2</v>
      </c>
      <c r="D36">
        <v>2</v>
      </c>
      <c r="E36">
        <v>6</v>
      </c>
      <c r="F36">
        <v>5</v>
      </c>
      <c r="G36">
        <v>4</v>
      </c>
      <c r="H36">
        <v>5</v>
      </c>
      <c r="I36">
        <v>34</v>
      </c>
      <c r="J36">
        <v>59</v>
      </c>
      <c r="K36">
        <v>59</v>
      </c>
      <c r="L36">
        <v>7</v>
      </c>
      <c r="M36">
        <v>1</v>
      </c>
    </row>
    <row r="37" spans="1:13" x14ac:dyDescent="0.25">
      <c r="A37" s="1" t="s">
        <v>75</v>
      </c>
      <c r="B37" s="1" t="s">
        <v>76</v>
      </c>
      <c r="C37">
        <v>4</v>
      </c>
      <c r="D37">
        <v>6</v>
      </c>
      <c r="E37">
        <v>5</v>
      </c>
      <c r="F37">
        <v>5</v>
      </c>
      <c r="G37">
        <v>6</v>
      </c>
      <c r="H37">
        <v>4</v>
      </c>
      <c r="I37">
        <v>56</v>
      </c>
      <c r="J37">
        <v>75</v>
      </c>
      <c r="K37">
        <v>51</v>
      </c>
      <c r="L37">
        <v>47</v>
      </c>
      <c r="M37">
        <v>71</v>
      </c>
    </row>
    <row r="38" spans="1:13" x14ac:dyDescent="0.25">
      <c r="A38" s="1" t="s">
        <v>77</v>
      </c>
      <c r="B38" s="1" t="s">
        <v>78</v>
      </c>
      <c r="C38">
        <v>6</v>
      </c>
      <c r="D38">
        <v>4</v>
      </c>
      <c r="E38">
        <v>5</v>
      </c>
      <c r="F38">
        <v>5</v>
      </c>
      <c r="G38">
        <v>5</v>
      </c>
      <c r="H38">
        <v>4</v>
      </c>
      <c r="I38">
        <v>70</v>
      </c>
      <c r="J38">
        <v>71</v>
      </c>
      <c r="K38">
        <v>27</v>
      </c>
      <c r="L38">
        <v>77</v>
      </c>
      <c r="M38">
        <v>13</v>
      </c>
    </row>
    <row r="39" spans="1:13" x14ac:dyDescent="0.25">
      <c r="A39" s="1" t="s">
        <v>79</v>
      </c>
      <c r="B39" s="1" t="s">
        <v>80</v>
      </c>
      <c r="C39">
        <v>2</v>
      </c>
      <c r="D39">
        <v>2</v>
      </c>
      <c r="E39">
        <v>4</v>
      </c>
      <c r="F39">
        <v>4</v>
      </c>
      <c r="G39">
        <v>4</v>
      </c>
      <c r="H39">
        <v>6</v>
      </c>
      <c r="I39">
        <v>30</v>
      </c>
      <c r="J39">
        <v>55</v>
      </c>
      <c r="K39">
        <v>59</v>
      </c>
      <c r="L39">
        <v>77</v>
      </c>
      <c r="M39">
        <v>58</v>
      </c>
    </row>
    <row r="40" spans="1:13" x14ac:dyDescent="0.25">
      <c r="A40" s="1" t="s">
        <v>81</v>
      </c>
      <c r="B40" s="1" t="s">
        <v>38</v>
      </c>
      <c r="C40">
        <v>5</v>
      </c>
      <c r="D40">
        <v>6</v>
      </c>
      <c r="E40">
        <v>6</v>
      </c>
      <c r="F40">
        <v>6</v>
      </c>
      <c r="G40">
        <v>5</v>
      </c>
      <c r="H40">
        <v>5</v>
      </c>
      <c r="I40">
        <v>57</v>
      </c>
      <c r="J40">
        <v>22</v>
      </c>
      <c r="K40">
        <v>16</v>
      </c>
      <c r="L40">
        <v>20</v>
      </c>
      <c r="M40">
        <v>67</v>
      </c>
    </row>
    <row r="41" spans="1:13" x14ac:dyDescent="0.25">
      <c r="A41" s="1" t="s">
        <v>82</v>
      </c>
      <c r="B41" s="1" t="s">
        <v>83</v>
      </c>
      <c r="C41">
        <v>6</v>
      </c>
      <c r="D41">
        <v>2</v>
      </c>
      <c r="E41">
        <v>5</v>
      </c>
      <c r="F41">
        <v>3</v>
      </c>
      <c r="G41">
        <v>3</v>
      </c>
      <c r="H41">
        <v>6</v>
      </c>
      <c r="I41">
        <v>67</v>
      </c>
      <c r="J41">
        <v>98</v>
      </c>
      <c r="K41">
        <v>28</v>
      </c>
      <c r="L41">
        <v>6</v>
      </c>
      <c r="M41">
        <v>20</v>
      </c>
    </row>
    <row r="42" spans="1:13" x14ac:dyDescent="0.25">
      <c r="A42" s="1" t="s">
        <v>84</v>
      </c>
      <c r="B42" s="1" t="s">
        <v>38</v>
      </c>
      <c r="C42">
        <v>7</v>
      </c>
      <c r="D42">
        <v>4</v>
      </c>
      <c r="E42">
        <v>6</v>
      </c>
      <c r="F42">
        <v>4</v>
      </c>
      <c r="G42">
        <v>3</v>
      </c>
      <c r="H42">
        <v>3</v>
      </c>
      <c r="I42">
        <v>12</v>
      </c>
      <c r="J42">
        <v>86</v>
      </c>
      <c r="K42">
        <v>61</v>
      </c>
      <c r="L42">
        <v>94</v>
      </c>
      <c r="M42">
        <v>74</v>
      </c>
    </row>
    <row r="43" spans="1:13" x14ac:dyDescent="0.25">
      <c r="A43" s="1" t="s">
        <v>46</v>
      </c>
      <c r="B43" s="1" t="s">
        <v>16</v>
      </c>
      <c r="C43">
        <v>0</v>
      </c>
      <c r="D43">
        <v>3</v>
      </c>
      <c r="E43">
        <v>4</v>
      </c>
      <c r="F43">
        <v>3</v>
      </c>
      <c r="G43">
        <v>5</v>
      </c>
      <c r="H43">
        <v>2</v>
      </c>
      <c r="I43">
        <v>82</v>
      </c>
      <c r="J43">
        <v>70</v>
      </c>
      <c r="K43">
        <v>18</v>
      </c>
      <c r="L43">
        <v>28</v>
      </c>
      <c r="M43">
        <v>34</v>
      </c>
    </row>
    <row r="44" spans="1:13" x14ac:dyDescent="0.25">
      <c r="A44" s="1" t="s">
        <v>85</v>
      </c>
      <c r="B44" s="1" t="s">
        <v>86</v>
      </c>
      <c r="C44">
        <v>8</v>
      </c>
      <c r="D44">
        <v>5</v>
      </c>
      <c r="E44">
        <v>4</v>
      </c>
      <c r="F44">
        <v>6</v>
      </c>
      <c r="G44">
        <v>2</v>
      </c>
      <c r="H44">
        <v>6</v>
      </c>
      <c r="I44">
        <v>32</v>
      </c>
      <c r="J44">
        <v>88</v>
      </c>
      <c r="K44">
        <v>15</v>
      </c>
      <c r="L44">
        <v>45</v>
      </c>
      <c r="M44">
        <v>24</v>
      </c>
    </row>
    <row r="45" spans="1:13" x14ac:dyDescent="0.25">
      <c r="A45" s="1" t="s">
        <v>87</v>
      </c>
      <c r="B45" s="1" t="s">
        <v>55</v>
      </c>
      <c r="C45">
        <v>2</v>
      </c>
      <c r="D45">
        <v>2</v>
      </c>
      <c r="E45">
        <v>5</v>
      </c>
      <c r="F45">
        <v>5</v>
      </c>
      <c r="G45">
        <v>2</v>
      </c>
      <c r="H45">
        <v>2</v>
      </c>
      <c r="I45">
        <v>65</v>
      </c>
      <c r="J45">
        <v>87</v>
      </c>
      <c r="K45">
        <v>53</v>
      </c>
      <c r="L45">
        <v>98</v>
      </c>
      <c r="M45">
        <v>50</v>
      </c>
    </row>
    <row r="46" spans="1:13" x14ac:dyDescent="0.25">
      <c r="A46" s="1" t="s">
        <v>88</v>
      </c>
      <c r="B46" s="1" t="s">
        <v>26</v>
      </c>
      <c r="C46">
        <v>3</v>
      </c>
      <c r="D46">
        <v>2</v>
      </c>
      <c r="E46">
        <v>3</v>
      </c>
      <c r="F46">
        <v>3</v>
      </c>
      <c r="G46">
        <v>6</v>
      </c>
      <c r="H46">
        <v>6</v>
      </c>
      <c r="I46">
        <v>10</v>
      </c>
      <c r="J46">
        <v>21</v>
      </c>
      <c r="K46">
        <v>35</v>
      </c>
      <c r="L46">
        <v>98</v>
      </c>
      <c r="M46">
        <v>21</v>
      </c>
    </row>
    <row r="47" spans="1:13" x14ac:dyDescent="0.25">
      <c r="A47" s="1" t="s">
        <v>89</v>
      </c>
      <c r="B47" s="1" t="s">
        <v>90</v>
      </c>
      <c r="C47">
        <v>2</v>
      </c>
      <c r="D47">
        <v>3</v>
      </c>
      <c r="E47">
        <v>6</v>
      </c>
      <c r="F47">
        <v>3</v>
      </c>
      <c r="G47">
        <v>6</v>
      </c>
      <c r="H47">
        <v>3</v>
      </c>
      <c r="I47">
        <v>53</v>
      </c>
      <c r="J47">
        <v>50</v>
      </c>
      <c r="K47">
        <v>16</v>
      </c>
      <c r="L47">
        <v>44</v>
      </c>
      <c r="M47">
        <v>8</v>
      </c>
    </row>
    <row r="48" spans="1:13" x14ac:dyDescent="0.25">
      <c r="A48" s="1" t="s">
        <v>91</v>
      </c>
      <c r="B48" s="1" t="s">
        <v>70</v>
      </c>
      <c r="C48">
        <v>1</v>
      </c>
      <c r="D48">
        <v>5</v>
      </c>
      <c r="E48">
        <v>3</v>
      </c>
      <c r="F48">
        <v>6</v>
      </c>
      <c r="G48">
        <v>4</v>
      </c>
      <c r="H48">
        <v>4</v>
      </c>
      <c r="I48">
        <v>38</v>
      </c>
      <c r="J48">
        <v>43</v>
      </c>
      <c r="K48">
        <v>49</v>
      </c>
      <c r="L48">
        <v>89</v>
      </c>
      <c r="M48">
        <v>16</v>
      </c>
    </row>
    <row r="49" spans="1:13" x14ac:dyDescent="0.25">
      <c r="A49" s="1" t="s">
        <v>92</v>
      </c>
      <c r="B49" s="1" t="s">
        <v>45</v>
      </c>
      <c r="C49">
        <v>6</v>
      </c>
      <c r="D49">
        <v>6</v>
      </c>
      <c r="E49">
        <v>4</v>
      </c>
      <c r="F49">
        <v>6</v>
      </c>
      <c r="G49">
        <v>5</v>
      </c>
      <c r="H49">
        <v>3</v>
      </c>
      <c r="I49">
        <v>99</v>
      </c>
      <c r="J49">
        <v>95</v>
      </c>
      <c r="K49">
        <v>48</v>
      </c>
      <c r="L49">
        <v>16</v>
      </c>
      <c r="M49">
        <v>11</v>
      </c>
    </row>
    <row r="50" spans="1:13" x14ac:dyDescent="0.25">
      <c r="A50" s="1" t="s">
        <v>93</v>
      </c>
      <c r="B50" s="1" t="s">
        <v>32</v>
      </c>
      <c r="C50">
        <v>6</v>
      </c>
      <c r="D50">
        <v>5</v>
      </c>
      <c r="E50">
        <v>6</v>
      </c>
      <c r="F50">
        <v>5</v>
      </c>
      <c r="G50">
        <v>6</v>
      </c>
      <c r="H50">
        <v>3</v>
      </c>
      <c r="I50">
        <v>78</v>
      </c>
      <c r="J50">
        <v>22</v>
      </c>
      <c r="K50">
        <v>95</v>
      </c>
      <c r="L50">
        <v>18</v>
      </c>
      <c r="M50">
        <v>15</v>
      </c>
    </row>
    <row r="51" spans="1:13" x14ac:dyDescent="0.25">
      <c r="A51" s="1" t="s">
        <v>94</v>
      </c>
      <c r="B51" s="1" t="s">
        <v>48</v>
      </c>
      <c r="C51">
        <v>6</v>
      </c>
      <c r="D51">
        <v>3</v>
      </c>
      <c r="E51">
        <v>3</v>
      </c>
      <c r="F51">
        <v>6</v>
      </c>
      <c r="G51">
        <v>4</v>
      </c>
      <c r="H51">
        <v>5</v>
      </c>
      <c r="I51">
        <v>25</v>
      </c>
      <c r="J51">
        <v>73</v>
      </c>
      <c r="K51">
        <v>78</v>
      </c>
      <c r="L51">
        <v>61</v>
      </c>
      <c r="M51">
        <v>29</v>
      </c>
    </row>
    <row r="52" spans="1:13" x14ac:dyDescent="0.25">
      <c r="A52" s="1" t="s">
        <v>95</v>
      </c>
      <c r="B52" s="1" t="s">
        <v>96</v>
      </c>
      <c r="C52">
        <v>6</v>
      </c>
      <c r="D52">
        <v>5</v>
      </c>
      <c r="E52">
        <v>5</v>
      </c>
      <c r="F52">
        <v>6</v>
      </c>
      <c r="G52">
        <v>2</v>
      </c>
      <c r="H52">
        <v>4</v>
      </c>
      <c r="I52">
        <v>65</v>
      </c>
      <c r="J52">
        <v>66</v>
      </c>
      <c r="K52">
        <v>87</v>
      </c>
      <c r="L52">
        <v>5</v>
      </c>
      <c r="M52">
        <v>65</v>
      </c>
    </row>
    <row r="53" spans="1:13" x14ac:dyDescent="0.25">
      <c r="A53" s="1" t="s">
        <v>97</v>
      </c>
      <c r="B53" s="1" t="s">
        <v>90</v>
      </c>
      <c r="C53">
        <v>8</v>
      </c>
      <c r="D53">
        <v>2</v>
      </c>
      <c r="E53">
        <v>2</v>
      </c>
      <c r="F53">
        <v>3</v>
      </c>
      <c r="G53">
        <v>4</v>
      </c>
      <c r="H53">
        <v>3</v>
      </c>
      <c r="I53">
        <v>18</v>
      </c>
      <c r="J53">
        <v>83</v>
      </c>
      <c r="K53">
        <v>86</v>
      </c>
      <c r="L53">
        <v>67</v>
      </c>
      <c r="M53">
        <v>90</v>
      </c>
    </row>
    <row r="54" spans="1:13" x14ac:dyDescent="0.25">
      <c r="A54" s="1" t="s">
        <v>98</v>
      </c>
      <c r="B54" s="1" t="s">
        <v>99</v>
      </c>
      <c r="C54">
        <v>0</v>
      </c>
      <c r="D54">
        <v>3</v>
      </c>
      <c r="E54">
        <v>4</v>
      </c>
      <c r="F54">
        <v>6</v>
      </c>
      <c r="G54">
        <v>4</v>
      </c>
      <c r="H54">
        <v>4</v>
      </c>
      <c r="I54">
        <v>41</v>
      </c>
      <c r="J54">
        <v>88</v>
      </c>
      <c r="K54">
        <v>4</v>
      </c>
      <c r="L54">
        <v>24</v>
      </c>
      <c r="M54">
        <v>37</v>
      </c>
    </row>
    <row r="55" spans="1:13" x14ac:dyDescent="0.25">
      <c r="A55" s="1" t="s">
        <v>100</v>
      </c>
      <c r="B55" s="1" t="s">
        <v>101</v>
      </c>
      <c r="C55">
        <v>7</v>
      </c>
      <c r="D55">
        <v>3</v>
      </c>
      <c r="E55">
        <v>4</v>
      </c>
      <c r="F55">
        <v>4</v>
      </c>
      <c r="G55">
        <v>5</v>
      </c>
      <c r="H55">
        <v>6</v>
      </c>
      <c r="I55">
        <v>54</v>
      </c>
      <c r="J55">
        <v>42</v>
      </c>
      <c r="K55">
        <v>82</v>
      </c>
      <c r="L55">
        <v>99</v>
      </c>
      <c r="M55">
        <v>81</v>
      </c>
    </row>
    <row r="56" spans="1:13" x14ac:dyDescent="0.25">
      <c r="A56" s="1" t="s">
        <v>102</v>
      </c>
      <c r="B56" s="1" t="s">
        <v>70</v>
      </c>
      <c r="C56">
        <v>3</v>
      </c>
      <c r="D56">
        <v>6</v>
      </c>
      <c r="E56">
        <v>5</v>
      </c>
      <c r="F56">
        <v>2</v>
      </c>
      <c r="G56">
        <v>4</v>
      </c>
      <c r="H56">
        <v>6</v>
      </c>
      <c r="I56">
        <v>51</v>
      </c>
      <c r="J56">
        <v>96</v>
      </c>
      <c r="K56">
        <v>78</v>
      </c>
      <c r="L56">
        <v>72</v>
      </c>
      <c r="M56">
        <v>39</v>
      </c>
    </row>
    <row r="57" spans="1:13" x14ac:dyDescent="0.25">
      <c r="A57" s="1" t="s">
        <v>103</v>
      </c>
      <c r="B57" s="1" t="s">
        <v>55</v>
      </c>
      <c r="C57">
        <v>8</v>
      </c>
      <c r="D57">
        <v>6</v>
      </c>
      <c r="E57">
        <v>2</v>
      </c>
      <c r="F57">
        <v>2</v>
      </c>
      <c r="G57">
        <v>6</v>
      </c>
      <c r="H57">
        <v>6</v>
      </c>
      <c r="I57">
        <v>86</v>
      </c>
      <c r="J57">
        <v>67</v>
      </c>
      <c r="K57">
        <v>94</v>
      </c>
      <c r="L57">
        <v>38</v>
      </c>
      <c r="M57">
        <v>45</v>
      </c>
    </row>
    <row r="58" spans="1:13" x14ac:dyDescent="0.25">
      <c r="A58" s="1" t="s">
        <v>104</v>
      </c>
      <c r="B58" s="1" t="s">
        <v>32</v>
      </c>
      <c r="C58">
        <v>7</v>
      </c>
      <c r="D58">
        <v>5</v>
      </c>
      <c r="E58">
        <v>6</v>
      </c>
      <c r="F58">
        <v>4</v>
      </c>
      <c r="G58">
        <v>6</v>
      </c>
      <c r="H58">
        <v>5</v>
      </c>
      <c r="I58">
        <v>15</v>
      </c>
      <c r="J58">
        <v>79</v>
      </c>
      <c r="K58">
        <v>11</v>
      </c>
      <c r="L58">
        <v>20</v>
      </c>
      <c r="M58">
        <v>58</v>
      </c>
    </row>
    <row r="59" spans="1:13" x14ac:dyDescent="0.25">
      <c r="A59" s="1" t="s">
        <v>105</v>
      </c>
      <c r="B59" s="1" t="s">
        <v>70</v>
      </c>
      <c r="C59">
        <v>3</v>
      </c>
      <c r="D59">
        <v>6</v>
      </c>
      <c r="E59">
        <v>3</v>
      </c>
      <c r="F59">
        <v>5</v>
      </c>
      <c r="G59">
        <v>5</v>
      </c>
      <c r="H59">
        <v>2</v>
      </c>
      <c r="I59">
        <v>49</v>
      </c>
      <c r="J59">
        <v>99</v>
      </c>
      <c r="K59">
        <v>78</v>
      </c>
      <c r="L59">
        <v>70</v>
      </c>
      <c r="M59">
        <v>60</v>
      </c>
    </row>
    <row r="60" spans="1:13" x14ac:dyDescent="0.25">
      <c r="A60" s="1" t="s">
        <v>106</v>
      </c>
      <c r="B60" s="1" t="s">
        <v>107</v>
      </c>
      <c r="C60">
        <v>3</v>
      </c>
      <c r="D60">
        <v>6</v>
      </c>
      <c r="E60">
        <v>3</v>
      </c>
      <c r="F60">
        <v>5</v>
      </c>
      <c r="G60">
        <v>4</v>
      </c>
      <c r="H60">
        <v>2</v>
      </c>
      <c r="I60">
        <v>94</v>
      </c>
      <c r="J60">
        <v>27</v>
      </c>
      <c r="K60">
        <v>20</v>
      </c>
      <c r="L60">
        <v>13</v>
      </c>
      <c r="M60">
        <v>49</v>
      </c>
    </row>
    <row r="61" spans="1:13" x14ac:dyDescent="0.25">
      <c r="A61" s="1" t="s">
        <v>108</v>
      </c>
      <c r="B61" s="1" t="s">
        <v>83</v>
      </c>
      <c r="C61">
        <v>8</v>
      </c>
      <c r="D61">
        <v>4</v>
      </c>
      <c r="E61">
        <v>5</v>
      </c>
      <c r="F61">
        <v>6</v>
      </c>
      <c r="G61">
        <v>6</v>
      </c>
      <c r="H61">
        <v>2</v>
      </c>
      <c r="I61">
        <v>94</v>
      </c>
      <c r="J61">
        <v>99</v>
      </c>
      <c r="K61">
        <v>87</v>
      </c>
      <c r="L61">
        <v>99</v>
      </c>
      <c r="M61">
        <v>62</v>
      </c>
    </row>
    <row r="62" spans="1:13" x14ac:dyDescent="0.25">
      <c r="A62" s="1" t="s">
        <v>109</v>
      </c>
      <c r="B62" s="1" t="s">
        <v>110</v>
      </c>
      <c r="C62">
        <v>8</v>
      </c>
      <c r="D62">
        <v>2</v>
      </c>
      <c r="E62">
        <v>4</v>
      </c>
      <c r="F62">
        <v>5</v>
      </c>
      <c r="G62">
        <v>2</v>
      </c>
      <c r="H62">
        <v>4</v>
      </c>
      <c r="I62">
        <v>20</v>
      </c>
      <c r="J62">
        <v>78</v>
      </c>
      <c r="K62">
        <v>54</v>
      </c>
      <c r="L62">
        <v>34</v>
      </c>
      <c r="M62">
        <v>95</v>
      </c>
    </row>
    <row r="63" spans="1:13" x14ac:dyDescent="0.25">
      <c r="A63" s="1" t="s">
        <v>111</v>
      </c>
      <c r="B63" s="1" t="s">
        <v>74</v>
      </c>
      <c r="C63">
        <v>5</v>
      </c>
      <c r="D63">
        <v>2</v>
      </c>
      <c r="E63">
        <v>4</v>
      </c>
      <c r="F63">
        <v>5</v>
      </c>
      <c r="G63">
        <v>5</v>
      </c>
      <c r="H63">
        <v>3</v>
      </c>
      <c r="I63">
        <v>39</v>
      </c>
      <c r="J63">
        <v>16</v>
      </c>
      <c r="K63">
        <v>8</v>
      </c>
      <c r="L63">
        <v>66</v>
      </c>
      <c r="M63">
        <v>29</v>
      </c>
    </row>
    <row r="64" spans="1:13" x14ac:dyDescent="0.25">
      <c r="A64" s="1" t="s">
        <v>112</v>
      </c>
      <c r="B64" s="1" t="s">
        <v>113</v>
      </c>
      <c r="C64">
        <v>0</v>
      </c>
      <c r="D64">
        <v>6</v>
      </c>
      <c r="E64">
        <v>3</v>
      </c>
      <c r="F64">
        <v>5</v>
      </c>
      <c r="G64">
        <v>4</v>
      </c>
      <c r="H64">
        <v>2</v>
      </c>
      <c r="I64">
        <v>77</v>
      </c>
      <c r="J64">
        <v>80</v>
      </c>
      <c r="K64">
        <v>92</v>
      </c>
      <c r="L64">
        <v>43</v>
      </c>
      <c r="M64">
        <v>100</v>
      </c>
    </row>
    <row r="65" spans="1:13" x14ac:dyDescent="0.25">
      <c r="A65" s="1" t="s">
        <v>114</v>
      </c>
      <c r="B65" s="1" t="s">
        <v>101</v>
      </c>
      <c r="C65">
        <v>1</v>
      </c>
      <c r="D65">
        <v>4</v>
      </c>
      <c r="E65">
        <v>6</v>
      </c>
      <c r="F65">
        <v>3</v>
      </c>
      <c r="G65">
        <v>4</v>
      </c>
      <c r="H65">
        <v>2</v>
      </c>
      <c r="I65">
        <v>70</v>
      </c>
      <c r="J65">
        <v>39</v>
      </c>
      <c r="K65">
        <v>65</v>
      </c>
      <c r="L65">
        <v>57</v>
      </c>
      <c r="M65">
        <v>90</v>
      </c>
    </row>
    <row r="66" spans="1:13" x14ac:dyDescent="0.25">
      <c r="A66" s="1" t="s">
        <v>115</v>
      </c>
      <c r="B66" s="1" t="s">
        <v>41</v>
      </c>
      <c r="C66">
        <v>0</v>
      </c>
      <c r="D66">
        <v>4</v>
      </c>
      <c r="E66">
        <v>5</v>
      </c>
      <c r="F66">
        <v>4</v>
      </c>
      <c r="G66">
        <v>6</v>
      </c>
      <c r="H66">
        <v>2</v>
      </c>
      <c r="I66">
        <v>4</v>
      </c>
      <c r="J66">
        <v>85</v>
      </c>
      <c r="K66">
        <v>83</v>
      </c>
      <c r="L66">
        <v>10</v>
      </c>
      <c r="M66">
        <v>33</v>
      </c>
    </row>
    <row r="67" spans="1:13" x14ac:dyDescent="0.25">
      <c r="A67" s="1" t="s">
        <v>116</v>
      </c>
      <c r="B67" s="1" t="s">
        <v>117</v>
      </c>
      <c r="C67">
        <v>8</v>
      </c>
      <c r="D67">
        <v>5</v>
      </c>
      <c r="E67">
        <v>5</v>
      </c>
      <c r="F67">
        <v>4</v>
      </c>
      <c r="G67">
        <v>3</v>
      </c>
      <c r="H67">
        <v>3</v>
      </c>
      <c r="I67">
        <v>80</v>
      </c>
      <c r="J67">
        <v>91</v>
      </c>
      <c r="K67">
        <v>16</v>
      </c>
      <c r="L67">
        <v>12</v>
      </c>
      <c r="M67">
        <v>73</v>
      </c>
    </row>
    <row r="68" spans="1:13" x14ac:dyDescent="0.25">
      <c r="A68" s="1" t="s">
        <v>118</v>
      </c>
      <c r="B68" s="1" t="s">
        <v>119</v>
      </c>
      <c r="C68">
        <v>6</v>
      </c>
      <c r="D68">
        <v>6</v>
      </c>
      <c r="E68">
        <v>2</v>
      </c>
      <c r="F68">
        <v>3</v>
      </c>
      <c r="G68">
        <v>6</v>
      </c>
      <c r="H68">
        <v>5</v>
      </c>
      <c r="I68">
        <v>27</v>
      </c>
      <c r="J68">
        <v>6</v>
      </c>
      <c r="K68">
        <v>19</v>
      </c>
      <c r="L68">
        <v>61</v>
      </c>
      <c r="M68">
        <v>63</v>
      </c>
    </row>
    <row r="69" spans="1:13" x14ac:dyDescent="0.25">
      <c r="A69" s="1" t="s">
        <v>120</v>
      </c>
      <c r="B69" s="1" t="s">
        <v>121</v>
      </c>
      <c r="C69">
        <v>0</v>
      </c>
      <c r="D69">
        <v>5</v>
      </c>
      <c r="E69">
        <v>5</v>
      </c>
      <c r="F69">
        <v>3</v>
      </c>
      <c r="G69">
        <v>2</v>
      </c>
      <c r="H69">
        <v>6</v>
      </c>
      <c r="I69">
        <v>26</v>
      </c>
      <c r="J69">
        <v>23</v>
      </c>
      <c r="K69">
        <v>48</v>
      </c>
      <c r="L69">
        <v>73</v>
      </c>
      <c r="M69">
        <v>63</v>
      </c>
    </row>
    <row r="70" spans="1:13" x14ac:dyDescent="0.25">
      <c r="A70" s="1" t="s">
        <v>122</v>
      </c>
      <c r="B70" s="1" t="s">
        <v>121</v>
      </c>
      <c r="C70">
        <v>8</v>
      </c>
      <c r="D70">
        <v>3</v>
      </c>
      <c r="E70">
        <v>5</v>
      </c>
      <c r="F70">
        <v>5</v>
      </c>
      <c r="G70">
        <v>6</v>
      </c>
      <c r="H70">
        <v>3</v>
      </c>
      <c r="I70">
        <v>28</v>
      </c>
      <c r="J70">
        <v>69</v>
      </c>
      <c r="K70">
        <v>99</v>
      </c>
      <c r="L70">
        <v>45</v>
      </c>
      <c r="M70">
        <v>61</v>
      </c>
    </row>
    <row r="71" spans="1:13" x14ac:dyDescent="0.25">
      <c r="A71" s="1" t="s">
        <v>123</v>
      </c>
      <c r="B71" s="1" t="s">
        <v>119</v>
      </c>
      <c r="C71">
        <v>1</v>
      </c>
      <c r="D71">
        <v>2</v>
      </c>
      <c r="E71">
        <v>3</v>
      </c>
      <c r="F71">
        <v>2</v>
      </c>
      <c r="G71">
        <v>3</v>
      </c>
      <c r="H71">
        <v>6</v>
      </c>
      <c r="I71">
        <v>51</v>
      </c>
      <c r="J71">
        <v>14</v>
      </c>
      <c r="K71">
        <v>33</v>
      </c>
      <c r="L71">
        <v>28</v>
      </c>
      <c r="M71">
        <v>43</v>
      </c>
    </row>
    <row r="72" spans="1:13" x14ac:dyDescent="0.25">
      <c r="A72" s="1" t="s">
        <v>124</v>
      </c>
      <c r="B72" s="1" t="s">
        <v>41</v>
      </c>
      <c r="C72">
        <v>3</v>
      </c>
      <c r="D72">
        <v>5</v>
      </c>
      <c r="E72">
        <v>6</v>
      </c>
      <c r="F72">
        <v>5</v>
      </c>
      <c r="G72">
        <v>2</v>
      </c>
      <c r="H72">
        <v>5</v>
      </c>
      <c r="I72">
        <v>73</v>
      </c>
      <c r="J72">
        <v>84</v>
      </c>
      <c r="K72">
        <v>48</v>
      </c>
      <c r="L72">
        <v>36</v>
      </c>
      <c r="M72">
        <v>4</v>
      </c>
    </row>
    <row r="73" spans="1:13" x14ac:dyDescent="0.25">
      <c r="A73" s="1" t="s">
        <v>125</v>
      </c>
      <c r="B73" s="1" t="s">
        <v>126</v>
      </c>
      <c r="C73">
        <v>4</v>
      </c>
      <c r="D73">
        <v>4</v>
      </c>
      <c r="E73">
        <v>5</v>
      </c>
      <c r="F73">
        <v>5</v>
      </c>
      <c r="G73">
        <v>3</v>
      </c>
      <c r="H73">
        <v>6</v>
      </c>
      <c r="I73">
        <v>44</v>
      </c>
      <c r="J73">
        <v>16</v>
      </c>
      <c r="K73">
        <v>68</v>
      </c>
      <c r="L73">
        <v>55</v>
      </c>
      <c r="M73">
        <v>66</v>
      </c>
    </row>
    <row r="74" spans="1:13" x14ac:dyDescent="0.25">
      <c r="A74" s="1" t="s">
        <v>127</v>
      </c>
      <c r="B74" s="1" t="s">
        <v>90</v>
      </c>
      <c r="C74">
        <v>2</v>
      </c>
      <c r="D74">
        <v>6</v>
      </c>
      <c r="E74">
        <v>6</v>
      </c>
      <c r="F74">
        <v>3</v>
      </c>
      <c r="G74">
        <v>6</v>
      </c>
      <c r="H74">
        <v>2</v>
      </c>
      <c r="I74">
        <v>71</v>
      </c>
      <c r="J74">
        <v>95</v>
      </c>
      <c r="K74">
        <v>90</v>
      </c>
      <c r="L74">
        <v>50</v>
      </c>
      <c r="M74">
        <v>91</v>
      </c>
    </row>
    <row r="75" spans="1:13" x14ac:dyDescent="0.25">
      <c r="A75" s="1" t="s">
        <v>128</v>
      </c>
      <c r="B75" s="1" t="s">
        <v>45</v>
      </c>
      <c r="C75">
        <v>5</v>
      </c>
      <c r="D75">
        <v>5</v>
      </c>
      <c r="E75">
        <v>2</v>
      </c>
      <c r="F75">
        <v>6</v>
      </c>
      <c r="G75">
        <v>2</v>
      </c>
      <c r="H75">
        <v>2</v>
      </c>
      <c r="I75">
        <v>90</v>
      </c>
      <c r="J75">
        <v>88</v>
      </c>
      <c r="K75">
        <v>73</v>
      </c>
      <c r="L75">
        <v>83</v>
      </c>
      <c r="M75">
        <v>51</v>
      </c>
    </row>
    <row r="76" spans="1:13" x14ac:dyDescent="0.25">
      <c r="A76" s="1" t="s">
        <v>129</v>
      </c>
      <c r="B76" s="1" t="s">
        <v>130</v>
      </c>
      <c r="C76">
        <v>1</v>
      </c>
      <c r="D76">
        <v>5</v>
      </c>
      <c r="E76">
        <v>2</v>
      </c>
      <c r="F76">
        <v>2</v>
      </c>
      <c r="G76">
        <v>3</v>
      </c>
      <c r="H76">
        <v>5</v>
      </c>
      <c r="I76">
        <v>11</v>
      </c>
      <c r="J76">
        <v>24</v>
      </c>
      <c r="K76">
        <v>35</v>
      </c>
      <c r="L76">
        <v>70</v>
      </c>
      <c r="M76">
        <v>6</v>
      </c>
    </row>
    <row r="77" spans="1:13" x14ac:dyDescent="0.25">
      <c r="A77" s="1" t="s">
        <v>131</v>
      </c>
      <c r="B77" s="1" t="s">
        <v>70</v>
      </c>
      <c r="C77">
        <v>5</v>
      </c>
      <c r="D77">
        <v>2</v>
      </c>
      <c r="E77">
        <v>2</v>
      </c>
      <c r="F77">
        <v>6</v>
      </c>
      <c r="G77">
        <v>5</v>
      </c>
      <c r="H77">
        <v>6</v>
      </c>
      <c r="I77">
        <v>44</v>
      </c>
      <c r="J77">
        <v>43</v>
      </c>
      <c r="K77">
        <v>19</v>
      </c>
      <c r="L77">
        <v>86</v>
      </c>
      <c r="M77">
        <v>18</v>
      </c>
    </row>
    <row r="78" spans="1:13" x14ac:dyDescent="0.25">
      <c r="A78" s="1" t="s">
        <v>132</v>
      </c>
      <c r="B78" s="1" t="s">
        <v>133</v>
      </c>
      <c r="C78">
        <v>2</v>
      </c>
      <c r="D78">
        <v>5</v>
      </c>
      <c r="E78">
        <v>4</v>
      </c>
      <c r="F78">
        <v>3</v>
      </c>
      <c r="G78">
        <v>6</v>
      </c>
      <c r="H78">
        <v>6</v>
      </c>
      <c r="I78">
        <v>15</v>
      </c>
      <c r="J78">
        <v>69</v>
      </c>
      <c r="K78">
        <v>48</v>
      </c>
      <c r="L78">
        <v>14</v>
      </c>
      <c r="M78">
        <v>32</v>
      </c>
    </row>
    <row r="79" spans="1:13" x14ac:dyDescent="0.25">
      <c r="A79" s="1" t="s">
        <v>134</v>
      </c>
      <c r="B79" s="1" t="s">
        <v>45</v>
      </c>
      <c r="C79">
        <v>6</v>
      </c>
      <c r="D79">
        <v>3</v>
      </c>
      <c r="E79">
        <v>4</v>
      </c>
      <c r="F79">
        <v>5</v>
      </c>
      <c r="G79">
        <v>3</v>
      </c>
      <c r="H79">
        <v>4</v>
      </c>
      <c r="I79">
        <v>38</v>
      </c>
      <c r="J79">
        <v>48</v>
      </c>
      <c r="K79">
        <v>3</v>
      </c>
      <c r="L79">
        <v>38</v>
      </c>
      <c r="M79">
        <v>91</v>
      </c>
    </row>
    <row r="80" spans="1:13" x14ac:dyDescent="0.25">
      <c r="A80" s="1" t="s">
        <v>135</v>
      </c>
      <c r="B80" s="1" t="s">
        <v>38</v>
      </c>
      <c r="C80">
        <v>3</v>
      </c>
      <c r="D80">
        <v>6</v>
      </c>
      <c r="E80">
        <v>3</v>
      </c>
      <c r="F80">
        <v>6</v>
      </c>
      <c r="G80">
        <v>3</v>
      </c>
      <c r="H80">
        <v>5</v>
      </c>
      <c r="I80">
        <v>66</v>
      </c>
      <c r="J80">
        <v>42</v>
      </c>
      <c r="K80">
        <v>40</v>
      </c>
      <c r="L80">
        <v>91</v>
      </c>
      <c r="M80">
        <v>74</v>
      </c>
    </row>
    <row r="81" spans="1:13" x14ac:dyDescent="0.25">
      <c r="A81" s="1" t="s">
        <v>136</v>
      </c>
      <c r="B81" s="1" t="s">
        <v>137</v>
      </c>
      <c r="C81">
        <v>7</v>
      </c>
      <c r="D81">
        <v>4</v>
      </c>
      <c r="E81">
        <v>2</v>
      </c>
      <c r="F81">
        <v>4</v>
      </c>
      <c r="G81">
        <v>6</v>
      </c>
      <c r="H81">
        <v>5</v>
      </c>
      <c r="I81">
        <v>28</v>
      </c>
      <c r="J81">
        <v>1</v>
      </c>
      <c r="K81">
        <v>36</v>
      </c>
      <c r="L81">
        <v>63</v>
      </c>
      <c r="M81">
        <v>49</v>
      </c>
    </row>
    <row r="82" spans="1:13" x14ac:dyDescent="0.25">
      <c r="A82" s="1" t="s">
        <v>138</v>
      </c>
      <c r="B82" s="1" t="s">
        <v>139</v>
      </c>
      <c r="C82">
        <v>0</v>
      </c>
      <c r="D82">
        <v>6</v>
      </c>
      <c r="E82">
        <v>5</v>
      </c>
      <c r="F82">
        <v>6</v>
      </c>
      <c r="G82">
        <v>5</v>
      </c>
      <c r="H82">
        <v>6</v>
      </c>
      <c r="I82">
        <v>12</v>
      </c>
      <c r="J82">
        <v>20</v>
      </c>
      <c r="K82">
        <v>10</v>
      </c>
      <c r="L82">
        <v>73</v>
      </c>
      <c r="M82">
        <v>68</v>
      </c>
    </row>
    <row r="83" spans="1:13" x14ac:dyDescent="0.25">
      <c r="A83" s="1" t="s">
        <v>140</v>
      </c>
      <c r="B83" s="1" t="s">
        <v>45</v>
      </c>
      <c r="C83">
        <v>4</v>
      </c>
      <c r="D83">
        <v>5</v>
      </c>
      <c r="E83">
        <v>4</v>
      </c>
      <c r="F83">
        <v>2</v>
      </c>
      <c r="G83">
        <v>3</v>
      </c>
      <c r="H83">
        <v>4</v>
      </c>
      <c r="I83">
        <v>21</v>
      </c>
      <c r="J83">
        <v>58</v>
      </c>
      <c r="K83">
        <v>66</v>
      </c>
      <c r="L83">
        <v>93</v>
      </c>
      <c r="M83">
        <v>89</v>
      </c>
    </row>
    <row r="84" spans="1:13" x14ac:dyDescent="0.25">
      <c r="A84" s="1" t="s">
        <v>141</v>
      </c>
      <c r="B84" s="1" t="s">
        <v>99</v>
      </c>
      <c r="C84">
        <v>0</v>
      </c>
      <c r="D84">
        <v>2</v>
      </c>
      <c r="E84">
        <v>2</v>
      </c>
      <c r="F84">
        <v>4</v>
      </c>
      <c r="G84">
        <v>3</v>
      </c>
      <c r="H84">
        <v>3</v>
      </c>
      <c r="I84">
        <v>3</v>
      </c>
      <c r="J84">
        <v>25</v>
      </c>
      <c r="K84">
        <v>93</v>
      </c>
      <c r="L84">
        <v>92</v>
      </c>
      <c r="M84">
        <v>73</v>
      </c>
    </row>
    <row r="85" spans="1:13" x14ac:dyDescent="0.25">
      <c r="A85" s="1" t="s">
        <v>142</v>
      </c>
      <c r="B85" s="1" t="s">
        <v>130</v>
      </c>
      <c r="C85">
        <v>4</v>
      </c>
      <c r="D85">
        <v>4</v>
      </c>
      <c r="E85">
        <v>2</v>
      </c>
      <c r="F85">
        <v>6</v>
      </c>
      <c r="G85">
        <v>5</v>
      </c>
      <c r="H85">
        <v>2</v>
      </c>
      <c r="I85">
        <v>81</v>
      </c>
      <c r="J85">
        <v>5</v>
      </c>
      <c r="K85">
        <v>60</v>
      </c>
      <c r="L85">
        <v>2</v>
      </c>
      <c r="M85">
        <v>91</v>
      </c>
    </row>
    <row r="86" spans="1:13" x14ac:dyDescent="0.25">
      <c r="A86" s="1" t="s">
        <v>143</v>
      </c>
      <c r="B86" s="1" t="s">
        <v>70</v>
      </c>
      <c r="C86">
        <v>1</v>
      </c>
      <c r="D86">
        <v>4</v>
      </c>
      <c r="E86">
        <v>6</v>
      </c>
      <c r="F86">
        <v>4</v>
      </c>
      <c r="G86">
        <v>3</v>
      </c>
      <c r="H86">
        <v>6</v>
      </c>
      <c r="I86">
        <v>100</v>
      </c>
      <c r="J86">
        <v>100</v>
      </c>
      <c r="K86">
        <v>100</v>
      </c>
      <c r="L86">
        <v>36</v>
      </c>
      <c r="M86">
        <v>10</v>
      </c>
    </row>
    <row r="87" spans="1:13" x14ac:dyDescent="0.25">
      <c r="A87" s="1" t="s">
        <v>144</v>
      </c>
      <c r="B87" s="1" t="s">
        <v>145</v>
      </c>
      <c r="C87">
        <v>2</v>
      </c>
      <c r="D87">
        <v>3</v>
      </c>
      <c r="E87">
        <v>3</v>
      </c>
      <c r="F87">
        <v>5</v>
      </c>
      <c r="G87">
        <v>6</v>
      </c>
      <c r="H87">
        <v>6</v>
      </c>
      <c r="I87">
        <v>32</v>
      </c>
      <c r="J87">
        <v>27</v>
      </c>
      <c r="K87">
        <v>15</v>
      </c>
      <c r="L87">
        <v>59</v>
      </c>
      <c r="M87">
        <v>26</v>
      </c>
    </row>
    <row r="88" spans="1:13" x14ac:dyDescent="0.25">
      <c r="A88" s="1" t="s">
        <v>146</v>
      </c>
      <c r="B88" s="1" t="s">
        <v>147</v>
      </c>
      <c r="C88">
        <v>3</v>
      </c>
      <c r="D88">
        <v>5</v>
      </c>
      <c r="E88">
        <v>2</v>
      </c>
      <c r="F88">
        <v>6</v>
      </c>
      <c r="G88">
        <v>3</v>
      </c>
      <c r="H88">
        <v>3</v>
      </c>
      <c r="I88">
        <v>95</v>
      </c>
      <c r="J88">
        <v>15</v>
      </c>
      <c r="K88">
        <v>44</v>
      </c>
      <c r="L88">
        <v>29</v>
      </c>
      <c r="M88">
        <v>14</v>
      </c>
    </row>
    <row r="89" spans="1:13" x14ac:dyDescent="0.25">
      <c r="A89" s="1" t="s">
        <v>148</v>
      </c>
      <c r="B89" s="1" t="s">
        <v>28</v>
      </c>
      <c r="C89">
        <v>2</v>
      </c>
      <c r="D89">
        <v>4</v>
      </c>
      <c r="E89">
        <v>2</v>
      </c>
      <c r="F89">
        <v>6</v>
      </c>
      <c r="G89">
        <v>4</v>
      </c>
      <c r="H89">
        <v>4</v>
      </c>
      <c r="I89">
        <v>84</v>
      </c>
      <c r="J89">
        <v>95</v>
      </c>
      <c r="K89">
        <v>31</v>
      </c>
      <c r="L89">
        <v>8</v>
      </c>
      <c r="M89">
        <v>54</v>
      </c>
    </row>
    <row r="90" spans="1:13" x14ac:dyDescent="0.25">
      <c r="A90" s="1" t="s">
        <v>149</v>
      </c>
      <c r="B90" s="1" t="s">
        <v>150</v>
      </c>
      <c r="C90">
        <v>5</v>
      </c>
      <c r="D90">
        <v>2</v>
      </c>
      <c r="E90">
        <v>3</v>
      </c>
      <c r="F90">
        <v>4</v>
      </c>
      <c r="G90">
        <v>3</v>
      </c>
      <c r="H90">
        <v>6</v>
      </c>
      <c r="I90">
        <v>30</v>
      </c>
      <c r="J90">
        <v>24</v>
      </c>
      <c r="K90">
        <v>66</v>
      </c>
      <c r="L90">
        <v>41</v>
      </c>
      <c r="M90">
        <v>82</v>
      </c>
    </row>
    <row r="91" spans="1:13" x14ac:dyDescent="0.25">
      <c r="A91" s="1" t="s">
        <v>151</v>
      </c>
      <c r="B91" s="1" t="s">
        <v>70</v>
      </c>
      <c r="C91">
        <v>1</v>
      </c>
      <c r="D91">
        <v>3</v>
      </c>
      <c r="E91">
        <v>6</v>
      </c>
      <c r="F91">
        <v>4</v>
      </c>
      <c r="G91">
        <v>6</v>
      </c>
      <c r="H91">
        <v>2</v>
      </c>
      <c r="I91">
        <v>30</v>
      </c>
      <c r="J91">
        <v>35</v>
      </c>
      <c r="K91">
        <v>100</v>
      </c>
      <c r="L91">
        <v>100</v>
      </c>
      <c r="M91">
        <v>100</v>
      </c>
    </row>
    <row r="92" spans="1:13" x14ac:dyDescent="0.25">
      <c r="A92" s="1" t="s">
        <v>152</v>
      </c>
      <c r="B92" s="1" t="s">
        <v>153</v>
      </c>
      <c r="C92">
        <v>1</v>
      </c>
      <c r="D92">
        <v>5</v>
      </c>
      <c r="E92">
        <v>4</v>
      </c>
      <c r="F92">
        <v>2</v>
      </c>
      <c r="G92">
        <v>5</v>
      </c>
      <c r="H92">
        <v>6</v>
      </c>
      <c r="I92">
        <v>54</v>
      </c>
      <c r="J92">
        <v>50</v>
      </c>
      <c r="K92">
        <v>9</v>
      </c>
      <c r="L92">
        <v>59</v>
      </c>
      <c r="M92">
        <v>54</v>
      </c>
    </row>
    <row r="93" spans="1:13" x14ac:dyDescent="0.25">
      <c r="A93" s="1" t="s">
        <v>154</v>
      </c>
      <c r="B93" s="1" t="s">
        <v>155</v>
      </c>
      <c r="C93">
        <v>6</v>
      </c>
      <c r="D93">
        <v>2</v>
      </c>
      <c r="E93">
        <v>3</v>
      </c>
      <c r="F93">
        <v>5</v>
      </c>
      <c r="G93">
        <v>4</v>
      </c>
      <c r="H93">
        <v>4</v>
      </c>
      <c r="I93">
        <v>50</v>
      </c>
      <c r="J93">
        <v>30</v>
      </c>
      <c r="K93">
        <v>14</v>
      </c>
      <c r="L93">
        <v>20</v>
      </c>
      <c r="M93">
        <v>88</v>
      </c>
    </row>
    <row r="94" spans="1:13" x14ac:dyDescent="0.25">
      <c r="A94" s="1" t="s">
        <v>156</v>
      </c>
      <c r="B94" s="1" t="s">
        <v>157</v>
      </c>
      <c r="C94">
        <v>6</v>
      </c>
      <c r="D94">
        <v>3</v>
      </c>
      <c r="E94">
        <v>6</v>
      </c>
      <c r="F94">
        <v>5</v>
      </c>
      <c r="G94">
        <v>4</v>
      </c>
      <c r="H94">
        <v>5</v>
      </c>
      <c r="I94">
        <v>62</v>
      </c>
      <c r="J94">
        <v>47</v>
      </c>
      <c r="K94">
        <v>19</v>
      </c>
      <c r="L94">
        <v>10</v>
      </c>
      <c r="M94">
        <v>40</v>
      </c>
    </row>
    <row r="95" spans="1:13" x14ac:dyDescent="0.25">
      <c r="A95" s="1" t="s">
        <v>158</v>
      </c>
      <c r="B95" s="1" t="s">
        <v>159</v>
      </c>
      <c r="C95">
        <v>0</v>
      </c>
      <c r="D95">
        <v>3</v>
      </c>
      <c r="E95">
        <v>6</v>
      </c>
      <c r="F95">
        <v>3</v>
      </c>
      <c r="G95">
        <v>5</v>
      </c>
      <c r="H95">
        <v>6</v>
      </c>
      <c r="I95">
        <v>12</v>
      </c>
      <c r="J95">
        <v>60</v>
      </c>
      <c r="K95">
        <v>63</v>
      </c>
      <c r="L95">
        <v>37</v>
      </c>
      <c r="M95">
        <v>71</v>
      </c>
    </row>
    <row r="96" spans="1:13" x14ac:dyDescent="0.25">
      <c r="A96" s="1" t="s">
        <v>160</v>
      </c>
      <c r="B96" s="1" t="s">
        <v>161</v>
      </c>
      <c r="C96">
        <v>2</v>
      </c>
      <c r="D96">
        <v>3</v>
      </c>
      <c r="E96">
        <v>2</v>
      </c>
      <c r="F96">
        <v>2</v>
      </c>
      <c r="G96">
        <v>3</v>
      </c>
      <c r="H96">
        <v>2</v>
      </c>
      <c r="I96">
        <v>56</v>
      </c>
      <c r="J96">
        <v>63</v>
      </c>
      <c r="K96">
        <v>26</v>
      </c>
      <c r="L96">
        <v>92</v>
      </c>
      <c r="M96">
        <v>13</v>
      </c>
    </row>
    <row r="97" spans="1:13" x14ac:dyDescent="0.25">
      <c r="A97" s="1" t="s">
        <v>162</v>
      </c>
      <c r="B97" s="1" t="s">
        <v>30</v>
      </c>
      <c r="C97">
        <v>5</v>
      </c>
      <c r="D97">
        <v>5</v>
      </c>
      <c r="E97">
        <v>6</v>
      </c>
      <c r="F97">
        <v>6</v>
      </c>
      <c r="G97">
        <v>5</v>
      </c>
      <c r="H97">
        <v>6</v>
      </c>
      <c r="I97">
        <v>45</v>
      </c>
      <c r="J97">
        <v>97</v>
      </c>
      <c r="K97">
        <v>5</v>
      </c>
      <c r="L97">
        <v>73</v>
      </c>
      <c r="M97">
        <v>12</v>
      </c>
    </row>
    <row r="98" spans="1:13" x14ac:dyDescent="0.25">
      <c r="A98" s="1" t="s">
        <v>163</v>
      </c>
      <c r="B98" s="1" t="s">
        <v>164</v>
      </c>
      <c r="C98">
        <v>2</v>
      </c>
      <c r="D98">
        <v>4</v>
      </c>
      <c r="E98">
        <v>5</v>
      </c>
      <c r="F98">
        <v>2</v>
      </c>
      <c r="G98">
        <v>4</v>
      </c>
      <c r="H98">
        <v>6</v>
      </c>
      <c r="I98">
        <v>96</v>
      </c>
      <c r="J98">
        <v>60</v>
      </c>
      <c r="K98">
        <v>4</v>
      </c>
      <c r="L98">
        <v>45</v>
      </c>
      <c r="M98">
        <v>21</v>
      </c>
    </row>
    <row r="99" spans="1:13" x14ac:dyDescent="0.25">
      <c r="A99" s="1" t="s">
        <v>165</v>
      </c>
      <c r="B99" s="1" t="s">
        <v>166</v>
      </c>
      <c r="C99">
        <v>7</v>
      </c>
      <c r="D99">
        <v>3</v>
      </c>
      <c r="E99">
        <v>3</v>
      </c>
      <c r="F99">
        <v>6</v>
      </c>
      <c r="G99">
        <v>5</v>
      </c>
      <c r="H99">
        <v>5</v>
      </c>
      <c r="I99">
        <v>57</v>
      </c>
      <c r="J99">
        <v>31</v>
      </c>
      <c r="K99">
        <v>22</v>
      </c>
      <c r="L99">
        <v>59</v>
      </c>
      <c r="M99">
        <v>61</v>
      </c>
    </row>
    <row r="100" spans="1:13" x14ac:dyDescent="0.25">
      <c r="A100" s="1" t="s">
        <v>167</v>
      </c>
      <c r="B100" s="1" t="s">
        <v>18</v>
      </c>
      <c r="C100">
        <v>5</v>
      </c>
      <c r="D100">
        <v>6</v>
      </c>
      <c r="E100">
        <v>4</v>
      </c>
      <c r="F100">
        <v>2</v>
      </c>
      <c r="G100">
        <v>5</v>
      </c>
      <c r="H100">
        <v>5</v>
      </c>
      <c r="I100">
        <v>18</v>
      </c>
      <c r="J100">
        <v>86</v>
      </c>
      <c r="K100">
        <v>25</v>
      </c>
      <c r="L100">
        <v>29</v>
      </c>
      <c r="M100">
        <v>9</v>
      </c>
    </row>
    <row r="101" spans="1:13" x14ac:dyDescent="0.25">
      <c r="A101" s="1" t="s">
        <v>168</v>
      </c>
      <c r="B101" s="1" t="s">
        <v>169</v>
      </c>
      <c r="C101">
        <v>5</v>
      </c>
      <c r="D101">
        <v>4</v>
      </c>
      <c r="E101">
        <v>6</v>
      </c>
      <c r="F101">
        <v>2</v>
      </c>
      <c r="G101">
        <v>5</v>
      </c>
      <c r="H101">
        <v>4</v>
      </c>
      <c r="I101">
        <v>93</v>
      </c>
      <c r="J101">
        <v>47</v>
      </c>
      <c r="K101">
        <v>47</v>
      </c>
      <c r="L101">
        <v>34</v>
      </c>
      <c r="M101">
        <v>39</v>
      </c>
    </row>
    <row r="102" spans="1:13" x14ac:dyDescent="0.25">
      <c r="A102" s="1" t="s">
        <v>170</v>
      </c>
      <c r="B102" s="1" t="s">
        <v>171</v>
      </c>
      <c r="C102">
        <v>3</v>
      </c>
      <c r="D102">
        <v>6</v>
      </c>
      <c r="E102">
        <v>2</v>
      </c>
      <c r="F102">
        <v>3</v>
      </c>
      <c r="G102">
        <v>2</v>
      </c>
      <c r="H102">
        <v>6</v>
      </c>
      <c r="I102">
        <v>89</v>
      </c>
      <c r="J102">
        <v>30</v>
      </c>
      <c r="K102">
        <v>43</v>
      </c>
      <c r="L102">
        <v>25</v>
      </c>
      <c r="M102">
        <v>1</v>
      </c>
    </row>
    <row r="103" spans="1:13" x14ac:dyDescent="0.25">
      <c r="A103" s="1" t="s">
        <v>172</v>
      </c>
      <c r="B103" s="1" t="s">
        <v>130</v>
      </c>
      <c r="C103">
        <v>6</v>
      </c>
      <c r="D103">
        <v>2</v>
      </c>
      <c r="E103">
        <v>3</v>
      </c>
      <c r="F103">
        <v>2</v>
      </c>
      <c r="G103">
        <v>3</v>
      </c>
      <c r="H103">
        <v>6</v>
      </c>
      <c r="I103">
        <v>67</v>
      </c>
      <c r="J103">
        <v>74</v>
      </c>
      <c r="K103">
        <v>49</v>
      </c>
      <c r="L103">
        <v>43</v>
      </c>
      <c r="M103">
        <v>52</v>
      </c>
    </row>
    <row r="104" spans="1:13" x14ac:dyDescent="0.25">
      <c r="A104" s="1" t="s">
        <v>173</v>
      </c>
      <c r="B104" s="1" t="s">
        <v>174</v>
      </c>
      <c r="C104">
        <v>8</v>
      </c>
      <c r="D104">
        <v>3</v>
      </c>
      <c r="E104">
        <v>2</v>
      </c>
      <c r="F104">
        <v>6</v>
      </c>
      <c r="G104">
        <v>5</v>
      </c>
      <c r="H104">
        <v>3</v>
      </c>
      <c r="I104">
        <v>41</v>
      </c>
      <c r="J104">
        <v>29</v>
      </c>
      <c r="K104">
        <v>52</v>
      </c>
      <c r="L104">
        <v>81</v>
      </c>
      <c r="M104">
        <v>26</v>
      </c>
    </row>
    <row r="105" spans="1:13" x14ac:dyDescent="0.25">
      <c r="A105" s="1" t="s">
        <v>175</v>
      </c>
      <c r="B105" s="1" t="s">
        <v>45</v>
      </c>
      <c r="C105">
        <v>8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32</v>
      </c>
      <c r="J105">
        <v>83</v>
      </c>
      <c r="K105">
        <v>14</v>
      </c>
      <c r="L105">
        <v>77</v>
      </c>
      <c r="M105">
        <v>71</v>
      </c>
    </row>
    <row r="106" spans="1:13" x14ac:dyDescent="0.25">
      <c r="A106" s="1" t="s">
        <v>176</v>
      </c>
      <c r="B106" s="1" t="s">
        <v>177</v>
      </c>
      <c r="C106">
        <v>6</v>
      </c>
      <c r="D106">
        <v>5</v>
      </c>
      <c r="E106">
        <v>2</v>
      </c>
      <c r="F106">
        <v>6</v>
      </c>
      <c r="G106">
        <v>6</v>
      </c>
      <c r="H106">
        <v>4</v>
      </c>
      <c r="I106">
        <v>48</v>
      </c>
      <c r="J106">
        <v>39</v>
      </c>
      <c r="K106">
        <v>45</v>
      </c>
      <c r="L106">
        <v>39</v>
      </c>
      <c r="M106">
        <v>59</v>
      </c>
    </row>
    <row r="107" spans="1:13" x14ac:dyDescent="0.25">
      <c r="A107" s="1" t="s">
        <v>178</v>
      </c>
      <c r="B107" s="1" t="s">
        <v>119</v>
      </c>
      <c r="C107">
        <v>1</v>
      </c>
      <c r="D107">
        <v>3</v>
      </c>
      <c r="E107">
        <v>2</v>
      </c>
      <c r="F107">
        <v>3</v>
      </c>
      <c r="G107">
        <v>5</v>
      </c>
      <c r="H107">
        <v>2</v>
      </c>
      <c r="I107">
        <v>11</v>
      </c>
      <c r="J107">
        <v>23</v>
      </c>
      <c r="K107">
        <v>92</v>
      </c>
      <c r="L107">
        <v>50</v>
      </c>
      <c r="M107">
        <v>36</v>
      </c>
    </row>
    <row r="108" spans="1:13" x14ac:dyDescent="0.25">
      <c r="A108" s="1" t="s">
        <v>179</v>
      </c>
      <c r="B108" s="1" t="s">
        <v>180</v>
      </c>
      <c r="C108">
        <v>0</v>
      </c>
      <c r="D108">
        <v>5</v>
      </c>
      <c r="E108">
        <v>3</v>
      </c>
      <c r="F108">
        <v>5</v>
      </c>
      <c r="G108">
        <v>2</v>
      </c>
      <c r="H108">
        <v>5</v>
      </c>
      <c r="I108">
        <v>20</v>
      </c>
      <c r="J108">
        <v>51</v>
      </c>
      <c r="K108">
        <v>64</v>
      </c>
      <c r="L108">
        <v>67</v>
      </c>
      <c r="M108">
        <v>72</v>
      </c>
    </row>
    <row r="109" spans="1:13" x14ac:dyDescent="0.25">
      <c r="A109" s="1" t="s">
        <v>181</v>
      </c>
      <c r="B109" s="1" t="s">
        <v>182</v>
      </c>
      <c r="C109">
        <v>7</v>
      </c>
      <c r="D109">
        <v>4</v>
      </c>
      <c r="E109">
        <v>6</v>
      </c>
      <c r="F109">
        <v>2</v>
      </c>
      <c r="G109">
        <v>5</v>
      </c>
      <c r="H109">
        <v>5</v>
      </c>
      <c r="I109">
        <v>90</v>
      </c>
      <c r="J109">
        <v>9</v>
      </c>
      <c r="K109">
        <v>61</v>
      </c>
      <c r="L109">
        <v>28</v>
      </c>
      <c r="M109">
        <v>92</v>
      </c>
    </row>
    <row r="110" spans="1:13" x14ac:dyDescent="0.25">
      <c r="A110" s="1" t="s">
        <v>183</v>
      </c>
      <c r="B110" s="1" t="s">
        <v>155</v>
      </c>
      <c r="C110">
        <v>4</v>
      </c>
      <c r="D110">
        <v>2</v>
      </c>
      <c r="E110">
        <v>6</v>
      </c>
      <c r="F110">
        <v>6</v>
      </c>
      <c r="G110">
        <v>6</v>
      </c>
      <c r="H110">
        <v>4</v>
      </c>
      <c r="I110">
        <v>91</v>
      </c>
      <c r="J110">
        <v>63</v>
      </c>
      <c r="K110">
        <v>88</v>
      </c>
      <c r="L110">
        <v>68</v>
      </c>
      <c r="M110">
        <v>75</v>
      </c>
    </row>
    <row r="111" spans="1:13" x14ac:dyDescent="0.25">
      <c r="A111" s="1" t="s">
        <v>184</v>
      </c>
      <c r="B111" s="1" t="s">
        <v>185</v>
      </c>
      <c r="C111">
        <v>3</v>
      </c>
      <c r="D111">
        <v>3</v>
      </c>
      <c r="E111">
        <v>4</v>
      </c>
      <c r="F111">
        <v>5</v>
      </c>
      <c r="G111">
        <v>6</v>
      </c>
      <c r="H111">
        <v>3</v>
      </c>
      <c r="I111">
        <v>59</v>
      </c>
      <c r="J111">
        <v>13</v>
      </c>
      <c r="K111">
        <v>14</v>
      </c>
      <c r="L111">
        <v>22</v>
      </c>
      <c r="M111">
        <v>96</v>
      </c>
    </row>
    <row r="112" spans="1:13" x14ac:dyDescent="0.25">
      <c r="A112" s="1" t="s">
        <v>186</v>
      </c>
      <c r="B112" s="1" t="s">
        <v>70</v>
      </c>
      <c r="C112">
        <v>1</v>
      </c>
      <c r="D112">
        <v>3</v>
      </c>
      <c r="E112">
        <v>3</v>
      </c>
      <c r="F112">
        <v>4</v>
      </c>
      <c r="G112">
        <v>3</v>
      </c>
      <c r="H112">
        <v>4</v>
      </c>
      <c r="I112">
        <v>7</v>
      </c>
      <c r="J112">
        <v>13</v>
      </c>
      <c r="K112">
        <v>73</v>
      </c>
      <c r="L112">
        <v>73</v>
      </c>
      <c r="M112">
        <v>78</v>
      </c>
    </row>
    <row r="113" spans="1:13" x14ac:dyDescent="0.25">
      <c r="A113" s="1" t="s">
        <v>187</v>
      </c>
      <c r="B113" s="1" t="s">
        <v>188</v>
      </c>
      <c r="C113">
        <v>7</v>
      </c>
      <c r="D113">
        <v>3</v>
      </c>
      <c r="E113">
        <v>6</v>
      </c>
      <c r="F113">
        <v>2</v>
      </c>
      <c r="G113">
        <v>4</v>
      </c>
      <c r="H113">
        <v>6</v>
      </c>
      <c r="I113">
        <v>39</v>
      </c>
      <c r="J113">
        <v>69</v>
      </c>
      <c r="K113">
        <v>10</v>
      </c>
      <c r="L113">
        <v>10</v>
      </c>
      <c r="M113">
        <v>91</v>
      </c>
    </row>
    <row r="114" spans="1:13" x14ac:dyDescent="0.25">
      <c r="A114" s="1" t="s">
        <v>189</v>
      </c>
      <c r="B114" s="1" t="s">
        <v>70</v>
      </c>
      <c r="C114">
        <v>5</v>
      </c>
      <c r="D114">
        <v>6</v>
      </c>
      <c r="E114">
        <v>4</v>
      </c>
      <c r="F114">
        <v>3</v>
      </c>
      <c r="G114">
        <v>5</v>
      </c>
      <c r="H114">
        <v>2</v>
      </c>
      <c r="I114">
        <v>18</v>
      </c>
      <c r="J114">
        <v>29</v>
      </c>
      <c r="K114">
        <v>18</v>
      </c>
      <c r="L114">
        <v>5</v>
      </c>
      <c r="M114">
        <v>64</v>
      </c>
    </row>
    <row r="115" spans="1:13" x14ac:dyDescent="0.25">
      <c r="A115" s="1" t="s">
        <v>190</v>
      </c>
      <c r="B115" s="1" t="s">
        <v>101</v>
      </c>
      <c r="C115">
        <v>3</v>
      </c>
      <c r="D115">
        <v>3</v>
      </c>
      <c r="E115">
        <v>3</v>
      </c>
      <c r="F115">
        <v>6</v>
      </c>
      <c r="G115">
        <v>2</v>
      </c>
      <c r="H115">
        <v>2</v>
      </c>
      <c r="I115">
        <v>80</v>
      </c>
      <c r="J115">
        <v>5</v>
      </c>
      <c r="K115">
        <v>4</v>
      </c>
      <c r="L115">
        <v>59</v>
      </c>
      <c r="M115">
        <v>5</v>
      </c>
    </row>
    <row r="116" spans="1:13" x14ac:dyDescent="0.25">
      <c r="A116" s="1" t="s">
        <v>191</v>
      </c>
      <c r="B116" s="1" t="s">
        <v>16</v>
      </c>
      <c r="C116">
        <v>2</v>
      </c>
      <c r="D116">
        <v>4</v>
      </c>
      <c r="E116">
        <v>6</v>
      </c>
      <c r="F116">
        <v>3</v>
      </c>
      <c r="G116">
        <v>6</v>
      </c>
      <c r="H116">
        <v>6</v>
      </c>
      <c r="I116">
        <v>72</v>
      </c>
      <c r="J116">
        <v>51</v>
      </c>
      <c r="K116">
        <v>1</v>
      </c>
      <c r="L116">
        <v>33</v>
      </c>
      <c r="M116">
        <v>91</v>
      </c>
    </row>
    <row r="117" spans="1:13" x14ac:dyDescent="0.25">
      <c r="A117" s="1" t="s">
        <v>192</v>
      </c>
      <c r="B117" s="1" t="s">
        <v>30</v>
      </c>
      <c r="C117">
        <v>1</v>
      </c>
      <c r="D117">
        <v>4</v>
      </c>
      <c r="E117">
        <v>4</v>
      </c>
      <c r="F117">
        <v>3</v>
      </c>
      <c r="G117">
        <v>3</v>
      </c>
      <c r="H117">
        <v>6</v>
      </c>
      <c r="I117">
        <v>25</v>
      </c>
      <c r="J117">
        <v>23</v>
      </c>
      <c r="K117">
        <v>20</v>
      </c>
      <c r="L117">
        <v>93</v>
      </c>
      <c r="M117">
        <v>78</v>
      </c>
    </row>
    <row r="118" spans="1:13" x14ac:dyDescent="0.25">
      <c r="A118" s="1" t="s">
        <v>148</v>
      </c>
      <c r="B118" s="1" t="s">
        <v>193</v>
      </c>
      <c r="C118">
        <v>4</v>
      </c>
      <c r="D118">
        <v>5</v>
      </c>
      <c r="E118">
        <v>5</v>
      </c>
      <c r="F118">
        <v>3</v>
      </c>
      <c r="G118">
        <v>5</v>
      </c>
      <c r="H118">
        <v>2</v>
      </c>
      <c r="I118">
        <v>79</v>
      </c>
      <c r="J118">
        <v>53</v>
      </c>
      <c r="K118">
        <v>97</v>
      </c>
      <c r="L118">
        <v>34</v>
      </c>
      <c r="M118">
        <v>92</v>
      </c>
    </row>
    <row r="119" spans="1:13" x14ac:dyDescent="0.25">
      <c r="A119" s="1" t="s">
        <v>194</v>
      </c>
      <c r="B119" s="1" t="s">
        <v>86</v>
      </c>
      <c r="C119">
        <v>4</v>
      </c>
      <c r="D119">
        <v>2</v>
      </c>
      <c r="E119">
        <v>6</v>
      </c>
      <c r="F119">
        <v>4</v>
      </c>
      <c r="G119">
        <v>3</v>
      </c>
      <c r="H119">
        <v>2</v>
      </c>
      <c r="I119">
        <v>13</v>
      </c>
      <c r="J119">
        <v>81</v>
      </c>
      <c r="K119">
        <v>58</v>
      </c>
      <c r="L119">
        <v>45</v>
      </c>
      <c r="M119">
        <v>11</v>
      </c>
    </row>
    <row r="120" spans="1:13" x14ac:dyDescent="0.25">
      <c r="A120" s="1" t="s">
        <v>195</v>
      </c>
      <c r="B120" s="1" t="s">
        <v>155</v>
      </c>
      <c r="C120">
        <v>5</v>
      </c>
      <c r="D120">
        <v>2</v>
      </c>
      <c r="E120">
        <v>3</v>
      </c>
      <c r="F120">
        <v>3</v>
      </c>
      <c r="G120">
        <v>2</v>
      </c>
      <c r="H120">
        <v>6</v>
      </c>
      <c r="I120">
        <v>93</v>
      </c>
      <c r="J120">
        <v>31</v>
      </c>
      <c r="K120">
        <v>9</v>
      </c>
      <c r="L120">
        <v>50</v>
      </c>
      <c r="M120">
        <v>41</v>
      </c>
    </row>
    <row r="121" spans="1:13" x14ac:dyDescent="0.25">
      <c r="A121" s="1" t="s">
        <v>196</v>
      </c>
      <c r="B121" s="1" t="s">
        <v>197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10</v>
      </c>
      <c r="J121">
        <v>93</v>
      </c>
      <c r="K121">
        <v>88</v>
      </c>
      <c r="L121">
        <v>23</v>
      </c>
      <c r="M121">
        <v>43</v>
      </c>
    </row>
    <row r="122" spans="1:13" x14ac:dyDescent="0.25">
      <c r="A122" s="1" t="s">
        <v>198</v>
      </c>
      <c r="B122" s="1" t="s">
        <v>199</v>
      </c>
      <c r="C122">
        <v>0</v>
      </c>
      <c r="D122">
        <v>3</v>
      </c>
      <c r="E122">
        <v>3</v>
      </c>
      <c r="F122">
        <v>2</v>
      </c>
      <c r="G122">
        <v>3</v>
      </c>
      <c r="H122">
        <v>6</v>
      </c>
      <c r="I122">
        <v>7</v>
      </c>
      <c r="J122">
        <v>69</v>
      </c>
      <c r="K122">
        <v>31</v>
      </c>
      <c r="L122">
        <v>13</v>
      </c>
      <c r="M122">
        <v>61</v>
      </c>
    </row>
    <row r="123" spans="1:13" x14ac:dyDescent="0.25">
      <c r="A123" s="1" t="s">
        <v>200</v>
      </c>
      <c r="B123" s="1" t="s">
        <v>201</v>
      </c>
      <c r="C123">
        <v>5</v>
      </c>
      <c r="D123">
        <v>3</v>
      </c>
      <c r="E123">
        <v>2</v>
      </c>
      <c r="F123">
        <v>2</v>
      </c>
      <c r="G123">
        <v>4</v>
      </c>
      <c r="H123">
        <v>6</v>
      </c>
      <c r="I123">
        <v>24</v>
      </c>
      <c r="J123">
        <v>79</v>
      </c>
      <c r="K123">
        <v>99</v>
      </c>
      <c r="L123">
        <v>6</v>
      </c>
      <c r="M123">
        <v>89</v>
      </c>
    </row>
    <row r="124" spans="1:13" x14ac:dyDescent="0.25">
      <c r="A124" s="1" t="s">
        <v>202</v>
      </c>
      <c r="B124" s="1" t="s">
        <v>203</v>
      </c>
      <c r="C124">
        <v>7</v>
      </c>
      <c r="D124">
        <v>2</v>
      </c>
      <c r="E124">
        <v>2</v>
      </c>
      <c r="F124">
        <v>4</v>
      </c>
      <c r="G124">
        <v>4</v>
      </c>
      <c r="H124">
        <v>6</v>
      </c>
      <c r="I124">
        <v>57</v>
      </c>
      <c r="J124">
        <v>11</v>
      </c>
      <c r="K124">
        <v>80</v>
      </c>
      <c r="L124">
        <v>27</v>
      </c>
      <c r="M124">
        <v>21</v>
      </c>
    </row>
    <row r="125" spans="1:13" x14ac:dyDescent="0.25">
      <c r="A125" s="1" t="s">
        <v>204</v>
      </c>
      <c r="B125" s="1" t="s">
        <v>205</v>
      </c>
      <c r="C125">
        <v>7</v>
      </c>
      <c r="D125">
        <v>6</v>
      </c>
      <c r="E125">
        <v>6</v>
      </c>
      <c r="F125">
        <v>2</v>
      </c>
      <c r="G125">
        <v>2</v>
      </c>
      <c r="H125">
        <v>4</v>
      </c>
      <c r="I125">
        <v>2</v>
      </c>
      <c r="J125">
        <v>65</v>
      </c>
      <c r="K125">
        <v>47</v>
      </c>
      <c r="L125">
        <v>64</v>
      </c>
      <c r="M125">
        <v>89</v>
      </c>
    </row>
    <row r="126" spans="1:13" x14ac:dyDescent="0.25">
      <c r="A126" s="1" t="s">
        <v>206</v>
      </c>
      <c r="B126" s="1" t="s">
        <v>155</v>
      </c>
      <c r="C126">
        <v>6</v>
      </c>
      <c r="D126">
        <v>4</v>
      </c>
      <c r="E126">
        <v>5</v>
      </c>
      <c r="F126">
        <v>3</v>
      </c>
      <c r="G126">
        <v>6</v>
      </c>
      <c r="H126">
        <v>2</v>
      </c>
      <c r="I126">
        <v>46</v>
      </c>
      <c r="J126">
        <v>75</v>
      </c>
      <c r="K126">
        <v>6</v>
      </c>
      <c r="L126">
        <v>45</v>
      </c>
      <c r="M126">
        <v>9</v>
      </c>
    </row>
    <row r="127" spans="1:13" x14ac:dyDescent="0.25">
      <c r="A127" s="1" t="s">
        <v>207</v>
      </c>
      <c r="B127" s="1" t="s">
        <v>51</v>
      </c>
      <c r="C127">
        <v>8</v>
      </c>
      <c r="D127">
        <v>3</v>
      </c>
      <c r="E127">
        <v>6</v>
      </c>
      <c r="F127">
        <v>4</v>
      </c>
      <c r="G127">
        <v>5</v>
      </c>
      <c r="H127">
        <v>2</v>
      </c>
      <c r="I127">
        <v>8</v>
      </c>
      <c r="J127">
        <v>35</v>
      </c>
      <c r="K127">
        <v>65</v>
      </c>
      <c r="L127">
        <v>30</v>
      </c>
      <c r="M127">
        <v>5</v>
      </c>
    </row>
    <row r="128" spans="1:13" x14ac:dyDescent="0.25">
      <c r="A128" s="1" t="s">
        <v>208</v>
      </c>
      <c r="B128" s="1" t="s">
        <v>30</v>
      </c>
      <c r="C128">
        <v>3</v>
      </c>
      <c r="D128">
        <v>6</v>
      </c>
      <c r="E128">
        <v>6</v>
      </c>
      <c r="F128">
        <v>3</v>
      </c>
      <c r="G128">
        <v>4</v>
      </c>
      <c r="H128">
        <v>5</v>
      </c>
      <c r="I128">
        <v>35</v>
      </c>
      <c r="J128">
        <v>1</v>
      </c>
      <c r="K128">
        <v>100</v>
      </c>
      <c r="L128">
        <v>65</v>
      </c>
      <c r="M128">
        <v>86</v>
      </c>
    </row>
    <row r="129" spans="1:13" x14ac:dyDescent="0.25">
      <c r="A129" s="1" t="s">
        <v>209</v>
      </c>
      <c r="B129" s="1" t="s">
        <v>210</v>
      </c>
      <c r="C129">
        <v>8</v>
      </c>
      <c r="D129">
        <v>3</v>
      </c>
      <c r="E129">
        <v>2</v>
      </c>
      <c r="F129">
        <v>3</v>
      </c>
      <c r="G129">
        <v>5</v>
      </c>
      <c r="H129">
        <v>5</v>
      </c>
      <c r="I129">
        <v>31</v>
      </c>
      <c r="J129">
        <v>75</v>
      </c>
      <c r="K129">
        <v>10</v>
      </c>
      <c r="L129">
        <v>37</v>
      </c>
      <c r="M129">
        <v>48</v>
      </c>
    </row>
    <row r="130" spans="1:13" x14ac:dyDescent="0.25">
      <c r="A130" s="1" t="s">
        <v>211</v>
      </c>
      <c r="B130" s="1" t="s">
        <v>78</v>
      </c>
      <c r="C130">
        <v>4</v>
      </c>
      <c r="D130">
        <v>3</v>
      </c>
      <c r="E130">
        <v>4</v>
      </c>
      <c r="F130">
        <v>2</v>
      </c>
      <c r="G130">
        <v>5</v>
      </c>
      <c r="H130">
        <v>6</v>
      </c>
      <c r="I130">
        <v>53</v>
      </c>
      <c r="J130">
        <v>74</v>
      </c>
      <c r="K130">
        <v>66</v>
      </c>
      <c r="L130">
        <v>37</v>
      </c>
      <c r="M130">
        <v>55</v>
      </c>
    </row>
    <row r="131" spans="1:13" x14ac:dyDescent="0.25">
      <c r="A131" s="1" t="s">
        <v>212</v>
      </c>
      <c r="B131" s="1" t="s">
        <v>101</v>
      </c>
      <c r="C131">
        <v>4</v>
      </c>
      <c r="D131">
        <v>6</v>
      </c>
      <c r="E131">
        <v>5</v>
      </c>
      <c r="F131">
        <v>3</v>
      </c>
      <c r="G131">
        <v>4</v>
      </c>
      <c r="H131">
        <v>4</v>
      </c>
      <c r="I131">
        <v>43</v>
      </c>
      <c r="J131">
        <v>49</v>
      </c>
      <c r="K131">
        <v>12</v>
      </c>
      <c r="L131">
        <v>36</v>
      </c>
      <c r="M131">
        <v>87</v>
      </c>
    </row>
    <row r="132" spans="1:13" x14ac:dyDescent="0.25">
      <c r="A132" s="1" t="s">
        <v>213</v>
      </c>
      <c r="B132" s="1" t="s">
        <v>72</v>
      </c>
      <c r="C132">
        <v>4</v>
      </c>
      <c r="D132">
        <v>4</v>
      </c>
      <c r="E132">
        <v>6</v>
      </c>
      <c r="F132">
        <v>2</v>
      </c>
      <c r="G132">
        <v>5</v>
      </c>
      <c r="H132">
        <v>2</v>
      </c>
      <c r="I132">
        <v>60</v>
      </c>
      <c r="J132">
        <v>75</v>
      </c>
      <c r="K132">
        <v>10</v>
      </c>
      <c r="L132">
        <v>59</v>
      </c>
      <c r="M132">
        <v>5</v>
      </c>
    </row>
    <row r="133" spans="1:13" x14ac:dyDescent="0.25">
      <c r="A133" s="1" t="s">
        <v>214</v>
      </c>
      <c r="B133" s="1" t="s">
        <v>197</v>
      </c>
      <c r="C133">
        <v>7</v>
      </c>
      <c r="D133">
        <v>6</v>
      </c>
      <c r="E133">
        <v>4</v>
      </c>
      <c r="F133">
        <v>2</v>
      </c>
      <c r="G133">
        <v>2</v>
      </c>
      <c r="H133">
        <v>3</v>
      </c>
      <c r="I133">
        <v>89</v>
      </c>
      <c r="J133">
        <v>29</v>
      </c>
      <c r="K133">
        <v>58</v>
      </c>
      <c r="L133">
        <v>19</v>
      </c>
      <c r="M133">
        <v>97</v>
      </c>
    </row>
    <row r="134" spans="1:13" x14ac:dyDescent="0.25">
      <c r="A134" s="1" t="s">
        <v>215</v>
      </c>
      <c r="B134" s="1" t="s">
        <v>216</v>
      </c>
      <c r="C134">
        <v>5</v>
      </c>
      <c r="D134">
        <v>6</v>
      </c>
      <c r="E134">
        <v>5</v>
      </c>
      <c r="F134">
        <v>3</v>
      </c>
      <c r="G134">
        <v>5</v>
      </c>
      <c r="H134">
        <v>3</v>
      </c>
      <c r="I134">
        <v>61</v>
      </c>
      <c r="J134">
        <v>95</v>
      </c>
      <c r="K134">
        <v>36</v>
      </c>
      <c r="L134">
        <v>86</v>
      </c>
      <c r="M134">
        <v>36</v>
      </c>
    </row>
    <row r="135" spans="1:13" x14ac:dyDescent="0.25">
      <c r="A135" s="1" t="s">
        <v>217</v>
      </c>
      <c r="B135" s="1" t="s">
        <v>218</v>
      </c>
      <c r="C135">
        <v>7</v>
      </c>
      <c r="D135">
        <v>6</v>
      </c>
      <c r="E135">
        <v>2</v>
      </c>
      <c r="F135">
        <v>3</v>
      </c>
      <c r="G135">
        <v>3</v>
      </c>
      <c r="H135">
        <v>2</v>
      </c>
      <c r="I135">
        <v>2</v>
      </c>
      <c r="J135">
        <v>9</v>
      </c>
      <c r="K135">
        <v>56</v>
      </c>
      <c r="L135">
        <v>86</v>
      </c>
      <c r="M135">
        <v>71</v>
      </c>
    </row>
    <row r="136" spans="1:13" x14ac:dyDescent="0.25">
      <c r="A136" s="1" t="s">
        <v>219</v>
      </c>
      <c r="B136" s="1" t="s">
        <v>16</v>
      </c>
      <c r="C136">
        <v>6</v>
      </c>
      <c r="D136">
        <v>2</v>
      </c>
      <c r="E136">
        <v>4</v>
      </c>
      <c r="F136">
        <v>5</v>
      </c>
      <c r="G136">
        <v>6</v>
      </c>
      <c r="H136">
        <v>4</v>
      </c>
      <c r="I136">
        <v>21</v>
      </c>
      <c r="J136">
        <v>73</v>
      </c>
      <c r="K136">
        <v>39</v>
      </c>
      <c r="L136">
        <v>28</v>
      </c>
      <c r="M136">
        <v>25</v>
      </c>
    </row>
    <row r="137" spans="1:13" x14ac:dyDescent="0.25">
      <c r="A137" s="1" t="s">
        <v>220</v>
      </c>
      <c r="B137" s="1" t="s">
        <v>130</v>
      </c>
      <c r="C137">
        <v>0</v>
      </c>
      <c r="D137">
        <v>5</v>
      </c>
      <c r="E137">
        <v>2</v>
      </c>
      <c r="F137">
        <v>4</v>
      </c>
      <c r="G137">
        <v>3</v>
      </c>
      <c r="H137">
        <v>3</v>
      </c>
      <c r="I137">
        <v>52</v>
      </c>
      <c r="J137">
        <v>74</v>
      </c>
      <c r="K137">
        <v>79</v>
      </c>
      <c r="L137">
        <v>92</v>
      </c>
      <c r="M137">
        <v>69</v>
      </c>
    </row>
    <row r="138" spans="1:13" x14ac:dyDescent="0.25">
      <c r="A138" s="1" t="s">
        <v>221</v>
      </c>
      <c r="B138" s="1" t="s">
        <v>222</v>
      </c>
      <c r="C138">
        <v>1</v>
      </c>
      <c r="D138">
        <v>2</v>
      </c>
      <c r="E138">
        <v>2</v>
      </c>
      <c r="F138">
        <v>4</v>
      </c>
      <c r="G138">
        <v>5</v>
      </c>
      <c r="H138">
        <v>3</v>
      </c>
      <c r="I138">
        <v>97</v>
      </c>
      <c r="J138">
        <v>51</v>
      </c>
      <c r="K138">
        <v>38</v>
      </c>
      <c r="L138">
        <v>17</v>
      </c>
      <c r="M138">
        <v>5</v>
      </c>
    </row>
    <row r="139" spans="1:13" x14ac:dyDescent="0.25">
      <c r="A139" s="1" t="s">
        <v>223</v>
      </c>
      <c r="B139" s="1" t="s">
        <v>145</v>
      </c>
      <c r="C139">
        <v>3</v>
      </c>
      <c r="D139">
        <v>3</v>
      </c>
      <c r="E139">
        <v>2</v>
      </c>
      <c r="F139">
        <v>5</v>
      </c>
      <c r="G139">
        <v>3</v>
      </c>
      <c r="H139">
        <v>5</v>
      </c>
      <c r="I139">
        <v>68</v>
      </c>
      <c r="J139">
        <v>38</v>
      </c>
      <c r="K139">
        <v>31</v>
      </c>
      <c r="L139">
        <v>14</v>
      </c>
      <c r="M139">
        <v>54</v>
      </c>
    </row>
    <row r="140" spans="1:13" x14ac:dyDescent="0.25">
      <c r="A140" s="1" t="s">
        <v>224</v>
      </c>
      <c r="B140" s="1" t="s">
        <v>225</v>
      </c>
      <c r="C140">
        <v>7</v>
      </c>
      <c r="D140">
        <v>6</v>
      </c>
      <c r="E140">
        <v>2</v>
      </c>
      <c r="F140">
        <v>5</v>
      </c>
      <c r="G140">
        <v>6</v>
      </c>
      <c r="H140">
        <v>5</v>
      </c>
      <c r="I140">
        <v>19</v>
      </c>
      <c r="J140">
        <v>56</v>
      </c>
      <c r="K140">
        <v>50</v>
      </c>
      <c r="L140">
        <v>43</v>
      </c>
      <c r="M140">
        <v>66</v>
      </c>
    </row>
    <row r="141" spans="1:13" x14ac:dyDescent="0.25">
      <c r="A141" s="1" t="s">
        <v>226</v>
      </c>
      <c r="B141" s="1" t="s">
        <v>74</v>
      </c>
      <c r="C141">
        <v>6</v>
      </c>
      <c r="D141">
        <v>6</v>
      </c>
      <c r="E141">
        <v>5</v>
      </c>
      <c r="F141">
        <v>3</v>
      </c>
      <c r="G141">
        <v>2</v>
      </c>
      <c r="H141">
        <v>3</v>
      </c>
      <c r="I141">
        <v>16</v>
      </c>
      <c r="J141">
        <v>95</v>
      </c>
      <c r="K141">
        <v>97</v>
      </c>
      <c r="L141">
        <v>62</v>
      </c>
      <c r="M141">
        <v>46</v>
      </c>
    </row>
    <row r="142" spans="1:13" x14ac:dyDescent="0.25">
      <c r="A142" s="1" t="s">
        <v>227</v>
      </c>
      <c r="B142" s="1" t="s">
        <v>78</v>
      </c>
      <c r="C142">
        <v>6</v>
      </c>
      <c r="D142">
        <v>5</v>
      </c>
      <c r="E142">
        <v>3</v>
      </c>
      <c r="F142">
        <v>2</v>
      </c>
      <c r="G142">
        <v>3</v>
      </c>
      <c r="H142">
        <v>5</v>
      </c>
      <c r="I142">
        <v>55</v>
      </c>
      <c r="J142">
        <v>2</v>
      </c>
      <c r="K142">
        <v>64</v>
      </c>
      <c r="L142">
        <v>13</v>
      </c>
      <c r="M142">
        <v>72</v>
      </c>
    </row>
    <row r="143" spans="1:13" x14ac:dyDescent="0.25">
      <c r="A143" s="1" t="s">
        <v>228</v>
      </c>
      <c r="B143" s="1" t="s">
        <v>166</v>
      </c>
      <c r="C143">
        <v>6</v>
      </c>
      <c r="D143">
        <v>2</v>
      </c>
      <c r="E143">
        <v>4</v>
      </c>
      <c r="F143">
        <v>3</v>
      </c>
      <c r="G143">
        <v>3</v>
      </c>
      <c r="H143">
        <v>2</v>
      </c>
      <c r="I143">
        <v>54</v>
      </c>
      <c r="J143">
        <v>83</v>
      </c>
      <c r="K143">
        <v>36</v>
      </c>
      <c r="L143">
        <v>27</v>
      </c>
      <c r="M143">
        <v>21</v>
      </c>
    </row>
    <row r="144" spans="1:13" x14ac:dyDescent="0.25">
      <c r="A144" s="1" t="s">
        <v>229</v>
      </c>
      <c r="B144" s="1" t="s">
        <v>174</v>
      </c>
      <c r="C144">
        <v>1</v>
      </c>
      <c r="D144">
        <v>5</v>
      </c>
      <c r="E144">
        <v>2</v>
      </c>
      <c r="F144">
        <v>2</v>
      </c>
      <c r="G144">
        <v>4</v>
      </c>
      <c r="H144">
        <v>5</v>
      </c>
      <c r="I144">
        <v>19</v>
      </c>
      <c r="J144">
        <v>92</v>
      </c>
      <c r="K144">
        <v>24</v>
      </c>
      <c r="L144">
        <v>32</v>
      </c>
      <c r="M144">
        <v>91</v>
      </c>
    </row>
    <row r="145" spans="1:13" x14ac:dyDescent="0.25">
      <c r="A145" s="1" t="s">
        <v>230</v>
      </c>
      <c r="B145" s="1" t="s">
        <v>137</v>
      </c>
      <c r="C145">
        <v>7</v>
      </c>
      <c r="D145">
        <v>3</v>
      </c>
      <c r="E145">
        <v>2</v>
      </c>
      <c r="F145">
        <v>3</v>
      </c>
      <c r="G145">
        <v>5</v>
      </c>
      <c r="H145">
        <v>6</v>
      </c>
      <c r="I145">
        <v>25</v>
      </c>
      <c r="J145">
        <v>14</v>
      </c>
      <c r="K145">
        <v>19</v>
      </c>
      <c r="L145">
        <v>95</v>
      </c>
      <c r="M145">
        <v>91</v>
      </c>
    </row>
    <row r="146" spans="1:13" x14ac:dyDescent="0.25">
      <c r="A146" s="1" t="s">
        <v>231</v>
      </c>
      <c r="B146" s="1" t="s">
        <v>232</v>
      </c>
      <c r="C146">
        <v>8</v>
      </c>
      <c r="D146">
        <v>4</v>
      </c>
      <c r="E146">
        <v>3</v>
      </c>
      <c r="F146">
        <v>2</v>
      </c>
      <c r="G146">
        <v>3</v>
      </c>
      <c r="H146">
        <v>4</v>
      </c>
      <c r="I146">
        <v>37</v>
      </c>
      <c r="J146">
        <v>69</v>
      </c>
      <c r="K146">
        <v>12</v>
      </c>
      <c r="L146">
        <v>17</v>
      </c>
      <c r="M146">
        <v>48</v>
      </c>
    </row>
    <row r="147" spans="1:13" x14ac:dyDescent="0.25">
      <c r="A147" s="1" t="s">
        <v>233</v>
      </c>
      <c r="B147" s="1" t="s">
        <v>145</v>
      </c>
      <c r="C147">
        <v>3</v>
      </c>
      <c r="D147">
        <v>6</v>
      </c>
      <c r="E147">
        <v>6</v>
      </c>
      <c r="F147">
        <v>6</v>
      </c>
      <c r="G147">
        <v>3</v>
      </c>
      <c r="H147">
        <v>4</v>
      </c>
      <c r="I147">
        <v>79</v>
      </c>
      <c r="J147">
        <v>23</v>
      </c>
      <c r="K147">
        <v>17</v>
      </c>
      <c r="L147">
        <v>99</v>
      </c>
      <c r="M147">
        <v>29</v>
      </c>
    </row>
    <row r="148" spans="1:13" x14ac:dyDescent="0.25">
      <c r="A148" s="1" t="s">
        <v>234</v>
      </c>
      <c r="B148" s="1" t="s">
        <v>159</v>
      </c>
      <c r="C148">
        <v>4</v>
      </c>
      <c r="D148">
        <v>5</v>
      </c>
      <c r="E148">
        <v>2</v>
      </c>
      <c r="F148">
        <v>5</v>
      </c>
      <c r="G148">
        <v>4</v>
      </c>
      <c r="H148">
        <v>3</v>
      </c>
      <c r="I148">
        <v>41</v>
      </c>
      <c r="J148">
        <v>64</v>
      </c>
      <c r="K148">
        <v>91</v>
      </c>
      <c r="L148">
        <v>82</v>
      </c>
      <c r="M148">
        <v>100</v>
      </c>
    </row>
    <row r="149" spans="1:13" x14ac:dyDescent="0.25">
      <c r="A149" s="1" t="s">
        <v>235</v>
      </c>
      <c r="B149" s="1" t="s">
        <v>101</v>
      </c>
      <c r="C149">
        <v>5</v>
      </c>
      <c r="D149">
        <v>4</v>
      </c>
      <c r="E149">
        <v>5</v>
      </c>
      <c r="F149">
        <v>2</v>
      </c>
      <c r="G149">
        <v>3</v>
      </c>
      <c r="H149">
        <v>2</v>
      </c>
      <c r="I149">
        <v>87</v>
      </c>
      <c r="J149">
        <v>45</v>
      </c>
      <c r="K149">
        <v>47</v>
      </c>
      <c r="L149">
        <v>75</v>
      </c>
      <c r="M149">
        <v>51</v>
      </c>
    </row>
    <row r="150" spans="1:13" x14ac:dyDescent="0.25">
      <c r="A150" s="1" t="s">
        <v>236</v>
      </c>
      <c r="B150" s="1" t="s">
        <v>90</v>
      </c>
      <c r="C150">
        <v>8</v>
      </c>
      <c r="D150">
        <v>3</v>
      </c>
      <c r="E150">
        <v>6</v>
      </c>
      <c r="F150">
        <v>3</v>
      </c>
      <c r="G150">
        <v>6</v>
      </c>
      <c r="H150">
        <v>2</v>
      </c>
      <c r="I150">
        <v>84</v>
      </c>
      <c r="J150">
        <v>77</v>
      </c>
      <c r="K150">
        <v>71</v>
      </c>
      <c r="L150">
        <v>71</v>
      </c>
      <c r="M150">
        <v>9</v>
      </c>
    </row>
    <row r="151" spans="1:13" x14ac:dyDescent="0.25">
      <c r="A151" s="1" t="s">
        <v>237</v>
      </c>
      <c r="B151" s="1" t="s">
        <v>90</v>
      </c>
      <c r="C151">
        <v>1</v>
      </c>
      <c r="D151">
        <v>2</v>
      </c>
      <c r="E151">
        <v>4</v>
      </c>
      <c r="F151">
        <v>4</v>
      </c>
      <c r="G151">
        <v>5</v>
      </c>
      <c r="H151">
        <v>5</v>
      </c>
      <c r="I151">
        <v>20</v>
      </c>
      <c r="J151">
        <v>93</v>
      </c>
      <c r="K151">
        <v>68</v>
      </c>
      <c r="L151">
        <v>58</v>
      </c>
      <c r="M151">
        <v>23</v>
      </c>
    </row>
    <row r="152" spans="1:13" x14ac:dyDescent="0.25">
      <c r="A152" s="1" t="s">
        <v>238</v>
      </c>
      <c r="B152" s="1" t="s">
        <v>239</v>
      </c>
      <c r="C152">
        <v>7</v>
      </c>
      <c r="D152">
        <v>5</v>
      </c>
      <c r="E152">
        <v>6</v>
      </c>
      <c r="F152">
        <v>6</v>
      </c>
      <c r="G152">
        <v>2</v>
      </c>
      <c r="H152">
        <v>5</v>
      </c>
      <c r="I152">
        <v>80</v>
      </c>
      <c r="J152">
        <v>90</v>
      </c>
      <c r="K152">
        <v>62</v>
      </c>
      <c r="L152">
        <v>97</v>
      </c>
      <c r="M152">
        <v>3</v>
      </c>
    </row>
    <row r="153" spans="1:13" x14ac:dyDescent="0.25">
      <c r="A153" s="1" t="s">
        <v>240</v>
      </c>
      <c r="B153" s="1" t="s">
        <v>232</v>
      </c>
      <c r="C153">
        <v>6</v>
      </c>
      <c r="D153">
        <v>6</v>
      </c>
      <c r="E153">
        <v>6</v>
      </c>
      <c r="F153">
        <v>4</v>
      </c>
      <c r="G153">
        <v>4</v>
      </c>
      <c r="H153">
        <v>5</v>
      </c>
      <c r="I153">
        <v>77</v>
      </c>
      <c r="J153">
        <v>40</v>
      </c>
      <c r="K153">
        <v>93</v>
      </c>
      <c r="L153">
        <v>80</v>
      </c>
      <c r="M153">
        <v>71</v>
      </c>
    </row>
    <row r="154" spans="1:13" x14ac:dyDescent="0.25">
      <c r="A154" s="1" t="s">
        <v>241</v>
      </c>
      <c r="B154" s="1" t="s">
        <v>242</v>
      </c>
      <c r="C154">
        <v>4</v>
      </c>
      <c r="D154">
        <v>6</v>
      </c>
      <c r="E154">
        <v>5</v>
      </c>
      <c r="F154">
        <v>3</v>
      </c>
      <c r="G154">
        <v>5</v>
      </c>
      <c r="H154">
        <v>4</v>
      </c>
      <c r="I154">
        <v>65</v>
      </c>
      <c r="J154">
        <v>34</v>
      </c>
      <c r="K154">
        <v>51</v>
      </c>
      <c r="L154">
        <v>38</v>
      </c>
      <c r="M154">
        <v>65</v>
      </c>
    </row>
    <row r="155" spans="1:13" x14ac:dyDescent="0.25">
      <c r="A155" s="1" t="s">
        <v>243</v>
      </c>
      <c r="B155" s="1" t="s">
        <v>244</v>
      </c>
      <c r="C155">
        <v>0</v>
      </c>
      <c r="D155">
        <v>6</v>
      </c>
      <c r="E155">
        <v>4</v>
      </c>
      <c r="F155">
        <v>3</v>
      </c>
      <c r="G155">
        <v>3</v>
      </c>
      <c r="H155">
        <v>2</v>
      </c>
      <c r="I155">
        <v>62</v>
      </c>
      <c r="J155">
        <v>62</v>
      </c>
      <c r="K155">
        <v>86</v>
      </c>
      <c r="L155">
        <v>10</v>
      </c>
      <c r="M155">
        <v>2</v>
      </c>
    </row>
    <row r="156" spans="1:13" x14ac:dyDescent="0.25">
      <c r="A156" s="1" t="s">
        <v>245</v>
      </c>
      <c r="B156" s="1" t="s">
        <v>246</v>
      </c>
      <c r="C156">
        <v>8</v>
      </c>
      <c r="D156">
        <v>5</v>
      </c>
      <c r="E156">
        <v>4</v>
      </c>
      <c r="F156">
        <v>2</v>
      </c>
      <c r="G156">
        <v>4</v>
      </c>
      <c r="H156">
        <v>2</v>
      </c>
      <c r="I156">
        <v>70</v>
      </c>
      <c r="J156">
        <v>4</v>
      </c>
      <c r="K156">
        <v>92</v>
      </c>
      <c r="L156">
        <v>91</v>
      </c>
      <c r="M156">
        <v>21</v>
      </c>
    </row>
    <row r="157" spans="1:13" x14ac:dyDescent="0.25">
      <c r="A157" s="1" t="s">
        <v>247</v>
      </c>
      <c r="B157" s="1" t="s">
        <v>164</v>
      </c>
      <c r="C157">
        <v>1</v>
      </c>
      <c r="D157">
        <v>2</v>
      </c>
      <c r="E157">
        <v>6</v>
      </c>
      <c r="F157">
        <v>5</v>
      </c>
      <c r="G157">
        <v>6</v>
      </c>
      <c r="H157">
        <v>4</v>
      </c>
      <c r="I157">
        <v>66</v>
      </c>
      <c r="J157">
        <v>78</v>
      </c>
      <c r="K157">
        <v>26</v>
      </c>
      <c r="L157">
        <v>98</v>
      </c>
      <c r="M157">
        <v>56</v>
      </c>
    </row>
    <row r="158" spans="1:13" x14ac:dyDescent="0.25">
      <c r="A158" s="1" t="s">
        <v>248</v>
      </c>
      <c r="B158" s="1" t="s">
        <v>249</v>
      </c>
      <c r="C158">
        <v>3</v>
      </c>
      <c r="D158">
        <v>4</v>
      </c>
      <c r="E158">
        <v>6</v>
      </c>
      <c r="F158">
        <v>2</v>
      </c>
      <c r="G158">
        <v>2</v>
      </c>
      <c r="H158">
        <v>5</v>
      </c>
      <c r="I158">
        <v>54</v>
      </c>
      <c r="J158">
        <v>12</v>
      </c>
      <c r="K158">
        <v>13</v>
      </c>
      <c r="L158">
        <v>21</v>
      </c>
      <c r="M158">
        <v>24</v>
      </c>
    </row>
    <row r="159" spans="1:13" x14ac:dyDescent="0.25">
      <c r="A159" s="1" t="s">
        <v>250</v>
      </c>
      <c r="B159" s="1" t="s">
        <v>251</v>
      </c>
      <c r="C159">
        <v>6</v>
      </c>
      <c r="D159">
        <v>2</v>
      </c>
      <c r="E159">
        <v>3</v>
      </c>
      <c r="F159">
        <v>3</v>
      </c>
      <c r="G159">
        <v>3</v>
      </c>
      <c r="H159">
        <v>6</v>
      </c>
      <c r="I159">
        <v>27</v>
      </c>
      <c r="J159">
        <v>2</v>
      </c>
      <c r="K159">
        <v>84</v>
      </c>
      <c r="L159">
        <v>100</v>
      </c>
      <c r="M159">
        <v>27</v>
      </c>
    </row>
    <row r="160" spans="1:13" x14ac:dyDescent="0.25">
      <c r="A160" s="1" t="s">
        <v>252</v>
      </c>
      <c r="B160" s="1" t="s">
        <v>253</v>
      </c>
      <c r="C160">
        <v>1</v>
      </c>
      <c r="D160">
        <v>4</v>
      </c>
      <c r="E160">
        <v>6</v>
      </c>
      <c r="F160">
        <v>6</v>
      </c>
      <c r="G160">
        <v>2</v>
      </c>
      <c r="H160">
        <v>3</v>
      </c>
      <c r="I160">
        <v>43</v>
      </c>
      <c r="J160">
        <v>77</v>
      </c>
      <c r="K160">
        <v>31</v>
      </c>
      <c r="L160">
        <v>88</v>
      </c>
      <c r="M160">
        <v>67</v>
      </c>
    </row>
    <row r="161" spans="1:13" x14ac:dyDescent="0.25">
      <c r="A161" s="1" t="s">
        <v>254</v>
      </c>
      <c r="B161" s="1" t="s">
        <v>28</v>
      </c>
      <c r="C161">
        <v>3</v>
      </c>
      <c r="D161">
        <v>6</v>
      </c>
      <c r="E161">
        <v>6</v>
      </c>
      <c r="F161">
        <v>4</v>
      </c>
      <c r="G161">
        <v>3</v>
      </c>
      <c r="H161">
        <v>6</v>
      </c>
      <c r="I161">
        <v>63</v>
      </c>
      <c r="J161">
        <v>36</v>
      </c>
      <c r="K161">
        <v>68</v>
      </c>
      <c r="L161">
        <v>19</v>
      </c>
      <c r="M161">
        <v>39</v>
      </c>
    </row>
    <row r="162" spans="1:13" x14ac:dyDescent="0.25">
      <c r="A162" s="1" t="s">
        <v>255</v>
      </c>
      <c r="B162" s="1" t="s">
        <v>222</v>
      </c>
      <c r="C162">
        <v>1</v>
      </c>
      <c r="D162">
        <v>2</v>
      </c>
      <c r="E162">
        <v>6</v>
      </c>
      <c r="F162">
        <v>4</v>
      </c>
      <c r="G162">
        <v>2</v>
      </c>
      <c r="H162">
        <v>2</v>
      </c>
      <c r="I162">
        <v>32</v>
      </c>
      <c r="J162">
        <v>18</v>
      </c>
      <c r="K162">
        <v>1</v>
      </c>
      <c r="L162">
        <v>56</v>
      </c>
      <c r="M162">
        <v>7</v>
      </c>
    </row>
    <row r="163" spans="1:13" x14ac:dyDescent="0.25">
      <c r="A163" s="1" t="s">
        <v>256</v>
      </c>
      <c r="B163" s="1" t="s">
        <v>78</v>
      </c>
      <c r="C163">
        <v>4</v>
      </c>
      <c r="D163">
        <v>3</v>
      </c>
      <c r="E163">
        <v>3</v>
      </c>
      <c r="F163">
        <v>2</v>
      </c>
      <c r="G163">
        <v>6</v>
      </c>
      <c r="H163">
        <v>2</v>
      </c>
      <c r="I163">
        <v>60</v>
      </c>
      <c r="J163">
        <v>64</v>
      </c>
      <c r="K163">
        <v>100</v>
      </c>
      <c r="L163">
        <v>38</v>
      </c>
      <c r="M163">
        <v>70</v>
      </c>
    </row>
    <row r="164" spans="1:13" x14ac:dyDescent="0.25">
      <c r="A164" s="1" t="s">
        <v>257</v>
      </c>
      <c r="B164" s="1" t="s">
        <v>20</v>
      </c>
      <c r="C164">
        <v>0</v>
      </c>
      <c r="D164">
        <v>6</v>
      </c>
      <c r="E164">
        <v>6</v>
      </c>
      <c r="F164">
        <v>5</v>
      </c>
      <c r="G164">
        <v>3</v>
      </c>
      <c r="H164">
        <v>2</v>
      </c>
      <c r="I164">
        <v>39</v>
      </c>
      <c r="J164">
        <v>66</v>
      </c>
      <c r="K164">
        <v>84</v>
      </c>
      <c r="L164">
        <v>47</v>
      </c>
      <c r="M164">
        <v>21</v>
      </c>
    </row>
    <row r="165" spans="1:13" x14ac:dyDescent="0.25">
      <c r="A165" s="1" t="s">
        <v>258</v>
      </c>
      <c r="B165" s="1" t="s">
        <v>180</v>
      </c>
      <c r="C165">
        <v>2</v>
      </c>
      <c r="D165">
        <v>2</v>
      </c>
      <c r="E165">
        <v>5</v>
      </c>
      <c r="F165">
        <v>2</v>
      </c>
      <c r="G165">
        <v>3</v>
      </c>
      <c r="H165">
        <v>3</v>
      </c>
      <c r="I165">
        <v>11</v>
      </c>
      <c r="J165">
        <v>88</v>
      </c>
      <c r="K165">
        <v>90</v>
      </c>
      <c r="L165">
        <v>20</v>
      </c>
      <c r="M165">
        <v>65</v>
      </c>
    </row>
    <row r="166" spans="1:13" x14ac:dyDescent="0.25">
      <c r="A166" s="1" t="s">
        <v>259</v>
      </c>
      <c r="B166" s="1" t="s">
        <v>260</v>
      </c>
      <c r="C166">
        <v>2</v>
      </c>
      <c r="D166">
        <v>5</v>
      </c>
      <c r="E166">
        <v>5</v>
      </c>
      <c r="F166">
        <v>2</v>
      </c>
      <c r="G166">
        <v>6</v>
      </c>
      <c r="H166">
        <v>2</v>
      </c>
      <c r="I166">
        <v>79</v>
      </c>
      <c r="J166">
        <v>66</v>
      </c>
      <c r="K166">
        <v>91</v>
      </c>
      <c r="L166">
        <v>30</v>
      </c>
      <c r="M166">
        <v>90</v>
      </c>
    </row>
    <row r="167" spans="1:13" x14ac:dyDescent="0.25">
      <c r="A167" s="1" t="s">
        <v>261</v>
      </c>
      <c r="B167" s="1" t="s">
        <v>218</v>
      </c>
      <c r="C167">
        <v>5</v>
      </c>
      <c r="D167">
        <v>3</v>
      </c>
      <c r="E167">
        <v>6</v>
      </c>
      <c r="F167">
        <v>3</v>
      </c>
      <c r="G167">
        <v>3</v>
      </c>
      <c r="H167">
        <v>5</v>
      </c>
      <c r="I167">
        <v>15</v>
      </c>
      <c r="J167">
        <v>21</v>
      </c>
      <c r="K167">
        <v>66</v>
      </c>
      <c r="L167">
        <v>55</v>
      </c>
      <c r="M167">
        <v>90</v>
      </c>
    </row>
    <row r="168" spans="1:13" x14ac:dyDescent="0.25">
      <c r="A168" s="1" t="s">
        <v>262</v>
      </c>
      <c r="B168" s="1" t="s">
        <v>41</v>
      </c>
      <c r="C168">
        <v>4</v>
      </c>
      <c r="D168">
        <v>3</v>
      </c>
      <c r="E168">
        <v>6</v>
      </c>
      <c r="F168">
        <v>6</v>
      </c>
      <c r="G168">
        <v>4</v>
      </c>
      <c r="H168">
        <v>4</v>
      </c>
      <c r="I168">
        <v>15</v>
      </c>
      <c r="J168">
        <v>36</v>
      </c>
      <c r="K168">
        <v>51</v>
      </c>
      <c r="L168">
        <v>10</v>
      </c>
      <c r="M168">
        <v>68</v>
      </c>
    </row>
    <row r="169" spans="1:13" x14ac:dyDescent="0.25">
      <c r="A169" s="1" t="s">
        <v>263</v>
      </c>
      <c r="B169" s="1" t="s">
        <v>78</v>
      </c>
      <c r="C169">
        <v>5</v>
      </c>
      <c r="D169">
        <v>5</v>
      </c>
      <c r="E169">
        <v>6</v>
      </c>
      <c r="F169">
        <v>6</v>
      </c>
      <c r="G169">
        <v>6</v>
      </c>
      <c r="H169">
        <v>6</v>
      </c>
      <c r="I169">
        <v>63</v>
      </c>
      <c r="J169">
        <v>88</v>
      </c>
      <c r="K169">
        <v>72</v>
      </c>
      <c r="L169">
        <v>90</v>
      </c>
      <c r="M169">
        <v>83</v>
      </c>
    </row>
    <row r="170" spans="1:13" x14ac:dyDescent="0.25">
      <c r="A170" s="1" t="s">
        <v>264</v>
      </c>
      <c r="B170" s="1" t="s">
        <v>246</v>
      </c>
      <c r="C170">
        <v>8</v>
      </c>
      <c r="D170">
        <v>3</v>
      </c>
      <c r="E170">
        <v>5</v>
      </c>
      <c r="F170">
        <v>5</v>
      </c>
      <c r="G170">
        <v>5</v>
      </c>
      <c r="H170">
        <v>6</v>
      </c>
      <c r="I170">
        <v>55</v>
      </c>
      <c r="J170">
        <v>10</v>
      </c>
      <c r="K170">
        <v>80</v>
      </c>
      <c r="L170">
        <v>8</v>
      </c>
      <c r="M170">
        <v>78</v>
      </c>
    </row>
    <row r="171" spans="1:13" x14ac:dyDescent="0.25">
      <c r="A171" s="1" t="s">
        <v>265</v>
      </c>
      <c r="B171" s="1" t="s">
        <v>16</v>
      </c>
      <c r="C171">
        <v>7</v>
      </c>
      <c r="D171">
        <v>3</v>
      </c>
      <c r="E171">
        <v>5</v>
      </c>
      <c r="F171">
        <v>4</v>
      </c>
      <c r="G171">
        <v>5</v>
      </c>
      <c r="H171">
        <v>6</v>
      </c>
      <c r="I171">
        <v>24</v>
      </c>
      <c r="J171">
        <v>82</v>
      </c>
      <c r="K171">
        <v>37</v>
      </c>
      <c r="L171">
        <v>7</v>
      </c>
      <c r="M171">
        <v>12</v>
      </c>
    </row>
    <row r="172" spans="1:13" x14ac:dyDescent="0.25">
      <c r="A172" s="1" t="s">
        <v>266</v>
      </c>
      <c r="B172" s="1" t="s">
        <v>199</v>
      </c>
      <c r="C172">
        <v>0</v>
      </c>
      <c r="D172">
        <v>2</v>
      </c>
      <c r="E172">
        <v>3</v>
      </c>
      <c r="F172">
        <v>4</v>
      </c>
      <c r="G172">
        <v>6</v>
      </c>
      <c r="H172">
        <v>6</v>
      </c>
      <c r="I172">
        <v>19</v>
      </c>
      <c r="J172">
        <v>82</v>
      </c>
      <c r="K172">
        <v>75</v>
      </c>
      <c r="L172">
        <v>35</v>
      </c>
      <c r="M172">
        <v>75</v>
      </c>
    </row>
    <row r="173" spans="1:13" x14ac:dyDescent="0.25">
      <c r="A173" s="1" t="s">
        <v>267</v>
      </c>
      <c r="B173" s="1" t="s">
        <v>239</v>
      </c>
      <c r="C173">
        <v>5</v>
      </c>
      <c r="D173">
        <v>3</v>
      </c>
      <c r="E173">
        <v>5</v>
      </c>
      <c r="F173">
        <v>3</v>
      </c>
      <c r="G173">
        <v>3</v>
      </c>
      <c r="H173">
        <v>2</v>
      </c>
      <c r="I173">
        <v>33</v>
      </c>
      <c r="J173">
        <v>10</v>
      </c>
      <c r="K173">
        <v>92</v>
      </c>
      <c r="L173">
        <v>74</v>
      </c>
      <c r="M173">
        <v>79</v>
      </c>
    </row>
    <row r="174" spans="1:13" x14ac:dyDescent="0.25">
      <c r="A174" s="1" t="s">
        <v>268</v>
      </c>
      <c r="B174" s="1" t="s">
        <v>101</v>
      </c>
      <c r="C174">
        <v>4</v>
      </c>
      <c r="D174">
        <v>5</v>
      </c>
      <c r="E174">
        <v>5</v>
      </c>
      <c r="F174">
        <v>3</v>
      </c>
      <c r="G174">
        <v>4</v>
      </c>
      <c r="H174">
        <v>4</v>
      </c>
      <c r="I174">
        <v>94</v>
      </c>
      <c r="J174">
        <v>21</v>
      </c>
      <c r="K174">
        <v>58</v>
      </c>
      <c r="L174">
        <v>60</v>
      </c>
      <c r="M174">
        <v>36</v>
      </c>
    </row>
    <row r="175" spans="1:13" x14ac:dyDescent="0.25">
      <c r="A175" s="1" t="s">
        <v>269</v>
      </c>
      <c r="B175" s="1" t="s">
        <v>205</v>
      </c>
      <c r="C175">
        <v>1</v>
      </c>
      <c r="D175">
        <v>2</v>
      </c>
      <c r="E175">
        <v>6</v>
      </c>
      <c r="F175">
        <v>4</v>
      </c>
      <c r="G175">
        <v>6</v>
      </c>
      <c r="H175">
        <v>5</v>
      </c>
      <c r="I175">
        <v>5</v>
      </c>
      <c r="J175">
        <v>79</v>
      </c>
      <c r="K175">
        <v>31</v>
      </c>
      <c r="L175">
        <v>60</v>
      </c>
      <c r="M175">
        <v>44</v>
      </c>
    </row>
    <row r="176" spans="1:13" x14ac:dyDescent="0.25">
      <c r="A176" s="1" t="s">
        <v>270</v>
      </c>
      <c r="B176" s="1" t="s">
        <v>210</v>
      </c>
      <c r="C176">
        <v>0</v>
      </c>
      <c r="D176">
        <v>4</v>
      </c>
      <c r="E176">
        <v>4</v>
      </c>
      <c r="F176">
        <v>6</v>
      </c>
      <c r="G176">
        <v>4</v>
      </c>
      <c r="H176">
        <v>4</v>
      </c>
      <c r="I176">
        <v>60</v>
      </c>
      <c r="J176">
        <v>36</v>
      </c>
      <c r="K176">
        <v>6</v>
      </c>
      <c r="L176">
        <v>48</v>
      </c>
      <c r="M176">
        <v>31</v>
      </c>
    </row>
    <row r="177" spans="1:13" x14ac:dyDescent="0.25">
      <c r="A177" s="1" t="s">
        <v>271</v>
      </c>
      <c r="B177" s="1" t="s">
        <v>30</v>
      </c>
      <c r="C177">
        <v>6</v>
      </c>
      <c r="D177">
        <v>3</v>
      </c>
      <c r="E177">
        <v>2</v>
      </c>
      <c r="F177">
        <v>2</v>
      </c>
      <c r="G177">
        <v>6</v>
      </c>
      <c r="H177">
        <v>6</v>
      </c>
      <c r="I177">
        <v>47</v>
      </c>
      <c r="J177">
        <v>36</v>
      </c>
      <c r="K177">
        <v>64</v>
      </c>
      <c r="L177">
        <v>67</v>
      </c>
      <c r="M177">
        <v>13</v>
      </c>
    </row>
    <row r="178" spans="1:13" x14ac:dyDescent="0.25">
      <c r="A178" s="1" t="s">
        <v>272</v>
      </c>
      <c r="B178" s="1" t="s">
        <v>273</v>
      </c>
      <c r="C178">
        <v>0</v>
      </c>
      <c r="D178">
        <v>5</v>
      </c>
      <c r="E178">
        <v>5</v>
      </c>
      <c r="F178">
        <v>3</v>
      </c>
      <c r="G178">
        <v>3</v>
      </c>
      <c r="H178">
        <v>4</v>
      </c>
      <c r="I178">
        <v>92</v>
      </c>
      <c r="J178">
        <v>58</v>
      </c>
      <c r="K178">
        <v>73</v>
      </c>
      <c r="L178">
        <v>53</v>
      </c>
      <c r="M178">
        <v>68</v>
      </c>
    </row>
    <row r="179" spans="1:13" x14ac:dyDescent="0.25">
      <c r="A179" s="1" t="s">
        <v>274</v>
      </c>
      <c r="B179" s="1" t="s">
        <v>16</v>
      </c>
      <c r="C179">
        <v>3</v>
      </c>
      <c r="D179">
        <v>5</v>
      </c>
      <c r="E179">
        <v>4</v>
      </c>
      <c r="F179">
        <v>6</v>
      </c>
      <c r="G179">
        <v>6</v>
      </c>
      <c r="H179">
        <v>4</v>
      </c>
      <c r="I179">
        <v>70</v>
      </c>
      <c r="J179">
        <v>3</v>
      </c>
      <c r="K179">
        <v>92</v>
      </c>
      <c r="L179">
        <v>40</v>
      </c>
      <c r="M179">
        <v>41</v>
      </c>
    </row>
    <row r="180" spans="1:13" x14ac:dyDescent="0.25">
      <c r="A180" s="1" t="s">
        <v>275</v>
      </c>
      <c r="B180" s="1" t="s">
        <v>126</v>
      </c>
      <c r="C180">
        <v>5</v>
      </c>
      <c r="D180">
        <v>2</v>
      </c>
      <c r="E180">
        <v>4</v>
      </c>
      <c r="F180">
        <v>6</v>
      </c>
      <c r="G180">
        <v>5</v>
      </c>
      <c r="H180">
        <v>3</v>
      </c>
      <c r="I180">
        <v>78</v>
      </c>
      <c r="J180">
        <v>78</v>
      </c>
      <c r="K180">
        <v>90</v>
      </c>
      <c r="L180">
        <v>83</v>
      </c>
      <c r="M180">
        <v>63</v>
      </c>
    </row>
    <row r="181" spans="1:13" x14ac:dyDescent="0.25">
      <c r="A181" s="1" t="s">
        <v>276</v>
      </c>
      <c r="B181" s="1" t="s">
        <v>180</v>
      </c>
      <c r="C181">
        <v>0</v>
      </c>
      <c r="D181">
        <v>6</v>
      </c>
      <c r="E181">
        <v>5</v>
      </c>
      <c r="F181">
        <v>6</v>
      </c>
      <c r="G181">
        <v>6</v>
      </c>
      <c r="H181">
        <v>6</v>
      </c>
      <c r="I181">
        <v>43</v>
      </c>
      <c r="J181">
        <v>3</v>
      </c>
      <c r="K181">
        <v>56</v>
      </c>
      <c r="L181">
        <v>52</v>
      </c>
      <c r="M181">
        <v>41</v>
      </c>
    </row>
    <row r="182" spans="1:13" x14ac:dyDescent="0.25">
      <c r="A182" s="1" t="s">
        <v>277</v>
      </c>
      <c r="B182" s="1" t="s">
        <v>161</v>
      </c>
      <c r="C182">
        <v>1</v>
      </c>
      <c r="D182">
        <v>4</v>
      </c>
      <c r="E182">
        <v>4</v>
      </c>
      <c r="F182">
        <v>3</v>
      </c>
      <c r="G182">
        <v>6</v>
      </c>
      <c r="H182">
        <v>6</v>
      </c>
      <c r="I182">
        <v>33</v>
      </c>
      <c r="J182">
        <v>38</v>
      </c>
      <c r="K182">
        <v>27</v>
      </c>
      <c r="L182">
        <v>60</v>
      </c>
      <c r="M182">
        <v>80</v>
      </c>
    </row>
    <row r="183" spans="1:13" x14ac:dyDescent="0.25">
      <c r="A183" s="1" t="s">
        <v>278</v>
      </c>
      <c r="B183" s="1" t="s">
        <v>279</v>
      </c>
      <c r="C183">
        <v>5</v>
      </c>
      <c r="D183">
        <v>6</v>
      </c>
      <c r="E183">
        <v>2</v>
      </c>
      <c r="F183">
        <v>5</v>
      </c>
      <c r="G183">
        <v>5</v>
      </c>
      <c r="H183">
        <v>5</v>
      </c>
      <c r="I183">
        <v>80</v>
      </c>
      <c r="J183">
        <v>54</v>
      </c>
      <c r="K183">
        <v>22</v>
      </c>
      <c r="L183">
        <v>26</v>
      </c>
      <c r="M183">
        <v>62</v>
      </c>
    </row>
    <row r="184" spans="1:13" x14ac:dyDescent="0.25">
      <c r="A184" s="1" t="s">
        <v>280</v>
      </c>
      <c r="B184" s="1" t="s">
        <v>159</v>
      </c>
      <c r="C184">
        <v>6</v>
      </c>
      <c r="D184">
        <v>6</v>
      </c>
      <c r="E184">
        <v>2</v>
      </c>
      <c r="F184">
        <v>4</v>
      </c>
      <c r="G184">
        <v>5</v>
      </c>
      <c r="H184">
        <v>2</v>
      </c>
      <c r="I184">
        <v>34</v>
      </c>
      <c r="J184">
        <v>92</v>
      </c>
      <c r="K184">
        <v>51</v>
      </c>
      <c r="L184">
        <v>32</v>
      </c>
      <c r="M184">
        <v>80</v>
      </c>
    </row>
    <row r="185" spans="1:13" x14ac:dyDescent="0.25">
      <c r="A185" s="1" t="s">
        <v>281</v>
      </c>
      <c r="B185" s="1" t="s">
        <v>41</v>
      </c>
      <c r="C185">
        <v>8</v>
      </c>
      <c r="D185">
        <v>2</v>
      </c>
      <c r="E185">
        <v>4</v>
      </c>
      <c r="F185">
        <v>2</v>
      </c>
      <c r="G185">
        <v>6</v>
      </c>
      <c r="H185">
        <v>5</v>
      </c>
      <c r="I185">
        <v>17</v>
      </c>
      <c r="J185">
        <v>29</v>
      </c>
      <c r="K185">
        <v>83</v>
      </c>
      <c r="L185">
        <v>9</v>
      </c>
      <c r="M185">
        <v>54</v>
      </c>
    </row>
    <row r="186" spans="1:13" x14ac:dyDescent="0.25">
      <c r="A186" s="1" t="s">
        <v>282</v>
      </c>
      <c r="B186" s="1" t="s">
        <v>41</v>
      </c>
      <c r="C186">
        <v>1</v>
      </c>
      <c r="D186">
        <v>5</v>
      </c>
      <c r="E186">
        <v>6</v>
      </c>
      <c r="F186">
        <v>4</v>
      </c>
      <c r="G186">
        <v>3</v>
      </c>
      <c r="H186">
        <v>2</v>
      </c>
      <c r="I186">
        <v>14</v>
      </c>
      <c r="J186">
        <v>49</v>
      </c>
      <c r="K186">
        <v>64</v>
      </c>
      <c r="L186">
        <v>36</v>
      </c>
      <c r="M186">
        <v>2</v>
      </c>
    </row>
    <row r="187" spans="1:13" x14ac:dyDescent="0.25">
      <c r="A187" s="1" t="s">
        <v>283</v>
      </c>
      <c r="B187" s="1" t="s">
        <v>242</v>
      </c>
      <c r="C187">
        <v>6</v>
      </c>
      <c r="D187">
        <v>6</v>
      </c>
      <c r="E187">
        <v>3</v>
      </c>
      <c r="F187">
        <v>6</v>
      </c>
      <c r="G187">
        <v>2</v>
      </c>
      <c r="H187">
        <v>3</v>
      </c>
      <c r="I187">
        <v>27</v>
      </c>
      <c r="J187">
        <v>64</v>
      </c>
      <c r="K187">
        <v>47</v>
      </c>
      <c r="L187">
        <v>11</v>
      </c>
      <c r="M187">
        <v>24</v>
      </c>
    </row>
    <row r="188" spans="1:13" x14ac:dyDescent="0.25">
      <c r="A188" s="1" t="s">
        <v>284</v>
      </c>
      <c r="B188" s="1" t="s">
        <v>166</v>
      </c>
      <c r="C188">
        <v>3</v>
      </c>
      <c r="D188">
        <v>5</v>
      </c>
      <c r="E188">
        <v>3</v>
      </c>
      <c r="F188">
        <v>2</v>
      </c>
      <c r="G188">
        <v>6</v>
      </c>
      <c r="H188">
        <v>6</v>
      </c>
      <c r="I188">
        <v>77</v>
      </c>
      <c r="J188">
        <v>9</v>
      </c>
      <c r="K188">
        <v>73</v>
      </c>
      <c r="L188">
        <v>35</v>
      </c>
      <c r="M188">
        <v>96</v>
      </c>
    </row>
    <row r="189" spans="1:13" x14ac:dyDescent="0.25">
      <c r="A189" s="1" t="s">
        <v>285</v>
      </c>
      <c r="B189" s="1" t="s">
        <v>286</v>
      </c>
      <c r="C189">
        <v>2</v>
      </c>
      <c r="D189">
        <v>5</v>
      </c>
      <c r="E189">
        <v>4</v>
      </c>
      <c r="F189">
        <v>4</v>
      </c>
      <c r="G189">
        <v>2</v>
      </c>
      <c r="H189">
        <v>5</v>
      </c>
      <c r="I189">
        <v>46</v>
      </c>
      <c r="J189">
        <v>15</v>
      </c>
      <c r="K189">
        <v>67</v>
      </c>
      <c r="L189">
        <v>56</v>
      </c>
      <c r="M189">
        <v>9</v>
      </c>
    </row>
    <row r="190" spans="1:13" x14ac:dyDescent="0.25">
      <c r="A190" s="1" t="s">
        <v>287</v>
      </c>
      <c r="B190" s="1" t="s">
        <v>288</v>
      </c>
      <c r="C190">
        <v>3</v>
      </c>
      <c r="D190">
        <v>4</v>
      </c>
      <c r="E190">
        <v>6</v>
      </c>
      <c r="F190">
        <v>3</v>
      </c>
      <c r="G190">
        <v>2</v>
      </c>
      <c r="H190">
        <v>2</v>
      </c>
      <c r="I190">
        <v>79</v>
      </c>
      <c r="J190">
        <v>70</v>
      </c>
      <c r="K190">
        <v>42</v>
      </c>
      <c r="L190">
        <v>36</v>
      </c>
      <c r="M190">
        <v>76</v>
      </c>
    </row>
    <row r="191" spans="1:13" x14ac:dyDescent="0.25">
      <c r="A191" s="1" t="s">
        <v>289</v>
      </c>
      <c r="B191" s="1" t="s">
        <v>30</v>
      </c>
      <c r="C191">
        <v>3</v>
      </c>
      <c r="D191">
        <v>6</v>
      </c>
      <c r="E191">
        <v>3</v>
      </c>
      <c r="F191">
        <v>6</v>
      </c>
      <c r="G191">
        <v>2</v>
      </c>
      <c r="H191">
        <v>5</v>
      </c>
      <c r="I191">
        <v>25</v>
      </c>
      <c r="J191">
        <v>78</v>
      </c>
      <c r="K191">
        <v>36</v>
      </c>
      <c r="L191">
        <v>67</v>
      </c>
      <c r="M191">
        <v>37</v>
      </c>
    </row>
    <row r="192" spans="1:13" x14ac:dyDescent="0.25">
      <c r="A192" s="1" t="s">
        <v>290</v>
      </c>
      <c r="B192" s="1" t="s">
        <v>78</v>
      </c>
      <c r="C192">
        <v>4</v>
      </c>
      <c r="D192">
        <v>5</v>
      </c>
      <c r="E192">
        <v>4</v>
      </c>
      <c r="F192">
        <v>6</v>
      </c>
      <c r="G192">
        <v>5</v>
      </c>
      <c r="H192">
        <v>2</v>
      </c>
      <c r="I192">
        <v>53</v>
      </c>
      <c r="J192">
        <v>61</v>
      </c>
      <c r="K192">
        <v>85</v>
      </c>
      <c r="L192">
        <v>8</v>
      </c>
      <c r="M192">
        <v>76</v>
      </c>
    </row>
    <row r="193" spans="1:13" x14ac:dyDescent="0.25">
      <c r="A193" s="1" t="s">
        <v>264</v>
      </c>
      <c r="B193" s="1" t="s">
        <v>246</v>
      </c>
      <c r="C193">
        <v>7</v>
      </c>
      <c r="D193">
        <v>2</v>
      </c>
      <c r="E193">
        <v>4</v>
      </c>
      <c r="F193">
        <v>3</v>
      </c>
      <c r="G193">
        <v>6</v>
      </c>
      <c r="H193">
        <v>3</v>
      </c>
      <c r="I193">
        <v>13</v>
      </c>
      <c r="J193">
        <v>89</v>
      </c>
      <c r="K193">
        <v>20</v>
      </c>
      <c r="L193">
        <v>2</v>
      </c>
      <c r="M193">
        <v>36</v>
      </c>
    </row>
    <row r="194" spans="1:13" x14ac:dyDescent="0.25">
      <c r="A194" s="1" t="s">
        <v>291</v>
      </c>
      <c r="B194" s="1" t="s">
        <v>222</v>
      </c>
      <c r="C194">
        <v>3</v>
      </c>
      <c r="D194">
        <v>5</v>
      </c>
      <c r="E194">
        <v>5</v>
      </c>
      <c r="F194">
        <v>2</v>
      </c>
      <c r="G194">
        <v>5</v>
      </c>
      <c r="H194">
        <v>2</v>
      </c>
      <c r="I194">
        <v>25</v>
      </c>
      <c r="J194">
        <v>46</v>
      </c>
      <c r="K194">
        <v>91</v>
      </c>
      <c r="L194">
        <v>75</v>
      </c>
      <c r="M194">
        <v>91</v>
      </c>
    </row>
    <row r="195" spans="1:13" x14ac:dyDescent="0.25">
      <c r="A195" s="1" t="s">
        <v>292</v>
      </c>
      <c r="B195" s="1" t="s">
        <v>225</v>
      </c>
      <c r="C195">
        <v>7</v>
      </c>
      <c r="D195">
        <v>6</v>
      </c>
      <c r="E195">
        <v>4</v>
      </c>
      <c r="F195">
        <v>5</v>
      </c>
      <c r="G195">
        <v>4</v>
      </c>
      <c r="H195">
        <v>6</v>
      </c>
      <c r="I195">
        <v>52</v>
      </c>
      <c r="J195">
        <v>32</v>
      </c>
      <c r="K195">
        <v>57</v>
      </c>
      <c r="L195">
        <v>58</v>
      </c>
      <c r="M195">
        <v>67</v>
      </c>
    </row>
    <row r="196" spans="1:13" x14ac:dyDescent="0.25">
      <c r="A196" s="1" t="s">
        <v>293</v>
      </c>
      <c r="B196" s="1" t="s">
        <v>239</v>
      </c>
      <c r="C196">
        <v>7</v>
      </c>
      <c r="D196">
        <v>6</v>
      </c>
      <c r="E196">
        <v>4</v>
      </c>
      <c r="F196">
        <v>6</v>
      </c>
      <c r="G196">
        <v>6</v>
      </c>
      <c r="H196">
        <v>5</v>
      </c>
      <c r="I196">
        <v>85</v>
      </c>
      <c r="J196">
        <v>37</v>
      </c>
      <c r="K196">
        <v>73</v>
      </c>
      <c r="L196">
        <v>73</v>
      </c>
      <c r="M196">
        <v>19</v>
      </c>
    </row>
    <row r="197" spans="1:13" x14ac:dyDescent="0.25">
      <c r="A197" s="1" t="s">
        <v>294</v>
      </c>
      <c r="B197" s="1" t="s">
        <v>28</v>
      </c>
      <c r="C197">
        <v>8</v>
      </c>
      <c r="D197">
        <v>3</v>
      </c>
      <c r="E197">
        <v>3</v>
      </c>
      <c r="F197">
        <v>4</v>
      </c>
      <c r="G197">
        <v>3</v>
      </c>
      <c r="H197">
        <v>5</v>
      </c>
      <c r="I197">
        <v>96</v>
      </c>
      <c r="J197">
        <v>17</v>
      </c>
      <c r="K197">
        <v>94</v>
      </c>
      <c r="L197">
        <v>90</v>
      </c>
      <c r="M197">
        <v>1</v>
      </c>
    </row>
    <row r="198" spans="1:13" x14ac:dyDescent="0.25">
      <c r="A198" s="1" t="s">
        <v>295</v>
      </c>
      <c r="B198" s="1" t="s">
        <v>180</v>
      </c>
      <c r="C198">
        <v>2</v>
      </c>
      <c r="D198">
        <v>3</v>
      </c>
      <c r="E198">
        <v>6</v>
      </c>
      <c r="F198">
        <v>4</v>
      </c>
      <c r="G198">
        <v>5</v>
      </c>
      <c r="H198">
        <v>6</v>
      </c>
      <c r="I198">
        <v>68</v>
      </c>
      <c r="J198">
        <v>10</v>
      </c>
      <c r="K198">
        <v>64</v>
      </c>
      <c r="L198">
        <v>85</v>
      </c>
      <c r="M198">
        <v>26</v>
      </c>
    </row>
    <row r="199" spans="1:13" x14ac:dyDescent="0.25">
      <c r="A199" s="1" t="s">
        <v>296</v>
      </c>
      <c r="B199" s="1" t="s">
        <v>222</v>
      </c>
      <c r="C199">
        <v>7</v>
      </c>
      <c r="D199">
        <v>2</v>
      </c>
      <c r="E199">
        <v>2</v>
      </c>
      <c r="F199">
        <v>6</v>
      </c>
      <c r="G199">
        <v>5</v>
      </c>
      <c r="H199">
        <v>3</v>
      </c>
      <c r="I199">
        <v>45</v>
      </c>
      <c r="J199">
        <v>81</v>
      </c>
      <c r="K199">
        <v>28</v>
      </c>
      <c r="L199">
        <v>11</v>
      </c>
      <c r="M199">
        <v>25</v>
      </c>
    </row>
    <row r="200" spans="1:13" x14ac:dyDescent="0.25">
      <c r="A200" s="1" t="s">
        <v>297</v>
      </c>
      <c r="B200" s="1" t="s">
        <v>161</v>
      </c>
      <c r="C200">
        <v>3</v>
      </c>
      <c r="D200">
        <v>2</v>
      </c>
      <c r="E200">
        <v>3</v>
      </c>
      <c r="F200">
        <v>2</v>
      </c>
      <c r="G200">
        <v>5</v>
      </c>
      <c r="H200">
        <v>4</v>
      </c>
      <c r="I200">
        <v>85</v>
      </c>
      <c r="J200">
        <v>28</v>
      </c>
      <c r="K200">
        <v>36</v>
      </c>
      <c r="L200">
        <v>9</v>
      </c>
      <c r="M200">
        <v>95</v>
      </c>
    </row>
    <row r="201" spans="1:13" x14ac:dyDescent="0.25">
      <c r="A201" s="1" t="s">
        <v>298</v>
      </c>
      <c r="B201" s="1" t="s">
        <v>299</v>
      </c>
      <c r="C201">
        <v>4</v>
      </c>
      <c r="D201">
        <v>3</v>
      </c>
      <c r="E201">
        <v>6</v>
      </c>
      <c r="F201">
        <v>4</v>
      </c>
      <c r="G201">
        <v>4</v>
      </c>
      <c r="H201">
        <v>3</v>
      </c>
      <c r="I201">
        <v>48</v>
      </c>
      <c r="J201">
        <v>71</v>
      </c>
      <c r="K201">
        <v>40</v>
      </c>
      <c r="L201">
        <v>67</v>
      </c>
      <c r="M201">
        <v>83</v>
      </c>
    </row>
    <row r="202" spans="1:13" x14ac:dyDescent="0.25">
      <c r="A202" s="1" t="s">
        <v>300</v>
      </c>
      <c r="B202" s="1" t="s">
        <v>242</v>
      </c>
      <c r="C202">
        <v>0</v>
      </c>
      <c r="D202">
        <v>5</v>
      </c>
      <c r="E202">
        <v>6</v>
      </c>
      <c r="F202">
        <v>4</v>
      </c>
      <c r="G202">
        <v>4</v>
      </c>
      <c r="H202">
        <v>5</v>
      </c>
      <c r="I202">
        <v>70</v>
      </c>
      <c r="J202">
        <v>42</v>
      </c>
      <c r="K202">
        <v>47</v>
      </c>
      <c r="L202">
        <v>24</v>
      </c>
      <c r="M202">
        <v>40</v>
      </c>
    </row>
    <row r="203" spans="1:13" x14ac:dyDescent="0.25">
      <c r="A203" s="1" t="s">
        <v>301</v>
      </c>
      <c r="B203" s="1" t="s">
        <v>302</v>
      </c>
      <c r="C203">
        <v>8</v>
      </c>
      <c r="D203">
        <v>4</v>
      </c>
      <c r="E203">
        <v>5</v>
      </c>
      <c r="F203">
        <v>4</v>
      </c>
      <c r="G203">
        <v>4</v>
      </c>
      <c r="H203">
        <v>5</v>
      </c>
      <c r="I203">
        <v>83</v>
      </c>
      <c r="J203">
        <v>18</v>
      </c>
      <c r="K203">
        <v>29</v>
      </c>
      <c r="L203">
        <v>17</v>
      </c>
      <c r="M203">
        <v>9</v>
      </c>
    </row>
    <row r="204" spans="1:13" x14ac:dyDescent="0.25">
      <c r="A204" s="1" t="s">
        <v>303</v>
      </c>
      <c r="B204" s="1" t="s">
        <v>90</v>
      </c>
      <c r="C204">
        <v>1</v>
      </c>
      <c r="D204">
        <v>6</v>
      </c>
      <c r="E204">
        <v>4</v>
      </c>
      <c r="F204">
        <v>6</v>
      </c>
      <c r="G204">
        <v>3</v>
      </c>
      <c r="H204">
        <v>2</v>
      </c>
      <c r="I204">
        <v>48</v>
      </c>
      <c r="J204">
        <v>65</v>
      </c>
      <c r="K204">
        <v>86</v>
      </c>
      <c r="L204">
        <v>18</v>
      </c>
      <c r="M204">
        <v>88</v>
      </c>
    </row>
    <row r="205" spans="1:13" x14ac:dyDescent="0.25">
      <c r="A205" s="1" t="s">
        <v>304</v>
      </c>
      <c r="B205" s="1" t="s">
        <v>70</v>
      </c>
      <c r="C205">
        <v>4</v>
      </c>
      <c r="D205">
        <v>5</v>
      </c>
      <c r="E205">
        <v>3</v>
      </c>
      <c r="F205">
        <v>5</v>
      </c>
      <c r="G205">
        <v>5</v>
      </c>
      <c r="H205">
        <v>2</v>
      </c>
      <c r="I205">
        <v>70</v>
      </c>
      <c r="J205">
        <v>20</v>
      </c>
      <c r="K205">
        <v>38</v>
      </c>
      <c r="L205">
        <v>18</v>
      </c>
      <c r="M205">
        <v>65</v>
      </c>
    </row>
    <row r="206" spans="1:13" x14ac:dyDescent="0.25">
      <c r="A206" s="1" t="s">
        <v>305</v>
      </c>
      <c r="B206" s="1" t="s">
        <v>306</v>
      </c>
      <c r="C206">
        <v>2</v>
      </c>
      <c r="D206">
        <v>2</v>
      </c>
      <c r="E206">
        <v>6</v>
      </c>
      <c r="F206">
        <v>5</v>
      </c>
      <c r="G206">
        <v>2</v>
      </c>
      <c r="H206">
        <v>6</v>
      </c>
      <c r="I206">
        <v>74</v>
      </c>
      <c r="J206">
        <v>61</v>
      </c>
      <c r="K206">
        <v>24</v>
      </c>
      <c r="L206">
        <v>72</v>
      </c>
      <c r="M206">
        <v>41</v>
      </c>
    </row>
    <row r="207" spans="1:13" x14ac:dyDescent="0.25">
      <c r="A207" s="1" t="s">
        <v>125</v>
      </c>
      <c r="B207" s="1" t="s">
        <v>307</v>
      </c>
      <c r="C207">
        <v>2</v>
      </c>
      <c r="D207">
        <v>2</v>
      </c>
      <c r="E207">
        <v>4</v>
      </c>
      <c r="F207">
        <v>4</v>
      </c>
      <c r="G207">
        <v>4</v>
      </c>
      <c r="H207">
        <v>3</v>
      </c>
      <c r="I207">
        <v>18</v>
      </c>
      <c r="J207">
        <v>50</v>
      </c>
      <c r="K207">
        <v>99</v>
      </c>
      <c r="L207">
        <v>35</v>
      </c>
      <c r="M207">
        <v>8</v>
      </c>
    </row>
    <row r="208" spans="1:13" x14ac:dyDescent="0.25">
      <c r="A208" s="1" t="s">
        <v>308</v>
      </c>
      <c r="B208" s="1" t="s">
        <v>166</v>
      </c>
      <c r="C208">
        <v>6</v>
      </c>
      <c r="D208">
        <v>6</v>
      </c>
      <c r="E208">
        <v>4</v>
      </c>
      <c r="F208">
        <v>3</v>
      </c>
      <c r="G208">
        <v>6</v>
      </c>
      <c r="H208">
        <v>2</v>
      </c>
      <c r="I208">
        <v>68</v>
      </c>
      <c r="J208">
        <v>82</v>
      </c>
      <c r="K208">
        <v>74</v>
      </c>
      <c r="L208">
        <v>4</v>
      </c>
      <c r="M208">
        <v>9</v>
      </c>
    </row>
    <row r="209" spans="1:13" x14ac:dyDescent="0.25">
      <c r="A209" s="1" t="s">
        <v>309</v>
      </c>
      <c r="B209" s="1" t="s">
        <v>239</v>
      </c>
      <c r="C209">
        <v>3</v>
      </c>
      <c r="D209">
        <v>4</v>
      </c>
      <c r="E209">
        <v>2</v>
      </c>
      <c r="F209">
        <v>2</v>
      </c>
      <c r="G209">
        <v>6</v>
      </c>
      <c r="H209">
        <v>4</v>
      </c>
      <c r="I209">
        <v>48</v>
      </c>
      <c r="J209">
        <v>56</v>
      </c>
      <c r="K209">
        <v>97</v>
      </c>
      <c r="L209">
        <v>34</v>
      </c>
      <c r="M209">
        <v>50</v>
      </c>
    </row>
    <row r="210" spans="1:13" x14ac:dyDescent="0.25">
      <c r="A210" s="1" t="s">
        <v>310</v>
      </c>
      <c r="B210" s="1" t="s">
        <v>311</v>
      </c>
      <c r="C210">
        <v>2</v>
      </c>
      <c r="D210">
        <v>5</v>
      </c>
      <c r="E210">
        <v>5</v>
      </c>
      <c r="F210">
        <v>5</v>
      </c>
      <c r="G210">
        <v>3</v>
      </c>
      <c r="H210">
        <v>2</v>
      </c>
      <c r="I210">
        <v>69</v>
      </c>
      <c r="J210">
        <v>49</v>
      </c>
      <c r="K210">
        <v>67</v>
      </c>
      <c r="L210">
        <v>20</v>
      </c>
      <c r="M210">
        <v>3</v>
      </c>
    </row>
    <row r="211" spans="1:13" x14ac:dyDescent="0.25">
      <c r="A211" s="1" t="s">
        <v>312</v>
      </c>
      <c r="B211" s="1" t="s">
        <v>313</v>
      </c>
      <c r="C211">
        <v>5</v>
      </c>
      <c r="D211">
        <v>2</v>
      </c>
      <c r="E211">
        <v>4</v>
      </c>
      <c r="F211">
        <v>5</v>
      </c>
      <c r="G211">
        <v>6</v>
      </c>
      <c r="H211">
        <v>4</v>
      </c>
      <c r="I211">
        <v>68</v>
      </c>
      <c r="J211">
        <v>37</v>
      </c>
      <c r="K211">
        <v>91</v>
      </c>
      <c r="L211">
        <v>56</v>
      </c>
      <c r="M211">
        <v>46</v>
      </c>
    </row>
    <row r="212" spans="1:13" x14ac:dyDescent="0.25">
      <c r="A212" s="1" t="s">
        <v>314</v>
      </c>
      <c r="B212" s="1" t="s">
        <v>249</v>
      </c>
      <c r="C212">
        <v>7</v>
      </c>
      <c r="D212">
        <v>2</v>
      </c>
      <c r="E212">
        <v>2</v>
      </c>
      <c r="F212">
        <v>3</v>
      </c>
      <c r="G212">
        <v>6</v>
      </c>
      <c r="H212">
        <v>5</v>
      </c>
      <c r="I212">
        <v>11</v>
      </c>
      <c r="J212">
        <v>6</v>
      </c>
      <c r="K212">
        <v>24</v>
      </c>
      <c r="L212">
        <v>72</v>
      </c>
      <c r="M212">
        <v>17</v>
      </c>
    </row>
    <row r="213" spans="1:13" x14ac:dyDescent="0.25">
      <c r="A213" s="1" t="s">
        <v>315</v>
      </c>
      <c r="B213" s="1" t="s">
        <v>316</v>
      </c>
      <c r="C213">
        <v>2</v>
      </c>
      <c r="D213">
        <v>2</v>
      </c>
      <c r="E213">
        <v>6</v>
      </c>
      <c r="F213">
        <v>2</v>
      </c>
      <c r="G213">
        <v>2</v>
      </c>
      <c r="H213">
        <v>4</v>
      </c>
      <c r="I213">
        <v>13</v>
      </c>
      <c r="J213">
        <v>7</v>
      </c>
      <c r="K213">
        <v>71</v>
      </c>
      <c r="L213">
        <v>64</v>
      </c>
      <c r="M213">
        <v>96</v>
      </c>
    </row>
    <row r="214" spans="1:13" x14ac:dyDescent="0.25">
      <c r="A214" s="1" t="s">
        <v>317</v>
      </c>
      <c r="B214" s="1" t="s">
        <v>232</v>
      </c>
      <c r="C214">
        <v>8</v>
      </c>
      <c r="D214">
        <v>4</v>
      </c>
      <c r="E214">
        <v>5</v>
      </c>
      <c r="F214">
        <v>5</v>
      </c>
      <c r="G214">
        <v>3</v>
      </c>
      <c r="H214">
        <v>4</v>
      </c>
      <c r="I214">
        <v>92</v>
      </c>
      <c r="J214">
        <v>71</v>
      </c>
      <c r="K214">
        <v>26</v>
      </c>
      <c r="L214">
        <v>42</v>
      </c>
      <c r="M214">
        <v>46</v>
      </c>
    </row>
    <row r="215" spans="1:13" x14ac:dyDescent="0.25">
      <c r="A215" s="1" t="s">
        <v>318</v>
      </c>
      <c r="B215" s="1" t="s">
        <v>279</v>
      </c>
      <c r="C215">
        <v>5</v>
      </c>
      <c r="D215">
        <v>6</v>
      </c>
      <c r="E215">
        <v>2</v>
      </c>
      <c r="F215">
        <v>6</v>
      </c>
      <c r="G215">
        <v>6</v>
      </c>
      <c r="H215">
        <v>5</v>
      </c>
      <c r="I215">
        <v>79</v>
      </c>
      <c r="J215">
        <v>19</v>
      </c>
      <c r="K215">
        <v>23</v>
      </c>
      <c r="L215">
        <v>18</v>
      </c>
      <c r="M215">
        <v>13</v>
      </c>
    </row>
    <row r="216" spans="1:13" x14ac:dyDescent="0.25">
      <c r="A216" s="1" t="s">
        <v>319</v>
      </c>
      <c r="B216" s="1" t="s">
        <v>197</v>
      </c>
      <c r="C216">
        <v>3</v>
      </c>
      <c r="D216">
        <v>2</v>
      </c>
      <c r="E216">
        <v>5</v>
      </c>
      <c r="F216">
        <v>3</v>
      </c>
      <c r="G216">
        <v>5</v>
      </c>
      <c r="H216">
        <v>2</v>
      </c>
      <c r="I216">
        <v>47</v>
      </c>
      <c r="J216">
        <v>7</v>
      </c>
      <c r="K216">
        <v>72</v>
      </c>
      <c r="L216">
        <v>74</v>
      </c>
      <c r="M216">
        <v>85</v>
      </c>
    </row>
    <row r="217" spans="1:13" x14ac:dyDescent="0.25">
      <c r="A217" s="1" t="s">
        <v>320</v>
      </c>
      <c r="B217" s="1" t="s">
        <v>145</v>
      </c>
      <c r="C217">
        <v>1</v>
      </c>
      <c r="D217">
        <v>6</v>
      </c>
      <c r="E217">
        <v>2</v>
      </c>
      <c r="F217">
        <v>5</v>
      </c>
      <c r="G217">
        <v>6</v>
      </c>
      <c r="H217">
        <v>3</v>
      </c>
      <c r="I217">
        <v>74</v>
      </c>
      <c r="J217">
        <v>64</v>
      </c>
      <c r="K217">
        <v>17</v>
      </c>
      <c r="L217">
        <v>76</v>
      </c>
      <c r="M217">
        <v>23</v>
      </c>
    </row>
    <row r="218" spans="1:13" x14ac:dyDescent="0.25">
      <c r="A218" s="1" t="s">
        <v>321</v>
      </c>
      <c r="B218" s="1" t="s">
        <v>322</v>
      </c>
      <c r="C218">
        <v>3</v>
      </c>
      <c r="D218">
        <v>4</v>
      </c>
      <c r="E218">
        <v>2</v>
      </c>
      <c r="F218">
        <v>4</v>
      </c>
      <c r="G218">
        <v>5</v>
      </c>
      <c r="H218">
        <v>6</v>
      </c>
      <c r="I218">
        <v>47</v>
      </c>
      <c r="J218">
        <v>80</v>
      </c>
      <c r="K218">
        <v>34</v>
      </c>
      <c r="L218">
        <v>4</v>
      </c>
      <c r="M218">
        <v>81</v>
      </c>
    </row>
    <row r="219" spans="1:13" x14ac:dyDescent="0.25">
      <c r="A219" s="1" t="s">
        <v>323</v>
      </c>
      <c r="B219" s="1" t="s">
        <v>324</v>
      </c>
      <c r="C219">
        <v>3</v>
      </c>
      <c r="D219">
        <v>4</v>
      </c>
      <c r="E219">
        <v>3</v>
      </c>
      <c r="F219">
        <v>2</v>
      </c>
      <c r="G219">
        <v>4</v>
      </c>
      <c r="H219">
        <v>4</v>
      </c>
      <c r="I219">
        <v>14</v>
      </c>
      <c r="J219">
        <v>35</v>
      </c>
      <c r="K219">
        <v>43</v>
      </c>
      <c r="L219">
        <v>57</v>
      </c>
      <c r="M219">
        <v>34</v>
      </c>
    </row>
    <row r="220" spans="1:13" x14ac:dyDescent="0.25">
      <c r="A220" s="1" t="s">
        <v>325</v>
      </c>
      <c r="B220" s="1" t="s">
        <v>326</v>
      </c>
      <c r="C220">
        <v>7</v>
      </c>
      <c r="D220">
        <v>3</v>
      </c>
      <c r="E220">
        <v>3</v>
      </c>
      <c r="F220">
        <v>2</v>
      </c>
      <c r="G220">
        <v>6</v>
      </c>
      <c r="H220">
        <v>5</v>
      </c>
      <c r="I220">
        <v>84</v>
      </c>
      <c r="J220">
        <v>70</v>
      </c>
      <c r="K220">
        <v>57</v>
      </c>
      <c r="L220">
        <v>62</v>
      </c>
      <c r="M220">
        <v>1</v>
      </c>
    </row>
    <row r="221" spans="1:13" x14ac:dyDescent="0.25">
      <c r="A221" s="1" t="s">
        <v>108</v>
      </c>
      <c r="B221" s="1" t="s">
        <v>327</v>
      </c>
      <c r="C221">
        <v>1</v>
      </c>
      <c r="D221">
        <v>5</v>
      </c>
      <c r="E221">
        <v>3</v>
      </c>
      <c r="F221">
        <v>5</v>
      </c>
      <c r="G221">
        <v>2</v>
      </c>
      <c r="H221">
        <v>4</v>
      </c>
      <c r="I221">
        <v>42</v>
      </c>
      <c r="J221">
        <v>82</v>
      </c>
      <c r="K221">
        <v>89</v>
      </c>
      <c r="L221">
        <v>2</v>
      </c>
      <c r="M221">
        <v>41</v>
      </c>
    </row>
    <row r="222" spans="1:13" x14ac:dyDescent="0.25">
      <c r="A222" s="1" t="s">
        <v>328</v>
      </c>
      <c r="B222" s="1" t="s">
        <v>68</v>
      </c>
      <c r="C222">
        <v>0</v>
      </c>
      <c r="D222">
        <v>6</v>
      </c>
      <c r="E222">
        <v>6</v>
      </c>
      <c r="F222">
        <v>4</v>
      </c>
      <c r="G222">
        <v>4</v>
      </c>
      <c r="H222">
        <v>3</v>
      </c>
      <c r="I222">
        <v>25</v>
      </c>
      <c r="J222">
        <v>40</v>
      </c>
      <c r="K222">
        <v>61</v>
      </c>
      <c r="L222">
        <v>59</v>
      </c>
      <c r="M222">
        <v>88</v>
      </c>
    </row>
    <row r="223" spans="1:13" x14ac:dyDescent="0.25">
      <c r="A223" s="1" t="s">
        <v>329</v>
      </c>
      <c r="B223" s="1" t="s">
        <v>188</v>
      </c>
      <c r="C223">
        <v>2</v>
      </c>
      <c r="D223">
        <v>4</v>
      </c>
      <c r="E223">
        <v>3</v>
      </c>
      <c r="F223">
        <v>3</v>
      </c>
      <c r="G223">
        <v>3</v>
      </c>
      <c r="H223">
        <v>2</v>
      </c>
      <c r="I223">
        <v>76</v>
      </c>
      <c r="J223">
        <v>21</v>
      </c>
      <c r="K223">
        <v>59</v>
      </c>
      <c r="L223">
        <v>79</v>
      </c>
      <c r="M223">
        <v>33</v>
      </c>
    </row>
    <row r="224" spans="1:13" x14ac:dyDescent="0.25">
      <c r="A224" s="1" t="s">
        <v>330</v>
      </c>
      <c r="B224" s="1" t="s">
        <v>30</v>
      </c>
      <c r="C224">
        <v>3</v>
      </c>
      <c r="D224">
        <v>6</v>
      </c>
      <c r="E224">
        <v>5</v>
      </c>
      <c r="F224">
        <v>2</v>
      </c>
      <c r="G224">
        <v>5</v>
      </c>
      <c r="H224">
        <v>4</v>
      </c>
      <c r="I224">
        <v>18</v>
      </c>
      <c r="J224">
        <v>33</v>
      </c>
      <c r="K224">
        <v>57</v>
      </c>
      <c r="L224">
        <v>34</v>
      </c>
      <c r="M224">
        <v>74</v>
      </c>
    </row>
    <row r="225" spans="1:13" x14ac:dyDescent="0.25">
      <c r="A225" s="1" t="s">
        <v>131</v>
      </c>
      <c r="B225" s="1" t="s">
        <v>171</v>
      </c>
      <c r="C225">
        <v>8</v>
      </c>
      <c r="D225">
        <v>4</v>
      </c>
      <c r="E225">
        <v>3</v>
      </c>
      <c r="F225">
        <v>2</v>
      </c>
      <c r="G225">
        <v>6</v>
      </c>
      <c r="H225">
        <v>5</v>
      </c>
      <c r="I225">
        <v>67</v>
      </c>
      <c r="J225">
        <v>34</v>
      </c>
      <c r="K225">
        <v>96</v>
      </c>
      <c r="L225">
        <v>61</v>
      </c>
      <c r="M225">
        <v>40</v>
      </c>
    </row>
    <row r="226" spans="1:13" x14ac:dyDescent="0.25">
      <c r="A226" s="1" t="s">
        <v>265</v>
      </c>
      <c r="B226" s="1" t="s">
        <v>16</v>
      </c>
      <c r="C226">
        <v>5</v>
      </c>
      <c r="D226">
        <v>4</v>
      </c>
      <c r="E226">
        <v>4</v>
      </c>
      <c r="F226">
        <v>6</v>
      </c>
      <c r="G226">
        <v>4</v>
      </c>
      <c r="H226">
        <v>5</v>
      </c>
      <c r="I226">
        <v>39</v>
      </c>
      <c r="J226">
        <v>12</v>
      </c>
      <c r="K226">
        <v>100</v>
      </c>
      <c r="L226">
        <v>47</v>
      </c>
      <c r="M226">
        <v>42</v>
      </c>
    </row>
    <row r="227" spans="1:13" x14ac:dyDescent="0.25">
      <c r="A227" s="1" t="s">
        <v>331</v>
      </c>
      <c r="B227" s="1" t="s">
        <v>155</v>
      </c>
      <c r="C227">
        <v>0</v>
      </c>
      <c r="D227">
        <v>3</v>
      </c>
      <c r="E227">
        <v>2</v>
      </c>
      <c r="F227">
        <v>4</v>
      </c>
      <c r="G227">
        <v>4</v>
      </c>
      <c r="H227">
        <v>2</v>
      </c>
      <c r="I227">
        <v>88</v>
      </c>
      <c r="J227">
        <v>79</v>
      </c>
      <c r="K227">
        <v>26</v>
      </c>
      <c r="L227">
        <v>8</v>
      </c>
      <c r="M227">
        <v>70</v>
      </c>
    </row>
    <row r="228" spans="1:13" x14ac:dyDescent="0.25">
      <c r="A228" s="1" t="s">
        <v>332</v>
      </c>
      <c r="B228" s="1" t="s">
        <v>117</v>
      </c>
      <c r="C228">
        <v>1</v>
      </c>
      <c r="D228">
        <v>2</v>
      </c>
      <c r="E228">
        <v>2</v>
      </c>
      <c r="F228">
        <v>6</v>
      </c>
      <c r="G228">
        <v>6</v>
      </c>
      <c r="H228">
        <v>3</v>
      </c>
      <c r="I228">
        <v>83</v>
      </c>
      <c r="J228">
        <v>76</v>
      </c>
      <c r="K228">
        <v>52</v>
      </c>
      <c r="L228">
        <v>43</v>
      </c>
      <c r="M228">
        <v>64</v>
      </c>
    </row>
    <row r="229" spans="1:13" x14ac:dyDescent="0.25">
      <c r="A229" s="1" t="s">
        <v>333</v>
      </c>
      <c r="B229" s="1" t="s">
        <v>216</v>
      </c>
      <c r="C229">
        <v>1</v>
      </c>
      <c r="D229">
        <v>6</v>
      </c>
      <c r="E229">
        <v>6</v>
      </c>
      <c r="F229">
        <v>3</v>
      </c>
      <c r="G229">
        <v>6</v>
      </c>
      <c r="H229">
        <v>4</v>
      </c>
      <c r="I229">
        <v>54</v>
      </c>
      <c r="J229">
        <v>50</v>
      </c>
      <c r="K229">
        <v>36</v>
      </c>
      <c r="L229">
        <v>23</v>
      </c>
      <c r="M229">
        <v>9</v>
      </c>
    </row>
    <row r="230" spans="1:13" x14ac:dyDescent="0.25">
      <c r="A230" s="1" t="s">
        <v>334</v>
      </c>
      <c r="B230" s="1" t="s">
        <v>242</v>
      </c>
      <c r="C230">
        <v>0</v>
      </c>
      <c r="D230">
        <v>3</v>
      </c>
      <c r="E230">
        <v>4</v>
      </c>
      <c r="F230">
        <v>6</v>
      </c>
      <c r="G230">
        <v>3</v>
      </c>
      <c r="H230">
        <v>5</v>
      </c>
      <c r="I230">
        <v>49</v>
      </c>
      <c r="J230">
        <v>31</v>
      </c>
      <c r="K230">
        <v>34</v>
      </c>
      <c r="L230">
        <v>22</v>
      </c>
      <c r="M230">
        <v>76</v>
      </c>
    </row>
    <row r="231" spans="1:13" x14ac:dyDescent="0.25">
      <c r="A231" s="1" t="s">
        <v>335</v>
      </c>
      <c r="B231" s="1" t="s">
        <v>177</v>
      </c>
      <c r="C231">
        <v>1</v>
      </c>
      <c r="D231">
        <v>3</v>
      </c>
      <c r="E231">
        <v>2</v>
      </c>
      <c r="F231">
        <v>2</v>
      </c>
      <c r="G231">
        <v>2</v>
      </c>
      <c r="H231">
        <v>3</v>
      </c>
      <c r="I231">
        <v>71</v>
      </c>
      <c r="J231">
        <v>20</v>
      </c>
      <c r="K231">
        <v>46</v>
      </c>
      <c r="L231">
        <v>6</v>
      </c>
      <c r="M231">
        <v>22</v>
      </c>
    </row>
    <row r="232" spans="1:13" x14ac:dyDescent="0.25">
      <c r="A232" s="1" t="s">
        <v>336</v>
      </c>
      <c r="B232" s="1" t="s">
        <v>210</v>
      </c>
      <c r="C232">
        <v>8</v>
      </c>
      <c r="D232">
        <v>5</v>
      </c>
      <c r="E232">
        <v>6</v>
      </c>
      <c r="F232">
        <v>4</v>
      </c>
      <c r="G232">
        <v>5</v>
      </c>
      <c r="H232">
        <v>4</v>
      </c>
      <c r="I232">
        <v>5</v>
      </c>
      <c r="J232">
        <v>48</v>
      </c>
      <c r="K232">
        <v>2</v>
      </c>
      <c r="L232">
        <v>12</v>
      </c>
      <c r="M232">
        <v>15</v>
      </c>
    </row>
    <row r="233" spans="1:13" x14ac:dyDescent="0.25">
      <c r="A233" s="1" t="s">
        <v>337</v>
      </c>
      <c r="B233" s="1" t="s">
        <v>338</v>
      </c>
      <c r="C233">
        <v>7</v>
      </c>
      <c r="D233">
        <v>4</v>
      </c>
      <c r="E233">
        <v>3</v>
      </c>
      <c r="F233">
        <v>4</v>
      </c>
      <c r="G233">
        <v>6</v>
      </c>
      <c r="H233">
        <v>6</v>
      </c>
      <c r="I233">
        <v>27</v>
      </c>
      <c r="J233">
        <v>12</v>
      </c>
      <c r="K233">
        <v>19</v>
      </c>
      <c r="L233">
        <v>10</v>
      </c>
      <c r="M233">
        <v>66</v>
      </c>
    </row>
    <row r="234" spans="1:13" x14ac:dyDescent="0.25">
      <c r="A234" s="1" t="s">
        <v>339</v>
      </c>
      <c r="B234" s="1" t="s">
        <v>340</v>
      </c>
      <c r="C234">
        <v>6</v>
      </c>
      <c r="D234">
        <v>2</v>
      </c>
      <c r="E234">
        <v>5</v>
      </c>
      <c r="F234">
        <v>3</v>
      </c>
      <c r="G234">
        <v>5</v>
      </c>
      <c r="H234">
        <v>3</v>
      </c>
      <c r="I234">
        <v>95</v>
      </c>
      <c r="J234">
        <v>12</v>
      </c>
      <c r="K234">
        <v>76</v>
      </c>
      <c r="L234">
        <v>52</v>
      </c>
      <c r="M234">
        <v>36</v>
      </c>
    </row>
    <row r="235" spans="1:13" x14ac:dyDescent="0.25">
      <c r="A235" s="1" t="s">
        <v>341</v>
      </c>
      <c r="B235" s="1" t="s">
        <v>177</v>
      </c>
      <c r="C235">
        <v>4</v>
      </c>
      <c r="D235">
        <v>6</v>
      </c>
      <c r="E235">
        <v>4</v>
      </c>
      <c r="F235">
        <v>5</v>
      </c>
      <c r="G235">
        <v>5</v>
      </c>
      <c r="H235">
        <v>2</v>
      </c>
      <c r="I235">
        <v>48</v>
      </c>
      <c r="J235">
        <v>9</v>
      </c>
      <c r="K235">
        <v>45</v>
      </c>
      <c r="L235">
        <v>10</v>
      </c>
      <c r="M235">
        <v>3</v>
      </c>
    </row>
    <row r="236" spans="1:13" x14ac:dyDescent="0.25">
      <c r="A236" s="1" t="s">
        <v>342</v>
      </c>
      <c r="B236" s="1" t="s">
        <v>343</v>
      </c>
      <c r="C236">
        <v>2</v>
      </c>
      <c r="D236">
        <v>5</v>
      </c>
      <c r="E236">
        <v>2</v>
      </c>
      <c r="F236">
        <v>4</v>
      </c>
      <c r="G236">
        <v>4</v>
      </c>
      <c r="H236">
        <v>4</v>
      </c>
      <c r="I236">
        <v>46</v>
      </c>
      <c r="J236">
        <v>58</v>
      </c>
      <c r="K236">
        <v>72</v>
      </c>
      <c r="L236">
        <v>83</v>
      </c>
      <c r="M236">
        <v>48</v>
      </c>
    </row>
    <row r="237" spans="1:13" x14ac:dyDescent="0.25">
      <c r="A237" s="1" t="s">
        <v>344</v>
      </c>
      <c r="B237" s="1" t="s">
        <v>345</v>
      </c>
      <c r="C237">
        <v>7</v>
      </c>
      <c r="D237">
        <v>3</v>
      </c>
      <c r="E237">
        <v>3</v>
      </c>
      <c r="F237">
        <v>3</v>
      </c>
      <c r="G237">
        <v>3</v>
      </c>
      <c r="H237">
        <v>6</v>
      </c>
      <c r="I237">
        <v>72</v>
      </c>
      <c r="J237">
        <v>40</v>
      </c>
      <c r="K237">
        <v>54</v>
      </c>
      <c r="L237">
        <v>44</v>
      </c>
      <c r="M237">
        <v>78</v>
      </c>
    </row>
    <row r="238" spans="1:13" x14ac:dyDescent="0.25">
      <c r="A238" s="1" t="s">
        <v>346</v>
      </c>
      <c r="B238" s="1" t="s">
        <v>347</v>
      </c>
      <c r="C238">
        <v>4</v>
      </c>
      <c r="D238">
        <v>4</v>
      </c>
      <c r="E238">
        <v>5</v>
      </c>
      <c r="F238">
        <v>2</v>
      </c>
      <c r="G238">
        <v>3</v>
      </c>
      <c r="H238">
        <v>5</v>
      </c>
      <c r="I238">
        <v>80</v>
      </c>
      <c r="J238">
        <v>63</v>
      </c>
      <c r="K238">
        <v>36</v>
      </c>
      <c r="L238">
        <v>13</v>
      </c>
      <c r="M238">
        <v>38</v>
      </c>
    </row>
    <row r="239" spans="1:13" x14ac:dyDescent="0.25">
      <c r="A239" s="1" t="s">
        <v>348</v>
      </c>
      <c r="B239" s="1" t="s">
        <v>210</v>
      </c>
      <c r="C239">
        <v>7</v>
      </c>
      <c r="D239">
        <v>5</v>
      </c>
      <c r="E239">
        <v>3</v>
      </c>
      <c r="F239">
        <v>2</v>
      </c>
      <c r="G239">
        <v>5</v>
      </c>
      <c r="H239">
        <v>3</v>
      </c>
      <c r="I239">
        <v>89</v>
      </c>
      <c r="J239">
        <v>97</v>
      </c>
      <c r="K239">
        <v>66</v>
      </c>
      <c r="L239">
        <v>5</v>
      </c>
      <c r="M239">
        <v>68</v>
      </c>
    </row>
    <row r="240" spans="1:13" x14ac:dyDescent="0.25">
      <c r="A240" s="1" t="s">
        <v>349</v>
      </c>
      <c r="B240" s="1" t="s">
        <v>350</v>
      </c>
      <c r="C240">
        <v>8</v>
      </c>
      <c r="D240">
        <v>3</v>
      </c>
      <c r="E240">
        <v>5</v>
      </c>
      <c r="F240">
        <v>3</v>
      </c>
      <c r="G240">
        <v>6</v>
      </c>
      <c r="H240">
        <v>6</v>
      </c>
      <c r="I240">
        <v>98</v>
      </c>
      <c r="J240">
        <v>27</v>
      </c>
      <c r="K240">
        <v>75</v>
      </c>
      <c r="L240">
        <v>69</v>
      </c>
      <c r="M240">
        <v>29</v>
      </c>
    </row>
    <row r="241" spans="1:13" x14ac:dyDescent="0.25">
      <c r="A241" s="1" t="s">
        <v>351</v>
      </c>
      <c r="B241" s="1" t="s">
        <v>45</v>
      </c>
      <c r="C241">
        <v>2</v>
      </c>
      <c r="D241">
        <v>2</v>
      </c>
      <c r="E241">
        <v>3</v>
      </c>
      <c r="F241">
        <v>4</v>
      </c>
      <c r="G241">
        <v>2</v>
      </c>
      <c r="H241">
        <v>6</v>
      </c>
      <c r="I241">
        <v>43</v>
      </c>
      <c r="J241">
        <v>45</v>
      </c>
      <c r="K241">
        <v>16</v>
      </c>
      <c r="L241">
        <v>56</v>
      </c>
      <c r="M241">
        <v>7</v>
      </c>
    </row>
    <row r="242" spans="1:13" x14ac:dyDescent="0.25">
      <c r="A242" s="1" t="s">
        <v>352</v>
      </c>
      <c r="B242" s="1" t="s">
        <v>193</v>
      </c>
      <c r="C242">
        <v>7</v>
      </c>
      <c r="D242">
        <v>6</v>
      </c>
      <c r="E242">
        <v>6</v>
      </c>
      <c r="F242">
        <v>2</v>
      </c>
      <c r="G242">
        <v>3</v>
      </c>
      <c r="H242">
        <v>6</v>
      </c>
      <c r="I242">
        <v>19</v>
      </c>
      <c r="J242">
        <v>5</v>
      </c>
      <c r="K242">
        <v>76</v>
      </c>
      <c r="L242">
        <v>74</v>
      </c>
      <c r="M242">
        <v>16</v>
      </c>
    </row>
    <row r="243" spans="1:13" x14ac:dyDescent="0.25">
      <c r="A243" s="1" t="s">
        <v>353</v>
      </c>
      <c r="B243" s="1" t="s">
        <v>86</v>
      </c>
      <c r="C243">
        <v>2</v>
      </c>
      <c r="D243">
        <v>3</v>
      </c>
      <c r="E243">
        <v>2</v>
      </c>
      <c r="F243">
        <v>5</v>
      </c>
      <c r="G243">
        <v>5</v>
      </c>
      <c r="H243">
        <v>4</v>
      </c>
      <c r="I243">
        <v>60</v>
      </c>
      <c r="J243">
        <v>48</v>
      </c>
      <c r="K243">
        <v>73</v>
      </c>
      <c r="L243">
        <v>93</v>
      </c>
      <c r="M243">
        <v>51</v>
      </c>
    </row>
    <row r="244" spans="1:13" x14ac:dyDescent="0.25">
      <c r="A244" s="1" t="s">
        <v>354</v>
      </c>
      <c r="B244" s="1" t="s">
        <v>355</v>
      </c>
      <c r="C244">
        <v>4</v>
      </c>
      <c r="D244">
        <v>6</v>
      </c>
      <c r="E244">
        <v>3</v>
      </c>
      <c r="F244">
        <v>6</v>
      </c>
      <c r="G244">
        <v>5</v>
      </c>
      <c r="H244">
        <v>6</v>
      </c>
      <c r="I244">
        <v>82</v>
      </c>
      <c r="J244">
        <v>21</v>
      </c>
      <c r="K244">
        <v>64</v>
      </c>
      <c r="L244">
        <v>61</v>
      </c>
      <c r="M244">
        <v>93</v>
      </c>
    </row>
    <row r="245" spans="1:13" x14ac:dyDescent="0.25">
      <c r="A245" s="1" t="s">
        <v>356</v>
      </c>
      <c r="B245" s="1" t="s">
        <v>357</v>
      </c>
      <c r="C245">
        <v>2</v>
      </c>
      <c r="D245">
        <v>4</v>
      </c>
      <c r="E245">
        <v>2</v>
      </c>
      <c r="F245">
        <v>4</v>
      </c>
      <c r="G245">
        <v>3</v>
      </c>
      <c r="H245">
        <v>4</v>
      </c>
      <c r="I245">
        <v>65</v>
      </c>
      <c r="J245">
        <v>50</v>
      </c>
      <c r="K245">
        <v>15</v>
      </c>
      <c r="L245">
        <v>67</v>
      </c>
      <c r="M245">
        <v>88</v>
      </c>
    </row>
    <row r="246" spans="1:13" x14ac:dyDescent="0.25">
      <c r="A246" s="1" t="s">
        <v>358</v>
      </c>
      <c r="B246" s="1" t="s">
        <v>174</v>
      </c>
      <c r="C246">
        <v>8</v>
      </c>
      <c r="D246">
        <v>3</v>
      </c>
      <c r="E246">
        <v>6</v>
      </c>
      <c r="F246">
        <v>3</v>
      </c>
      <c r="G246">
        <v>6</v>
      </c>
      <c r="H246">
        <v>3</v>
      </c>
      <c r="I246">
        <v>85</v>
      </c>
      <c r="J246">
        <v>68</v>
      </c>
      <c r="K246">
        <v>59</v>
      </c>
      <c r="L246">
        <v>5</v>
      </c>
      <c r="M246">
        <v>29</v>
      </c>
    </row>
    <row r="247" spans="1:13" x14ac:dyDescent="0.25">
      <c r="A247" s="1" t="s">
        <v>359</v>
      </c>
      <c r="B247" s="1" t="s">
        <v>360</v>
      </c>
      <c r="C247">
        <v>7</v>
      </c>
      <c r="D247">
        <v>6</v>
      </c>
      <c r="E247">
        <v>2</v>
      </c>
      <c r="F247">
        <v>3</v>
      </c>
      <c r="G247">
        <v>2</v>
      </c>
      <c r="H247">
        <v>2</v>
      </c>
      <c r="I247">
        <v>91</v>
      </c>
      <c r="J247">
        <v>65</v>
      </c>
      <c r="K247">
        <v>12</v>
      </c>
      <c r="L247">
        <v>78</v>
      </c>
      <c r="M247">
        <v>87</v>
      </c>
    </row>
    <row r="248" spans="1:13" x14ac:dyDescent="0.25">
      <c r="A248" s="1" t="s">
        <v>361</v>
      </c>
      <c r="B248" s="1" t="s">
        <v>362</v>
      </c>
      <c r="C248">
        <v>2</v>
      </c>
      <c r="D248">
        <v>6</v>
      </c>
      <c r="E248">
        <v>6</v>
      </c>
      <c r="F248">
        <v>6</v>
      </c>
      <c r="G248">
        <v>2</v>
      </c>
      <c r="H248">
        <v>3</v>
      </c>
      <c r="I248">
        <v>65</v>
      </c>
      <c r="J248">
        <v>28</v>
      </c>
      <c r="K248">
        <v>80</v>
      </c>
      <c r="L248">
        <v>55</v>
      </c>
      <c r="M248">
        <v>60</v>
      </c>
    </row>
    <row r="249" spans="1:13" x14ac:dyDescent="0.25">
      <c r="A249" s="1" t="s">
        <v>363</v>
      </c>
      <c r="B249" s="1" t="s">
        <v>139</v>
      </c>
      <c r="C249">
        <v>4</v>
      </c>
      <c r="D249">
        <v>4</v>
      </c>
      <c r="E249">
        <v>2</v>
      </c>
      <c r="F249">
        <v>3</v>
      </c>
      <c r="G249">
        <v>3</v>
      </c>
      <c r="H249">
        <v>5</v>
      </c>
      <c r="I249">
        <v>14</v>
      </c>
      <c r="J249">
        <v>4</v>
      </c>
      <c r="K249">
        <v>93</v>
      </c>
      <c r="L249">
        <v>36</v>
      </c>
      <c r="M249">
        <v>26</v>
      </c>
    </row>
    <row r="250" spans="1:13" x14ac:dyDescent="0.25">
      <c r="A250" s="1" t="s">
        <v>364</v>
      </c>
      <c r="B250" s="1" t="s">
        <v>203</v>
      </c>
      <c r="C250">
        <v>0</v>
      </c>
      <c r="D250">
        <v>6</v>
      </c>
      <c r="E250">
        <v>2</v>
      </c>
      <c r="F250">
        <v>6</v>
      </c>
      <c r="G250">
        <v>5</v>
      </c>
      <c r="H250">
        <v>6</v>
      </c>
      <c r="I250">
        <v>15</v>
      </c>
      <c r="J250">
        <v>42</v>
      </c>
      <c r="K250">
        <v>90</v>
      </c>
      <c r="L250">
        <v>14</v>
      </c>
      <c r="M250">
        <v>88</v>
      </c>
    </row>
    <row r="251" spans="1:13" x14ac:dyDescent="0.25">
      <c r="A251" s="1" t="s">
        <v>365</v>
      </c>
      <c r="B251" s="1" t="s">
        <v>16</v>
      </c>
      <c r="C251">
        <v>8</v>
      </c>
      <c r="D251">
        <v>5</v>
      </c>
      <c r="E251">
        <v>4</v>
      </c>
      <c r="F251">
        <v>4</v>
      </c>
      <c r="G251">
        <v>4</v>
      </c>
      <c r="H251">
        <v>3</v>
      </c>
      <c r="I251">
        <v>39</v>
      </c>
      <c r="J251">
        <v>45</v>
      </c>
      <c r="K251">
        <v>68</v>
      </c>
      <c r="L251">
        <v>26</v>
      </c>
      <c r="M251">
        <v>30</v>
      </c>
    </row>
    <row r="252" spans="1:13" x14ac:dyDescent="0.25">
      <c r="A252" s="1" t="s">
        <v>366</v>
      </c>
      <c r="B252" s="1" t="s">
        <v>367</v>
      </c>
      <c r="C252">
        <v>3</v>
      </c>
      <c r="D252">
        <v>6</v>
      </c>
      <c r="E252">
        <v>3</v>
      </c>
      <c r="F252">
        <v>4</v>
      </c>
      <c r="G252">
        <v>3</v>
      </c>
      <c r="H252">
        <v>5</v>
      </c>
      <c r="I252">
        <v>86</v>
      </c>
      <c r="J252">
        <v>46</v>
      </c>
      <c r="K252">
        <v>9</v>
      </c>
      <c r="L252">
        <v>68</v>
      </c>
      <c r="M252">
        <v>39</v>
      </c>
    </row>
    <row r="253" spans="1:13" x14ac:dyDescent="0.25">
      <c r="A253" s="1" t="s">
        <v>368</v>
      </c>
      <c r="B253" s="1" t="s">
        <v>369</v>
      </c>
      <c r="C253">
        <v>7</v>
      </c>
      <c r="D253">
        <v>4</v>
      </c>
      <c r="E253">
        <v>6</v>
      </c>
      <c r="F253">
        <v>6</v>
      </c>
      <c r="G253">
        <v>6</v>
      </c>
      <c r="H253">
        <v>2</v>
      </c>
      <c r="I253">
        <v>17</v>
      </c>
      <c r="J253">
        <v>16</v>
      </c>
      <c r="K253">
        <v>12</v>
      </c>
      <c r="L253">
        <v>54</v>
      </c>
      <c r="M253">
        <v>91</v>
      </c>
    </row>
    <row r="254" spans="1:13" x14ac:dyDescent="0.25">
      <c r="A254" s="1" t="s">
        <v>370</v>
      </c>
      <c r="B254" s="1" t="s">
        <v>371</v>
      </c>
      <c r="C254">
        <v>4</v>
      </c>
      <c r="D254">
        <v>2</v>
      </c>
      <c r="E254">
        <v>4</v>
      </c>
      <c r="F254">
        <v>3</v>
      </c>
      <c r="G254">
        <v>5</v>
      </c>
      <c r="H254">
        <v>2</v>
      </c>
      <c r="I254">
        <v>68</v>
      </c>
      <c r="J254">
        <v>87</v>
      </c>
      <c r="K254">
        <v>48</v>
      </c>
      <c r="L254">
        <v>54</v>
      </c>
      <c r="M254">
        <v>39</v>
      </c>
    </row>
    <row r="255" spans="1:13" x14ac:dyDescent="0.25">
      <c r="A255" s="1" t="s">
        <v>372</v>
      </c>
      <c r="B255" s="1" t="s">
        <v>180</v>
      </c>
      <c r="C255">
        <v>8</v>
      </c>
      <c r="D255">
        <v>3</v>
      </c>
      <c r="E255">
        <v>5</v>
      </c>
      <c r="F255">
        <v>2</v>
      </c>
      <c r="G255">
        <v>5</v>
      </c>
      <c r="H255">
        <v>3</v>
      </c>
      <c r="I255">
        <v>99</v>
      </c>
      <c r="J255">
        <v>90</v>
      </c>
      <c r="K255">
        <v>59</v>
      </c>
      <c r="L255">
        <v>78</v>
      </c>
      <c r="M255">
        <v>93</v>
      </c>
    </row>
    <row r="256" spans="1:13" x14ac:dyDescent="0.25">
      <c r="A256" s="1" t="s">
        <v>373</v>
      </c>
      <c r="B256" s="1" t="s">
        <v>357</v>
      </c>
      <c r="C256">
        <v>1</v>
      </c>
      <c r="D256">
        <v>6</v>
      </c>
      <c r="E256">
        <v>6</v>
      </c>
      <c r="F256">
        <v>5</v>
      </c>
      <c r="G256">
        <v>3</v>
      </c>
      <c r="H256">
        <v>6</v>
      </c>
      <c r="I256">
        <v>58</v>
      </c>
      <c r="J256">
        <v>93</v>
      </c>
      <c r="K256">
        <v>93</v>
      </c>
      <c r="L256">
        <v>82</v>
      </c>
      <c r="M256">
        <v>17</v>
      </c>
    </row>
    <row r="257" spans="1:13" x14ac:dyDescent="0.25">
      <c r="A257" s="1" t="s">
        <v>374</v>
      </c>
      <c r="B257" s="1" t="s">
        <v>327</v>
      </c>
      <c r="C257">
        <v>6</v>
      </c>
      <c r="D257">
        <v>4</v>
      </c>
      <c r="E257">
        <v>5</v>
      </c>
      <c r="F257">
        <v>3</v>
      </c>
      <c r="G257">
        <v>2</v>
      </c>
      <c r="H257">
        <v>2</v>
      </c>
      <c r="I257">
        <v>38</v>
      </c>
      <c r="J257">
        <v>13</v>
      </c>
      <c r="K257">
        <v>62</v>
      </c>
      <c r="L257">
        <v>22</v>
      </c>
      <c r="M257">
        <v>14</v>
      </c>
    </row>
    <row r="258" spans="1:13" x14ac:dyDescent="0.25">
      <c r="A258" s="1" t="s">
        <v>375</v>
      </c>
      <c r="B258" s="1" t="s">
        <v>205</v>
      </c>
      <c r="C258">
        <v>6</v>
      </c>
      <c r="D258">
        <v>6</v>
      </c>
      <c r="E258">
        <v>3</v>
      </c>
      <c r="F258">
        <v>6</v>
      </c>
      <c r="G258">
        <v>6</v>
      </c>
      <c r="H258">
        <v>2</v>
      </c>
      <c r="I258">
        <v>1</v>
      </c>
      <c r="J258">
        <v>34</v>
      </c>
      <c r="K258">
        <v>76</v>
      </c>
      <c r="L258">
        <v>39</v>
      </c>
      <c r="M258">
        <v>56</v>
      </c>
    </row>
    <row r="259" spans="1:13" x14ac:dyDescent="0.25">
      <c r="A259" s="1" t="s">
        <v>376</v>
      </c>
      <c r="B259" s="1" t="s">
        <v>38</v>
      </c>
      <c r="C259">
        <v>3</v>
      </c>
      <c r="D259">
        <v>5</v>
      </c>
      <c r="E259">
        <v>3</v>
      </c>
      <c r="F259">
        <v>6</v>
      </c>
      <c r="G259">
        <v>2</v>
      </c>
      <c r="H259">
        <v>4</v>
      </c>
      <c r="I259">
        <v>91</v>
      </c>
      <c r="J259">
        <v>99</v>
      </c>
      <c r="K259">
        <v>61</v>
      </c>
      <c r="L259">
        <v>2</v>
      </c>
      <c r="M259">
        <v>52</v>
      </c>
    </row>
    <row r="260" spans="1:13" x14ac:dyDescent="0.25">
      <c r="A260" s="1" t="s">
        <v>377</v>
      </c>
      <c r="B260" s="1" t="s">
        <v>180</v>
      </c>
      <c r="C260">
        <v>3</v>
      </c>
      <c r="D260">
        <v>4</v>
      </c>
      <c r="E260">
        <v>6</v>
      </c>
      <c r="F260">
        <v>2</v>
      </c>
      <c r="G260">
        <v>2</v>
      </c>
      <c r="H260">
        <v>4</v>
      </c>
      <c r="I260">
        <v>2</v>
      </c>
      <c r="J260">
        <v>85</v>
      </c>
      <c r="K260">
        <v>51</v>
      </c>
      <c r="L260">
        <v>87</v>
      </c>
      <c r="M260">
        <v>27</v>
      </c>
    </row>
    <row r="261" spans="1:13" x14ac:dyDescent="0.25">
      <c r="A261" s="1" t="s">
        <v>378</v>
      </c>
      <c r="B261" s="1" t="s">
        <v>30</v>
      </c>
      <c r="C261">
        <v>6</v>
      </c>
      <c r="D261">
        <v>3</v>
      </c>
      <c r="E261">
        <v>3</v>
      </c>
      <c r="F261">
        <v>6</v>
      </c>
      <c r="G261">
        <v>6</v>
      </c>
      <c r="H261">
        <v>3</v>
      </c>
      <c r="I261">
        <v>78</v>
      </c>
      <c r="J261">
        <v>57</v>
      </c>
      <c r="K261">
        <v>69</v>
      </c>
      <c r="L261">
        <v>18</v>
      </c>
      <c r="M261">
        <v>87</v>
      </c>
    </row>
    <row r="262" spans="1:13" x14ac:dyDescent="0.25">
      <c r="A262" s="1" t="s">
        <v>379</v>
      </c>
      <c r="B262" s="1" t="s">
        <v>180</v>
      </c>
      <c r="C262">
        <v>3</v>
      </c>
      <c r="D262">
        <v>5</v>
      </c>
      <c r="E262">
        <v>4</v>
      </c>
      <c r="F262">
        <v>5</v>
      </c>
      <c r="G262">
        <v>6</v>
      </c>
      <c r="H262">
        <v>4</v>
      </c>
      <c r="I262">
        <v>64</v>
      </c>
      <c r="J262">
        <v>35</v>
      </c>
      <c r="K262">
        <v>42</v>
      </c>
      <c r="L262">
        <v>54</v>
      </c>
      <c r="M262">
        <v>15</v>
      </c>
    </row>
    <row r="263" spans="1:13" x14ac:dyDescent="0.25">
      <c r="A263" s="1" t="s">
        <v>380</v>
      </c>
      <c r="B263" s="1" t="s">
        <v>381</v>
      </c>
      <c r="C263">
        <v>3</v>
      </c>
      <c r="D263">
        <v>2</v>
      </c>
      <c r="E263">
        <v>2</v>
      </c>
      <c r="F263">
        <v>4</v>
      </c>
      <c r="G263">
        <v>3</v>
      </c>
      <c r="H263">
        <v>5</v>
      </c>
      <c r="I263">
        <v>40</v>
      </c>
      <c r="J263">
        <v>28</v>
      </c>
      <c r="K263">
        <v>88</v>
      </c>
      <c r="L263">
        <v>11</v>
      </c>
      <c r="M263">
        <v>9</v>
      </c>
    </row>
    <row r="264" spans="1:13" x14ac:dyDescent="0.25">
      <c r="A264" s="1" t="s">
        <v>382</v>
      </c>
      <c r="B264" s="1" t="s">
        <v>45</v>
      </c>
      <c r="C264">
        <v>2</v>
      </c>
      <c r="D264">
        <v>5</v>
      </c>
      <c r="E264">
        <v>3</v>
      </c>
      <c r="F264">
        <v>4</v>
      </c>
      <c r="G264">
        <v>6</v>
      </c>
      <c r="H264">
        <v>3</v>
      </c>
      <c r="I264">
        <v>8</v>
      </c>
      <c r="J264">
        <v>46</v>
      </c>
      <c r="K264">
        <v>55</v>
      </c>
      <c r="L264">
        <v>39</v>
      </c>
      <c r="M264">
        <v>21</v>
      </c>
    </row>
    <row r="265" spans="1:13" x14ac:dyDescent="0.25">
      <c r="A265" s="1" t="s">
        <v>383</v>
      </c>
      <c r="B265" s="1" t="s">
        <v>384</v>
      </c>
      <c r="C265">
        <v>2</v>
      </c>
      <c r="D265">
        <v>5</v>
      </c>
      <c r="E265">
        <v>3</v>
      </c>
      <c r="F265">
        <v>6</v>
      </c>
      <c r="G265">
        <v>3</v>
      </c>
      <c r="H265">
        <v>3</v>
      </c>
      <c r="I265">
        <v>86</v>
      </c>
      <c r="J265">
        <v>36</v>
      </c>
      <c r="K265">
        <v>76</v>
      </c>
      <c r="L265">
        <v>91</v>
      </c>
      <c r="M265">
        <v>19</v>
      </c>
    </row>
    <row r="266" spans="1:13" x14ac:dyDescent="0.25">
      <c r="A266" s="1" t="s">
        <v>385</v>
      </c>
      <c r="B266" s="1" t="s">
        <v>288</v>
      </c>
      <c r="C266">
        <v>0</v>
      </c>
      <c r="D266">
        <v>4</v>
      </c>
      <c r="E266">
        <v>3</v>
      </c>
      <c r="F266">
        <v>5</v>
      </c>
      <c r="G266">
        <v>2</v>
      </c>
      <c r="H266">
        <v>6</v>
      </c>
      <c r="I266">
        <v>86</v>
      </c>
      <c r="J266">
        <v>76</v>
      </c>
      <c r="K266">
        <v>17</v>
      </c>
      <c r="L266">
        <v>68</v>
      </c>
      <c r="M266">
        <v>39</v>
      </c>
    </row>
    <row r="267" spans="1:13" x14ac:dyDescent="0.25">
      <c r="A267" s="1" t="s">
        <v>386</v>
      </c>
      <c r="B267" s="1" t="s">
        <v>311</v>
      </c>
      <c r="C267">
        <v>8</v>
      </c>
      <c r="D267">
        <v>4</v>
      </c>
      <c r="E267">
        <v>5</v>
      </c>
      <c r="F267">
        <v>5</v>
      </c>
      <c r="G267">
        <v>4</v>
      </c>
      <c r="H267">
        <v>5</v>
      </c>
      <c r="I267">
        <v>7</v>
      </c>
      <c r="J267">
        <v>8</v>
      </c>
      <c r="K267">
        <v>77</v>
      </c>
      <c r="L267">
        <v>77</v>
      </c>
      <c r="M267">
        <v>21</v>
      </c>
    </row>
    <row r="268" spans="1:13" x14ac:dyDescent="0.25">
      <c r="A268" s="1" t="s">
        <v>387</v>
      </c>
      <c r="B268" s="1" t="s">
        <v>388</v>
      </c>
      <c r="C268">
        <v>8</v>
      </c>
      <c r="D268">
        <v>2</v>
      </c>
      <c r="E268">
        <v>6</v>
      </c>
      <c r="F268">
        <v>4</v>
      </c>
      <c r="G268">
        <v>3</v>
      </c>
      <c r="H268">
        <v>2</v>
      </c>
      <c r="I268">
        <v>77</v>
      </c>
      <c r="J268">
        <v>98</v>
      </c>
      <c r="K268">
        <v>4</v>
      </c>
      <c r="L268">
        <v>85</v>
      </c>
      <c r="M268">
        <v>63</v>
      </c>
    </row>
    <row r="269" spans="1:13" x14ac:dyDescent="0.25">
      <c r="A269" s="1" t="s">
        <v>389</v>
      </c>
      <c r="B269" s="1" t="s">
        <v>324</v>
      </c>
      <c r="C269">
        <v>6</v>
      </c>
      <c r="D269">
        <v>4</v>
      </c>
      <c r="E269">
        <v>6</v>
      </c>
      <c r="F269">
        <v>3</v>
      </c>
      <c r="G269">
        <v>3</v>
      </c>
      <c r="H269">
        <v>3</v>
      </c>
      <c r="I269">
        <v>9</v>
      </c>
      <c r="J269">
        <v>15</v>
      </c>
      <c r="K269">
        <v>6</v>
      </c>
      <c r="L269">
        <v>65</v>
      </c>
      <c r="M269">
        <v>75</v>
      </c>
    </row>
    <row r="270" spans="1:13" x14ac:dyDescent="0.25">
      <c r="A270" s="1" t="s">
        <v>390</v>
      </c>
      <c r="B270" s="1" t="s">
        <v>391</v>
      </c>
      <c r="C270">
        <v>0</v>
      </c>
      <c r="D270">
        <v>5</v>
      </c>
      <c r="E270">
        <v>3</v>
      </c>
      <c r="F270">
        <v>3</v>
      </c>
      <c r="G270">
        <v>3</v>
      </c>
      <c r="H270">
        <v>5</v>
      </c>
      <c r="I270">
        <v>27</v>
      </c>
      <c r="J270">
        <v>30</v>
      </c>
      <c r="K270">
        <v>23</v>
      </c>
      <c r="L270">
        <v>16</v>
      </c>
      <c r="M270">
        <v>21</v>
      </c>
    </row>
    <row r="271" spans="1:13" x14ac:dyDescent="0.25">
      <c r="A271" s="1" t="s">
        <v>392</v>
      </c>
      <c r="B271" s="1" t="s">
        <v>16</v>
      </c>
      <c r="C271">
        <v>5</v>
      </c>
      <c r="D271">
        <v>2</v>
      </c>
      <c r="E271">
        <v>5</v>
      </c>
      <c r="F271">
        <v>5</v>
      </c>
      <c r="G271">
        <v>6</v>
      </c>
      <c r="H271">
        <v>5</v>
      </c>
      <c r="I271">
        <v>17</v>
      </c>
      <c r="J271">
        <v>23</v>
      </c>
      <c r="K271">
        <v>33</v>
      </c>
      <c r="L271">
        <v>16</v>
      </c>
      <c r="M271">
        <v>62</v>
      </c>
    </row>
    <row r="272" spans="1:13" x14ac:dyDescent="0.25">
      <c r="A272" s="1" t="s">
        <v>393</v>
      </c>
      <c r="B272" s="1" t="s">
        <v>251</v>
      </c>
      <c r="C272">
        <v>2</v>
      </c>
      <c r="D272">
        <v>5</v>
      </c>
      <c r="E272">
        <v>3</v>
      </c>
      <c r="F272">
        <v>6</v>
      </c>
      <c r="G272">
        <v>6</v>
      </c>
      <c r="H272">
        <v>2</v>
      </c>
      <c r="I272">
        <v>87</v>
      </c>
      <c r="J272">
        <v>23</v>
      </c>
      <c r="K272">
        <v>15</v>
      </c>
      <c r="L272">
        <v>44</v>
      </c>
      <c r="M272">
        <v>30</v>
      </c>
    </row>
    <row r="273" spans="1:13" x14ac:dyDescent="0.25">
      <c r="A273" s="1" t="s">
        <v>394</v>
      </c>
      <c r="B273" s="1" t="s">
        <v>395</v>
      </c>
      <c r="C273">
        <v>2</v>
      </c>
      <c r="D273">
        <v>6</v>
      </c>
      <c r="E273">
        <v>3</v>
      </c>
      <c r="F273">
        <v>3</v>
      </c>
      <c r="G273">
        <v>3</v>
      </c>
      <c r="H273">
        <v>6</v>
      </c>
      <c r="I273">
        <v>83</v>
      </c>
      <c r="J273">
        <v>27</v>
      </c>
      <c r="K273">
        <v>18</v>
      </c>
      <c r="L273">
        <v>41</v>
      </c>
      <c r="M273">
        <v>94</v>
      </c>
    </row>
    <row r="274" spans="1:13" x14ac:dyDescent="0.25">
      <c r="A274" s="1" t="s">
        <v>396</v>
      </c>
      <c r="B274" s="1" t="s">
        <v>397</v>
      </c>
      <c r="C274">
        <v>5</v>
      </c>
      <c r="D274">
        <v>5</v>
      </c>
      <c r="E274">
        <v>5</v>
      </c>
      <c r="F274">
        <v>2</v>
      </c>
      <c r="G274">
        <v>4</v>
      </c>
      <c r="H274">
        <v>5</v>
      </c>
      <c r="I274">
        <v>35</v>
      </c>
      <c r="J274">
        <v>16</v>
      </c>
      <c r="K274">
        <v>94</v>
      </c>
      <c r="L274">
        <v>87</v>
      </c>
      <c r="M274">
        <v>38</v>
      </c>
    </row>
    <row r="275" spans="1:13" x14ac:dyDescent="0.25">
      <c r="A275" s="1" t="s">
        <v>398</v>
      </c>
      <c r="B275" s="1" t="s">
        <v>399</v>
      </c>
      <c r="C275">
        <v>0</v>
      </c>
      <c r="D275">
        <v>5</v>
      </c>
      <c r="E275">
        <v>3</v>
      </c>
      <c r="F275">
        <v>3</v>
      </c>
      <c r="G275">
        <v>2</v>
      </c>
      <c r="H275">
        <v>2</v>
      </c>
      <c r="I275">
        <v>92</v>
      </c>
      <c r="J275">
        <v>79</v>
      </c>
      <c r="K275">
        <v>94</v>
      </c>
      <c r="L275">
        <v>42</v>
      </c>
      <c r="M275">
        <v>95</v>
      </c>
    </row>
    <row r="276" spans="1:13" x14ac:dyDescent="0.25">
      <c r="A276" s="1" t="s">
        <v>75</v>
      </c>
      <c r="B276" s="1" t="s">
        <v>76</v>
      </c>
      <c r="C276">
        <v>5</v>
      </c>
      <c r="D276">
        <v>3</v>
      </c>
      <c r="E276">
        <v>5</v>
      </c>
      <c r="F276">
        <v>3</v>
      </c>
      <c r="G276">
        <v>6</v>
      </c>
      <c r="H276">
        <v>6</v>
      </c>
      <c r="I276">
        <v>82</v>
      </c>
      <c r="J276">
        <v>7</v>
      </c>
      <c r="K276">
        <v>24</v>
      </c>
      <c r="L276">
        <v>80</v>
      </c>
      <c r="M276">
        <v>33</v>
      </c>
    </row>
    <row r="277" spans="1:13" x14ac:dyDescent="0.25">
      <c r="A277" s="1" t="s">
        <v>400</v>
      </c>
      <c r="B277" s="1" t="s">
        <v>101</v>
      </c>
      <c r="C277">
        <v>6</v>
      </c>
      <c r="D277">
        <v>4</v>
      </c>
      <c r="E277">
        <v>6</v>
      </c>
      <c r="F277">
        <v>6</v>
      </c>
      <c r="G277">
        <v>4</v>
      </c>
      <c r="H277">
        <v>4</v>
      </c>
      <c r="I277">
        <v>94</v>
      </c>
      <c r="J277">
        <v>44</v>
      </c>
      <c r="K277">
        <v>96</v>
      </c>
      <c r="L277">
        <v>9</v>
      </c>
      <c r="M277">
        <v>97</v>
      </c>
    </row>
    <row r="278" spans="1:13" x14ac:dyDescent="0.25">
      <c r="A278" s="1" t="s">
        <v>401</v>
      </c>
      <c r="B278" s="1" t="s">
        <v>402</v>
      </c>
      <c r="C278">
        <v>3</v>
      </c>
      <c r="D278">
        <v>5</v>
      </c>
      <c r="E278">
        <v>3</v>
      </c>
      <c r="F278">
        <v>6</v>
      </c>
      <c r="G278">
        <v>4</v>
      </c>
      <c r="H278">
        <v>2</v>
      </c>
      <c r="I278">
        <v>32</v>
      </c>
      <c r="J278">
        <v>50</v>
      </c>
      <c r="K278">
        <v>94</v>
      </c>
      <c r="L278">
        <v>52</v>
      </c>
      <c r="M278">
        <v>100</v>
      </c>
    </row>
    <row r="279" spans="1:13" x14ac:dyDescent="0.25">
      <c r="A279" s="1" t="s">
        <v>403</v>
      </c>
      <c r="B279" s="1" t="s">
        <v>64</v>
      </c>
      <c r="C279">
        <v>3</v>
      </c>
      <c r="D279">
        <v>2</v>
      </c>
      <c r="E279">
        <v>3</v>
      </c>
      <c r="F279">
        <v>5</v>
      </c>
      <c r="G279">
        <v>3</v>
      </c>
      <c r="H279">
        <v>6</v>
      </c>
      <c r="I279">
        <v>84</v>
      </c>
      <c r="J279">
        <v>53</v>
      </c>
      <c r="K279">
        <v>73</v>
      </c>
      <c r="L279">
        <v>7</v>
      </c>
      <c r="M279">
        <v>3</v>
      </c>
    </row>
    <row r="280" spans="1:13" x14ac:dyDescent="0.25">
      <c r="A280" s="1" t="s">
        <v>404</v>
      </c>
      <c r="B280" s="1" t="s">
        <v>397</v>
      </c>
      <c r="C280">
        <v>2</v>
      </c>
      <c r="D280">
        <v>2</v>
      </c>
      <c r="E280">
        <v>5</v>
      </c>
      <c r="F280">
        <v>5</v>
      </c>
      <c r="G280">
        <v>5</v>
      </c>
      <c r="H280">
        <v>4</v>
      </c>
      <c r="I280">
        <v>88</v>
      </c>
      <c r="J280">
        <v>37</v>
      </c>
      <c r="K280">
        <v>50</v>
      </c>
      <c r="L280">
        <v>19</v>
      </c>
      <c r="M280">
        <v>28</v>
      </c>
    </row>
    <row r="281" spans="1:13" x14ac:dyDescent="0.25">
      <c r="A281" s="1" t="s">
        <v>405</v>
      </c>
      <c r="B281" s="1" t="s">
        <v>197</v>
      </c>
      <c r="C281">
        <v>7</v>
      </c>
      <c r="D281">
        <v>2</v>
      </c>
      <c r="E281">
        <v>3</v>
      </c>
      <c r="F281">
        <v>5</v>
      </c>
      <c r="G281">
        <v>5</v>
      </c>
      <c r="H281">
        <v>2</v>
      </c>
      <c r="I281">
        <v>26</v>
      </c>
      <c r="J281">
        <v>30</v>
      </c>
      <c r="K281">
        <v>96</v>
      </c>
      <c r="L281">
        <v>59</v>
      </c>
      <c r="M281">
        <v>28</v>
      </c>
    </row>
    <row r="282" spans="1:13" x14ac:dyDescent="0.25">
      <c r="A282" s="1" t="s">
        <v>406</v>
      </c>
      <c r="B282" s="1" t="s">
        <v>38</v>
      </c>
      <c r="C282">
        <v>0</v>
      </c>
      <c r="D282">
        <v>5</v>
      </c>
      <c r="E282">
        <v>6</v>
      </c>
      <c r="F282">
        <v>2</v>
      </c>
      <c r="G282">
        <v>2</v>
      </c>
      <c r="H282">
        <v>3</v>
      </c>
      <c r="I282">
        <v>50</v>
      </c>
      <c r="J282">
        <v>5</v>
      </c>
      <c r="K282">
        <v>14</v>
      </c>
      <c r="L282">
        <v>44</v>
      </c>
      <c r="M282">
        <v>45</v>
      </c>
    </row>
    <row r="283" spans="1:13" x14ac:dyDescent="0.25">
      <c r="A283" s="1" t="s">
        <v>407</v>
      </c>
      <c r="B283" s="1" t="s">
        <v>395</v>
      </c>
      <c r="C283">
        <v>5</v>
      </c>
      <c r="D283">
        <v>5</v>
      </c>
      <c r="E283">
        <v>5</v>
      </c>
      <c r="F283">
        <v>4</v>
      </c>
      <c r="G283">
        <v>6</v>
      </c>
      <c r="H283">
        <v>5</v>
      </c>
      <c r="I283">
        <v>73</v>
      </c>
      <c r="J283">
        <v>49</v>
      </c>
      <c r="K283">
        <v>54</v>
      </c>
      <c r="L283">
        <v>67</v>
      </c>
      <c r="M283">
        <v>5</v>
      </c>
    </row>
    <row r="284" spans="1:13" x14ac:dyDescent="0.25">
      <c r="A284" s="1" t="s">
        <v>408</v>
      </c>
      <c r="B284" s="1" t="s">
        <v>316</v>
      </c>
      <c r="C284">
        <v>2</v>
      </c>
      <c r="D284">
        <v>3</v>
      </c>
      <c r="E284">
        <v>4</v>
      </c>
      <c r="F284">
        <v>2</v>
      </c>
      <c r="G284">
        <v>5</v>
      </c>
      <c r="H284">
        <v>6</v>
      </c>
      <c r="I284">
        <v>100</v>
      </c>
      <c r="J284">
        <v>13</v>
      </c>
      <c r="K284">
        <v>93</v>
      </c>
      <c r="L284">
        <v>32</v>
      </c>
      <c r="M284">
        <v>23</v>
      </c>
    </row>
    <row r="285" spans="1:13" x14ac:dyDescent="0.25">
      <c r="A285" s="1" t="s">
        <v>408</v>
      </c>
      <c r="B285" s="1" t="s">
        <v>409</v>
      </c>
      <c r="C285">
        <v>6</v>
      </c>
      <c r="D285">
        <v>4</v>
      </c>
      <c r="E285">
        <v>4</v>
      </c>
      <c r="F285">
        <v>3</v>
      </c>
      <c r="G285">
        <v>2</v>
      </c>
      <c r="H285">
        <v>5</v>
      </c>
      <c r="I285">
        <v>52</v>
      </c>
      <c r="J285">
        <v>46</v>
      </c>
      <c r="K285">
        <v>54</v>
      </c>
      <c r="L285">
        <v>22</v>
      </c>
      <c r="M285">
        <v>42</v>
      </c>
    </row>
    <row r="286" spans="1:13" x14ac:dyDescent="0.25">
      <c r="A286" s="1" t="s">
        <v>410</v>
      </c>
      <c r="B286" s="1" t="s">
        <v>70</v>
      </c>
      <c r="C286">
        <v>2</v>
      </c>
      <c r="D286">
        <v>5</v>
      </c>
      <c r="E286">
        <v>6</v>
      </c>
      <c r="F286">
        <v>4</v>
      </c>
      <c r="G286">
        <v>6</v>
      </c>
      <c r="H286">
        <v>3</v>
      </c>
      <c r="I286">
        <v>88</v>
      </c>
      <c r="J286">
        <v>14</v>
      </c>
      <c r="K286">
        <v>98</v>
      </c>
      <c r="L286">
        <v>46</v>
      </c>
      <c r="M286">
        <v>66</v>
      </c>
    </row>
    <row r="287" spans="1:13" x14ac:dyDescent="0.25">
      <c r="A287" s="1" t="s">
        <v>411</v>
      </c>
      <c r="B287" s="1" t="s">
        <v>412</v>
      </c>
      <c r="C287">
        <v>3</v>
      </c>
      <c r="D287">
        <v>2</v>
      </c>
      <c r="E287">
        <v>4</v>
      </c>
      <c r="F287">
        <v>2</v>
      </c>
      <c r="G287">
        <v>6</v>
      </c>
      <c r="H287">
        <v>6</v>
      </c>
      <c r="I287">
        <v>85</v>
      </c>
      <c r="J287">
        <v>91</v>
      </c>
      <c r="K287">
        <v>9</v>
      </c>
      <c r="L287">
        <v>9</v>
      </c>
      <c r="M287">
        <v>53</v>
      </c>
    </row>
    <row r="288" spans="1:13" x14ac:dyDescent="0.25">
      <c r="A288" s="1" t="s">
        <v>413</v>
      </c>
      <c r="B288" s="1" t="s">
        <v>414</v>
      </c>
      <c r="C288">
        <v>3</v>
      </c>
      <c r="D288">
        <v>4</v>
      </c>
      <c r="E288">
        <v>4</v>
      </c>
      <c r="F288">
        <v>4</v>
      </c>
      <c r="G288">
        <v>3</v>
      </c>
      <c r="H288">
        <v>3</v>
      </c>
      <c r="I288">
        <v>93</v>
      </c>
      <c r="J288">
        <v>12</v>
      </c>
      <c r="K288">
        <v>63</v>
      </c>
      <c r="L288">
        <v>3</v>
      </c>
      <c r="M288">
        <v>60</v>
      </c>
    </row>
    <row r="289" spans="1:13" x14ac:dyDescent="0.25">
      <c r="A289" s="1" t="s">
        <v>40</v>
      </c>
      <c r="B289" s="1" t="s">
        <v>43</v>
      </c>
      <c r="C289">
        <v>0</v>
      </c>
      <c r="D289">
        <v>6</v>
      </c>
      <c r="E289">
        <v>3</v>
      </c>
      <c r="F289">
        <v>5</v>
      </c>
      <c r="G289">
        <v>6</v>
      </c>
      <c r="H289">
        <v>3</v>
      </c>
      <c r="I289">
        <v>67</v>
      </c>
      <c r="J289">
        <v>66</v>
      </c>
      <c r="K289">
        <v>56</v>
      </c>
      <c r="L289">
        <v>41</v>
      </c>
      <c r="M289">
        <v>26</v>
      </c>
    </row>
    <row r="290" spans="1:13" x14ac:dyDescent="0.25">
      <c r="A290" s="1" t="s">
        <v>415</v>
      </c>
      <c r="B290" s="1" t="s">
        <v>416</v>
      </c>
      <c r="C290">
        <v>4</v>
      </c>
      <c r="D290">
        <v>5</v>
      </c>
      <c r="E290">
        <v>6</v>
      </c>
      <c r="F290">
        <v>5</v>
      </c>
      <c r="G290">
        <v>2</v>
      </c>
      <c r="H290">
        <v>4</v>
      </c>
      <c r="I290">
        <v>65</v>
      </c>
      <c r="J290">
        <v>75</v>
      </c>
      <c r="K290">
        <v>95</v>
      </c>
      <c r="L290">
        <v>100</v>
      </c>
      <c r="M290">
        <v>89</v>
      </c>
    </row>
    <row r="291" spans="1:13" x14ac:dyDescent="0.25">
      <c r="A291" s="1" t="s">
        <v>417</v>
      </c>
      <c r="B291" s="1" t="s">
        <v>110</v>
      </c>
      <c r="C291">
        <v>1</v>
      </c>
      <c r="D291">
        <v>3</v>
      </c>
      <c r="E291">
        <v>5</v>
      </c>
      <c r="F291">
        <v>2</v>
      </c>
      <c r="G291">
        <v>2</v>
      </c>
      <c r="H291">
        <v>5</v>
      </c>
      <c r="I291">
        <v>45</v>
      </c>
      <c r="J291">
        <v>30</v>
      </c>
      <c r="K291">
        <v>64</v>
      </c>
      <c r="L291">
        <v>95</v>
      </c>
      <c r="M291">
        <v>83</v>
      </c>
    </row>
    <row r="292" spans="1:13" x14ac:dyDescent="0.25">
      <c r="A292" s="1" t="s">
        <v>418</v>
      </c>
      <c r="B292" s="1" t="s">
        <v>171</v>
      </c>
      <c r="C292">
        <v>4</v>
      </c>
      <c r="D292">
        <v>6</v>
      </c>
      <c r="E292">
        <v>4</v>
      </c>
      <c r="F292">
        <v>2</v>
      </c>
      <c r="G292">
        <v>3</v>
      </c>
      <c r="H292">
        <v>5</v>
      </c>
      <c r="I292">
        <v>40</v>
      </c>
      <c r="J292">
        <v>80</v>
      </c>
      <c r="K292">
        <v>8</v>
      </c>
      <c r="L292">
        <v>99</v>
      </c>
      <c r="M292">
        <v>20</v>
      </c>
    </row>
    <row r="293" spans="1:13" x14ac:dyDescent="0.25">
      <c r="A293" s="1" t="s">
        <v>419</v>
      </c>
      <c r="B293" s="1" t="s">
        <v>260</v>
      </c>
      <c r="C293">
        <v>6</v>
      </c>
      <c r="D293">
        <v>3</v>
      </c>
      <c r="E293">
        <v>6</v>
      </c>
      <c r="F293">
        <v>2</v>
      </c>
      <c r="G293">
        <v>4</v>
      </c>
      <c r="H293">
        <v>6</v>
      </c>
      <c r="I293">
        <v>47</v>
      </c>
      <c r="J293">
        <v>54</v>
      </c>
      <c r="K293">
        <v>40</v>
      </c>
      <c r="L293">
        <v>83</v>
      </c>
      <c r="M293">
        <v>16</v>
      </c>
    </row>
    <row r="294" spans="1:13" x14ac:dyDescent="0.25">
      <c r="A294" s="1" t="s">
        <v>420</v>
      </c>
      <c r="B294" s="1" t="s">
        <v>188</v>
      </c>
      <c r="C294">
        <v>3</v>
      </c>
      <c r="D294">
        <v>2</v>
      </c>
      <c r="E294">
        <v>4</v>
      </c>
      <c r="F294">
        <v>5</v>
      </c>
      <c r="G294">
        <v>4</v>
      </c>
      <c r="H294">
        <v>6</v>
      </c>
      <c r="I294">
        <v>99</v>
      </c>
      <c r="J294">
        <v>60</v>
      </c>
      <c r="K294">
        <v>96</v>
      </c>
      <c r="L294">
        <v>89</v>
      </c>
      <c r="M294">
        <v>29</v>
      </c>
    </row>
    <row r="295" spans="1:13" x14ac:dyDescent="0.25">
      <c r="A295" s="1" t="s">
        <v>421</v>
      </c>
      <c r="B295" s="1" t="s">
        <v>249</v>
      </c>
      <c r="C295">
        <v>8</v>
      </c>
      <c r="D295">
        <v>2</v>
      </c>
      <c r="E295">
        <v>2</v>
      </c>
      <c r="F295">
        <v>4</v>
      </c>
      <c r="G295">
        <v>3</v>
      </c>
      <c r="H295">
        <v>5</v>
      </c>
      <c r="I295">
        <v>83</v>
      </c>
      <c r="J295">
        <v>29</v>
      </c>
      <c r="K295">
        <v>91</v>
      </c>
      <c r="L295">
        <v>26</v>
      </c>
      <c r="M295">
        <v>21</v>
      </c>
    </row>
    <row r="296" spans="1:13" x14ac:dyDescent="0.25">
      <c r="A296" s="1" t="s">
        <v>422</v>
      </c>
      <c r="B296" s="1" t="s">
        <v>340</v>
      </c>
      <c r="C296">
        <v>0</v>
      </c>
      <c r="D296">
        <v>4</v>
      </c>
      <c r="E296">
        <v>3</v>
      </c>
      <c r="F296">
        <v>6</v>
      </c>
      <c r="G296">
        <v>5</v>
      </c>
      <c r="H296">
        <v>5</v>
      </c>
      <c r="I296">
        <v>5</v>
      </c>
      <c r="J296">
        <v>26</v>
      </c>
      <c r="K296">
        <v>6</v>
      </c>
      <c r="L296">
        <v>82</v>
      </c>
      <c r="M296">
        <v>94</v>
      </c>
    </row>
    <row r="297" spans="1:13" x14ac:dyDescent="0.25">
      <c r="A297" s="1" t="s">
        <v>423</v>
      </c>
      <c r="B297" s="1" t="s">
        <v>76</v>
      </c>
      <c r="C297">
        <v>5</v>
      </c>
      <c r="D297">
        <v>3</v>
      </c>
      <c r="E297">
        <v>3</v>
      </c>
      <c r="F297">
        <v>3</v>
      </c>
      <c r="G297">
        <v>4</v>
      </c>
      <c r="H297">
        <v>3</v>
      </c>
      <c r="I297">
        <v>97</v>
      </c>
      <c r="J297">
        <v>83</v>
      </c>
      <c r="K297">
        <v>27</v>
      </c>
      <c r="L297">
        <v>61</v>
      </c>
      <c r="M297">
        <v>34</v>
      </c>
    </row>
    <row r="298" spans="1:13" x14ac:dyDescent="0.25">
      <c r="A298" s="1" t="s">
        <v>424</v>
      </c>
      <c r="B298" s="1" t="s">
        <v>425</v>
      </c>
      <c r="C298">
        <v>8</v>
      </c>
      <c r="D298">
        <v>5</v>
      </c>
      <c r="E298">
        <v>4</v>
      </c>
      <c r="F298">
        <v>6</v>
      </c>
      <c r="G298">
        <v>6</v>
      </c>
      <c r="H298">
        <v>5</v>
      </c>
      <c r="I298">
        <v>37</v>
      </c>
      <c r="J298">
        <v>52</v>
      </c>
      <c r="K298">
        <v>6</v>
      </c>
      <c r="L298">
        <v>34</v>
      </c>
      <c r="M298">
        <v>84</v>
      </c>
    </row>
    <row r="299" spans="1:13" x14ac:dyDescent="0.25">
      <c r="A299" s="1" t="s">
        <v>426</v>
      </c>
      <c r="B299" s="1" t="s">
        <v>427</v>
      </c>
      <c r="C299">
        <v>5</v>
      </c>
      <c r="D299">
        <v>2</v>
      </c>
      <c r="E299">
        <v>5</v>
      </c>
      <c r="F299">
        <v>3</v>
      </c>
      <c r="G299">
        <v>5</v>
      </c>
      <c r="H299">
        <v>5</v>
      </c>
      <c r="I299">
        <v>30</v>
      </c>
      <c r="J299">
        <v>42</v>
      </c>
      <c r="K299">
        <v>80</v>
      </c>
      <c r="L299">
        <v>74</v>
      </c>
      <c r="M299">
        <v>75</v>
      </c>
    </row>
    <row r="300" spans="1:13" x14ac:dyDescent="0.25">
      <c r="A300" s="1" t="s">
        <v>428</v>
      </c>
      <c r="B300" s="1" t="s">
        <v>429</v>
      </c>
      <c r="C300">
        <v>3</v>
      </c>
      <c r="D300">
        <v>2</v>
      </c>
      <c r="E300">
        <v>5</v>
      </c>
      <c r="F300">
        <v>5</v>
      </c>
      <c r="G300">
        <v>2</v>
      </c>
      <c r="H300">
        <v>2</v>
      </c>
      <c r="I300">
        <v>81</v>
      </c>
      <c r="J300">
        <v>88</v>
      </c>
      <c r="K300">
        <v>99</v>
      </c>
      <c r="L300">
        <v>75</v>
      </c>
      <c r="M300">
        <v>60</v>
      </c>
    </row>
    <row r="301" spans="1:13" x14ac:dyDescent="0.25">
      <c r="A301" s="1" t="s">
        <v>428</v>
      </c>
      <c r="B301" s="1" t="s">
        <v>430</v>
      </c>
      <c r="C301">
        <v>3</v>
      </c>
      <c r="D301">
        <v>6</v>
      </c>
      <c r="E301">
        <v>2</v>
      </c>
      <c r="F301">
        <v>5</v>
      </c>
      <c r="G301">
        <v>6</v>
      </c>
      <c r="H301">
        <v>4</v>
      </c>
      <c r="I301">
        <v>36</v>
      </c>
      <c r="J301">
        <v>63</v>
      </c>
      <c r="K301">
        <v>40</v>
      </c>
      <c r="L301">
        <v>82</v>
      </c>
      <c r="M301">
        <v>89</v>
      </c>
    </row>
    <row r="302" spans="1:13" x14ac:dyDescent="0.25">
      <c r="A302" s="1" t="s">
        <v>431</v>
      </c>
      <c r="B302" s="1" t="s">
        <v>242</v>
      </c>
      <c r="C302">
        <v>0</v>
      </c>
      <c r="D302">
        <v>6</v>
      </c>
      <c r="E302">
        <v>3</v>
      </c>
      <c r="F302">
        <v>2</v>
      </c>
      <c r="G302">
        <v>3</v>
      </c>
      <c r="H302">
        <v>5</v>
      </c>
      <c r="I302">
        <v>27</v>
      </c>
      <c r="J302">
        <v>62</v>
      </c>
      <c r="K302">
        <v>56</v>
      </c>
      <c r="L302">
        <v>66</v>
      </c>
      <c r="M302">
        <v>92</v>
      </c>
    </row>
    <row r="303" spans="1:13" x14ac:dyDescent="0.25">
      <c r="A303" s="1" t="s">
        <v>432</v>
      </c>
      <c r="B303" s="1" t="s">
        <v>429</v>
      </c>
      <c r="C303">
        <v>8</v>
      </c>
      <c r="D303">
        <v>5</v>
      </c>
      <c r="E303">
        <v>5</v>
      </c>
      <c r="F303">
        <v>5</v>
      </c>
      <c r="G303">
        <v>4</v>
      </c>
      <c r="H303">
        <v>6</v>
      </c>
      <c r="I303">
        <v>65</v>
      </c>
      <c r="J303">
        <v>57</v>
      </c>
      <c r="K303">
        <v>24</v>
      </c>
      <c r="L303">
        <v>97</v>
      </c>
      <c r="M303">
        <v>47</v>
      </c>
    </row>
    <row r="304" spans="1:13" x14ac:dyDescent="0.25">
      <c r="A304" s="1" t="s">
        <v>433</v>
      </c>
      <c r="B304" s="1" t="s">
        <v>434</v>
      </c>
      <c r="C304">
        <v>5</v>
      </c>
      <c r="D304">
        <v>2</v>
      </c>
      <c r="E304">
        <v>6</v>
      </c>
      <c r="F304">
        <v>4</v>
      </c>
      <c r="G304">
        <v>5</v>
      </c>
      <c r="H304">
        <v>6</v>
      </c>
      <c r="I304">
        <v>35</v>
      </c>
      <c r="J304">
        <v>77</v>
      </c>
      <c r="K304">
        <v>82</v>
      </c>
      <c r="L304">
        <v>42</v>
      </c>
      <c r="M304">
        <v>17</v>
      </c>
    </row>
    <row r="305" spans="1:13" x14ac:dyDescent="0.25">
      <c r="A305" s="1" t="s">
        <v>435</v>
      </c>
      <c r="B305" s="1" t="s">
        <v>436</v>
      </c>
      <c r="C305">
        <v>3</v>
      </c>
      <c r="D305">
        <v>5</v>
      </c>
      <c r="E305">
        <v>5</v>
      </c>
      <c r="F305">
        <v>2</v>
      </c>
      <c r="G305">
        <v>3</v>
      </c>
      <c r="H305">
        <v>6</v>
      </c>
      <c r="I305">
        <v>47</v>
      </c>
      <c r="J305">
        <v>52</v>
      </c>
      <c r="K305">
        <v>43</v>
      </c>
      <c r="L305">
        <v>47</v>
      </c>
      <c r="M305">
        <v>3</v>
      </c>
    </row>
    <row r="306" spans="1:13" x14ac:dyDescent="0.25">
      <c r="A306" s="1" t="s">
        <v>437</v>
      </c>
      <c r="B306" s="1" t="s">
        <v>438</v>
      </c>
      <c r="C306">
        <v>5</v>
      </c>
      <c r="D306">
        <v>2</v>
      </c>
      <c r="E306">
        <v>6</v>
      </c>
      <c r="F306">
        <v>3</v>
      </c>
      <c r="G306">
        <v>3</v>
      </c>
      <c r="H306">
        <v>5</v>
      </c>
      <c r="I306">
        <v>69</v>
      </c>
      <c r="J306">
        <v>15</v>
      </c>
      <c r="K306">
        <v>39</v>
      </c>
      <c r="L306">
        <v>69</v>
      </c>
      <c r="M306">
        <v>39</v>
      </c>
    </row>
    <row r="307" spans="1:13" x14ac:dyDescent="0.25">
      <c r="A307" s="1" t="s">
        <v>439</v>
      </c>
      <c r="B307" s="1" t="s">
        <v>395</v>
      </c>
      <c r="C307">
        <v>0</v>
      </c>
      <c r="D307">
        <v>3</v>
      </c>
      <c r="E307">
        <v>6</v>
      </c>
      <c r="F307">
        <v>4</v>
      </c>
      <c r="G307">
        <v>3</v>
      </c>
      <c r="H307">
        <v>6</v>
      </c>
      <c r="I307">
        <v>35</v>
      </c>
      <c r="J307">
        <v>41</v>
      </c>
      <c r="K307">
        <v>92</v>
      </c>
      <c r="L307">
        <v>96</v>
      </c>
      <c r="M307">
        <v>19</v>
      </c>
    </row>
    <row r="308" spans="1:13" x14ac:dyDescent="0.25">
      <c r="A308" s="1" t="s">
        <v>440</v>
      </c>
      <c r="B308" s="1" t="s">
        <v>251</v>
      </c>
      <c r="C308">
        <v>1</v>
      </c>
      <c r="D308">
        <v>6</v>
      </c>
      <c r="E308">
        <v>6</v>
      </c>
      <c r="F308">
        <v>5</v>
      </c>
      <c r="G308">
        <v>3</v>
      </c>
      <c r="H308">
        <v>6</v>
      </c>
      <c r="I308">
        <v>8</v>
      </c>
      <c r="J308">
        <v>17</v>
      </c>
      <c r="K308">
        <v>37</v>
      </c>
      <c r="L308">
        <v>10</v>
      </c>
      <c r="M308">
        <v>56</v>
      </c>
    </row>
    <row r="309" spans="1:13" x14ac:dyDescent="0.25">
      <c r="A309" s="1" t="s">
        <v>441</v>
      </c>
      <c r="B309" s="1" t="s">
        <v>177</v>
      </c>
      <c r="C309">
        <v>2</v>
      </c>
      <c r="D309">
        <v>5</v>
      </c>
      <c r="E309">
        <v>6</v>
      </c>
      <c r="F309">
        <v>2</v>
      </c>
      <c r="G309">
        <v>5</v>
      </c>
      <c r="H309">
        <v>3</v>
      </c>
      <c r="I309">
        <v>44</v>
      </c>
      <c r="J309">
        <v>32</v>
      </c>
      <c r="K309">
        <v>4</v>
      </c>
      <c r="L309">
        <v>95</v>
      </c>
      <c r="M309">
        <v>55</v>
      </c>
    </row>
    <row r="310" spans="1:13" x14ac:dyDescent="0.25">
      <c r="A310" s="1" t="s">
        <v>442</v>
      </c>
      <c r="B310" s="1" t="s">
        <v>70</v>
      </c>
      <c r="C310">
        <v>0</v>
      </c>
      <c r="D310">
        <v>6</v>
      </c>
      <c r="E310">
        <v>4</v>
      </c>
      <c r="F310">
        <v>2</v>
      </c>
      <c r="G310">
        <v>4</v>
      </c>
      <c r="H310">
        <v>5</v>
      </c>
      <c r="I310">
        <v>72</v>
      </c>
      <c r="J310">
        <v>100</v>
      </c>
      <c r="K310">
        <v>96</v>
      </c>
      <c r="L310">
        <v>5</v>
      </c>
      <c r="M310">
        <v>41</v>
      </c>
    </row>
    <row r="311" spans="1:13" x14ac:dyDescent="0.25">
      <c r="A311" s="1" t="s">
        <v>443</v>
      </c>
      <c r="B311" s="1" t="s">
        <v>357</v>
      </c>
      <c r="C311">
        <v>2</v>
      </c>
      <c r="D311">
        <v>6</v>
      </c>
      <c r="E311">
        <v>6</v>
      </c>
      <c r="F311">
        <v>4</v>
      </c>
      <c r="G311">
        <v>6</v>
      </c>
      <c r="H311">
        <v>2</v>
      </c>
      <c r="I311">
        <v>68</v>
      </c>
      <c r="J311">
        <v>15</v>
      </c>
      <c r="K311">
        <v>53</v>
      </c>
      <c r="L311">
        <v>47</v>
      </c>
      <c r="M311">
        <v>8</v>
      </c>
    </row>
    <row r="312" spans="1:13" x14ac:dyDescent="0.25">
      <c r="A312" s="1" t="s">
        <v>444</v>
      </c>
      <c r="B312" s="1" t="s">
        <v>445</v>
      </c>
      <c r="C312">
        <v>0</v>
      </c>
      <c r="D312">
        <v>3</v>
      </c>
      <c r="E312">
        <v>5</v>
      </c>
      <c r="F312">
        <v>2</v>
      </c>
      <c r="G312">
        <v>3</v>
      </c>
      <c r="H312">
        <v>6</v>
      </c>
      <c r="I312">
        <v>33</v>
      </c>
      <c r="J312">
        <v>86</v>
      </c>
      <c r="K312">
        <v>90</v>
      </c>
      <c r="L312">
        <v>78</v>
      </c>
      <c r="M312">
        <v>15</v>
      </c>
    </row>
    <row r="313" spans="1:13" x14ac:dyDescent="0.25">
      <c r="A313" s="1" t="s">
        <v>446</v>
      </c>
      <c r="B313" s="1" t="s">
        <v>30</v>
      </c>
      <c r="C313">
        <v>3</v>
      </c>
      <c r="D313">
        <v>2</v>
      </c>
      <c r="E313">
        <v>5</v>
      </c>
      <c r="F313">
        <v>3</v>
      </c>
      <c r="G313">
        <v>3</v>
      </c>
      <c r="H313">
        <v>4</v>
      </c>
      <c r="I313">
        <v>95</v>
      </c>
      <c r="J313">
        <v>25</v>
      </c>
      <c r="K313">
        <v>48</v>
      </c>
      <c r="L313">
        <v>27</v>
      </c>
      <c r="M313">
        <v>23</v>
      </c>
    </row>
    <row r="314" spans="1:13" x14ac:dyDescent="0.25">
      <c r="A314" s="1" t="s">
        <v>400</v>
      </c>
      <c r="B314" s="1" t="s">
        <v>409</v>
      </c>
      <c r="C314">
        <v>0</v>
      </c>
      <c r="D314">
        <v>4</v>
      </c>
      <c r="E314">
        <v>5</v>
      </c>
      <c r="F314">
        <v>6</v>
      </c>
      <c r="G314">
        <v>3</v>
      </c>
      <c r="H314">
        <v>5</v>
      </c>
      <c r="I314">
        <v>66</v>
      </c>
      <c r="J314">
        <v>31</v>
      </c>
      <c r="K314">
        <v>5</v>
      </c>
      <c r="L314">
        <v>9</v>
      </c>
      <c r="M314">
        <v>38</v>
      </c>
    </row>
    <row r="315" spans="1:13" x14ac:dyDescent="0.25">
      <c r="A315" s="1" t="s">
        <v>447</v>
      </c>
      <c r="B315" s="1" t="s">
        <v>448</v>
      </c>
      <c r="C315">
        <v>0</v>
      </c>
      <c r="D315">
        <v>4</v>
      </c>
      <c r="E315">
        <v>4</v>
      </c>
      <c r="F315">
        <v>5</v>
      </c>
      <c r="G315">
        <v>4</v>
      </c>
      <c r="H315">
        <v>3</v>
      </c>
      <c r="I315">
        <v>82</v>
      </c>
      <c r="J315">
        <v>31</v>
      </c>
      <c r="K315">
        <v>77</v>
      </c>
      <c r="L315">
        <v>49</v>
      </c>
      <c r="M315">
        <v>81</v>
      </c>
    </row>
    <row r="316" spans="1:13" x14ac:dyDescent="0.25">
      <c r="A316" s="1" t="s">
        <v>449</v>
      </c>
      <c r="B316" s="1" t="s">
        <v>34</v>
      </c>
      <c r="C316">
        <v>5</v>
      </c>
      <c r="D316">
        <v>2</v>
      </c>
      <c r="E316">
        <v>3</v>
      </c>
      <c r="F316">
        <v>2</v>
      </c>
      <c r="G316">
        <v>4</v>
      </c>
      <c r="H316">
        <v>3</v>
      </c>
      <c r="I316">
        <v>53</v>
      </c>
      <c r="J316">
        <v>95</v>
      </c>
      <c r="K316">
        <v>23</v>
      </c>
      <c r="L316">
        <v>16</v>
      </c>
      <c r="M316">
        <v>90</v>
      </c>
    </row>
    <row r="317" spans="1:13" x14ac:dyDescent="0.25">
      <c r="A317" s="1" t="s">
        <v>450</v>
      </c>
      <c r="B317" s="1" t="s">
        <v>395</v>
      </c>
      <c r="C317">
        <v>7</v>
      </c>
      <c r="D317">
        <v>2</v>
      </c>
      <c r="E317">
        <v>4</v>
      </c>
      <c r="F317">
        <v>3</v>
      </c>
      <c r="G317">
        <v>4</v>
      </c>
      <c r="H317">
        <v>2</v>
      </c>
      <c r="I317">
        <v>58</v>
      </c>
      <c r="J317">
        <v>56</v>
      </c>
      <c r="K317">
        <v>47</v>
      </c>
      <c r="L317">
        <v>61</v>
      </c>
      <c r="M317">
        <v>69</v>
      </c>
    </row>
    <row r="318" spans="1:13" x14ac:dyDescent="0.25">
      <c r="A318" s="1" t="s">
        <v>163</v>
      </c>
      <c r="B318" s="1" t="s">
        <v>164</v>
      </c>
      <c r="C318">
        <v>6</v>
      </c>
      <c r="D318">
        <v>6</v>
      </c>
      <c r="E318">
        <v>4</v>
      </c>
      <c r="F318">
        <v>3</v>
      </c>
      <c r="G318">
        <v>2</v>
      </c>
      <c r="H318">
        <v>3</v>
      </c>
      <c r="I318">
        <v>88</v>
      </c>
      <c r="J318">
        <v>10</v>
      </c>
      <c r="K318">
        <v>92</v>
      </c>
      <c r="L318">
        <v>82</v>
      </c>
      <c r="M318">
        <v>2</v>
      </c>
    </row>
    <row r="319" spans="1:13" x14ac:dyDescent="0.25">
      <c r="A319" s="1" t="s">
        <v>451</v>
      </c>
      <c r="B319" s="1" t="s">
        <v>23</v>
      </c>
      <c r="C319">
        <v>6</v>
      </c>
      <c r="D319">
        <v>4</v>
      </c>
      <c r="E319">
        <v>2</v>
      </c>
      <c r="F319">
        <v>3</v>
      </c>
      <c r="G319">
        <v>5</v>
      </c>
      <c r="H319">
        <v>4</v>
      </c>
      <c r="I319">
        <v>50</v>
      </c>
      <c r="J319">
        <v>3</v>
      </c>
      <c r="K319">
        <v>27</v>
      </c>
      <c r="L319">
        <v>70</v>
      </c>
      <c r="M319">
        <v>25</v>
      </c>
    </row>
    <row r="320" spans="1:13" x14ac:dyDescent="0.25">
      <c r="A320" s="1" t="s">
        <v>283</v>
      </c>
      <c r="B320" s="1" t="s">
        <v>452</v>
      </c>
      <c r="C320">
        <v>8</v>
      </c>
      <c r="D320">
        <v>2</v>
      </c>
      <c r="E320">
        <v>5</v>
      </c>
      <c r="F320">
        <v>3</v>
      </c>
      <c r="G320">
        <v>2</v>
      </c>
      <c r="H320">
        <v>3</v>
      </c>
      <c r="I320">
        <v>93</v>
      </c>
      <c r="J320">
        <v>98</v>
      </c>
      <c r="K320">
        <v>43</v>
      </c>
      <c r="L320">
        <v>97</v>
      </c>
      <c r="M320">
        <v>90</v>
      </c>
    </row>
    <row r="321" spans="1:13" x14ac:dyDescent="0.25">
      <c r="A321" s="1" t="s">
        <v>453</v>
      </c>
      <c r="B321" s="1" t="s">
        <v>130</v>
      </c>
      <c r="C321">
        <v>6</v>
      </c>
      <c r="D321">
        <v>4</v>
      </c>
      <c r="E321">
        <v>4</v>
      </c>
      <c r="F321">
        <v>5</v>
      </c>
      <c r="G321">
        <v>2</v>
      </c>
      <c r="H321">
        <v>4</v>
      </c>
      <c r="I321">
        <v>41</v>
      </c>
      <c r="J321">
        <v>62</v>
      </c>
      <c r="K321">
        <v>60</v>
      </c>
      <c r="L321">
        <v>18</v>
      </c>
      <c r="M321">
        <v>83</v>
      </c>
    </row>
    <row r="322" spans="1:13" x14ac:dyDescent="0.25">
      <c r="A322" s="1" t="s">
        <v>454</v>
      </c>
      <c r="B322" s="1" t="s">
        <v>369</v>
      </c>
      <c r="C322">
        <v>3</v>
      </c>
      <c r="D322">
        <v>2</v>
      </c>
      <c r="E322">
        <v>3</v>
      </c>
      <c r="F322">
        <v>4</v>
      </c>
      <c r="G322">
        <v>2</v>
      </c>
      <c r="H322">
        <v>4</v>
      </c>
      <c r="I322">
        <v>90</v>
      </c>
      <c r="J322">
        <v>26</v>
      </c>
      <c r="K322">
        <v>50</v>
      </c>
      <c r="L322">
        <v>74</v>
      </c>
      <c r="M322">
        <v>53</v>
      </c>
    </row>
    <row r="323" spans="1:13" x14ac:dyDescent="0.25">
      <c r="A323" s="1" t="s">
        <v>455</v>
      </c>
      <c r="B323" s="1" t="s">
        <v>369</v>
      </c>
      <c r="C323">
        <v>4</v>
      </c>
      <c r="D323">
        <v>4</v>
      </c>
      <c r="E323">
        <v>3</v>
      </c>
      <c r="F323">
        <v>2</v>
      </c>
      <c r="G323">
        <v>3</v>
      </c>
      <c r="H323">
        <v>2</v>
      </c>
      <c r="I323">
        <v>31</v>
      </c>
      <c r="J323">
        <v>59</v>
      </c>
      <c r="K323">
        <v>7</v>
      </c>
      <c r="L323">
        <v>38</v>
      </c>
      <c r="M323">
        <v>24</v>
      </c>
    </row>
    <row r="324" spans="1:13" x14ac:dyDescent="0.25">
      <c r="A324" s="1" t="s">
        <v>456</v>
      </c>
      <c r="B324" s="1" t="s">
        <v>159</v>
      </c>
      <c r="C324">
        <v>6</v>
      </c>
      <c r="D324">
        <v>6</v>
      </c>
      <c r="E324">
        <v>6</v>
      </c>
      <c r="F324">
        <v>2</v>
      </c>
      <c r="G324">
        <v>3</v>
      </c>
      <c r="H324">
        <v>2</v>
      </c>
      <c r="I324">
        <v>56</v>
      </c>
      <c r="J324">
        <v>34</v>
      </c>
      <c r="K324">
        <v>52</v>
      </c>
      <c r="L324">
        <v>30</v>
      </c>
      <c r="M324">
        <v>94</v>
      </c>
    </row>
    <row r="325" spans="1:13" x14ac:dyDescent="0.25">
      <c r="A325" s="1" t="s">
        <v>457</v>
      </c>
      <c r="B325" s="1" t="s">
        <v>409</v>
      </c>
      <c r="C325">
        <v>0</v>
      </c>
      <c r="D325">
        <v>3</v>
      </c>
      <c r="E325">
        <v>6</v>
      </c>
      <c r="F325">
        <v>4</v>
      </c>
      <c r="G325">
        <v>6</v>
      </c>
      <c r="H325">
        <v>3</v>
      </c>
      <c r="I325">
        <v>13</v>
      </c>
      <c r="J325">
        <v>42</v>
      </c>
      <c r="K325">
        <v>23</v>
      </c>
      <c r="L325">
        <v>14</v>
      </c>
      <c r="M325">
        <v>73</v>
      </c>
    </row>
    <row r="326" spans="1:13" x14ac:dyDescent="0.25">
      <c r="A326" s="1" t="s">
        <v>458</v>
      </c>
      <c r="B326" s="1" t="s">
        <v>74</v>
      </c>
      <c r="C326">
        <v>2</v>
      </c>
      <c r="D326">
        <v>3</v>
      </c>
      <c r="E326">
        <v>6</v>
      </c>
      <c r="F326">
        <v>6</v>
      </c>
      <c r="G326">
        <v>4</v>
      </c>
      <c r="H326">
        <v>4</v>
      </c>
      <c r="I326">
        <v>61</v>
      </c>
      <c r="J326">
        <v>3</v>
      </c>
      <c r="K326">
        <v>88</v>
      </c>
      <c r="L326">
        <v>72</v>
      </c>
      <c r="M326">
        <v>84</v>
      </c>
    </row>
    <row r="327" spans="1:13" x14ac:dyDescent="0.25">
      <c r="A327" s="1" t="s">
        <v>459</v>
      </c>
      <c r="B327" s="1" t="s">
        <v>130</v>
      </c>
      <c r="C327">
        <v>6</v>
      </c>
      <c r="D327">
        <v>4</v>
      </c>
      <c r="E327">
        <v>4</v>
      </c>
      <c r="F327">
        <v>2</v>
      </c>
      <c r="G327">
        <v>4</v>
      </c>
      <c r="H327">
        <v>2</v>
      </c>
      <c r="I327">
        <v>30</v>
      </c>
      <c r="J327">
        <v>28</v>
      </c>
      <c r="K327">
        <v>30</v>
      </c>
      <c r="L327">
        <v>66</v>
      </c>
      <c r="M327">
        <v>98</v>
      </c>
    </row>
    <row r="328" spans="1:13" x14ac:dyDescent="0.25">
      <c r="A328" s="1" t="s">
        <v>460</v>
      </c>
      <c r="B328" s="1" t="s">
        <v>130</v>
      </c>
      <c r="C328">
        <v>4</v>
      </c>
      <c r="D328">
        <v>4</v>
      </c>
      <c r="E328">
        <v>4</v>
      </c>
      <c r="F328">
        <v>6</v>
      </c>
      <c r="G328">
        <v>6</v>
      </c>
      <c r="H328">
        <v>2</v>
      </c>
      <c r="I328">
        <v>80</v>
      </c>
      <c r="J328">
        <v>75</v>
      </c>
      <c r="K328">
        <v>57</v>
      </c>
      <c r="L328">
        <v>43</v>
      </c>
      <c r="M328">
        <v>92</v>
      </c>
    </row>
    <row r="329" spans="1:13" x14ac:dyDescent="0.25">
      <c r="A329" s="1" t="s">
        <v>461</v>
      </c>
      <c r="B329" s="1" t="s">
        <v>28</v>
      </c>
      <c r="C329">
        <v>2</v>
      </c>
      <c r="D329">
        <v>4</v>
      </c>
      <c r="E329">
        <v>5</v>
      </c>
      <c r="F329">
        <v>2</v>
      </c>
      <c r="G329">
        <v>5</v>
      </c>
      <c r="H329">
        <v>2</v>
      </c>
      <c r="I329">
        <v>26</v>
      </c>
      <c r="J329">
        <v>69</v>
      </c>
      <c r="K329">
        <v>46</v>
      </c>
      <c r="L329">
        <v>57</v>
      </c>
      <c r="M329">
        <v>91</v>
      </c>
    </row>
    <row r="330" spans="1:13" x14ac:dyDescent="0.25">
      <c r="A330" s="1" t="s">
        <v>462</v>
      </c>
      <c r="B330" s="1" t="s">
        <v>463</v>
      </c>
      <c r="C330">
        <v>4</v>
      </c>
      <c r="D330">
        <v>3</v>
      </c>
      <c r="E330">
        <v>5</v>
      </c>
      <c r="F330">
        <v>5</v>
      </c>
      <c r="G330">
        <v>3</v>
      </c>
      <c r="H330">
        <v>3</v>
      </c>
      <c r="I330">
        <v>5</v>
      </c>
      <c r="J330">
        <v>44</v>
      </c>
      <c r="K330">
        <v>37</v>
      </c>
      <c r="L330">
        <v>5</v>
      </c>
      <c r="M330">
        <v>62</v>
      </c>
    </row>
    <row r="331" spans="1:13" x14ac:dyDescent="0.25">
      <c r="A331" s="1" t="s">
        <v>464</v>
      </c>
      <c r="B331" s="1" t="s">
        <v>445</v>
      </c>
      <c r="C331">
        <v>6</v>
      </c>
      <c r="D331">
        <v>3</v>
      </c>
      <c r="E331">
        <v>5</v>
      </c>
      <c r="F331">
        <v>5</v>
      </c>
      <c r="G331">
        <v>2</v>
      </c>
      <c r="H331">
        <v>6</v>
      </c>
      <c r="I331">
        <v>56</v>
      </c>
      <c r="J331">
        <v>90</v>
      </c>
      <c r="K331">
        <v>35</v>
      </c>
      <c r="L331">
        <v>68</v>
      </c>
      <c r="M331">
        <v>48</v>
      </c>
    </row>
    <row r="332" spans="1:13" x14ac:dyDescent="0.25">
      <c r="A332" s="1" t="s">
        <v>465</v>
      </c>
      <c r="B332" s="1" t="s">
        <v>239</v>
      </c>
      <c r="C332">
        <v>4</v>
      </c>
      <c r="D332">
        <v>3</v>
      </c>
      <c r="E332">
        <v>6</v>
      </c>
      <c r="F332">
        <v>2</v>
      </c>
      <c r="G332">
        <v>3</v>
      </c>
      <c r="H332">
        <v>3</v>
      </c>
      <c r="I332">
        <v>7</v>
      </c>
      <c r="J332">
        <v>15</v>
      </c>
      <c r="K332">
        <v>62</v>
      </c>
      <c r="L332">
        <v>9</v>
      </c>
      <c r="M332">
        <v>43</v>
      </c>
    </row>
    <row r="333" spans="1:13" x14ac:dyDescent="0.25">
      <c r="A333" s="1" t="s">
        <v>466</v>
      </c>
      <c r="B333" s="1" t="s">
        <v>16</v>
      </c>
      <c r="C333">
        <v>3</v>
      </c>
      <c r="D333">
        <v>6</v>
      </c>
      <c r="E333">
        <v>6</v>
      </c>
      <c r="F333">
        <v>6</v>
      </c>
      <c r="G333">
        <v>4</v>
      </c>
      <c r="H333">
        <v>5</v>
      </c>
      <c r="I333">
        <v>27</v>
      </c>
      <c r="J333">
        <v>73</v>
      </c>
      <c r="K333">
        <v>63</v>
      </c>
      <c r="L333">
        <v>14</v>
      </c>
      <c r="M333">
        <v>72</v>
      </c>
    </row>
    <row r="334" spans="1:13" x14ac:dyDescent="0.25">
      <c r="A334" s="1" t="s">
        <v>467</v>
      </c>
      <c r="B334" s="1" t="s">
        <v>395</v>
      </c>
      <c r="C334">
        <v>1</v>
      </c>
      <c r="D334">
        <v>6</v>
      </c>
      <c r="E334">
        <v>5</v>
      </c>
      <c r="F334">
        <v>2</v>
      </c>
      <c r="G334">
        <v>2</v>
      </c>
      <c r="H334">
        <v>3</v>
      </c>
      <c r="I334">
        <v>70</v>
      </c>
      <c r="J334">
        <v>59</v>
      </c>
      <c r="K334">
        <v>15</v>
      </c>
      <c r="L334">
        <v>13</v>
      </c>
      <c r="M334">
        <v>66</v>
      </c>
    </row>
    <row r="335" spans="1:13" x14ac:dyDescent="0.25">
      <c r="A335" s="1" t="s">
        <v>468</v>
      </c>
      <c r="B335" s="1" t="s">
        <v>164</v>
      </c>
      <c r="C335">
        <v>5</v>
      </c>
      <c r="D335">
        <v>3</v>
      </c>
      <c r="E335">
        <v>5</v>
      </c>
      <c r="F335">
        <v>3</v>
      </c>
      <c r="G335">
        <v>5</v>
      </c>
      <c r="H335">
        <v>3</v>
      </c>
      <c r="I335">
        <v>52</v>
      </c>
      <c r="J335">
        <v>65</v>
      </c>
      <c r="K335">
        <v>48</v>
      </c>
      <c r="L335">
        <v>58</v>
      </c>
      <c r="M335">
        <v>48</v>
      </c>
    </row>
    <row r="336" spans="1:13" x14ac:dyDescent="0.25">
      <c r="A336" s="1" t="s">
        <v>469</v>
      </c>
      <c r="B336" s="1" t="s">
        <v>130</v>
      </c>
      <c r="C336">
        <v>5</v>
      </c>
      <c r="D336">
        <v>2</v>
      </c>
      <c r="E336">
        <v>2</v>
      </c>
      <c r="F336">
        <v>2</v>
      </c>
      <c r="G336">
        <v>4</v>
      </c>
      <c r="H336">
        <v>2</v>
      </c>
      <c r="I336">
        <v>27</v>
      </c>
      <c r="J336">
        <v>64</v>
      </c>
      <c r="K336">
        <v>22</v>
      </c>
      <c r="L336">
        <v>32</v>
      </c>
      <c r="M336">
        <v>91</v>
      </c>
    </row>
    <row r="337" spans="1:13" x14ac:dyDescent="0.25">
      <c r="A337" s="1" t="s">
        <v>470</v>
      </c>
      <c r="B337" s="1" t="s">
        <v>32</v>
      </c>
      <c r="C337">
        <v>1</v>
      </c>
      <c r="D337">
        <v>3</v>
      </c>
      <c r="E337">
        <v>3</v>
      </c>
      <c r="F337">
        <v>2</v>
      </c>
      <c r="G337">
        <v>5</v>
      </c>
      <c r="H337">
        <v>2</v>
      </c>
      <c r="I337">
        <v>84</v>
      </c>
      <c r="J337">
        <v>92</v>
      </c>
      <c r="K337">
        <v>92</v>
      </c>
      <c r="L337">
        <v>81</v>
      </c>
      <c r="M337">
        <v>68</v>
      </c>
    </row>
    <row r="338" spans="1:13" x14ac:dyDescent="0.25">
      <c r="A338" s="1" t="s">
        <v>471</v>
      </c>
      <c r="B338" s="1" t="s">
        <v>340</v>
      </c>
      <c r="C338">
        <v>4</v>
      </c>
      <c r="D338">
        <v>5</v>
      </c>
      <c r="E338">
        <v>4</v>
      </c>
      <c r="F338">
        <v>4</v>
      </c>
      <c r="G338">
        <v>2</v>
      </c>
      <c r="H338">
        <v>6</v>
      </c>
      <c r="I338">
        <v>75</v>
      </c>
      <c r="J338">
        <v>22</v>
      </c>
      <c r="K338">
        <v>91</v>
      </c>
      <c r="L338">
        <v>31</v>
      </c>
      <c r="M338">
        <v>93</v>
      </c>
    </row>
    <row r="339" spans="1:13" x14ac:dyDescent="0.25">
      <c r="A339" s="1" t="s">
        <v>472</v>
      </c>
      <c r="B339" s="1" t="s">
        <v>70</v>
      </c>
      <c r="C339">
        <v>2</v>
      </c>
      <c r="D339">
        <v>4</v>
      </c>
      <c r="E339">
        <v>4</v>
      </c>
      <c r="F339">
        <v>6</v>
      </c>
      <c r="G339">
        <v>5</v>
      </c>
      <c r="H339">
        <v>4</v>
      </c>
      <c r="I339">
        <v>35</v>
      </c>
      <c r="J339">
        <v>77</v>
      </c>
      <c r="K339">
        <v>81</v>
      </c>
      <c r="L339">
        <v>17</v>
      </c>
      <c r="M339">
        <v>27</v>
      </c>
    </row>
    <row r="340" spans="1:13" x14ac:dyDescent="0.25">
      <c r="A340" s="1" t="s">
        <v>473</v>
      </c>
      <c r="B340" s="1" t="s">
        <v>55</v>
      </c>
      <c r="C340">
        <v>7</v>
      </c>
      <c r="D340">
        <v>5</v>
      </c>
      <c r="E340">
        <v>4</v>
      </c>
      <c r="F340">
        <v>3</v>
      </c>
      <c r="G340">
        <v>3</v>
      </c>
      <c r="H340">
        <v>2</v>
      </c>
      <c r="I340">
        <v>2</v>
      </c>
      <c r="J340">
        <v>88</v>
      </c>
      <c r="K340">
        <v>61</v>
      </c>
      <c r="L340">
        <v>2</v>
      </c>
      <c r="M340">
        <v>49</v>
      </c>
    </row>
    <row r="341" spans="1:13" x14ac:dyDescent="0.25">
      <c r="A341" s="1" t="s">
        <v>474</v>
      </c>
      <c r="B341" s="1" t="s">
        <v>197</v>
      </c>
      <c r="C341">
        <v>7</v>
      </c>
      <c r="D341">
        <v>6</v>
      </c>
      <c r="E341">
        <v>5</v>
      </c>
      <c r="F341">
        <v>3</v>
      </c>
      <c r="G341">
        <v>3</v>
      </c>
      <c r="H341">
        <v>3</v>
      </c>
      <c r="I341">
        <v>71</v>
      </c>
      <c r="J341">
        <v>55</v>
      </c>
      <c r="K341">
        <v>33</v>
      </c>
      <c r="L341">
        <v>97</v>
      </c>
      <c r="M341">
        <v>73</v>
      </c>
    </row>
    <row r="342" spans="1:13" x14ac:dyDescent="0.25">
      <c r="A342" s="1" t="s">
        <v>475</v>
      </c>
      <c r="B342" s="1" t="s">
        <v>232</v>
      </c>
      <c r="C342">
        <v>5</v>
      </c>
      <c r="D342">
        <v>5</v>
      </c>
      <c r="E342">
        <v>6</v>
      </c>
      <c r="F342">
        <v>4</v>
      </c>
      <c r="G342">
        <v>5</v>
      </c>
      <c r="H342">
        <v>5</v>
      </c>
      <c r="I342">
        <v>53</v>
      </c>
      <c r="J342">
        <v>97</v>
      </c>
      <c r="K342">
        <v>28</v>
      </c>
      <c r="L342">
        <v>88</v>
      </c>
      <c r="M342">
        <v>87</v>
      </c>
    </row>
    <row r="343" spans="1:13" x14ac:dyDescent="0.25">
      <c r="A343" s="1" t="s">
        <v>476</v>
      </c>
      <c r="B343" s="1" t="s">
        <v>477</v>
      </c>
      <c r="C343">
        <v>0</v>
      </c>
      <c r="D343">
        <v>5</v>
      </c>
      <c r="E343">
        <v>5</v>
      </c>
      <c r="F343">
        <v>3</v>
      </c>
      <c r="G343">
        <v>4</v>
      </c>
      <c r="H343">
        <v>4</v>
      </c>
      <c r="I343">
        <v>73</v>
      </c>
      <c r="J343">
        <v>67</v>
      </c>
      <c r="K343">
        <v>18</v>
      </c>
      <c r="L343">
        <v>84</v>
      </c>
      <c r="M343">
        <v>75</v>
      </c>
    </row>
    <row r="344" spans="1:13" x14ac:dyDescent="0.25">
      <c r="A344" s="1" t="s">
        <v>478</v>
      </c>
      <c r="B344" s="1" t="s">
        <v>101</v>
      </c>
      <c r="C344">
        <v>3</v>
      </c>
      <c r="D344">
        <v>6</v>
      </c>
      <c r="E344">
        <v>2</v>
      </c>
      <c r="F344">
        <v>2</v>
      </c>
      <c r="G344">
        <v>5</v>
      </c>
      <c r="H344">
        <v>2</v>
      </c>
      <c r="I344">
        <v>97</v>
      </c>
      <c r="J344">
        <v>40</v>
      </c>
      <c r="K344">
        <v>41</v>
      </c>
      <c r="L344">
        <v>46</v>
      </c>
      <c r="M344">
        <v>59</v>
      </c>
    </row>
    <row r="345" spans="1:13" x14ac:dyDescent="0.25">
      <c r="A345" s="1" t="s">
        <v>479</v>
      </c>
      <c r="B345" s="1" t="s">
        <v>30</v>
      </c>
      <c r="C345">
        <v>7</v>
      </c>
      <c r="D345">
        <v>4</v>
      </c>
      <c r="E345">
        <v>4</v>
      </c>
      <c r="F345">
        <v>6</v>
      </c>
      <c r="G345">
        <v>5</v>
      </c>
      <c r="H345">
        <v>5</v>
      </c>
      <c r="I345">
        <v>10</v>
      </c>
      <c r="J345">
        <v>32</v>
      </c>
      <c r="K345">
        <v>73</v>
      </c>
      <c r="L345">
        <v>96</v>
      </c>
      <c r="M345">
        <v>29</v>
      </c>
    </row>
    <row r="346" spans="1:13" x14ac:dyDescent="0.25">
      <c r="A346" s="1" t="s">
        <v>480</v>
      </c>
      <c r="B346" s="1" t="s">
        <v>477</v>
      </c>
      <c r="C346">
        <v>3</v>
      </c>
      <c r="D346">
        <v>2</v>
      </c>
      <c r="E346">
        <v>5</v>
      </c>
      <c r="F346">
        <v>5</v>
      </c>
      <c r="G346">
        <v>4</v>
      </c>
      <c r="H346">
        <v>5</v>
      </c>
      <c r="I346">
        <v>91</v>
      </c>
      <c r="J346">
        <v>53</v>
      </c>
      <c r="K346">
        <v>13</v>
      </c>
      <c r="L346">
        <v>58</v>
      </c>
      <c r="M346">
        <v>75</v>
      </c>
    </row>
    <row r="347" spans="1:13" x14ac:dyDescent="0.25">
      <c r="A347" s="1" t="s">
        <v>481</v>
      </c>
      <c r="B347" s="1" t="s">
        <v>61</v>
      </c>
      <c r="C347">
        <v>5</v>
      </c>
      <c r="D347">
        <v>4</v>
      </c>
      <c r="E347">
        <v>6</v>
      </c>
      <c r="F347">
        <v>5</v>
      </c>
      <c r="G347">
        <v>2</v>
      </c>
      <c r="H347">
        <v>3</v>
      </c>
      <c r="I347">
        <v>21</v>
      </c>
      <c r="J347">
        <v>48</v>
      </c>
      <c r="K347">
        <v>45</v>
      </c>
      <c r="L347">
        <v>1</v>
      </c>
      <c r="M347">
        <v>51</v>
      </c>
    </row>
    <row r="348" spans="1:13" x14ac:dyDescent="0.25">
      <c r="A348" s="1" t="s">
        <v>482</v>
      </c>
      <c r="B348" s="1" t="s">
        <v>311</v>
      </c>
      <c r="C348">
        <v>2</v>
      </c>
      <c r="D348">
        <v>2</v>
      </c>
      <c r="E348">
        <v>5</v>
      </c>
      <c r="F348">
        <v>2</v>
      </c>
      <c r="G348">
        <v>4</v>
      </c>
      <c r="H348">
        <v>4</v>
      </c>
      <c r="I348">
        <v>83</v>
      </c>
      <c r="J348">
        <v>28</v>
      </c>
      <c r="K348">
        <v>43</v>
      </c>
      <c r="L348">
        <v>19</v>
      </c>
      <c r="M348">
        <v>83</v>
      </c>
    </row>
    <row r="349" spans="1:13" x14ac:dyDescent="0.25">
      <c r="A349" s="1" t="s">
        <v>483</v>
      </c>
      <c r="B349" s="1" t="s">
        <v>133</v>
      </c>
      <c r="C349">
        <v>2</v>
      </c>
      <c r="D349">
        <v>4</v>
      </c>
      <c r="E349">
        <v>4</v>
      </c>
      <c r="F349">
        <v>3</v>
      </c>
      <c r="G349">
        <v>3</v>
      </c>
      <c r="H349">
        <v>6</v>
      </c>
      <c r="I349">
        <v>97</v>
      </c>
      <c r="J349">
        <v>80</v>
      </c>
      <c r="K349">
        <v>54</v>
      </c>
      <c r="L349">
        <v>78</v>
      </c>
      <c r="M349">
        <v>43</v>
      </c>
    </row>
    <row r="350" spans="1:13" x14ac:dyDescent="0.25">
      <c r="A350" s="1" t="s">
        <v>484</v>
      </c>
      <c r="B350" s="1" t="s">
        <v>101</v>
      </c>
      <c r="C350">
        <v>2</v>
      </c>
      <c r="D350">
        <v>5</v>
      </c>
      <c r="E350">
        <v>2</v>
      </c>
      <c r="F350">
        <v>3</v>
      </c>
      <c r="G350">
        <v>5</v>
      </c>
      <c r="H350">
        <v>2</v>
      </c>
      <c r="I350">
        <v>26</v>
      </c>
      <c r="J350">
        <v>31</v>
      </c>
      <c r="K350">
        <v>88</v>
      </c>
      <c r="L350">
        <v>98</v>
      </c>
      <c r="M350">
        <v>45</v>
      </c>
    </row>
    <row r="351" spans="1:13" x14ac:dyDescent="0.25">
      <c r="A351" s="1" t="s">
        <v>485</v>
      </c>
      <c r="B351" s="1" t="s">
        <v>58</v>
      </c>
      <c r="C351">
        <v>7</v>
      </c>
      <c r="D351">
        <v>6</v>
      </c>
      <c r="E351">
        <v>4</v>
      </c>
      <c r="F351">
        <v>5</v>
      </c>
      <c r="G351">
        <v>4</v>
      </c>
      <c r="H351">
        <v>3</v>
      </c>
      <c r="I351">
        <v>17</v>
      </c>
      <c r="J351">
        <v>54</v>
      </c>
      <c r="K351">
        <v>78</v>
      </c>
      <c r="L351">
        <v>68</v>
      </c>
      <c r="M351">
        <v>41</v>
      </c>
    </row>
    <row r="352" spans="1:13" x14ac:dyDescent="0.25">
      <c r="A352" s="1" t="s">
        <v>486</v>
      </c>
      <c r="B352" s="1" t="s">
        <v>70</v>
      </c>
      <c r="C352">
        <v>0</v>
      </c>
      <c r="D352">
        <v>2</v>
      </c>
      <c r="E352">
        <v>5</v>
      </c>
      <c r="F352">
        <v>3</v>
      </c>
      <c r="G352">
        <v>6</v>
      </c>
      <c r="H352">
        <v>6</v>
      </c>
      <c r="I352">
        <v>5</v>
      </c>
      <c r="J352">
        <v>93</v>
      </c>
      <c r="K352">
        <v>4</v>
      </c>
      <c r="L352">
        <v>59</v>
      </c>
      <c r="M352">
        <v>71</v>
      </c>
    </row>
    <row r="353" spans="1:13" x14ac:dyDescent="0.25">
      <c r="A353" s="1" t="s">
        <v>487</v>
      </c>
      <c r="B353" s="1" t="s">
        <v>76</v>
      </c>
      <c r="C353">
        <v>3</v>
      </c>
      <c r="D353">
        <v>5</v>
      </c>
      <c r="E353">
        <v>3</v>
      </c>
      <c r="F353">
        <v>3</v>
      </c>
      <c r="G353">
        <v>6</v>
      </c>
      <c r="H353">
        <v>4</v>
      </c>
      <c r="I353">
        <v>78</v>
      </c>
      <c r="J353">
        <v>80</v>
      </c>
      <c r="K353">
        <v>56</v>
      </c>
      <c r="L353">
        <v>31</v>
      </c>
      <c r="M353">
        <v>81</v>
      </c>
    </row>
    <row r="354" spans="1:13" x14ac:dyDescent="0.25">
      <c r="A354" s="1" t="s">
        <v>488</v>
      </c>
      <c r="B354" s="1" t="s">
        <v>489</v>
      </c>
      <c r="C354">
        <v>6</v>
      </c>
      <c r="D354">
        <v>6</v>
      </c>
      <c r="E354">
        <v>6</v>
      </c>
      <c r="F354">
        <v>4</v>
      </c>
      <c r="G354">
        <v>6</v>
      </c>
      <c r="H354">
        <v>4</v>
      </c>
      <c r="I354">
        <v>64</v>
      </c>
      <c r="J354">
        <v>18</v>
      </c>
      <c r="K354">
        <v>23</v>
      </c>
      <c r="L354">
        <v>81</v>
      </c>
      <c r="M354">
        <v>18</v>
      </c>
    </row>
    <row r="355" spans="1:13" x14ac:dyDescent="0.25">
      <c r="A355" s="1" t="s">
        <v>490</v>
      </c>
      <c r="B355" s="1" t="s">
        <v>38</v>
      </c>
      <c r="C355">
        <v>2</v>
      </c>
      <c r="D355">
        <v>4</v>
      </c>
      <c r="E355">
        <v>3</v>
      </c>
      <c r="F355">
        <v>5</v>
      </c>
      <c r="G355">
        <v>2</v>
      </c>
      <c r="H355">
        <v>3</v>
      </c>
      <c r="I355">
        <v>96</v>
      </c>
      <c r="J355">
        <v>32</v>
      </c>
      <c r="K355">
        <v>73</v>
      </c>
      <c r="L355">
        <v>7</v>
      </c>
      <c r="M355">
        <v>74</v>
      </c>
    </row>
    <row r="356" spans="1:13" x14ac:dyDescent="0.25">
      <c r="A356" s="1" t="s">
        <v>491</v>
      </c>
      <c r="B356" s="1" t="s">
        <v>340</v>
      </c>
      <c r="C356">
        <v>6</v>
      </c>
      <c r="D356">
        <v>6</v>
      </c>
      <c r="E356">
        <v>5</v>
      </c>
      <c r="F356">
        <v>5</v>
      </c>
      <c r="G356">
        <v>3</v>
      </c>
      <c r="H356">
        <v>6</v>
      </c>
      <c r="I356">
        <v>85</v>
      </c>
      <c r="J356">
        <v>35</v>
      </c>
      <c r="K356">
        <v>70</v>
      </c>
      <c r="L356">
        <v>99</v>
      </c>
      <c r="M356">
        <v>85</v>
      </c>
    </row>
    <row r="357" spans="1:13" x14ac:dyDescent="0.25">
      <c r="A357" s="1" t="s">
        <v>492</v>
      </c>
      <c r="B357" s="1" t="s">
        <v>90</v>
      </c>
      <c r="C357">
        <v>4</v>
      </c>
      <c r="D357">
        <v>2</v>
      </c>
      <c r="E357">
        <v>4</v>
      </c>
      <c r="F357">
        <v>5</v>
      </c>
      <c r="G357">
        <v>4</v>
      </c>
      <c r="H357">
        <v>2</v>
      </c>
      <c r="I357">
        <v>17</v>
      </c>
      <c r="J357">
        <v>17</v>
      </c>
      <c r="K357">
        <v>92</v>
      </c>
      <c r="L357">
        <v>6</v>
      </c>
      <c r="M357">
        <v>64</v>
      </c>
    </row>
    <row r="358" spans="1:13" x14ac:dyDescent="0.25">
      <c r="A358" s="1" t="s">
        <v>493</v>
      </c>
      <c r="B358" s="1" t="s">
        <v>180</v>
      </c>
      <c r="C358">
        <v>4</v>
      </c>
      <c r="D358">
        <v>2</v>
      </c>
      <c r="E358">
        <v>4</v>
      </c>
      <c r="F358">
        <v>2</v>
      </c>
      <c r="G358">
        <v>5</v>
      </c>
      <c r="H358">
        <v>4</v>
      </c>
      <c r="I358">
        <v>62</v>
      </c>
      <c r="J358">
        <v>3</v>
      </c>
      <c r="K358">
        <v>84</v>
      </c>
      <c r="L358">
        <v>48</v>
      </c>
      <c r="M358">
        <v>94</v>
      </c>
    </row>
    <row r="359" spans="1:13" x14ac:dyDescent="0.25">
      <c r="A359" s="1" t="s">
        <v>494</v>
      </c>
      <c r="B359" s="1" t="s">
        <v>495</v>
      </c>
      <c r="C359">
        <v>4</v>
      </c>
      <c r="D359">
        <v>5</v>
      </c>
      <c r="E359">
        <v>5</v>
      </c>
      <c r="F359">
        <v>6</v>
      </c>
      <c r="G359">
        <v>2</v>
      </c>
      <c r="H359">
        <v>3</v>
      </c>
      <c r="I359">
        <v>35</v>
      </c>
      <c r="J359">
        <v>49</v>
      </c>
      <c r="K359">
        <v>59</v>
      </c>
      <c r="L359">
        <v>44</v>
      </c>
      <c r="M359">
        <v>68</v>
      </c>
    </row>
    <row r="360" spans="1:13" x14ac:dyDescent="0.25">
      <c r="A360" s="1" t="s">
        <v>496</v>
      </c>
      <c r="B360" s="1" t="s">
        <v>369</v>
      </c>
      <c r="C360">
        <v>7</v>
      </c>
      <c r="D360">
        <v>3</v>
      </c>
      <c r="E360">
        <v>6</v>
      </c>
      <c r="F360">
        <v>2</v>
      </c>
      <c r="G360">
        <v>6</v>
      </c>
      <c r="H360">
        <v>5</v>
      </c>
      <c r="I360">
        <v>20</v>
      </c>
      <c r="J360">
        <v>58</v>
      </c>
      <c r="K360">
        <v>93</v>
      </c>
      <c r="L360">
        <v>53</v>
      </c>
      <c r="M360">
        <v>35</v>
      </c>
    </row>
    <row r="361" spans="1:13" x14ac:dyDescent="0.25">
      <c r="A361" s="1" t="s">
        <v>497</v>
      </c>
      <c r="B361" s="1" t="s">
        <v>498</v>
      </c>
      <c r="C361">
        <v>5</v>
      </c>
      <c r="D361">
        <v>6</v>
      </c>
      <c r="E361">
        <v>2</v>
      </c>
      <c r="F361">
        <v>3</v>
      </c>
      <c r="G361">
        <v>4</v>
      </c>
      <c r="H361">
        <v>3</v>
      </c>
      <c r="I361">
        <v>2</v>
      </c>
      <c r="J361">
        <v>97</v>
      </c>
      <c r="K361">
        <v>14</v>
      </c>
      <c r="L361">
        <v>81</v>
      </c>
      <c r="M361">
        <v>38</v>
      </c>
    </row>
    <row r="362" spans="1:13" x14ac:dyDescent="0.25">
      <c r="A362" s="1" t="s">
        <v>499</v>
      </c>
      <c r="B362" s="1" t="s">
        <v>498</v>
      </c>
      <c r="C362">
        <v>4</v>
      </c>
      <c r="D362">
        <v>6</v>
      </c>
      <c r="E362">
        <v>2</v>
      </c>
      <c r="F362">
        <v>6</v>
      </c>
      <c r="G362">
        <v>4</v>
      </c>
      <c r="H362">
        <v>5</v>
      </c>
      <c r="I362">
        <v>98</v>
      </c>
      <c r="J362">
        <v>42</v>
      </c>
      <c r="K362">
        <v>49</v>
      </c>
      <c r="L362">
        <v>83</v>
      </c>
      <c r="M362">
        <v>32</v>
      </c>
    </row>
    <row r="363" spans="1:13" x14ac:dyDescent="0.25">
      <c r="A363" s="1" t="s">
        <v>500</v>
      </c>
      <c r="B363" s="1" t="s">
        <v>121</v>
      </c>
      <c r="C363">
        <v>7</v>
      </c>
      <c r="D363">
        <v>5</v>
      </c>
      <c r="E363">
        <v>5</v>
      </c>
      <c r="F363">
        <v>4</v>
      </c>
      <c r="G363">
        <v>5</v>
      </c>
      <c r="H363">
        <v>6</v>
      </c>
      <c r="I363">
        <v>97</v>
      </c>
      <c r="J363">
        <v>45</v>
      </c>
      <c r="K363">
        <v>42</v>
      </c>
      <c r="L363">
        <v>25</v>
      </c>
      <c r="M363">
        <v>51</v>
      </c>
    </row>
    <row r="364" spans="1:13" x14ac:dyDescent="0.25">
      <c r="A364" s="1" t="s">
        <v>501</v>
      </c>
      <c r="B364" s="1" t="s">
        <v>18</v>
      </c>
      <c r="C364">
        <v>8</v>
      </c>
      <c r="D364">
        <v>3</v>
      </c>
      <c r="E364">
        <v>2</v>
      </c>
      <c r="F364">
        <v>2</v>
      </c>
      <c r="G364">
        <v>4</v>
      </c>
      <c r="H364">
        <v>2</v>
      </c>
      <c r="I364">
        <v>54</v>
      </c>
      <c r="J364">
        <v>48</v>
      </c>
      <c r="K364">
        <v>35</v>
      </c>
      <c r="L364">
        <v>28</v>
      </c>
      <c r="M364">
        <v>35</v>
      </c>
    </row>
    <row r="365" spans="1:13" x14ac:dyDescent="0.25">
      <c r="A365" s="1" t="s">
        <v>502</v>
      </c>
      <c r="B365" s="1" t="s">
        <v>503</v>
      </c>
      <c r="C365">
        <v>5</v>
      </c>
      <c r="D365">
        <v>2</v>
      </c>
      <c r="E365">
        <v>6</v>
      </c>
      <c r="F365">
        <v>3</v>
      </c>
      <c r="G365">
        <v>2</v>
      </c>
      <c r="H365">
        <v>5</v>
      </c>
      <c r="I365">
        <v>35</v>
      </c>
      <c r="J365">
        <v>56</v>
      </c>
      <c r="K365">
        <v>6</v>
      </c>
      <c r="L365">
        <v>84</v>
      </c>
      <c r="M365">
        <v>54</v>
      </c>
    </row>
    <row r="366" spans="1:13" x14ac:dyDescent="0.25">
      <c r="A366" s="1" t="s">
        <v>504</v>
      </c>
      <c r="B366" s="1" t="s">
        <v>367</v>
      </c>
      <c r="C366">
        <v>0</v>
      </c>
      <c r="D366">
        <v>2</v>
      </c>
      <c r="E366">
        <v>5</v>
      </c>
      <c r="F366">
        <v>6</v>
      </c>
      <c r="G366">
        <v>6</v>
      </c>
      <c r="H366">
        <v>3</v>
      </c>
      <c r="I366">
        <v>36</v>
      </c>
      <c r="J366">
        <v>94</v>
      </c>
      <c r="K366">
        <v>52</v>
      </c>
      <c r="L366">
        <v>50</v>
      </c>
      <c r="M366">
        <v>57</v>
      </c>
    </row>
    <row r="367" spans="1:13" x14ac:dyDescent="0.25">
      <c r="A367" s="1" t="s">
        <v>505</v>
      </c>
      <c r="B367" s="1" t="s">
        <v>506</v>
      </c>
      <c r="C367">
        <v>2</v>
      </c>
      <c r="D367">
        <v>3</v>
      </c>
      <c r="E367">
        <v>2</v>
      </c>
      <c r="F367">
        <v>2</v>
      </c>
      <c r="G367">
        <v>5</v>
      </c>
      <c r="H367">
        <v>6</v>
      </c>
      <c r="I367">
        <v>100</v>
      </c>
      <c r="J367">
        <v>48</v>
      </c>
      <c r="K367">
        <v>88</v>
      </c>
      <c r="L367">
        <v>48</v>
      </c>
      <c r="M367">
        <v>8</v>
      </c>
    </row>
    <row r="368" spans="1:13" x14ac:dyDescent="0.25">
      <c r="A368" s="1" t="s">
        <v>507</v>
      </c>
      <c r="B368" s="1" t="s">
        <v>508</v>
      </c>
      <c r="C368">
        <v>1</v>
      </c>
      <c r="D368">
        <v>3</v>
      </c>
      <c r="E368">
        <v>4</v>
      </c>
      <c r="F368">
        <v>3</v>
      </c>
      <c r="G368">
        <v>5</v>
      </c>
      <c r="H368">
        <v>6</v>
      </c>
      <c r="I368">
        <v>89</v>
      </c>
      <c r="J368">
        <v>70</v>
      </c>
      <c r="K368">
        <v>58</v>
      </c>
      <c r="L368">
        <v>39</v>
      </c>
      <c r="M368">
        <v>43</v>
      </c>
    </row>
    <row r="369" spans="1:13" x14ac:dyDescent="0.25">
      <c r="A369" s="1" t="s">
        <v>509</v>
      </c>
      <c r="B369" s="1" t="s">
        <v>188</v>
      </c>
      <c r="C369">
        <v>0</v>
      </c>
      <c r="D369">
        <v>6</v>
      </c>
      <c r="E369">
        <v>2</v>
      </c>
      <c r="F369">
        <v>2</v>
      </c>
      <c r="G369">
        <v>6</v>
      </c>
      <c r="H369">
        <v>2</v>
      </c>
      <c r="I369">
        <v>21</v>
      </c>
      <c r="J369">
        <v>80</v>
      </c>
      <c r="K369">
        <v>59</v>
      </c>
      <c r="L369">
        <v>35</v>
      </c>
      <c r="M369">
        <v>12</v>
      </c>
    </row>
    <row r="370" spans="1:13" x14ac:dyDescent="0.25">
      <c r="A370" s="1" t="s">
        <v>510</v>
      </c>
      <c r="B370" s="1" t="s">
        <v>188</v>
      </c>
      <c r="C370">
        <v>1</v>
      </c>
      <c r="D370">
        <v>3</v>
      </c>
      <c r="E370">
        <v>2</v>
      </c>
      <c r="F370">
        <v>5</v>
      </c>
      <c r="G370">
        <v>4</v>
      </c>
      <c r="H370">
        <v>4</v>
      </c>
      <c r="I370">
        <v>38</v>
      </c>
      <c r="J370">
        <v>5</v>
      </c>
      <c r="K370">
        <v>69</v>
      </c>
      <c r="L370">
        <v>94</v>
      </c>
      <c r="M370">
        <v>25</v>
      </c>
    </row>
    <row r="371" spans="1:13" x14ac:dyDescent="0.25">
      <c r="A371" s="1" t="s">
        <v>511</v>
      </c>
      <c r="B371" s="1" t="s">
        <v>311</v>
      </c>
      <c r="C371">
        <v>8</v>
      </c>
      <c r="D371">
        <v>4</v>
      </c>
      <c r="E371">
        <v>5</v>
      </c>
      <c r="F371">
        <v>4</v>
      </c>
      <c r="G371">
        <v>5</v>
      </c>
      <c r="H371">
        <v>3</v>
      </c>
      <c r="I371">
        <v>24</v>
      </c>
      <c r="J371">
        <v>47</v>
      </c>
      <c r="K371">
        <v>99</v>
      </c>
      <c r="L371">
        <v>64</v>
      </c>
      <c r="M371">
        <v>11</v>
      </c>
    </row>
    <row r="372" spans="1:13" x14ac:dyDescent="0.25">
      <c r="A372" s="1" t="s">
        <v>512</v>
      </c>
      <c r="B372" s="1" t="s">
        <v>311</v>
      </c>
      <c r="C372">
        <v>3</v>
      </c>
      <c r="D372">
        <v>5</v>
      </c>
      <c r="E372">
        <v>2</v>
      </c>
      <c r="F372">
        <v>4</v>
      </c>
      <c r="G372">
        <v>5</v>
      </c>
      <c r="H372">
        <v>4</v>
      </c>
      <c r="I372">
        <v>48</v>
      </c>
      <c r="J372">
        <v>100</v>
      </c>
      <c r="K372">
        <v>7</v>
      </c>
      <c r="L372">
        <v>64</v>
      </c>
      <c r="M372">
        <v>74</v>
      </c>
    </row>
    <row r="373" spans="1:13" x14ac:dyDescent="0.25">
      <c r="A373" s="1" t="s">
        <v>308</v>
      </c>
      <c r="B373" s="1" t="s">
        <v>30</v>
      </c>
      <c r="C373">
        <v>8</v>
      </c>
      <c r="D373">
        <v>3</v>
      </c>
      <c r="E373">
        <v>5</v>
      </c>
      <c r="F373">
        <v>2</v>
      </c>
      <c r="G373">
        <v>4</v>
      </c>
      <c r="H373">
        <v>6</v>
      </c>
      <c r="I373">
        <v>46</v>
      </c>
      <c r="J373">
        <v>88</v>
      </c>
      <c r="K373">
        <v>1</v>
      </c>
      <c r="L373">
        <v>49</v>
      </c>
      <c r="M373">
        <v>84</v>
      </c>
    </row>
    <row r="374" spans="1:13" x14ac:dyDescent="0.25">
      <c r="A374" s="1" t="s">
        <v>69</v>
      </c>
      <c r="B374" s="1" t="s">
        <v>70</v>
      </c>
      <c r="C374">
        <v>3</v>
      </c>
      <c r="D374">
        <v>5</v>
      </c>
      <c r="E374">
        <v>4</v>
      </c>
      <c r="F374">
        <v>4</v>
      </c>
      <c r="G374">
        <v>6</v>
      </c>
      <c r="H374">
        <v>4</v>
      </c>
      <c r="I374">
        <v>77</v>
      </c>
      <c r="J374">
        <v>80</v>
      </c>
      <c r="K374">
        <v>44</v>
      </c>
      <c r="L374">
        <v>96</v>
      </c>
      <c r="M374">
        <v>10</v>
      </c>
    </row>
    <row r="375" spans="1:13" x14ac:dyDescent="0.25">
      <c r="A375" s="1" t="s">
        <v>513</v>
      </c>
      <c r="B375" s="1" t="s">
        <v>48</v>
      </c>
      <c r="C375">
        <v>8</v>
      </c>
      <c r="D375">
        <v>3</v>
      </c>
      <c r="E375">
        <v>5</v>
      </c>
      <c r="F375">
        <v>3</v>
      </c>
      <c r="G375">
        <v>5</v>
      </c>
      <c r="H375">
        <v>3</v>
      </c>
      <c r="I375">
        <v>28</v>
      </c>
      <c r="J375">
        <v>5</v>
      </c>
      <c r="K375">
        <v>29</v>
      </c>
      <c r="L375">
        <v>7</v>
      </c>
      <c r="M375">
        <v>19</v>
      </c>
    </row>
    <row r="376" spans="1:13" x14ac:dyDescent="0.25">
      <c r="A376" s="1" t="s">
        <v>514</v>
      </c>
      <c r="B376" s="1" t="s">
        <v>38</v>
      </c>
      <c r="C376">
        <v>0</v>
      </c>
      <c r="D376">
        <v>5</v>
      </c>
      <c r="E376">
        <v>5</v>
      </c>
      <c r="F376">
        <v>4</v>
      </c>
      <c r="G376">
        <v>5</v>
      </c>
      <c r="H376">
        <v>5</v>
      </c>
      <c r="I376">
        <v>100</v>
      </c>
      <c r="J376">
        <v>100</v>
      </c>
      <c r="K376">
        <v>68</v>
      </c>
      <c r="L376">
        <v>69</v>
      </c>
      <c r="M376">
        <v>46</v>
      </c>
    </row>
    <row r="377" spans="1:13" x14ac:dyDescent="0.25">
      <c r="A377" s="1" t="s">
        <v>411</v>
      </c>
      <c r="B377" s="1" t="s">
        <v>515</v>
      </c>
      <c r="C377">
        <v>0</v>
      </c>
      <c r="D377">
        <v>6</v>
      </c>
      <c r="E377">
        <v>6</v>
      </c>
      <c r="F377">
        <v>3</v>
      </c>
      <c r="G377">
        <v>4</v>
      </c>
      <c r="H377">
        <v>3</v>
      </c>
      <c r="I377">
        <v>86</v>
      </c>
      <c r="J377">
        <v>20</v>
      </c>
      <c r="K377">
        <v>40</v>
      </c>
      <c r="L377">
        <v>37</v>
      </c>
      <c r="M377">
        <v>24</v>
      </c>
    </row>
    <row r="378" spans="1:13" x14ac:dyDescent="0.25">
      <c r="A378" s="1" t="s">
        <v>516</v>
      </c>
      <c r="B378" s="1" t="s">
        <v>16</v>
      </c>
      <c r="C378">
        <v>8</v>
      </c>
      <c r="D378">
        <v>2</v>
      </c>
      <c r="E378">
        <v>4</v>
      </c>
      <c r="F378">
        <v>3</v>
      </c>
      <c r="G378">
        <v>2</v>
      </c>
      <c r="H378">
        <v>4</v>
      </c>
      <c r="I378">
        <v>37</v>
      </c>
      <c r="J378">
        <v>45</v>
      </c>
      <c r="K378">
        <v>53</v>
      </c>
      <c r="L378">
        <v>100</v>
      </c>
      <c r="M378">
        <v>63</v>
      </c>
    </row>
    <row r="379" spans="1:13" x14ac:dyDescent="0.25">
      <c r="A379" s="1" t="s">
        <v>517</v>
      </c>
      <c r="B379" s="1" t="s">
        <v>518</v>
      </c>
      <c r="C379">
        <v>5</v>
      </c>
      <c r="D379">
        <v>2</v>
      </c>
      <c r="E379">
        <v>4</v>
      </c>
      <c r="F379">
        <v>5</v>
      </c>
      <c r="G379">
        <v>2</v>
      </c>
      <c r="H379">
        <v>4</v>
      </c>
      <c r="I379">
        <v>63</v>
      </c>
      <c r="J379">
        <v>100</v>
      </c>
      <c r="K379">
        <v>26</v>
      </c>
      <c r="L379">
        <v>46</v>
      </c>
      <c r="M379">
        <v>85</v>
      </c>
    </row>
    <row r="380" spans="1:13" x14ac:dyDescent="0.25">
      <c r="A380" s="1" t="s">
        <v>519</v>
      </c>
      <c r="B380" s="1" t="s">
        <v>520</v>
      </c>
      <c r="C380">
        <v>3</v>
      </c>
      <c r="D380">
        <v>3</v>
      </c>
      <c r="E380">
        <v>3</v>
      </c>
      <c r="F380">
        <v>6</v>
      </c>
      <c r="G380">
        <v>3</v>
      </c>
      <c r="H380">
        <v>2</v>
      </c>
      <c r="I380">
        <v>62</v>
      </c>
      <c r="J380">
        <v>92</v>
      </c>
      <c r="K380">
        <v>75</v>
      </c>
      <c r="L380">
        <v>30</v>
      </c>
      <c r="M380">
        <v>86</v>
      </c>
    </row>
    <row r="381" spans="1:13" x14ac:dyDescent="0.25">
      <c r="A381" s="1" t="s">
        <v>521</v>
      </c>
      <c r="B381" s="1" t="s">
        <v>43</v>
      </c>
      <c r="C381">
        <v>6</v>
      </c>
      <c r="D381">
        <v>4</v>
      </c>
      <c r="E381">
        <v>2</v>
      </c>
      <c r="F381">
        <v>4</v>
      </c>
      <c r="G381">
        <v>4</v>
      </c>
      <c r="H381">
        <v>6</v>
      </c>
      <c r="I381">
        <v>16</v>
      </c>
      <c r="J381">
        <v>19</v>
      </c>
      <c r="K381">
        <v>66</v>
      </c>
      <c r="L381">
        <v>96</v>
      </c>
      <c r="M381">
        <v>61</v>
      </c>
    </row>
    <row r="382" spans="1:13" x14ac:dyDescent="0.25">
      <c r="A382" s="1" t="s">
        <v>237</v>
      </c>
      <c r="B382" s="1" t="s">
        <v>166</v>
      </c>
      <c r="C382">
        <v>4</v>
      </c>
      <c r="D382">
        <v>5</v>
      </c>
      <c r="E382">
        <v>4</v>
      </c>
      <c r="F382">
        <v>4</v>
      </c>
      <c r="G382">
        <v>2</v>
      </c>
      <c r="H382">
        <v>2</v>
      </c>
      <c r="I382">
        <v>71</v>
      </c>
      <c r="J382">
        <v>99</v>
      </c>
      <c r="K382">
        <v>56</v>
      </c>
      <c r="L382">
        <v>2</v>
      </c>
      <c r="M382">
        <v>43</v>
      </c>
    </row>
    <row r="383" spans="1:13" x14ac:dyDescent="0.25">
      <c r="A383" s="1" t="s">
        <v>522</v>
      </c>
      <c r="B383" s="1" t="s">
        <v>288</v>
      </c>
      <c r="C383">
        <v>8</v>
      </c>
      <c r="D383">
        <v>2</v>
      </c>
      <c r="E383">
        <v>6</v>
      </c>
      <c r="F383">
        <v>2</v>
      </c>
      <c r="G383">
        <v>6</v>
      </c>
      <c r="H383">
        <v>5</v>
      </c>
      <c r="I383">
        <v>62</v>
      </c>
      <c r="J383">
        <v>49</v>
      </c>
      <c r="K383">
        <v>45</v>
      </c>
      <c r="L383">
        <v>42</v>
      </c>
      <c r="M383">
        <v>53</v>
      </c>
    </row>
    <row r="384" spans="1:13" x14ac:dyDescent="0.25">
      <c r="A384" s="1" t="s">
        <v>523</v>
      </c>
      <c r="B384" s="1" t="s">
        <v>279</v>
      </c>
      <c r="C384">
        <v>2</v>
      </c>
      <c r="D384">
        <v>3</v>
      </c>
      <c r="E384">
        <v>2</v>
      </c>
      <c r="F384">
        <v>5</v>
      </c>
      <c r="G384">
        <v>5</v>
      </c>
      <c r="H384">
        <v>2</v>
      </c>
      <c r="I384">
        <v>44</v>
      </c>
      <c r="J384">
        <v>30</v>
      </c>
      <c r="K384">
        <v>61</v>
      </c>
      <c r="L384">
        <v>13</v>
      </c>
      <c r="M384">
        <v>30</v>
      </c>
    </row>
    <row r="385" spans="1:13" x14ac:dyDescent="0.25">
      <c r="A385" s="1" t="s">
        <v>524</v>
      </c>
      <c r="B385" s="1" t="s">
        <v>99</v>
      </c>
      <c r="C385">
        <v>5</v>
      </c>
      <c r="D385">
        <v>6</v>
      </c>
      <c r="E385">
        <v>5</v>
      </c>
      <c r="F385">
        <v>3</v>
      </c>
      <c r="G385">
        <v>2</v>
      </c>
      <c r="H385">
        <v>4</v>
      </c>
      <c r="I385">
        <v>55</v>
      </c>
      <c r="J385">
        <v>18</v>
      </c>
      <c r="K385">
        <v>46</v>
      </c>
      <c r="L385">
        <v>82</v>
      </c>
      <c r="M385">
        <v>71</v>
      </c>
    </row>
    <row r="386" spans="1:13" x14ac:dyDescent="0.25">
      <c r="A386" s="1" t="s">
        <v>525</v>
      </c>
      <c r="B386" s="1" t="s">
        <v>526</v>
      </c>
      <c r="C386">
        <v>5</v>
      </c>
      <c r="D386">
        <v>2</v>
      </c>
      <c r="E386">
        <v>5</v>
      </c>
      <c r="F386">
        <v>6</v>
      </c>
      <c r="G386">
        <v>3</v>
      </c>
      <c r="H386">
        <v>3</v>
      </c>
      <c r="I386">
        <v>23</v>
      </c>
      <c r="J386">
        <v>10</v>
      </c>
      <c r="K386">
        <v>99</v>
      </c>
      <c r="L386">
        <v>23</v>
      </c>
      <c r="M386">
        <v>4</v>
      </c>
    </row>
    <row r="387" spans="1:13" x14ac:dyDescent="0.25">
      <c r="A387" s="1" t="s">
        <v>527</v>
      </c>
      <c r="B387" s="1" t="s">
        <v>340</v>
      </c>
      <c r="C387">
        <v>5</v>
      </c>
      <c r="D387">
        <v>4</v>
      </c>
      <c r="E387">
        <v>3</v>
      </c>
      <c r="F387">
        <v>5</v>
      </c>
      <c r="G387">
        <v>6</v>
      </c>
      <c r="H387">
        <v>2</v>
      </c>
      <c r="I387">
        <v>72</v>
      </c>
      <c r="J387">
        <v>22</v>
      </c>
      <c r="K387">
        <v>90</v>
      </c>
      <c r="L387">
        <v>8</v>
      </c>
      <c r="M387">
        <v>61</v>
      </c>
    </row>
    <row r="388" spans="1:13" x14ac:dyDescent="0.25">
      <c r="A388" s="1" t="s">
        <v>528</v>
      </c>
      <c r="B388" s="1" t="s">
        <v>126</v>
      </c>
      <c r="C388">
        <v>3</v>
      </c>
      <c r="D388">
        <v>3</v>
      </c>
      <c r="E388">
        <v>6</v>
      </c>
      <c r="F388">
        <v>2</v>
      </c>
      <c r="G388">
        <v>4</v>
      </c>
      <c r="H388">
        <v>6</v>
      </c>
      <c r="I388">
        <v>95</v>
      </c>
      <c r="J388">
        <v>18</v>
      </c>
      <c r="K388">
        <v>32</v>
      </c>
      <c r="L388">
        <v>67</v>
      </c>
      <c r="M388">
        <v>36</v>
      </c>
    </row>
    <row r="389" spans="1:13" x14ac:dyDescent="0.25">
      <c r="A389" s="1" t="s">
        <v>529</v>
      </c>
      <c r="B389" s="1" t="s">
        <v>530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3</v>
      </c>
      <c r="I389">
        <v>99</v>
      </c>
      <c r="J389">
        <v>47</v>
      </c>
      <c r="K389">
        <v>3</v>
      </c>
      <c r="L389">
        <v>6</v>
      </c>
      <c r="M389">
        <v>59</v>
      </c>
    </row>
    <row r="390" spans="1:13" x14ac:dyDescent="0.25">
      <c r="A390" s="1" t="s">
        <v>531</v>
      </c>
      <c r="B390" s="1" t="s">
        <v>532</v>
      </c>
      <c r="C390">
        <v>5</v>
      </c>
      <c r="D390">
        <v>5</v>
      </c>
      <c r="E390">
        <v>3</v>
      </c>
      <c r="F390">
        <v>4</v>
      </c>
      <c r="G390">
        <v>5</v>
      </c>
      <c r="H390">
        <v>2</v>
      </c>
      <c r="I390">
        <v>97</v>
      </c>
      <c r="J390">
        <v>87</v>
      </c>
      <c r="K390">
        <v>7</v>
      </c>
      <c r="L390">
        <v>93</v>
      </c>
      <c r="M390">
        <v>19</v>
      </c>
    </row>
    <row r="391" spans="1:13" x14ac:dyDescent="0.25">
      <c r="A391" s="1" t="s">
        <v>533</v>
      </c>
      <c r="B391" s="1" t="s">
        <v>45</v>
      </c>
      <c r="C391">
        <v>3</v>
      </c>
      <c r="D391">
        <v>6</v>
      </c>
      <c r="E391">
        <v>6</v>
      </c>
      <c r="F391">
        <v>6</v>
      </c>
      <c r="G391">
        <v>2</v>
      </c>
      <c r="H391">
        <v>5</v>
      </c>
      <c r="I391">
        <v>57</v>
      </c>
      <c r="J391">
        <v>44</v>
      </c>
      <c r="K391">
        <v>90</v>
      </c>
      <c r="L391">
        <v>33</v>
      </c>
      <c r="M391">
        <v>78</v>
      </c>
    </row>
    <row r="392" spans="1:13" x14ac:dyDescent="0.25">
      <c r="A392" s="1" t="s">
        <v>534</v>
      </c>
      <c r="B392" s="1" t="s">
        <v>90</v>
      </c>
      <c r="C392">
        <v>2</v>
      </c>
      <c r="D392">
        <v>4</v>
      </c>
      <c r="E392">
        <v>5</v>
      </c>
      <c r="F392">
        <v>3</v>
      </c>
      <c r="G392">
        <v>2</v>
      </c>
      <c r="H392">
        <v>2</v>
      </c>
      <c r="I392">
        <v>35</v>
      </c>
      <c r="J392">
        <v>82</v>
      </c>
      <c r="K392">
        <v>52</v>
      </c>
      <c r="L392">
        <v>15</v>
      </c>
      <c r="M392">
        <v>51</v>
      </c>
    </row>
    <row r="393" spans="1:13" x14ac:dyDescent="0.25">
      <c r="A393" s="1" t="s">
        <v>535</v>
      </c>
      <c r="B393" s="1" t="s">
        <v>536</v>
      </c>
      <c r="C393">
        <v>1</v>
      </c>
      <c r="D393">
        <v>5</v>
      </c>
      <c r="E393">
        <v>5</v>
      </c>
      <c r="F393">
        <v>6</v>
      </c>
      <c r="G393">
        <v>4</v>
      </c>
      <c r="H393">
        <v>6</v>
      </c>
      <c r="I393">
        <v>19</v>
      </c>
      <c r="J393">
        <v>32</v>
      </c>
      <c r="K393">
        <v>74</v>
      </c>
      <c r="L393">
        <v>31</v>
      </c>
      <c r="M393">
        <v>58</v>
      </c>
    </row>
    <row r="394" spans="1:13" x14ac:dyDescent="0.25">
      <c r="A394" s="1" t="s">
        <v>537</v>
      </c>
      <c r="B394" s="1" t="s">
        <v>538</v>
      </c>
      <c r="C394">
        <v>0</v>
      </c>
      <c r="D394">
        <v>5</v>
      </c>
      <c r="E394">
        <v>2</v>
      </c>
      <c r="F394">
        <v>2</v>
      </c>
      <c r="G394">
        <v>5</v>
      </c>
      <c r="H394">
        <v>3</v>
      </c>
      <c r="I394">
        <v>45</v>
      </c>
      <c r="J394">
        <v>52</v>
      </c>
      <c r="K394">
        <v>32</v>
      </c>
      <c r="L394">
        <v>42</v>
      </c>
      <c r="M394">
        <v>33</v>
      </c>
    </row>
    <row r="395" spans="1:13" x14ac:dyDescent="0.25">
      <c r="A395" s="1" t="s">
        <v>539</v>
      </c>
      <c r="B395" s="1" t="s">
        <v>540</v>
      </c>
      <c r="C395">
        <v>8</v>
      </c>
      <c r="D395">
        <v>5</v>
      </c>
      <c r="E395">
        <v>6</v>
      </c>
      <c r="F395">
        <v>2</v>
      </c>
      <c r="G395">
        <v>4</v>
      </c>
      <c r="H395">
        <v>3</v>
      </c>
      <c r="I395">
        <v>78</v>
      </c>
      <c r="J395">
        <v>38</v>
      </c>
      <c r="K395">
        <v>62</v>
      </c>
      <c r="L395">
        <v>45</v>
      </c>
      <c r="M395">
        <v>55</v>
      </c>
    </row>
    <row r="396" spans="1:13" x14ac:dyDescent="0.25">
      <c r="A396" s="1" t="s">
        <v>541</v>
      </c>
      <c r="B396" s="1" t="s">
        <v>503</v>
      </c>
      <c r="C396">
        <v>6</v>
      </c>
      <c r="D396">
        <v>4</v>
      </c>
      <c r="E396">
        <v>2</v>
      </c>
      <c r="F396">
        <v>6</v>
      </c>
      <c r="G396">
        <v>2</v>
      </c>
      <c r="H396">
        <v>6</v>
      </c>
      <c r="I396">
        <v>20</v>
      </c>
      <c r="J396">
        <v>92</v>
      </c>
      <c r="K396">
        <v>44</v>
      </c>
      <c r="L396">
        <v>89</v>
      </c>
      <c r="M396">
        <v>79</v>
      </c>
    </row>
    <row r="397" spans="1:13" x14ac:dyDescent="0.25">
      <c r="A397" s="1" t="s">
        <v>542</v>
      </c>
      <c r="B397" s="1" t="s">
        <v>117</v>
      </c>
      <c r="C397">
        <v>4</v>
      </c>
      <c r="D397">
        <v>2</v>
      </c>
      <c r="E397">
        <v>2</v>
      </c>
      <c r="F397">
        <v>4</v>
      </c>
      <c r="G397">
        <v>3</v>
      </c>
      <c r="H397">
        <v>3</v>
      </c>
      <c r="I397">
        <v>36</v>
      </c>
      <c r="J397">
        <v>79</v>
      </c>
      <c r="K397">
        <v>62</v>
      </c>
      <c r="L397">
        <v>8</v>
      </c>
      <c r="M397">
        <v>47</v>
      </c>
    </row>
    <row r="398" spans="1:13" x14ac:dyDescent="0.25">
      <c r="A398" s="1" t="s">
        <v>543</v>
      </c>
      <c r="B398" s="1" t="s">
        <v>41</v>
      </c>
      <c r="C398">
        <v>0</v>
      </c>
      <c r="D398">
        <v>2</v>
      </c>
      <c r="E398">
        <v>2</v>
      </c>
      <c r="F398">
        <v>4</v>
      </c>
      <c r="G398">
        <v>2</v>
      </c>
      <c r="H398">
        <v>4</v>
      </c>
      <c r="I398">
        <v>24</v>
      </c>
      <c r="J398">
        <v>81</v>
      </c>
      <c r="K398">
        <v>74</v>
      </c>
      <c r="L398">
        <v>4</v>
      </c>
      <c r="M398">
        <v>92</v>
      </c>
    </row>
    <row r="399" spans="1:13" x14ac:dyDescent="0.25">
      <c r="A399" s="1" t="s">
        <v>544</v>
      </c>
      <c r="B399" s="1" t="s">
        <v>324</v>
      </c>
      <c r="C399">
        <v>3</v>
      </c>
      <c r="D399">
        <v>3</v>
      </c>
      <c r="E399">
        <v>5</v>
      </c>
      <c r="F399">
        <v>6</v>
      </c>
      <c r="G399">
        <v>4</v>
      </c>
      <c r="H399">
        <v>3</v>
      </c>
      <c r="I399">
        <v>68</v>
      </c>
      <c r="J399">
        <v>76</v>
      </c>
      <c r="K399">
        <v>21</v>
      </c>
      <c r="L399">
        <v>59</v>
      </c>
      <c r="M399">
        <v>66</v>
      </c>
    </row>
    <row r="400" spans="1:13" x14ac:dyDescent="0.25">
      <c r="A400" s="1" t="s">
        <v>545</v>
      </c>
      <c r="B400" s="1" t="s">
        <v>253</v>
      </c>
      <c r="C400">
        <v>4</v>
      </c>
      <c r="D400">
        <v>3</v>
      </c>
      <c r="E400">
        <v>2</v>
      </c>
      <c r="F400">
        <v>4</v>
      </c>
      <c r="G400">
        <v>4</v>
      </c>
      <c r="H400">
        <v>5</v>
      </c>
      <c r="I400">
        <v>70</v>
      </c>
      <c r="J400">
        <v>34</v>
      </c>
      <c r="K400">
        <v>18</v>
      </c>
      <c r="L400">
        <v>27</v>
      </c>
      <c r="M400">
        <v>70</v>
      </c>
    </row>
    <row r="401" spans="1:13" x14ac:dyDescent="0.25">
      <c r="A401" s="1" t="s">
        <v>546</v>
      </c>
      <c r="B401" s="1" t="s">
        <v>249</v>
      </c>
      <c r="C401">
        <v>2</v>
      </c>
      <c r="D401">
        <v>4</v>
      </c>
      <c r="E401">
        <v>2</v>
      </c>
      <c r="F401">
        <v>4</v>
      </c>
      <c r="G401">
        <v>5</v>
      </c>
      <c r="H401">
        <v>2</v>
      </c>
      <c r="I401">
        <v>9</v>
      </c>
      <c r="J401">
        <v>76</v>
      </c>
      <c r="K401">
        <v>35</v>
      </c>
      <c r="L401">
        <v>83</v>
      </c>
      <c r="M401">
        <v>13</v>
      </c>
    </row>
    <row r="402" spans="1:13" x14ac:dyDescent="0.25">
      <c r="A402" s="1" t="s">
        <v>547</v>
      </c>
      <c r="B402" s="1" t="s">
        <v>526</v>
      </c>
      <c r="C402">
        <v>6</v>
      </c>
      <c r="D402">
        <v>2</v>
      </c>
      <c r="E402">
        <v>4</v>
      </c>
      <c r="F402">
        <v>2</v>
      </c>
      <c r="G402">
        <v>3</v>
      </c>
      <c r="H402">
        <v>2</v>
      </c>
      <c r="I402">
        <v>63</v>
      </c>
      <c r="J402">
        <v>31</v>
      </c>
      <c r="K402">
        <v>2</v>
      </c>
      <c r="L402">
        <v>74</v>
      </c>
      <c r="M402">
        <v>15</v>
      </c>
    </row>
    <row r="403" spans="1:13" x14ac:dyDescent="0.25">
      <c r="A403" s="1" t="s">
        <v>548</v>
      </c>
      <c r="B403" s="1" t="s">
        <v>126</v>
      </c>
      <c r="C403">
        <v>4</v>
      </c>
      <c r="D403">
        <v>6</v>
      </c>
      <c r="E403">
        <v>3</v>
      </c>
      <c r="F403">
        <v>5</v>
      </c>
      <c r="G403">
        <v>4</v>
      </c>
      <c r="H403">
        <v>4</v>
      </c>
      <c r="I403">
        <v>15</v>
      </c>
      <c r="J403">
        <v>57</v>
      </c>
      <c r="K403">
        <v>64</v>
      </c>
      <c r="L403">
        <v>60</v>
      </c>
      <c r="M403">
        <v>60</v>
      </c>
    </row>
    <row r="404" spans="1:13" x14ac:dyDescent="0.25">
      <c r="A404" s="1" t="s">
        <v>549</v>
      </c>
      <c r="B404" s="1" t="s">
        <v>355</v>
      </c>
      <c r="C404">
        <v>6</v>
      </c>
      <c r="D404">
        <v>4</v>
      </c>
      <c r="E404">
        <v>4</v>
      </c>
      <c r="F404">
        <v>2</v>
      </c>
      <c r="G404">
        <v>2</v>
      </c>
      <c r="H404">
        <v>2</v>
      </c>
      <c r="I404">
        <v>26</v>
      </c>
      <c r="J404">
        <v>6</v>
      </c>
      <c r="K404">
        <v>12</v>
      </c>
      <c r="L404">
        <v>71</v>
      </c>
      <c r="M404">
        <v>85</v>
      </c>
    </row>
    <row r="405" spans="1:13" x14ac:dyDescent="0.25">
      <c r="A405" s="1" t="s">
        <v>550</v>
      </c>
      <c r="B405" s="1" t="s">
        <v>551</v>
      </c>
      <c r="C405">
        <v>5</v>
      </c>
      <c r="D405">
        <v>6</v>
      </c>
      <c r="E405">
        <v>2</v>
      </c>
      <c r="F405">
        <v>4</v>
      </c>
      <c r="G405">
        <v>4</v>
      </c>
      <c r="H405">
        <v>3</v>
      </c>
      <c r="I405">
        <v>3</v>
      </c>
      <c r="J405">
        <v>8</v>
      </c>
      <c r="K405">
        <v>22</v>
      </c>
      <c r="L405">
        <v>75</v>
      </c>
      <c r="M405">
        <v>52</v>
      </c>
    </row>
    <row r="406" spans="1:13" x14ac:dyDescent="0.25">
      <c r="A406" s="1" t="s">
        <v>552</v>
      </c>
      <c r="B406" s="1" t="s">
        <v>553</v>
      </c>
      <c r="C406">
        <v>0</v>
      </c>
      <c r="D406">
        <v>5</v>
      </c>
      <c r="E406">
        <v>2</v>
      </c>
      <c r="F406">
        <v>4</v>
      </c>
      <c r="G406">
        <v>4</v>
      </c>
      <c r="H406">
        <v>4</v>
      </c>
      <c r="I406">
        <v>68</v>
      </c>
      <c r="J406">
        <v>77</v>
      </c>
      <c r="K406">
        <v>39</v>
      </c>
      <c r="L406">
        <v>95</v>
      </c>
      <c r="M406">
        <v>42</v>
      </c>
    </row>
    <row r="407" spans="1:13" x14ac:dyDescent="0.25">
      <c r="A407" s="1" t="s">
        <v>554</v>
      </c>
      <c r="B407" s="1" t="s">
        <v>16</v>
      </c>
      <c r="C407">
        <v>4</v>
      </c>
      <c r="D407">
        <v>4</v>
      </c>
      <c r="E407">
        <v>3</v>
      </c>
      <c r="F407">
        <v>2</v>
      </c>
      <c r="G407">
        <v>5</v>
      </c>
      <c r="H407">
        <v>4</v>
      </c>
      <c r="I407">
        <v>65</v>
      </c>
      <c r="J407">
        <v>42</v>
      </c>
      <c r="K407">
        <v>95</v>
      </c>
      <c r="L407">
        <v>95</v>
      </c>
      <c r="M407">
        <v>95</v>
      </c>
    </row>
    <row r="408" spans="1:13" x14ac:dyDescent="0.25">
      <c r="A408" s="1" t="s">
        <v>555</v>
      </c>
      <c r="B408" s="1" t="s">
        <v>64</v>
      </c>
      <c r="C408">
        <v>6</v>
      </c>
      <c r="D408">
        <v>2</v>
      </c>
      <c r="E408">
        <v>2</v>
      </c>
      <c r="F408">
        <v>2</v>
      </c>
      <c r="G408">
        <v>2</v>
      </c>
      <c r="H408">
        <v>4</v>
      </c>
      <c r="I408">
        <v>32</v>
      </c>
      <c r="J408">
        <v>39</v>
      </c>
      <c r="K408">
        <v>61</v>
      </c>
      <c r="L408">
        <v>67</v>
      </c>
      <c r="M408">
        <v>14</v>
      </c>
    </row>
    <row r="409" spans="1:13" x14ac:dyDescent="0.25">
      <c r="A409" s="1" t="s">
        <v>466</v>
      </c>
      <c r="B409" s="1" t="s">
        <v>16</v>
      </c>
      <c r="C409">
        <v>8</v>
      </c>
      <c r="D409">
        <v>3</v>
      </c>
      <c r="E409">
        <v>5</v>
      </c>
      <c r="F409">
        <v>6</v>
      </c>
      <c r="G409">
        <v>3</v>
      </c>
      <c r="H409">
        <v>5</v>
      </c>
      <c r="I409">
        <v>7</v>
      </c>
      <c r="J409">
        <v>96</v>
      </c>
      <c r="K409">
        <v>85</v>
      </c>
      <c r="L409">
        <v>8</v>
      </c>
      <c r="M409">
        <v>46</v>
      </c>
    </row>
    <row r="410" spans="1:13" x14ac:dyDescent="0.25">
      <c r="A410" s="1" t="s">
        <v>556</v>
      </c>
      <c r="B410" s="1" t="s">
        <v>367</v>
      </c>
      <c r="C410">
        <v>7</v>
      </c>
      <c r="D410">
        <v>5</v>
      </c>
      <c r="E410">
        <v>5</v>
      </c>
      <c r="F410">
        <v>5</v>
      </c>
      <c r="G410">
        <v>2</v>
      </c>
      <c r="H410">
        <v>2</v>
      </c>
      <c r="I410">
        <v>35</v>
      </c>
      <c r="J410">
        <v>95</v>
      </c>
      <c r="K410">
        <v>11</v>
      </c>
      <c r="L410">
        <v>36</v>
      </c>
      <c r="M410">
        <v>19</v>
      </c>
    </row>
    <row r="411" spans="1:13" x14ac:dyDescent="0.25">
      <c r="A411" s="1" t="s">
        <v>557</v>
      </c>
      <c r="B411" s="1" t="s">
        <v>558</v>
      </c>
      <c r="C411">
        <v>1</v>
      </c>
      <c r="D411">
        <v>4</v>
      </c>
      <c r="E411">
        <v>4</v>
      </c>
      <c r="F411">
        <v>6</v>
      </c>
      <c r="G411">
        <v>3</v>
      </c>
      <c r="H411">
        <v>4</v>
      </c>
      <c r="I411">
        <v>73</v>
      </c>
      <c r="J411">
        <v>61</v>
      </c>
      <c r="K411">
        <v>49</v>
      </c>
      <c r="L411">
        <v>70</v>
      </c>
      <c r="M411">
        <v>52</v>
      </c>
    </row>
    <row r="412" spans="1:13" x14ac:dyDescent="0.25">
      <c r="A412" s="1" t="s">
        <v>559</v>
      </c>
      <c r="B412" s="1" t="s">
        <v>145</v>
      </c>
      <c r="C412">
        <v>8</v>
      </c>
      <c r="D412">
        <v>2</v>
      </c>
      <c r="E412">
        <v>5</v>
      </c>
      <c r="F412">
        <v>2</v>
      </c>
      <c r="G412">
        <v>2</v>
      </c>
      <c r="H412">
        <v>6</v>
      </c>
      <c r="I412">
        <v>52</v>
      </c>
      <c r="J412">
        <v>90</v>
      </c>
      <c r="K412">
        <v>95</v>
      </c>
      <c r="L412">
        <v>83</v>
      </c>
      <c r="M412">
        <v>23</v>
      </c>
    </row>
    <row r="413" spans="1:13" x14ac:dyDescent="0.25">
      <c r="A413" s="1" t="s">
        <v>418</v>
      </c>
      <c r="B413" s="1" t="s">
        <v>32</v>
      </c>
      <c r="C413">
        <v>8</v>
      </c>
      <c r="D413">
        <v>5</v>
      </c>
      <c r="E413">
        <v>6</v>
      </c>
      <c r="F413">
        <v>5</v>
      </c>
      <c r="G413">
        <v>6</v>
      </c>
      <c r="H413">
        <v>5</v>
      </c>
      <c r="I413">
        <v>5</v>
      </c>
      <c r="J413">
        <v>84</v>
      </c>
      <c r="K413">
        <v>88</v>
      </c>
      <c r="L413">
        <v>35</v>
      </c>
      <c r="M413">
        <v>40</v>
      </c>
    </row>
    <row r="414" spans="1:13" x14ac:dyDescent="0.25">
      <c r="A414" s="1" t="s">
        <v>123</v>
      </c>
      <c r="B414" s="1" t="s">
        <v>273</v>
      </c>
      <c r="C414">
        <v>5</v>
      </c>
      <c r="D414">
        <v>4</v>
      </c>
      <c r="E414">
        <v>6</v>
      </c>
      <c r="F414">
        <v>2</v>
      </c>
      <c r="G414">
        <v>3</v>
      </c>
      <c r="H414">
        <v>4</v>
      </c>
      <c r="I414">
        <v>53</v>
      </c>
      <c r="J414">
        <v>57</v>
      </c>
      <c r="K414">
        <v>30</v>
      </c>
      <c r="L414">
        <v>7</v>
      </c>
      <c r="M414">
        <v>52</v>
      </c>
    </row>
    <row r="415" spans="1:13" x14ac:dyDescent="0.25">
      <c r="A415" s="1" t="s">
        <v>560</v>
      </c>
      <c r="B415" s="1" t="s">
        <v>145</v>
      </c>
      <c r="C415">
        <v>4</v>
      </c>
      <c r="D415">
        <v>2</v>
      </c>
      <c r="E415">
        <v>4</v>
      </c>
      <c r="F415">
        <v>5</v>
      </c>
      <c r="G415">
        <v>5</v>
      </c>
      <c r="H415">
        <v>4</v>
      </c>
      <c r="I415">
        <v>52</v>
      </c>
      <c r="J415">
        <v>73</v>
      </c>
      <c r="K415">
        <v>12</v>
      </c>
      <c r="L415">
        <v>3</v>
      </c>
      <c r="M415">
        <v>7</v>
      </c>
    </row>
    <row r="416" spans="1:13" x14ac:dyDescent="0.25">
      <c r="A416" s="1" t="s">
        <v>561</v>
      </c>
      <c r="B416" s="1" t="s">
        <v>133</v>
      </c>
      <c r="C416">
        <v>7</v>
      </c>
      <c r="D416">
        <v>4</v>
      </c>
      <c r="E416">
        <v>3</v>
      </c>
      <c r="F416">
        <v>2</v>
      </c>
      <c r="G416">
        <v>5</v>
      </c>
      <c r="H416">
        <v>5</v>
      </c>
      <c r="I416">
        <v>41</v>
      </c>
      <c r="J416">
        <v>23</v>
      </c>
      <c r="K416">
        <v>84</v>
      </c>
      <c r="L416">
        <v>93</v>
      </c>
      <c r="M416">
        <v>6</v>
      </c>
    </row>
    <row r="417" spans="1:13" x14ac:dyDescent="0.25">
      <c r="A417" s="1" t="s">
        <v>562</v>
      </c>
      <c r="B417" s="1" t="s">
        <v>369</v>
      </c>
      <c r="C417">
        <v>3</v>
      </c>
      <c r="D417">
        <v>3</v>
      </c>
      <c r="E417">
        <v>4</v>
      </c>
      <c r="F417">
        <v>4</v>
      </c>
      <c r="G417">
        <v>5</v>
      </c>
      <c r="H417">
        <v>5</v>
      </c>
      <c r="I417">
        <v>44</v>
      </c>
      <c r="J417">
        <v>90</v>
      </c>
      <c r="K417">
        <v>71</v>
      </c>
      <c r="L417">
        <v>41</v>
      </c>
      <c r="M417">
        <v>60</v>
      </c>
    </row>
    <row r="418" spans="1:13" x14ac:dyDescent="0.25">
      <c r="A418" s="1" t="s">
        <v>563</v>
      </c>
      <c r="B418" s="1" t="s">
        <v>101</v>
      </c>
      <c r="C418">
        <v>0</v>
      </c>
      <c r="D418">
        <v>5</v>
      </c>
      <c r="E418">
        <v>2</v>
      </c>
      <c r="F418">
        <v>4</v>
      </c>
      <c r="G418">
        <v>2</v>
      </c>
      <c r="H418">
        <v>6</v>
      </c>
      <c r="I418">
        <v>27</v>
      </c>
      <c r="J418">
        <v>56</v>
      </c>
      <c r="K418">
        <v>54</v>
      </c>
      <c r="L418">
        <v>99</v>
      </c>
      <c r="M418">
        <v>27</v>
      </c>
    </row>
    <row r="419" spans="1:13" x14ac:dyDescent="0.25">
      <c r="A419" s="1" t="s">
        <v>564</v>
      </c>
      <c r="B419" s="1" t="s">
        <v>145</v>
      </c>
      <c r="C419">
        <v>6</v>
      </c>
      <c r="D419">
        <v>4</v>
      </c>
      <c r="E419">
        <v>5</v>
      </c>
      <c r="F419">
        <v>6</v>
      </c>
      <c r="G419">
        <v>2</v>
      </c>
      <c r="H419">
        <v>5</v>
      </c>
      <c r="I419">
        <v>56</v>
      </c>
      <c r="J419">
        <v>47</v>
      </c>
      <c r="K419">
        <v>34</v>
      </c>
      <c r="L419">
        <v>65</v>
      </c>
      <c r="M419">
        <v>87</v>
      </c>
    </row>
    <row r="420" spans="1:13" x14ac:dyDescent="0.25">
      <c r="A420" s="1" t="s">
        <v>565</v>
      </c>
      <c r="B420" s="1" t="s">
        <v>302</v>
      </c>
      <c r="C420">
        <v>3</v>
      </c>
      <c r="D420">
        <v>5</v>
      </c>
      <c r="E420">
        <v>6</v>
      </c>
      <c r="F420">
        <v>4</v>
      </c>
      <c r="G420">
        <v>6</v>
      </c>
      <c r="H420">
        <v>6</v>
      </c>
      <c r="I420">
        <v>79</v>
      </c>
      <c r="J420">
        <v>52</v>
      </c>
      <c r="K420">
        <v>11</v>
      </c>
      <c r="L420">
        <v>9</v>
      </c>
      <c r="M420">
        <v>83</v>
      </c>
    </row>
    <row r="421" spans="1:13" x14ac:dyDescent="0.25">
      <c r="A421" s="1" t="s">
        <v>566</v>
      </c>
      <c r="B421" s="1" t="s">
        <v>174</v>
      </c>
      <c r="C421">
        <v>6</v>
      </c>
      <c r="D421">
        <v>5</v>
      </c>
      <c r="E421">
        <v>5</v>
      </c>
      <c r="F421">
        <v>5</v>
      </c>
      <c r="G421">
        <v>4</v>
      </c>
      <c r="H421">
        <v>4</v>
      </c>
      <c r="I421">
        <v>34</v>
      </c>
      <c r="J421">
        <v>15</v>
      </c>
      <c r="K421">
        <v>40</v>
      </c>
      <c r="L421">
        <v>85</v>
      </c>
      <c r="M421">
        <v>52</v>
      </c>
    </row>
    <row r="422" spans="1:13" x14ac:dyDescent="0.25">
      <c r="A422" s="1" t="s">
        <v>567</v>
      </c>
      <c r="B422" s="1" t="s">
        <v>568</v>
      </c>
      <c r="C422">
        <v>1</v>
      </c>
      <c r="D422">
        <v>3</v>
      </c>
      <c r="E422">
        <v>4</v>
      </c>
      <c r="F422">
        <v>6</v>
      </c>
      <c r="G422">
        <v>6</v>
      </c>
      <c r="H422">
        <v>3</v>
      </c>
      <c r="I422">
        <v>52</v>
      </c>
      <c r="J422">
        <v>36</v>
      </c>
      <c r="K422">
        <v>41</v>
      </c>
      <c r="L422">
        <v>96</v>
      </c>
      <c r="M422">
        <v>66</v>
      </c>
    </row>
    <row r="423" spans="1:13" x14ac:dyDescent="0.25">
      <c r="A423" s="1" t="s">
        <v>569</v>
      </c>
      <c r="B423" s="1" t="s">
        <v>222</v>
      </c>
      <c r="C423">
        <v>5</v>
      </c>
      <c r="D423">
        <v>4</v>
      </c>
      <c r="E423">
        <v>6</v>
      </c>
      <c r="F423">
        <v>5</v>
      </c>
      <c r="G423">
        <v>5</v>
      </c>
      <c r="H423">
        <v>3</v>
      </c>
      <c r="I423">
        <v>41</v>
      </c>
      <c r="J423">
        <v>35</v>
      </c>
      <c r="K423">
        <v>54</v>
      </c>
      <c r="L423">
        <v>14</v>
      </c>
      <c r="M423">
        <v>29</v>
      </c>
    </row>
    <row r="424" spans="1:13" x14ac:dyDescent="0.25">
      <c r="A424" s="1" t="s">
        <v>570</v>
      </c>
      <c r="B424" s="1" t="s">
        <v>571</v>
      </c>
      <c r="C424">
        <v>5</v>
      </c>
      <c r="D424">
        <v>3</v>
      </c>
      <c r="E424">
        <v>5</v>
      </c>
      <c r="F424">
        <v>5</v>
      </c>
      <c r="G424">
        <v>3</v>
      </c>
      <c r="H424">
        <v>2</v>
      </c>
      <c r="I424">
        <v>25</v>
      </c>
      <c r="J424">
        <v>24</v>
      </c>
      <c r="K424">
        <v>28</v>
      </c>
      <c r="L424">
        <v>21</v>
      </c>
      <c r="M424">
        <v>24</v>
      </c>
    </row>
    <row r="425" spans="1:13" x14ac:dyDescent="0.25">
      <c r="A425" s="1" t="s">
        <v>572</v>
      </c>
      <c r="B425" s="1" t="s">
        <v>177</v>
      </c>
      <c r="C425">
        <v>3</v>
      </c>
      <c r="D425">
        <v>4</v>
      </c>
      <c r="E425">
        <v>2</v>
      </c>
      <c r="F425">
        <v>5</v>
      </c>
      <c r="G425">
        <v>2</v>
      </c>
      <c r="H425">
        <v>6</v>
      </c>
      <c r="I425">
        <v>80</v>
      </c>
      <c r="J425">
        <v>86</v>
      </c>
      <c r="K425">
        <v>29</v>
      </c>
      <c r="L425">
        <v>32</v>
      </c>
      <c r="M425">
        <v>85</v>
      </c>
    </row>
    <row r="426" spans="1:13" x14ac:dyDescent="0.25">
      <c r="A426" s="1" t="s">
        <v>573</v>
      </c>
      <c r="B426" s="1" t="s">
        <v>526</v>
      </c>
      <c r="C426">
        <v>4</v>
      </c>
      <c r="D426">
        <v>3</v>
      </c>
      <c r="E426">
        <v>5</v>
      </c>
      <c r="F426">
        <v>6</v>
      </c>
      <c r="G426">
        <v>3</v>
      </c>
      <c r="H426">
        <v>4</v>
      </c>
      <c r="I426">
        <v>68</v>
      </c>
      <c r="J426">
        <v>19</v>
      </c>
      <c r="K426">
        <v>94</v>
      </c>
      <c r="L426">
        <v>92</v>
      </c>
      <c r="M426">
        <v>62</v>
      </c>
    </row>
    <row r="427" spans="1:13" x14ac:dyDescent="0.25">
      <c r="A427" s="1" t="s">
        <v>574</v>
      </c>
      <c r="B427" s="1" t="s">
        <v>575</v>
      </c>
      <c r="C427">
        <v>4</v>
      </c>
      <c r="D427">
        <v>2</v>
      </c>
      <c r="E427">
        <v>5</v>
      </c>
      <c r="F427">
        <v>2</v>
      </c>
      <c r="G427">
        <v>5</v>
      </c>
      <c r="H427">
        <v>4</v>
      </c>
      <c r="I427">
        <v>74</v>
      </c>
      <c r="J427">
        <v>85</v>
      </c>
      <c r="K427">
        <v>21</v>
      </c>
      <c r="L427">
        <v>33</v>
      </c>
      <c r="M427">
        <v>9</v>
      </c>
    </row>
    <row r="428" spans="1:13" x14ac:dyDescent="0.25">
      <c r="A428" s="1" t="s">
        <v>403</v>
      </c>
      <c r="B428" s="1" t="s">
        <v>64</v>
      </c>
      <c r="C428">
        <v>0</v>
      </c>
      <c r="D428">
        <v>2</v>
      </c>
      <c r="E428">
        <v>3</v>
      </c>
      <c r="F428">
        <v>5</v>
      </c>
      <c r="G428">
        <v>4</v>
      </c>
      <c r="H428">
        <v>6</v>
      </c>
      <c r="I428">
        <v>40</v>
      </c>
      <c r="J428">
        <v>46</v>
      </c>
      <c r="K428">
        <v>1</v>
      </c>
      <c r="L428">
        <v>98</v>
      </c>
      <c r="M428">
        <v>39</v>
      </c>
    </row>
    <row r="429" spans="1:13" x14ac:dyDescent="0.25">
      <c r="A429" s="1" t="s">
        <v>576</v>
      </c>
      <c r="B429" s="1" t="s">
        <v>430</v>
      </c>
      <c r="C429">
        <v>7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1</v>
      </c>
      <c r="J429">
        <v>25</v>
      </c>
      <c r="K429">
        <v>33</v>
      </c>
      <c r="L429">
        <v>91</v>
      </c>
      <c r="M429">
        <v>60</v>
      </c>
    </row>
    <row r="430" spans="1:13" x14ac:dyDescent="0.25">
      <c r="A430" s="1" t="s">
        <v>577</v>
      </c>
      <c r="B430" s="1" t="s">
        <v>360</v>
      </c>
      <c r="C430">
        <v>3</v>
      </c>
      <c r="D430">
        <v>3</v>
      </c>
      <c r="E430">
        <v>6</v>
      </c>
      <c r="F430">
        <v>4</v>
      </c>
      <c r="G430">
        <v>4</v>
      </c>
      <c r="H430">
        <v>3</v>
      </c>
      <c r="I430">
        <v>87</v>
      </c>
      <c r="J430">
        <v>50</v>
      </c>
      <c r="K430">
        <v>61</v>
      </c>
      <c r="L430">
        <v>48</v>
      </c>
      <c r="M430">
        <v>86</v>
      </c>
    </row>
    <row r="431" spans="1:13" x14ac:dyDescent="0.25">
      <c r="A431" s="1" t="s">
        <v>578</v>
      </c>
      <c r="B431" s="1" t="s">
        <v>579</v>
      </c>
      <c r="C431">
        <v>5</v>
      </c>
      <c r="D431">
        <v>6</v>
      </c>
      <c r="E431">
        <v>4</v>
      </c>
      <c r="F431">
        <v>2</v>
      </c>
      <c r="G431">
        <v>4</v>
      </c>
      <c r="H431">
        <v>3</v>
      </c>
      <c r="I431">
        <v>100</v>
      </c>
      <c r="J431">
        <v>74</v>
      </c>
      <c r="K431">
        <v>76</v>
      </c>
      <c r="L431">
        <v>47</v>
      </c>
      <c r="M431">
        <v>29</v>
      </c>
    </row>
    <row r="432" spans="1:13" x14ac:dyDescent="0.25">
      <c r="A432" s="1" t="s">
        <v>580</v>
      </c>
      <c r="B432" s="1" t="s">
        <v>14</v>
      </c>
      <c r="C432">
        <v>1</v>
      </c>
      <c r="D432">
        <v>6</v>
      </c>
      <c r="E432">
        <v>5</v>
      </c>
      <c r="F432">
        <v>2</v>
      </c>
      <c r="G432">
        <v>5</v>
      </c>
      <c r="H432">
        <v>5</v>
      </c>
      <c r="I432">
        <v>59</v>
      </c>
      <c r="J432">
        <v>30</v>
      </c>
      <c r="K432">
        <v>96</v>
      </c>
      <c r="L432">
        <v>53</v>
      </c>
      <c r="M432">
        <v>87</v>
      </c>
    </row>
    <row r="433" spans="1:13" x14ac:dyDescent="0.25">
      <c r="A433" s="1" t="s">
        <v>581</v>
      </c>
      <c r="B433" s="1" t="s">
        <v>70</v>
      </c>
      <c r="C433">
        <v>6</v>
      </c>
      <c r="D433">
        <v>2</v>
      </c>
      <c r="E433">
        <v>6</v>
      </c>
      <c r="F433">
        <v>4</v>
      </c>
      <c r="G433">
        <v>4</v>
      </c>
      <c r="H433">
        <v>6</v>
      </c>
      <c r="I433">
        <v>51</v>
      </c>
      <c r="J433">
        <v>98</v>
      </c>
      <c r="K433">
        <v>20</v>
      </c>
      <c r="L433">
        <v>37</v>
      </c>
      <c r="M433">
        <v>54</v>
      </c>
    </row>
    <row r="434" spans="1:13" x14ac:dyDescent="0.25">
      <c r="A434" s="1" t="s">
        <v>380</v>
      </c>
      <c r="B434" s="1" t="s">
        <v>126</v>
      </c>
      <c r="C434">
        <v>7</v>
      </c>
      <c r="D434">
        <v>6</v>
      </c>
      <c r="E434">
        <v>2</v>
      </c>
      <c r="F434">
        <v>6</v>
      </c>
      <c r="G434">
        <v>2</v>
      </c>
      <c r="H434">
        <v>6</v>
      </c>
      <c r="I434">
        <v>75</v>
      </c>
      <c r="J434">
        <v>60</v>
      </c>
      <c r="K434">
        <v>80</v>
      </c>
      <c r="L434">
        <v>86</v>
      </c>
      <c r="M434">
        <v>91</v>
      </c>
    </row>
    <row r="435" spans="1:13" x14ac:dyDescent="0.25">
      <c r="A435" s="1" t="s">
        <v>582</v>
      </c>
      <c r="B435" s="1" t="s">
        <v>367</v>
      </c>
      <c r="C435">
        <v>5</v>
      </c>
      <c r="D435">
        <v>3</v>
      </c>
      <c r="E435">
        <v>2</v>
      </c>
      <c r="F435">
        <v>6</v>
      </c>
      <c r="G435">
        <v>2</v>
      </c>
      <c r="H435">
        <v>2</v>
      </c>
      <c r="I435">
        <v>28</v>
      </c>
      <c r="J435">
        <v>28</v>
      </c>
      <c r="K435">
        <v>14</v>
      </c>
      <c r="L435">
        <v>52</v>
      </c>
      <c r="M435">
        <v>35</v>
      </c>
    </row>
    <row r="436" spans="1:13" x14ac:dyDescent="0.25">
      <c r="A436" s="1" t="s">
        <v>583</v>
      </c>
      <c r="B436" s="1" t="s">
        <v>133</v>
      </c>
      <c r="C436">
        <v>8</v>
      </c>
      <c r="D436">
        <v>3</v>
      </c>
      <c r="E436">
        <v>5</v>
      </c>
      <c r="F436">
        <v>5</v>
      </c>
      <c r="G436">
        <v>5</v>
      </c>
      <c r="H436">
        <v>6</v>
      </c>
      <c r="I436">
        <v>63</v>
      </c>
      <c r="J436">
        <v>66</v>
      </c>
      <c r="K436">
        <v>71</v>
      </c>
      <c r="L436">
        <v>11</v>
      </c>
      <c r="M436">
        <v>57</v>
      </c>
    </row>
    <row r="437" spans="1:13" x14ac:dyDescent="0.25">
      <c r="A437" s="1" t="s">
        <v>584</v>
      </c>
      <c r="B437" s="1" t="s">
        <v>171</v>
      </c>
      <c r="C437">
        <v>5</v>
      </c>
      <c r="D437">
        <v>5</v>
      </c>
      <c r="E437">
        <v>5</v>
      </c>
      <c r="F437">
        <v>5</v>
      </c>
      <c r="G437">
        <v>2</v>
      </c>
      <c r="H437">
        <v>6</v>
      </c>
      <c r="I437">
        <v>45</v>
      </c>
      <c r="J437">
        <v>94</v>
      </c>
      <c r="K437">
        <v>45</v>
      </c>
      <c r="L437">
        <v>100</v>
      </c>
      <c r="M437">
        <v>98</v>
      </c>
    </row>
    <row r="438" spans="1:13" x14ac:dyDescent="0.25">
      <c r="A438" s="1" t="s">
        <v>585</v>
      </c>
      <c r="B438" s="1" t="s">
        <v>586</v>
      </c>
      <c r="C438">
        <v>6</v>
      </c>
      <c r="D438">
        <v>5</v>
      </c>
      <c r="E438">
        <v>4</v>
      </c>
      <c r="F438">
        <v>5</v>
      </c>
      <c r="G438">
        <v>6</v>
      </c>
      <c r="H438">
        <v>3</v>
      </c>
      <c r="I438">
        <v>90</v>
      </c>
      <c r="J438">
        <v>98</v>
      </c>
      <c r="K438">
        <v>10</v>
      </c>
      <c r="L438">
        <v>95</v>
      </c>
      <c r="M438">
        <v>63</v>
      </c>
    </row>
    <row r="439" spans="1:13" x14ac:dyDescent="0.25">
      <c r="A439" s="1" t="s">
        <v>587</v>
      </c>
      <c r="B439" s="1" t="s">
        <v>495</v>
      </c>
      <c r="C439">
        <v>7</v>
      </c>
      <c r="D439">
        <v>4</v>
      </c>
      <c r="E439">
        <v>6</v>
      </c>
      <c r="F439">
        <v>5</v>
      </c>
      <c r="G439">
        <v>4</v>
      </c>
      <c r="H439">
        <v>6</v>
      </c>
      <c r="I439">
        <v>3</v>
      </c>
      <c r="J439">
        <v>73</v>
      </c>
      <c r="K439">
        <v>19</v>
      </c>
      <c r="L439">
        <v>42</v>
      </c>
      <c r="M439">
        <v>88</v>
      </c>
    </row>
    <row r="440" spans="1:13" x14ac:dyDescent="0.25">
      <c r="A440" s="1" t="s">
        <v>588</v>
      </c>
      <c r="B440" s="1" t="s">
        <v>586</v>
      </c>
      <c r="C440">
        <v>0</v>
      </c>
      <c r="D440">
        <v>2</v>
      </c>
      <c r="E440">
        <v>3</v>
      </c>
      <c r="F440">
        <v>3</v>
      </c>
      <c r="G440">
        <v>5</v>
      </c>
      <c r="H440">
        <v>2</v>
      </c>
      <c r="I440">
        <v>82</v>
      </c>
      <c r="J440">
        <v>61</v>
      </c>
      <c r="K440">
        <v>59</v>
      </c>
      <c r="L440">
        <v>51</v>
      </c>
      <c r="M440">
        <v>71</v>
      </c>
    </row>
    <row r="441" spans="1:13" x14ac:dyDescent="0.25">
      <c r="A441" s="1" t="s">
        <v>235</v>
      </c>
      <c r="B441" s="1" t="s">
        <v>110</v>
      </c>
      <c r="C441">
        <v>0</v>
      </c>
      <c r="D441">
        <v>5</v>
      </c>
      <c r="E441">
        <v>6</v>
      </c>
      <c r="F441">
        <v>4</v>
      </c>
      <c r="G441">
        <v>2</v>
      </c>
      <c r="H441">
        <v>6</v>
      </c>
      <c r="I441">
        <v>8</v>
      </c>
      <c r="J441">
        <v>13</v>
      </c>
      <c r="K441">
        <v>38</v>
      </c>
      <c r="L441">
        <v>1</v>
      </c>
      <c r="M441">
        <v>39</v>
      </c>
    </row>
    <row r="442" spans="1:13" x14ac:dyDescent="0.25">
      <c r="A442" s="1" t="s">
        <v>589</v>
      </c>
      <c r="B442" s="1" t="s">
        <v>590</v>
      </c>
      <c r="C442">
        <v>4</v>
      </c>
      <c r="D442">
        <v>2</v>
      </c>
      <c r="E442">
        <v>4</v>
      </c>
      <c r="F442">
        <v>4</v>
      </c>
      <c r="G442">
        <v>4</v>
      </c>
      <c r="H442">
        <v>3</v>
      </c>
      <c r="I442">
        <v>25</v>
      </c>
      <c r="J442">
        <v>86</v>
      </c>
      <c r="K442">
        <v>7</v>
      </c>
      <c r="L442">
        <v>3</v>
      </c>
      <c r="M442">
        <v>94</v>
      </c>
    </row>
    <row r="443" spans="1:13" x14ac:dyDescent="0.25">
      <c r="A443" s="1" t="s">
        <v>591</v>
      </c>
      <c r="B443" s="1" t="s">
        <v>197</v>
      </c>
      <c r="C443">
        <v>6</v>
      </c>
      <c r="D443">
        <v>3</v>
      </c>
      <c r="E443">
        <v>3</v>
      </c>
      <c r="F443">
        <v>3</v>
      </c>
      <c r="G443">
        <v>2</v>
      </c>
      <c r="H443">
        <v>3</v>
      </c>
      <c r="I443">
        <v>53</v>
      </c>
      <c r="J443">
        <v>53</v>
      </c>
      <c r="K443">
        <v>15</v>
      </c>
      <c r="L443">
        <v>53</v>
      </c>
      <c r="M443">
        <v>80</v>
      </c>
    </row>
    <row r="444" spans="1:13" x14ac:dyDescent="0.25">
      <c r="A444" s="1" t="s">
        <v>592</v>
      </c>
      <c r="B444" s="1" t="s">
        <v>593</v>
      </c>
      <c r="C444">
        <v>3</v>
      </c>
      <c r="D444">
        <v>3</v>
      </c>
      <c r="E444">
        <v>4</v>
      </c>
      <c r="F444">
        <v>2</v>
      </c>
      <c r="G444">
        <v>6</v>
      </c>
      <c r="H444">
        <v>4</v>
      </c>
      <c r="I444">
        <v>22</v>
      </c>
      <c r="J444">
        <v>48</v>
      </c>
      <c r="K444">
        <v>26</v>
      </c>
      <c r="L444">
        <v>43</v>
      </c>
      <c r="M444">
        <v>10</v>
      </c>
    </row>
    <row r="445" spans="1:13" x14ac:dyDescent="0.25">
      <c r="A445" s="1" t="s">
        <v>594</v>
      </c>
      <c r="B445" s="1" t="s">
        <v>32</v>
      </c>
      <c r="C445">
        <v>3</v>
      </c>
      <c r="D445">
        <v>2</v>
      </c>
      <c r="E445">
        <v>4</v>
      </c>
      <c r="F445">
        <v>3</v>
      </c>
      <c r="G445">
        <v>2</v>
      </c>
      <c r="H445">
        <v>5</v>
      </c>
      <c r="I445">
        <v>90</v>
      </c>
      <c r="J445">
        <v>97</v>
      </c>
      <c r="K445">
        <v>7</v>
      </c>
      <c r="L445">
        <v>59</v>
      </c>
      <c r="M445">
        <v>100</v>
      </c>
    </row>
    <row r="446" spans="1:13" x14ac:dyDescent="0.25">
      <c r="A446" s="1" t="s">
        <v>595</v>
      </c>
      <c r="B446" s="1" t="s">
        <v>177</v>
      </c>
      <c r="C446">
        <v>4</v>
      </c>
      <c r="D446">
        <v>2</v>
      </c>
      <c r="E446">
        <v>4</v>
      </c>
      <c r="F446">
        <v>5</v>
      </c>
      <c r="G446">
        <v>4</v>
      </c>
      <c r="H446">
        <v>2</v>
      </c>
      <c r="I446">
        <v>9</v>
      </c>
      <c r="J446">
        <v>47</v>
      </c>
      <c r="K446">
        <v>56</v>
      </c>
      <c r="L446">
        <v>89</v>
      </c>
      <c r="M446">
        <v>55</v>
      </c>
    </row>
    <row r="447" spans="1:13" x14ac:dyDescent="0.25">
      <c r="A447" s="1" t="s">
        <v>596</v>
      </c>
      <c r="B447" s="1" t="s">
        <v>180</v>
      </c>
      <c r="C447">
        <v>4</v>
      </c>
      <c r="D447">
        <v>2</v>
      </c>
      <c r="E447">
        <v>2</v>
      </c>
      <c r="F447">
        <v>6</v>
      </c>
      <c r="G447">
        <v>4</v>
      </c>
      <c r="H447">
        <v>3</v>
      </c>
      <c r="I447">
        <v>47</v>
      </c>
      <c r="J447">
        <v>8</v>
      </c>
      <c r="K447">
        <v>77</v>
      </c>
      <c r="L447">
        <v>85</v>
      </c>
      <c r="M447">
        <v>10</v>
      </c>
    </row>
    <row r="448" spans="1:13" x14ac:dyDescent="0.25">
      <c r="A448" s="1" t="s">
        <v>597</v>
      </c>
      <c r="B448" s="1" t="s">
        <v>218</v>
      </c>
      <c r="C448">
        <v>4</v>
      </c>
      <c r="D448">
        <v>5</v>
      </c>
      <c r="E448">
        <v>4</v>
      </c>
      <c r="F448">
        <v>4</v>
      </c>
      <c r="G448">
        <v>5</v>
      </c>
      <c r="H448">
        <v>3</v>
      </c>
      <c r="I448">
        <v>59</v>
      </c>
      <c r="J448">
        <v>89</v>
      </c>
      <c r="K448">
        <v>32</v>
      </c>
      <c r="L448">
        <v>80</v>
      </c>
      <c r="M448">
        <v>38</v>
      </c>
    </row>
    <row r="449" spans="1:13" x14ac:dyDescent="0.25">
      <c r="A449" s="1" t="s">
        <v>598</v>
      </c>
      <c r="B449" s="1" t="s">
        <v>166</v>
      </c>
      <c r="C449">
        <v>8</v>
      </c>
      <c r="D449">
        <v>5</v>
      </c>
      <c r="E449">
        <v>5</v>
      </c>
      <c r="F449">
        <v>4</v>
      </c>
      <c r="G449">
        <v>6</v>
      </c>
      <c r="H449">
        <v>2</v>
      </c>
      <c r="I449">
        <v>60</v>
      </c>
      <c r="J449">
        <v>31</v>
      </c>
      <c r="K449">
        <v>86</v>
      </c>
      <c r="L449">
        <v>76</v>
      </c>
      <c r="M449">
        <v>64</v>
      </c>
    </row>
    <row r="450" spans="1:13" x14ac:dyDescent="0.25">
      <c r="A450" s="1" t="s">
        <v>599</v>
      </c>
      <c r="B450" s="1" t="s">
        <v>600</v>
      </c>
      <c r="C450">
        <v>3</v>
      </c>
      <c r="D450">
        <v>4</v>
      </c>
      <c r="E450">
        <v>3</v>
      </c>
      <c r="F450">
        <v>5</v>
      </c>
      <c r="G450">
        <v>5</v>
      </c>
      <c r="H450">
        <v>5</v>
      </c>
      <c r="I450">
        <v>53</v>
      </c>
      <c r="J450">
        <v>78</v>
      </c>
      <c r="K450">
        <v>73</v>
      </c>
      <c r="L450">
        <v>89</v>
      </c>
      <c r="M450">
        <v>32</v>
      </c>
    </row>
    <row r="451" spans="1:13" x14ac:dyDescent="0.25">
      <c r="A451" s="1" t="s">
        <v>601</v>
      </c>
      <c r="B451" s="1" t="s">
        <v>121</v>
      </c>
      <c r="C451">
        <v>0</v>
      </c>
      <c r="D451">
        <v>4</v>
      </c>
      <c r="E451">
        <v>2</v>
      </c>
      <c r="F451">
        <v>2</v>
      </c>
      <c r="G451">
        <v>2</v>
      </c>
      <c r="H451">
        <v>6</v>
      </c>
      <c r="I451">
        <v>88</v>
      </c>
      <c r="J451">
        <v>43</v>
      </c>
      <c r="K451">
        <v>91</v>
      </c>
      <c r="L451">
        <v>4</v>
      </c>
      <c r="M451">
        <v>78</v>
      </c>
    </row>
    <row r="452" spans="1:13" x14ac:dyDescent="0.25">
      <c r="A452" s="1" t="s">
        <v>602</v>
      </c>
      <c r="B452" s="1" t="s">
        <v>58</v>
      </c>
      <c r="C452">
        <v>1</v>
      </c>
      <c r="D452">
        <v>5</v>
      </c>
      <c r="E452">
        <v>4</v>
      </c>
      <c r="F452">
        <v>6</v>
      </c>
      <c r="G452">
        <v>4</v>
      </c>
      <c r="H452">
        <v>2</v>
      </c>
      <c r="I452">
        <v>4</v>
      </c>
      <c r="J452">
        <v>97</v>
      </c>
      <c r="K452">
        <v>75</v>
      </c>
      <c r="L452">
        <v>86</v>
      </c>
      <c r="M452">
        <v>10</v>
      </c>
    </row>
    <row r="453" spans="1:13" x14ac:dyDescent="0.25">
      <c r="A453" s="1" t="s">
        <v>603</v>
      </c>
      <c r="B453" s="1" t="s">
        <v>604</v>
      </c>
      <c r="C453">
        <v>7</v>
      </c>
      <c r="D453">
        <v>4</v>
      </c>
      <c r="E453">
        <v>3</v>
      </c>
      <c r="F453">
        <v>6</v>
      </c>
      <c r="G453">
        <v>3</v>
      </c>
      <c r="H453">
        <v>2</v>
      </c>
      <c r="I453">
        <v>28</v>
      </c>
      <c r="J453">
        <v>75</v>
      </c>
      <c r="K453">
        <v>15</v>
      </c>
      <c r="L453">
        <v>6</v>
      </c>
      <c r="M453">
        <v>33</v>
      </c>
    </row>
    <row r="454" spans="1:13" x14ac:dyDescent="0.25">
      <c r="A454" s="1" t="s">
        <v>605</v>
      </c>
      <c r="B454" s="1" t="s">
        <v>110</v>
      </c>
      <c r="C454">
        <v>4</v>
      </c>
      <c r="D454">
        <v>2</v>
      </c>
      <c r="E454">
        <v>4</v>
      </c>
      <c r="F454">
        <v>6</v>
      </c>
      <c r="G454">
        <v>5</v>
      </c>
      <c r="H454">
        <v>5</v>
      </c>
      <c r="I454">
        <v>29</v>
      </c>
      <c r="J454">
        <v>92</v>
      </c>
      <c r="K454">
        <v>99</v>
      </c>
      <c r="L454">
        <v>79</v>
      </c>
      <c r="M454">
        <v>8</v>
      </c>
    </row>
    <row r="455" spans="1:13" x14ac:dyDescent="0.25">
      <c r="A455" s="1" t="s">
        <v>606</v>
      </c>
      <c r="B455" s="1" t="s">
        <v>242</v>
      </c>
      <c r="C455">
        <v>2</v>
      </c>
      <c r="D455">
        <v>5</v>
      </c>
      <c r="E455">
        <v>3</v>
      </c>
      <c r="F455">
        <v>2</v>
      </c>
      <c r="G455">
        <v>3</v>
      </c>
      <c r="H455">
        <v>6</v>
      </c>
      <c r="I455">
        <v>59</v>
      </c>
      <c r="J455">
        <v>29</v>
      </c>
      <c r="K455">
        <v>92</v>
      </c>
      <c r="L455">
        <v>96</v>
      </c>
      <c r="M455">
        <v>77</v>
      </c>
    </row>
    <row r="456" spans="1:13" x14ac:dyDescent="0.25">
      <c r="A456" s="1" t="s">
        <v>423</v>
      </c>
      <c r="B456" s="1" t="s">
        <v>76</v>
      </c>
      <c r="C456">
        <v>0</v>
      </c>
      <c r="D456">
        <v>6</v>
      </c>
      <c r="E456">
        <v>6</v>
      </c>
      <c r="F456">
        <v>5</v>
      </c>
      <c r="G456">
        <v>4</v>
      </c>
      <c r="H456">
        <v>3</v>
      </c>
      <c r="I456">
        <v>98</v>
      </c>
      <c r="J456">
        <v>79</v>
      </c>
      <c r="K456">
        <v>65</v>
      </c>
      <c r="L456">
        <v>41</v>
      </c>
      <c r="M456">
        <v>48</v>
      </c>
    </row>
    <row r="457" spans="1:13" x14ac:dyDescent="0.25">
      <c r="A457" s="1" t="s">
        <v>607</v>
      </c>
      <c r="B457" s="1" t="s">
        <v>608</v>
      </c>
      <c r="C457">
        <v>2</v>
      </c>
      <c r="D457">
        <v>2</v>
      </c>
      <c r="E457">
        <v>6</v>
      </c>
      <c r="F457">
        <v>5</v>
      </c>
      <c r="G457">
        <v>6</v>
      </c>
      <c r="H457">
        <v>3</v>
      </c>
      <c r="I457">
        <v>74</v>
      </c>
      <c r="J457">
        <v>25</v>
      </c>
      <c r="K457">
        <v>78</v>
      </c>
      <c r="L457">
        <v>6</v>
      </c>
      <c r="M457">
        <v>69</v>
      </c>
    </row>
    <row r="458" spans="1:13" x14ac:dyDescent="0.25">
      <c r="A458" s="1" t="s">
        <v>609</v>
      </c>
      <c r="B458" s="1" t="s">
        <v>242</v>
      </c>
      <c r="C458">
        <v>3</v>
      </c>
      <c r="D458">
        <v>2</v>
      </c>
      <c r="E458">
        <v>4</v>
      </c>
      <c r="F458">
        <v>5</v>
      </c>
      <c r="G458">
        <v>2</v>
      </c>
      <c r="H458">
        <v>5</v>
      </c>
      <c r="I458">
        <v>12</v>
      </c>
      <c r="J458">
        <v>96</v>
      </c>
      <c r="K458">
        <v>66</v>
      </c>
      <c r="L458">
        <v>17</v>
      </c>
      <c r="M458">
        <v>86</v>
      </c>
    </row>
    <row r="459" spans="1:13" x14ac:dyDescent="0.25">
      <c r="A459" s="1" t="s">
        <v>514</v>
      </c>
      <c r="B459" s="1" t="s">
        <v>316</v>
      </c>
      <c r="C459">
        <v>3</v>
      </c>
      <c r="D459">
        <v>5</v>
      </c>
      <c r="E459">
        <v>5</v>
      </c>
      <c r="F459">
        <v>3</v>
      </c>
      <c r="G459">
        <v>2</v>
      </c>
      <c r="H459">
        <v>2</v>
      </c>
      <c r="I459">
        <v>53</v>
      </c>
      <c r="J459">
        <v>89</v>
      </c>
      <c r="K459">
        <v>16</v>
      </c>
      <c r="L459">
        <v>27</v>
      </c>
      <c r="M459">
        <v>62</v>
      </c>
    </row>
    <row r="460" spans="1:13" x14ac:dyDescent="0.25">
      <c r="A460" s="1" t="s">
        <v>610</v>
      </c>
      <c r="B460" s="1" t="s">
        <v>395</v>
      </c>
      <c r="C460">
        <v>4</v>
      </c>
      <c r="D460">
        <v>3</v>
      </c>
      <c r="E460">
        <v>6</v>
      </c>
      <c r="F460">
        <v>4</v>
      </c>
      <c r="G460">
        <v>6</v>
      </c>
      <c r="H460">
        <v>6</v>
      </c>
      <c r="I460">
        <v>90</v>
      </c>
      <c r="J460">
        <v>31</v>
      </c>
      <c r="K460">
        <v>75</v>
      </c>
      <c r="L460">
        <v>1</v>
      </c>
      <c r="M460">
        <v>58</v>
      </c>
    </row>
    <row r="461" spans="1:13" x14ac:dyDescent="0.25">
      <c r="A461" s="1" t="s">
        <v>611</v>
      </c>
      <c r="B461" s="1" t="s">
        <v>395</v>
      </c>
      <c r="C461">
        <v>0</v>
      </c>
      <c r="D461">
        <v>3</v>
      </c>
      <c r="E461">
        <v>3</v>
      </c>
      <c r="F461">
        <v>4</v>
      </c>
      <c r="G461">
        <v>2</v>
      </c>
      <c r="H461">
        <v>4</v>
      </c>
      <c r="I461">
        <v>92</v>
      </c>
      <c r="J461">
        <v>47</v>
      </c>
      <c r="K461">
        <v>27</v>
      </c>
      <c r="L461">
        <v>40</v>
      </c>
      <c r="M461">
        <v>35</v>
      </c>
    </row>
    <row r="462" spans="1:13" x14ac:dyDescent="0.25">
      <c r="A462" s="1" t="s">
        <v>612</v>
      </c>
      <c r="B462" s="1" t="s">
        <v>164</v>
      </c>
      <c r="C462">
        <v>6</v>
      </c>
      <c r="D462">
        <v>4</v>
      </c>
      <c r="E462">
        <v>3</v>
      </c>
      <c r="F462">
        <v>2</v>
      </c>
      <c r="G462">
        <v>3</v>
      </c>
      <c r="H462">
        <v>5</v>
      </c>
      <c r="I462">
        <v>57</v>
      </c>
      <c r="J462">
        <v>67</v>
      </c>
      <c r="K462">
        <v>51</v>
      </c>
      <c r="L462">
        <v>92</v>
      </c>
      <c r="M462">
        <v>72</v>
      </c>
    </row>
    <row r="463" spans="1:13" x14ac:dyDescent="0.25">
      <c r="A463" s="1" t="s">
        <v>613</v>
      </c>
      <c r="B463" s="1" t="s">
        <v>412</v>
      </c>
      <c r="C463">
        <v>0</v>
      </c>
      <c r="D463">
        <v>6</v>
      </c>
      <c r="E463">
        <v>3</v>
      </c>
      <c r="F463">
        <v>6</v>
      </c>
      <c r="G463">
        <v>6</v>
      </c>
      <c r="H463">
        <v>4</v>
      </c>
      <c r="I463">
        <v>74</v>
      </c>
      <c r="J463">
        <v>60</v>
      </c>
      <c r="K463">
        <v>83</v>
      </c>
      <c r="L463">
        <v>39</v>
      </c>
      <c r="M463">
        <v>97</v>
      </c>
    </row>
    <row r="464" spans="1:13" x14ac:dyDescent="0.25">
      <c r="A464" s="1" t="s">
        <v>614</v>
      </c>
      <c r="B464" s="1" t="s">
        <v>615</v>
      </c>
      <c r="C464">
        <v>7</v>
      </c>
      <c r="D464">
        <v>6</v>
      </c>
      <c r="E464">
        <v>2</v>
      </c>
      <c r="F464">
        <v>3</v>
      </c>
      <c r="G464">
        <v>2</v>
      </c>
      <c r="H464">
        <v>3</v>
      </c>
      <c r="I464">
        <v>21</v>
      </c>
      <c r="J464">
        <v>16</v>
      </c>
      <c r="K464">
        <v>9</v>
      </c>
      <c r="L464">
        <v>49</v>
      </c>
      <c r="M464">
        <v>47</v>
      </c>
    </row>
    <row r="465" spans="1:13" x14ac:dyDescent="0.25">
      <c r="A465" s="1" t="s">
        <v>616</v>
      </c>
      <c r="B465" s="1" t="s">
        <v>249</v>
      </c>
      <c r="C465">
        <v>8</v>
      </c>
      <c r="D465">
        <v>3</v>
      </c>
      <c r="E465">
        <v>5</v>
      </c>
      <c r="F465">
        <v>6</v>
      </c>
      <c r="G465">
        <v>2</v>
      </c>
      <c r="H465">
        <v>4</v>
      </c>
      <c r="I465">
        <v>73</v>
      </c>
      <c r="J465">
        <v>70</v>
      </c>
      <c r="K465">
        <v>71</v>
      </c>
      <c r="L465">
        <v>84</v>
      </c>
      <c r="M465">
        <v>81</v>
      </c>
    </row>
    <row r="466" spans="1:13" x14ac:dyDescent="0.25">
      <c r="A466" s="1" t="s">
        <v>617</v>
      </c>
      <c r="B466" s="1" t="s">
        <v>397</v>
      </c>
      <c r="C466">
        <v>2</v>
      </c>
      <c r="D466">
        <v>4</v>
      </c>
      <c r="E466">
        <v>6</v>
      </c>
      <c r="F466">
        <v>4</v>
      </c>
      <c r="G466">
        <v>5</v>
      </c>
      <c r="H466">
        <v>2</v>
      </c>
      <c r="I466">
        <v>44</v>
      </c>
      <c r="J466">
        <v>8</v>
      </c>
      <c r="K466">
        <v>100</v>
      </c>
      <c r="L466">
        <v>54</v>
      </c>
      <c r="M466">
        <v>77</v>
      </c>
    </row>
    <row r="467" spans="1:13" x14ac:dyDescent="0.25">
      <c r="A467" s="1" t="s">
        <v>618</v>
      </c>
      <c r="B467" s="1" t="s">
        <v>180</v>
      </c>
      <c r="C467">
        <v>6</v>
      </c>
      <c r="D467">
        <v>3</v>
      </c>
      <c r="E467">
        <v>5</v>
      </c>
      <c r="F467">
        <v>4</v>
      </c>
      <c r="G467">
        <v>3</v>
      </c>
      <c r="H467">
        <v>2</v>
      </c>
      <c r="I467">
        <v>78</v>
      </c>
      <c r="J467">
        <v>17</v>
      </c>
      <c r="K467">
        <v>48</v>
      </c>
      <c r="L467">
        <v>42</v>
      </c>
      <c r="M467">
        <v>85</v>
      </c>
    </row>
    <row r="468" spans="1:13" x14ac:dyDescent="0.25">
      <c r="A468" s="1" t="s">
        <v>619</v>
      </c>
      <c r="B468" s="1" t="s">
        <v>620</v>
      </c>
      <c r="C468">
        <v>0</v>
      </c>
      <c r="D468">
        <v>3</v>
      </c>
      <c r="E468">
        <v>6</v>
      </c>
      <c r="F468">
        <v>2</v>
      </c>
      <c r="G468">
        <v>5</v>
      </c>
      <c r="H468">
        <v>2</v>
      </c>
      <c r="I468">
        <v>72</v>
      </c>
      <c r="J468">
        <v>53</v>
      </c>
      <c r="K468">
        <v>43</v>
      </c>
      <c r="L468">
        <v>72</v>
      </c>
      <c r="M468">
        <v>52</v>
      </c>
    </row>
    <row r="469" spans="1:13" x14ac:dyDescent="0.25">
      <c r="A469" s="1" t="s">
        <v>621</v>
      </c>
      <c r="B469" s="1" t="s">
        <v>210</v>
      </c>
      <c r="C469">
        <v>7</v>
      </c>
      <c r="D469">
        <v>5</v>
      </c>
      <c r="E469">
        <v>6</v>
      </c>
      <c r="F469">
        <v>2</v>
      </c>
      <c r="G469">
        <v>5</v>
      </c>
      <c r="H469">
        <v>4</v>
      </c>
      <c r="I469">
        <v>15</v>
      </c>
      <c r="J469">
        <v>64</v>
      </c>
      <c r="K469">
        <v>20</v>
      </c>
      <c r="L469">
        <v>59</v>
      </c>
      <c r="M469">
        <v>52</v>
      </c>
    </row>
    <row r="470" spans="1:13" x14ac:dyDescent="0.25">
      <c r="A470" s="1" t="s">
        <v>622</v>
      </c>
      <c r="B470" s="1" t="s">
        <v>448</v>
      </c>
      <c r="C470">
        <v>1</v>
      </c>
      <c r="D470">
        <v>2</v>
      </c>
      <c r="E470">
        <v>3</v>
      </c>
      <c r="F470">
        <v>3</v>
      </c>
      <c r="G470">
        <v>2</v>
      </c>
      <c r="H470">
        <v>6</v>
      </c>
      <c r="I470">
        <v>35</v>
      </c>
      <c r="J470">
        <v>20</v>
      </c>
      <c r="K470">
        <v>46</v>
      </c>
      <c r="L470">
        <v>84</v>
      </c>
      <c r="M470">
        <v>11</v>
      </c>
    </row>
    <row r="471" spans="1:13" x14ac:dyDescent="0.25">
      <c r="A471" s="1" t="s">
        <v>623</v>
      </c>
      <c r="B471" s="1" t="s">
        <v>239</v>
      </c>
      <c r="C471">
        <v>0</v>
      </c>
      <c r="D471">
        <v>2</v>
      </c>
      <c r="E471">
        <v>2</v>
      </c>
      <c r="F471">
        <v>5</v>
      </c>
      <c r="G471">
        <v>6</v>
      </c>
      <c r="H471">
        <v>2</v>
      </c>
      <c r="I471">
        <v>87</v>
      </c>
      <c r="J471">
        <v>18</v>
      </c>
      <c r="K471">
        <v>93</v>
      </c>
      <c r="L471">
        <v>62</v>
      </c>
      <c r="M471">
        <v>95</v>
      </c>
    </row>
    <row r="472" spans="1:13" x14ac:dyDescent="0.25">
      <c r="A472" s="1" t="s">
        <v>624</v>
      </c>
      <c r="B472" s="1" t="s">
        <v>414</v>
      </c>
      <c r="C472">
        <v>6</v>
      </c>
      <c r="D472">
        <v>2</v>
      </c>
      <c r="E472">
        <v>4</v>
      </c>
      <c r="F472">
        <v>3</v>
      </c>
      <c r="G472">
        <v>3</v>
      </c>
      <c r="H472">
        <v>2</v>
      </c>
      <c r="I472">
        <v>72</v>
      </c>
      <c r="J472">
        <v>79</v>
      </c>
      <c r="K472">
        <v>98</v>
      </c>
      <c r="L472">
        <v>86</v>
      </c>
      <c r="M472">
        <v>31</v>
      </c>
    </row>
    <row r="473" spans="1:13" x14ac:dyDescent="0.25">
      <c r="A473" s="1" t="s">
        <v>625</v>
      </c>
      <c r="B473" s="1" t="s">
        <v>161</v>
      </c>
      <c r="C473">
        <v>3</v>
      </c>
      <c r="D473">
        <v>3</v>
      </c>
      <c r="E473">
        <v>3</v>
      </c>
      <c r="F473">
        <v>3</v>
      </c>
      <c r="G473">
        <v>5</v>
      </c>
      <c r="H473">
        <v>4</v>
      </c>
      <c r="I473">
        <v>71</v>
      </c>
      <c r="J473">
        <v>68</v>
      </c>
      <c r="K473">
        <v>38</v>
      </c>
      <c r="L473">
        <v>8</v>
      </c>
      <c r="M473">
        <v>98</v>
      </c>
    </row>
    <row r="474" spans="1:13" x14ac:dyDescent="0.25">
      <c r="A474" s="1" t="s">
        <v>626</v>
      </c>
      <c r="B474" s="1" t="s">
        <v>38</v>
      </c>
      <c r="C474">
        <v>8</v>
      </c>
      <c r="D474">
        <v>2</v>
      </c>
      <c r="E474">
        <v>2</v>
      </c>
      <c r="F474">
        <v>3</v>
      </c>
      <c r="G474">
        <v>4</v>
      </c>
      <c r="H474">
        <v>4</v>
      </c>
      <c r="I474">
        <v>96</v>
      </c>
      <c r="J474">
        <v>47</v>
      </c>
      <c r="K474">
        <v>90</v>
      </c>
      <c r="L474">
        <v>24</v>
      </c>
      <c r="M474">
        <v>96</v>
      </c>
    </row>
    <row r="475" spans="1:13" x14ac:dyDescent="0.25">
      <c r="A475" s="1" t="s">
        <v>627</v>
      </c>
      <c r="B475" s="1" t="s">
        <v>133</v>
      </c>
      <c r="C475">
        <v>3</v>
      </c>
      <c r="D475">
        <v>3</v>
      </c>
      <c r="E475">
        <v>3</v>
      </c>
      <c r="F475">
        <v>3</v>
      </c>
      <c r="G475">
        <v>4</v>
      </c>
      <c r="H475">
        <v>5</v>
      </c>
      <c r="I475">
        <v>18</v>
      </c>
      <c r="J475">
        <v>94</v>
      </c>
      <c r="K475">
        <v>29</v>
      </c>
      <c r="L475">
        <v>50</v>
      </c>
      <c r="M475">
        <v>54</v>
      </c>
    </row>
    <row r="476" spans="1:13" x14ac:dyDescent="0.25">
      <c r="A476" s="1" t="s">
        <v>628</v>
      </c>
      <c r="B476" s="1" t="s">
        <v>251</v>
      </c>
      <c r="C476">
        <v>0</v>
      </c>
      <c r="D476">
        <v>5</v>
      </c>
      <c r="E476">
        <v>5</v>
      </c>
      <c r="F476">
        <v>6</v>
      </c>
      <c r="G476">
        <v>2</v>
      </c>
      <c r="H476">
        <v>5</v>
      </c>
      <c r="I476">
        <v>47</v>
      </c>
      <c r="J476">
        <v>34</v>
      </c>
      <c r="K476">
        <v>86</v>
      </c>
      <c r="L476">
        <v>56</v>
      </c>
      <c r="M476">
        <v>39</v>
      </c>
    </row>
    <row r="477" spans="1:13" x14ac:dyDescent="0.25">
      <c r="A477" s="1" t="s">
        <v>629</v>
      </c>
      <c r="B477" s="1" t="s">
        <v>430</v>
      </c>
      <c r="C477">
        <v>7</v>
      </c>
      <c r="D477">
        <v>5</v>
      </c>
      <c r="E477">
        <v>5</v>
      </c>
      <c r="F477">
        <v>2</v>
      </c>
      <c r="G477">
        <v>6</v>
      </c>
      <c r="H477">
        <v>6</v>
      </c>
      <c r="I477">
        <v>6</v>
      </c>
      <c r="J477">
        <v>88</v>
      </c>
      <c r="K477">
        <v>24</v>
      </c>
      <c r="L477">
        <v>3</v>
      </c>
      <c r="M477">
        <v>43</v>
      </c>
    </row>
    <row r="478" spans="1:13" x14ac:dyDescent="0.25">
      <c r="A478" s="1" t="s">
        <v>630</v>
      </c>
      <c r="B478" s="1" t="s">
        <v>273</v>
      </c>
      <c r="C478">
        <v>8</v>
      </c>
      <c r="D478">
        <v>4</v>
      </c>
      <c r="E478">
        <v>3</v>
      </c>
      <c r="F478">
        <v>6</v>
      </c>
      <c r="G478">
        <v>2</v>
      </c>
      <c r="H478">
        <v>6</v>
      </c>
      <c r="I478">
        <v>87</v>
      </c>
      <c r="J478">
        <v>54</v>
      </c>
      <c r="K478">
        <v>69</v>
      </c>
      <c r="L478">
        <v>96</v>
      </c>
      <c r="M478">
        <v>7</v>
      </c>
    </row>
    <row r="479" spans="1:13" x14ac:dyDescent="0.25">
      <c r="A479" s="1" t="s">
        <v>631</v>
      </c>
      <c r="B479" s="1" t="s">
        <v>288</v>
      </c>
      <c r="C479">
        <v>8</v>
      </c>
      <c r="D479">
        <v>3</v>
      </c>
      <c r="E479">
        <v>2</v>
      </c>
      <c r="F479">
        <v>4</v>
      </c>
      <c r="G479">
        <v>6</v>
      </c>
      <c r="H479">
        <v>6</v>
      </c>
      <c r="I479">
        <v>99</v>
      </c>
      <c r="J479">
        <v>51</v>
      </c>
      <c r="K479">
        <v>25</v>
      </c>
      <c r="L479">
        <v>89</v>
      </c>
      <c r="M479">
        <v>73</v>
      </c>
    </row>
    <row r="480" spans="1:13" x14ac:dyDescent="0.25">
      <c r="A480" s="1" t="s">
        <v>632</v>
      </c>
      <c r="B480" s="1" t="s">
        <v>633</v>
      </c>
      <c r="C480">
        <v>0</v>
      </c>
      <c r="D480">
        <v>4</v>
      </c>
      <c r="E480">
        <v>6</v>
      </c>
      <c r="F480">
        <v>5</v>
      </c>
      <c r="G480">
        <v>2</v>
      </c>
      <c r="H480">
        <v>4</v>
      </c>
      <c r="I480">
        <v>72</v>
      </c>
      <c r="J480">
        <v>33</v>
      </c>
      <c r="K480">
        <v>40</v>
      </c>
      <c r="L480">
        <v>62</v>
      </c>
      <c r="M480">
        <v>19</v>
      </c>
    </row>
    <row r="481" spans="1:13" x14ac:dyDescent="0.25">
      <c r="A481" s="1" t="s">
        <v>634</v>
      </c>
      <c r="B481" s="1" t="s">
        <v>635</v>
      </c>
      <c r="C481">
        <v>0</v>
      </c>
      <c r="D481">
        <v>4</v>
      </c>
      <c r="E481">
        <v>2</v>
      </c>
      <c r="F481">
        <v>6</v>
      </c>
      <c r="G481">
        <v>2</v>
      </c>
      <c r="H481">
        <v>5</v>
      </c>
      <c r="I481">
        <v>57</v>
      </c>
      <c r="J481">
        <v>88</v>
      </c>
      <c r="K481">
        <v>53</v>
      </c>
      <c r="L481">
        <v>42</v>
      </c>
      <c r="M481">
        <v>49</v>
      </c>
    </row>
    <row r="482" spans="1:13" x14ac:dyDescent="0.25">
      <c r="A482" s="1" t="s">
        <v>636</v>
      </c>
      <c r="B482" s="1" t="s">
        <v>340</v>
      </c>
      <c r="C482">
        <v>1</v>
      </c>
      <c r="D482">
        <v>4</v>
      </c>
      <c r="E482">
        <v>2</v>
      </c>
      <c r="F482">
        <v>2</v>
      </c>
      <c r="G482">
        <v>4</v>
      </c>
      <c r="H482">
        <v>2</v>
      </c>
      <c r="I482">
        <v>68</v>
      </c>
      <c r="J482">
        <v>81</v>
      </c>
      <c r="K482">
        <v>24</v>
      </c>
      <c r="L482">
        <v>15</v>
      </c>
      <c r="M482">
        <v>48</v>
      </c>
    </row>
    <row r="483" spans="1:13" x14ac:dyDescent="0.25">
      <c r="A483" s="1" t="s">
        <v>637</v>
      </c>
      <c r="B483" s="1" t="s">
        <v>86</v>
      </c>
      <c r="C483">
        <v>6</v>
      </c>
      <c r="D483">
        <v>4</v>
      </c>
      <c r="E483">
        <v>3</v>
      </c>
      <c r="F483">
        <v>2</v>
      </c>
      <c r="G483">
        <v>3</v>
      </c>
      <c r="H483">
        <v>3</v>
      </c>
      <c r="I483">
        <v>43</v>
      </c>
      <c r="J483">
        <v>36</v>
      </c>
      <c r="K483">
        <v>9</v>
      </c>
      <c r="L483">
        <v>88</v>
      </c>
      <c r="M483">
        <v>44</v>
      </c>
    </row>
    <row r="484" spans="1:13" x14ac:dyDescent="0.25">
      <c r="A484" s="1" t="s">
        <v>638</v>
      </c>
      <c r="B484" s="1" t="s">
        <v>395</v>
      </c>
      <c r="C484">
        <v>2</v>
      </c>
      <c r="D484">
        <v>6</v>
      </c>
      <c r="E484">
        <v>2</v>
      </c>
      <c r="F484">
        <v>2</v>
      </c>
      <c r="G484">
        <v>3</v>
      </c>
      <c r="H484">
        <v>3</v>
      </c>
      <c r="I484">
        <v>69</v>
      </c>
      <c r="J484">
        <v>17</v>
      </c>
      <c r="K484">
        <v>84</v>
      </c>
      <c r="L484">
        <v>87</v>
      </c>
      <c r="M484">
        <v>56</v>
      </c>
    </row>
    <row r="485" spans="1:13" x14ac:dyDescent="0.25">
      <c r="A485" s="1" t="s">
        <v>639</v>
      </c>
      <c r="B485" s="1" t="s">
        <v>34</v>
      </c>
      <c r="C485">
        <v>0</v>
      </c>
      <c r="D485">
        <v>6</v>
      </c>
      <c r="E485">
        <v>6</v>
      </c>
      <c r="F485">
        <v>3</v>
      </c>
      <c r="G485">
        <v>2</v>
      </c>
      <c r="H485">
        <v>5</v>
      </c>
      <c r="I485">
        <v>25</v>
      </c>
      <c r="J485">
        <v>23</v>
      </c>
      <c r="K485">
        <v>92</v>
      </c>
      <c r="L485">
        <v>37</v>
      </c>
      <c r="M485">
        <v>40</v>
      </c>
    </row>
    <row r="486" spans="1:13" x14ac:dyDescent="0.25">
      <c r="A486" s="1" t="s">
        <v>640</v>
      </c>
      <c r="B486" s="1" t="s">
        <v>249</v>
      </c>
      <c r="C486">
        <v>8</v>
      </c>
      <c r="D486">
        <v>4</v>
      </c>
      <c r="E486">
        <v>6</v>
      </c>
      <c r="F486">
        <v>4</v>
      </c>
      <c r="G486">
        <v>3</v>
      </c>
      <c r="H486">
        <v>2</v>
      </c>
      <c r="I486">
        <v>12</v>
      </c>
      <c r="J486">
        <v>56</v>
      </c>
      <c r="K486">
        <v>75</v>
      </c>
      <c r="L486">
        <v>76</v>
      </c>
      <c r="M486">
        <v>41</v>
      </c>
    </row>
    <row r="487" spans="1:13" x14ac:dyDescent="0.25">
      <c r="A487" s="1" t="s">
        <v>641</v>
      </c>
      <c r="B487" s="1" t="s">
        <v>222</v>
      </c>
      <c r="C487">
        <v>5</v>
      </c>
      <c r="D487">
        <v>2</v>
      </c>
      <c r="E487">
        <v>5</v>
      </c>
      <c r="F487">
        <v>6</v>
      </c>
      <c r="G487">
        <v>2</v>
      </c>
      <c r="H487">
        <v>5</v>
      </c>
      <c r="I487">
        <v>39</v>
      </c>
      <c r="J487">
        <v>77</v>
      </c>
      <c r="K487">
        <v>37</v>
      </c>
      <c r="L487">
        <v>72</v>
      </c>
      <c r="M487">
        <v>32</v>
      </c>
    </row>
    <row r="488" spans="1:13" x14ac:dyDescent="0.25">
      <c r="A488" s="1" t="s">
        <v>642</v>
      </c>
      <c r="B488" s="1" t="s">
        <v>43</v>
      </c>
      <c r="C488">
        <v>1</v>
      </c>
      <c r="D488">
        <v>3</v>
      </c>
      <c r="E488">
        <v>5</v>
      </c>
      <c r="F488">
        <v>6</v>
      </c>
      <c r="G488">
        <v>2</v>
      </c>
      <c r="H488">
        <v>5</v>
      </c>
      <c r="I488">
        <v>53</v>
      </c>
      <c r="J488">
        <v>25</v>
      </c>
      <c r="K488">
        <v>62</v>
      </c>
      <c r="L488">
        <v>74</v>
      </c>
      <c r="M488">
        <v>81</v>
      </c>
    </row>
    <row r="489" spans="1:13" x14ac:dyDescent="0.25">
      <c r="A489" s="1" t="s">
        <v>643</v>
      </c>
      <c r="B489" s="1" t="s">
        <v>72</v>
      </c>
      <c r="C489">
        <v>7</v>
      </c>
      <c r="D489">
        <v>6</v>
      </c>
      <c r="E489">
        <v>3</v>
      </c>
      <c r="F489">
        <v>6</v>
      </c>
      <c r="G489">
        <v>4</v>
      </c>
      <c r="H489">
        <v>2</v>
      </c>
      <c r="I489">
        <v>11</v>
      </c>
      <c r="J489">
        <v>8</v>
      </c>
      <c r="K489">
        <v>29</v>
      </c>
      <c r="L489">
        <v>7</v>
      </c>
      <c r="M489">
        <v>38</v>
      </c>
    </row>
    <row r="490" spans="1:13" x14ac:dyDescent="0.25">
      <c r="A490" s="1" t="s">
        <v>644</v>
      </c>
      <c r="B490" s="1" t="s">
        <v>145</v>
      </c>
      <c r="C490">
        <v>3</v>
      </c>
      <c r="D490">
        <v>4</v>
      </c>
      <c r="E490">
        <v>6</v>
      </c>
      <c r="F490">
        <v>4</v>
      </c>
      <c r="G490">
        <v>6</v>
      </c>
      <c r="H490">
        <v>2</v>
      </c>
      <c r="I490">
        <v>62</v>
      </c>
      <c r="J490">
        <v>31</v>
      </c>
      <c r="K490">
        <v>64</v>
      </c>
      <c r="L490">
        <v>1</v>
      </c>
      <c r="M490">
        <v>25</v>
      </c>
    </row>
    <row r="491" spans="1:13" x14ac:dyDescent="0.25">
      <c r="A491" s="1" t="s">
        <v>645</v>
      </c>
      <c r="B491" s="1" t="s">
        <v>646</v>
      </c>
      <c r="C491">
        <v>4</v>
      </c>
      <c r="D491">
        <v>4</v>
      </c>
      <c r="E491">
        <v>6</v>
      </c>
      <c r="F491">
        <v>3</v>
      </c>
      <c r="G491">
        <v>2</v>
      </c>
      <c r="H491">
        <v>3</v>
      </c>
      <c r="I491">
        <v>24</v>
      </c>
      <c r="J491">
        <v>33</v>
      </c>
      <c r="K491">
        <v>90</v>
      </c>
      <c r="L491">
        <v>28</v>
      </c>
      <c r="M491">
        <v>23</v>
      </c>
    </row>
    <row r="492" spans="1:13" x14ac:dyDescent="0.25">
      <c r="A492" s="1" t="s">
        <v>647</v>
      </c>
      <c r="B492" s="1" t="s">
        <v>32</v>
      </c>
      <c r="C492">
        <v>5</v>
      </c>
      <c r="D492">
        <v>6</v>
      </c>
      <c r="E492">
        <v>5</v>
      </c>
      <c r="F492">
        <v>6</v>
      </c>
      <c r="G492">
        <v>5</v>
      </c>
      <c r="H492">
        <v>4</v>
      </c>
      <c r="I492">
        <v>92</v>
      </c>
      <c r="J492">
        <v>67</v>
      </c>
      <c r="K492">
        <v>92</v>
      </c>
      <c r="L492">
        <v>79</v>
      </c>
      <c r="M492">
        <v>81</v>
      </c>
    </row>
    <row r="493" spans="1:13" x14ac:dyDescent="0.25">
      <c r="A493" s="1" t="s">
        <v>648</v>
      </c>
      <c r="B493" s="1" t="s">
        <v>649</v>
      </c>
      <c r="C493">
        <v>5</v>
      </c>
      <c r="D493">
        <v>3</v>
      </c>
      <c r="E493">
        <v>4</v>
      </c>
      <c r="F493">
        <v>2</v>
      </c>
      <c r="G493">
        <v>6</v>
      </c>
      <c r="H493">
        <v>6</v>
      </c>
      <c r="I493">
        <v>21</v>
      </c>
      <c r="J493">
        <v>40</v>
      </c>
      <c r="K493">
        <v>18</v>
      </c>
      <c r="L493">
        <v>81</v>
      </c>
      <c r="M493">
        <v>88</v>
      </c>
    </row>
    <row r="494" spans="1:13" x14ac:dyDescent="0.25">
      <c r="A494" s="1" t="s">
        <v>650</v>
      </c>
      <c r="B494" s="1" t="s">
        <v>651</v>
      </c>
      <c r="C494">
        <v>6</v>
      </c>
      <c r="D494">
        <v>2</v>
      </c>
      <c r="E494">
        <v>3</v>
      </c>
      <c r="F494">
        <v>6</v>
      </c>
      <c r="G494">
        <v>5</v>
      </c>
      <c r="H494">
        <v>4</v>
      </c>
      <c r="I494">
        <v>78</v>
      </c>
      <c r="J494">
        <v>1</v>
      </c>
      <c r="K494">
        <v>9</v>
      </c>
      <c r="L494">
        <v>33</v>
      </c>
      <c r="M494">
        <v>81</v>
      </c>
    </row>
    <row r="495" spans="1:13" x14ac:dyDescent="0.25">
      <c r="A495" s="1" t="s">
        <v>652</v>
      </c>
      <c r="B495" s="1" t="s">
        <v>239</v>
      </c>
      <c r="C495">
        <v>8</v>
      </c>
      <c r="D495">
        <v>2</v>
      </c>
      <c r="E495">
        <v>3</v>
      </c>
      <c r="F495">
        <v>4</v>
      </c>
      <c r="G495">
        <v>5</v>
      </c>
      <c r="H495">
        <v>4</v>
      </c>
      <c r="I495">
        <v>65</v>
      </c>
      <c r="J495">
        <v>19</v>
      </c>
      <c r="K495">
        <v>19</v>
      </c>
      <c r="L495">
        <v>8</v>
      </c>
      <c r="M495">
        <v>20</v>
      </c>
    </row>
    <row r="496" spans="1:13" x14ac:dyDescent="0.25">
      <c r="A496" s="1" t="s">
        <v>653</v>
      </c>
      <c r="B496" s="1" t="s">
        <v>340</v>
      </c>
      <c r="C496">
        <v>2</v>
      </c>
      <c r="D496">
        <v>2</v>
      </c>
      <c r="E496">
        <v>2</v>
      </c>
      <c r="F496">
        <v>5</v>
      </c>
      <c r="G496">
        <v>5</v>
      </c>
      <c r="H496">
        <v>4</v>
      </c>
      <c r="I496">
        <v>60</v>
      </c>
      <c r="J496">
        <v>79</v>
      </c>
      <c r="K496">
        <v>51</v>
      </c>
      <c r="L496">
        <v>40</v>
      </c>
      <c r="M496">
        <v>16</v>
      </c>
    </row>
    <row r="497" spans="1:13" x14ac:dyDescent="0.25">
      <c r="A497" s="1" t="s">
        <v>654</v>
      </c>
      <c r="B497" s="1" t="s">
        <v>340</v>
      </c>
      <c r="C497">
        <v>5</v>
      </c>
      <c r="D497">
        <v>2</v>
      </c>
      <c r="E497">
        <v>3</v>
      </c>
      <c r="F497">
        <v>3</v>
      </c>
      <c r="G497">
        <v>6</v>
      </c>
      <c r="H497">
        <v>3</v>
      </c>
      <c r="I497">
        <v>79</v>
      </c>
      <c r="J497">
        <v>21</v>
      </c>
      <c r="K497">
        <v>41</v>
      </c>
      <c r="L497">
        <v>39</v>
      </c>
      <c r="M497">
        <v>74</v>
      </c>
    </row>
    <row r="498" spans="1:13" x14ac:dyDescent="0.25">
      <c r="A498" s="1" t="s">
        <v>655</v>
      </c>
      <c r="B498" s="1" t="s">
        <v>38</v>
      </c>
      <c r="C498">
        <v>7</v>
      </c>
      <c r="D498">
        <v>2</v>
      </c>
      <c r="E498">
        <v>6</v>
      </c>
      <c r="F498">
        <v>6</v>
      </c>
      <c r="G498">
        <v>6</v>
      </c>
      <c r="H498">
        <v>5</v>
      </c>
      <c r="I498">
        <v>27</v>
      </c>
      <c r="J498">
        <v>93</v>
      </c>
      <c r="K498">
        <v>10</v>
      </c>
      <c r="L498">
        <v>43</v>
      </c>
      <c r="M498">
        <v>28</v>
      </c>
    </row>
    <row r="499" spans="1:13" x14ac:dyDescent="0.25">
      <c r="A499" s="1" t="s">
        <v>656</v>
      </c>
      <c r="B499" s="1" t="s">
        <v>119</v>
      </c>
      <c r="C499">
        <v>5</v>
      </c>
      <c r="D499">
        <v>4</v>
      </c>
      <c r="E499">
        <v>6</v>
      </c>
      <c r="F499">
        <v>5</v>
      </c>
      <c r="G499">
        <v>4</v>
      </c>
      <c r="H499">
        <v>4</v>
      </c>
      <c r="I499">
        <v>44</v>
      </c>
      <c r="J499">
        <v>95</v>
      </c>
      <c r="K499">
        <v>15</v>
      </c>
      <c r="L499">
        <v>66</v>
      </c>
      <c r="M499">
        <v>82</v>
      </c>
    </row>
    <row r="500" spans="1:13" x14ac:dyDescent="0.25">
      <c r="A500" s="1" t="s">
        <v>657</v>
      </c>
      <c r="B500" s="1" t="s">
        <v>340</v>
      </c>
      <c r="C500">
        <v>0</v>
      </c>
      <c r="D500">
        <v>6</v>
      </c>
      <c r="E500">
        <v>6</v>
      </c>
      <c r="F500">
        <v>2</v>
      </c>
      <c r="G500">
        <v>4</v>
      </c>
      <c r="H500">
        <v>3</v>
      </c>
      <c r="I500">
        <v>15</v>
      </c>
      <c r="J500">
        <v>15</v>
      </c>
      <c r="K500">
        <v>58</v>
      </c>
      <c r="L500">
        <v>15</v>
      </c>
      <c r="M500">
        <v>87</v>
      </c>
    </row>
    <row r="501" spans="1:13" x14ac:dyDescent="0.25">
      <c r="A501" s="1" t="s">
        <v>658</v>
      </c>
      <c r="B501" s="1" t="s">
        <v>16</v>
      </c>
      <c r="C501">
        <v>4</v>
      </c>
      <c r="D501">
        <v>6</v>
      </c>
      <c r="E501">
        <v>6</v>
      </c>
      <c r="F501">
        <v>3</v>
      </c>
      <c r="G501">
        <v>6</v>
      </c>
      <c r="H501">
        <v>2</v>
      </c>
      <c r="I501">
        <v>69</v>
      </c>
      <c r="J501">
        <v>78</v>
      </c>
      <c r="K501">
        <v>32</v>
      </c>
      <c r="L501">
        <v>73</v>
      </c>
      <c r="M501">
        <v>93</v>
      </c>
    </row>
    <row r="502" spans="1:13" x14ac:dyDescent="0.25">
      <c r="A502" s="1" t="s">
        <v>659</v>
      </c>
      <c r="B502" s="1" t="s">
        <v>660</v>
      </c>
      <c r="C502">
        <v>7</v>
      </c>
      <c r="D502">
        <v>3</v>
      </c>
      <c r="E502">
        <v>4</v>
      </c>
      <c r="F502">
        <v>6</v>
      </c>
      <c r="G502">
        <v>3</v>
      </c>
      <c r="H502">
        <v>6</v>
      </c>
      <c r="I502">
        <v>14</v>
      </c>
      <c r="J502">
        <v>42</v>
      </c>
      <c r="K502">
        <v>40</v>
      </c>
      <c r="L502">
        <v>48</v>
      </c>
      <c r="M502">
        <v>35</v>
      </c>
    </row>
    <row r="503" spans="1:13" x14ac:dyDescent="0.25">
      <c r="A503" s="1" t="s">
        <v>661</v>
      </c>
      <c r="B503" s="1" t="s">
        <v>83</v>
      </c>
      <c r="C503">
        <v>5</v>
      </c>
      <c r="D503">
        <v>2</v>
      </c>
      <c r="E503">
        <v>5</v>
      </c>
      <c r="F503">
        <v>6</v>
      </c>
      <c r="G503">
        <v>3</v>
      </c>
      <c r="H503">
        <v>3</v>
      </c>
      <c r="I503">
        <v>90</v>
      </c>
      <c r="J503">
        <v>70</v>
      </c>
      <c r="K503">
        <v>84</v>
      </c>
      <c r="L503">
        <v>62</v>
      </c>
      <c r="M503">
        <v>20</v>
      </c>
    </row>
    <row r="504" spans="1:13" x14ac:dyDescent="0.25">
      <c r="A504" s="1" t="s">
        <v>662</v>
      </c>
      <c r="B504" s="1" t="s">
        <v>355</v>
      </c>
      <c r="C504">
        <v>1</v>
      </c>
      <c r="D504">
        <v>6</v>
      </c>
      <c r="E504">
        <v>4</v>
      </c>
      <c r="F504">
        <v>3</v>
      </c>
      <c r="G504">
        <v>3</v>
      </c>
      <c r="H504">
        <v>6</v>
      </c>
      <c r="I504">
        <v>79</v>
      </c>
      <c r="J504">
        <v>71</v>
      </c>
      <c r="K504">
        <v>89</v>
      </c>
      <c r="L504">
        <v>26</v>
      </c>
      <c r="M504">
        <v>96</v>
      </c>
    </row>
    <row r="505" spans="1:13" x14ac:dyDescent="0.25">
      <c r="A505" s="1" t="s">
        <v>663</v>
      </c>
      <c r="B505" s="1" t="s">
        <v>369</v>
      </c>
      <c r="C505">
        <v>5</v>
      </c>
      <c r="D505">
        <v>5</v>
      </c>
      <c r="E505">
        <v>6</v>
      </c>
      <c r="F505">
        <v>3</v>
      </c>
      <c r="G505">
        <v>4</v>
      </c>
      <c r="H505">
        <v>2</v>
      </c>
      <c r="I505">
        <v>45</v>
      </c>
      <c r="J505">
        <v>46</v>
      </c>
      <c r="K505">
        <v>47</v>
      </c>
      <c r="L505">
        <v>70</v>
      </c>
      <c r="M505">
        <v>56</v>
      </c>
    </row>
    <row r="506" spans="1:13" x14ac:dyDescent="0.25">
      <c r="A506" s="1" t="s">
        <v>235</v>
      </c>
      <c r="B506" s="1" t="s">
        <v>311</v>
      </c>
      <c r="C506">
        <v>6</v>
      </c>
      <c r="D506">
        <v>5</v>
      </c>
      <c r="E506">
        <v>6</v>
      </c>
      <c r="F506">
        <v>6</v>
      </c>
      <c r="G506">
        <v>5</v>
      </c>
      <c r="H506">
        <v>3</v>
      </c>
      <c r="I506">
        <v>100</v>
      </c>
      <c r="J506">
        <v>44</v>
      </c>
      <c r="K506">
        <v>54</v>
      </c>
      <c r="L506">
        <v>75</v>
      </c>
      <c r="M506">
        <v>64</v>
      </c>
    </row>
    <row r="507" spans="1:13" x14ac:dyDescent="0.25">
      <c r="A507" s="1" t="s">
        <v>211</v>
      </c>
      <c r="B507" s="1" t="s">
        <v>78</v>
      </c>
      <c r="C507">
        <v>5</v>
      </c>
      <c r="D507">
        <v>6</v>
      </c>
      <c r="E507">
        <v>5</v>
      </c>
      <c r="F507">
        <v>2</v>
      </c>
      <c r="G507">
        <v>2</v>
      </c>
      <c r="H507">
        <v>2</v>
      </c>
      <c r="I507">
        <v>74</v>
      </c>
      <c r="J507">
        <v>70</v>
      </c>
      <c r="K507">
        <v>43</v>
      </c>
      <c r="L507">
        <v>43</v>
      </c>
      <c r="M507">
        <v>37</v>
      </c>
    </row>
    <row r="508" spans="1:13" x14ac:dyDescent="0.25">
      <c r="A508" s="1" t="s">
        <v>664</v>
      </c>
      <c r="B508" s="1" t="s">
        <v>665</v>
      </c>
      <c r="C508">
        <v>8</v>
      </c>
      <c r="D508">
        <v>3</v>
      </c>
      <c r="E508">
        <v>3</v>
      </c>
      <c r="F508">
        <v>4</v>
      </c>
      <c r="G508">
        <v>5</v>
      </c>
      <c r="H508">
        <v>5</v>
      </c>
      <c r="I508">
        <v>78</v>
      </c>
      <c r="J508">
        <v>45</v>
      </c>
      <c r="K508">
        <v>23</v>
      </c>
      <c r="L508">
        <v>91</v>
      </c>
      <c r="M508">
        <v>58</v>
      </c>
    </row>
    <row r="509" spans="1:13" x14ac:dyDescent="0.25">
      <c r="A509" s="1" t="s">
        <v>666</v>
      </c>
      <c r="B509" s="1" t="s">
        <v>34</v>
      </c>
      <c r="C509">
        <v>4</v>
      </c>
      <c r="D509">
        <v>5</v>
      </c>
      <c r="E509">
        <v>3</v>
      </c>
      <c r="F509">
        <v>6</v>
      </c>
      <c r="G509">
        <v>6</v>
      </c>
      <c r="H509">
        <v>3</v>
      </c>
      <c r="I509">
        <v>23</v>
      </c>
      <c r="J509">
        <v>16</v>
      </c>
      <c r="K509">
        <v>85</v>
      </c>
      <c r="L509">
        <v>82</v>
      </c>
      <c r="M509">
        <v>75</v>
      </c>
    </row>
    <row r="510" spans="1:13" x14ac:dyDescent="0.25">
      <c r="A510" s="1" t="s">
        <v>667</v>
      </c>
      <c r="B510" s="1" t="s">
        <v>203</v>
      </c>
      <c r="C510">
        <v>1</v>
      </c>
      <c r="D510">
        <v>2</v>
      </c>
      <c r="E510">
        <v>5</v>
      </c>
      <c r="F510">
        <v>2</v>
      </c>
      <c r="G510">
        <v>6</v>
      </c>
      <c r="H510">
        <v>6</v>
      </c>
      <c r="I510">
        <v>62</v>
      </c>
      <c r="J510">
        <v>89</v>
      </c>
      <c r="K510">
        <v>20</v>
      </c>
      <c r="L510">
        <v>56</v>
      </c>
      <c r="M510">
        <v>80</v>
      </c>
    </row>
    <row r="511" spans="1:13" x14ac:dyDescent="0.25">
      <c r="A511" s="1" t="s">
        <v>668</v>
      </c>
      <c r="B511" s="1" t="s">
        <v>83</v>
      </c>
      <c r="C511">
        <v>6</v>
      </c>
      <c r="D511">
        <v>6</v>
      </c>
      <c r="E511">
        <v>5</v>
      </c>
      <c r="F511">
        <v>6</v>
      </c>
      <c r="G511">
        <v>2</v>
      </c>
      <c r="H511">
        <v>4</v>
      </c>
      <c r="I511">
        <v>22</v>
      </c>
      <c r="J511">
        <v>29</v>
      </c>
      <c r="K511">
        <v>31</v>
      </c>
      <c r="L511">
        <v>9</v>
      </c>
      <c r="M511">
        <v>56</v>
      </c>
    </row>
    <row r="512" spans="1:13" x14ac:dyDescent="0.25">
      <c r="A512" s="1" t="s">
        <v>669</v>
      </c>
      <c r="B512" s="1" t="s">
        <v>540</v>
      </c>
      <c r="C512">
        <v>8</v>
      </c>
      <c r="D512">
        <v>3</v>
      </c>
      <c r="E512">
        <v>4</v>
      </c>
      <c r="F512">
        <v>5</v>
      </c>
      <c r="G512">
        <v>2</v>
      </c>
      <c r="H512">
        <v>4</v>
      </c>
      <c r="I512">
        <v>30</v>
      </c>
      <c r="J512">
        <v>10</v>
      </c>
      <c r="K512">
        <v>78</v>
      </c>
      <c r="L512">
        <v>57</v>
      </c>
      <c r="M512">
        <v>67</v>
      </c>
    </row>
    <row r="513" spans="1:13" x14ac:dyDescent="0.25">
      <c r="A513" s="1" t="s">
        <v>670</v>
      </c>
      <c r="B513" s="1" t="s">
        <v>302</v>
      </c>
      <c r="C513">
        <v>7</v>
      </c>
      <c r="D513">
        <v>6</v>
      </c>
      <c r="E513">
        <v>4</v>
      </c>
      <c r="F513">
        <v>6</v>
      </c>
      <c r="G513">
        <v>2</v>
      </c>
      <c r="H513">
        <v>2</v>
      </c>
      <c r="I513">
        <v>29</v>
      </c>
      <c r="J513">
        <v>64</v>
      </c>
      <c r="K513">
        <v>39</v>
      </c>
      <c r="L513">
        <v>62</v>
      </c>
      <c r="M513">
        <v>1</v>
      </c>
    </row>
    <row r="514" spans="1:13" x14ac:dyDescent="0.25">
      <c r="A514" s="1" t="s">
        <v>671</v>
      </c>
      <c r="B514" s="1" t="s">
        <v>101</v>
      </c>
      <c r="C514">
        <v>3</v>
      </c>
      <c r="D514">
        <v>2</v>
      </c>
      <c r="E514">
        <v>2</v>
      </c>
      <c r="F514">
        <v>3</v>
      </c>
      <c r="G514">
        <v>5</v>
      </c>
      <c r="H514">
        <v>4</v>
      </c>
      <c r="I514">
        <v>32</v>
      </c>
      <c r="J514">
        <v>80</v>
      </c>
      <c r="K514">
        <v>47</v>
      </c>
      <c r="L514">
        <v>98</v>
      </c>
      <c r="M514">
        <v>30</v>
      </c>
    </row>
    <row r="515" spans="1:13" x14ac:dyDescent="0.25">
      <c r="A515" s="1" t="s">
        <v>269</v>
      </c>
      <c r="B515" s="1" t="s">
        <v>171</v>
      </c>
      <c r="C515">
        <v>3</v>
      </c>
      <c r="D515">
        <v>5</v>
      </c>
      <c r="E515">
        <v>2</v>
      </c>
      <c r="F515">
        <v>3</v>
      </c>
      <c r="G515">
        <v>2</v>
      </c>
      <c r="H515">
        <v>6</v>
      </c>
      <c r="I515">
        <v>81</v>
      </c>
      <c r="J515">
        <v>8</v>
      </c>
      <c r="K515">
        <v>48</v>
      </c>
      <c r="L515">
        <v>7</v>
      </c>
      <c r="M515">
        <v>21</v>
      </c>
    </row>
  </sheetData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F2C3-40DA-4A54-950D-4A084C4CCB74}">
  <dimension ref="A1:U515"/>
  <sheetViews>
    <sheetView tabSelected="1" zoomScale="115" zoomScaleNormal="115" workbookViewId="0">
      <selection activeCell="U28" sqref="U28"/>
    </sheetView>
  </sheetViews>
  <sheetFormatPr defaultRowHeight="15" x14ac:dyDescent="0.25"/>
  <cols>
    <col min="14" max="14" width="18" bestFit="1" customWidth="1"/>
    <col min="15" max="15" width="14" customWidth="1"/>
    <col min="16" max="16" width="14.140625" customWidth="1"/>
    <col min="17" max="17" width="18.7109375" bestFit="1" customWidth="1"/>
    <col min="20" max="20" width="15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674</v>
      </c>
      <c r="O1" t="s">
        <v>675</v>
      </c>
      <c r="P1" t="s">
        <v>678</v>
      </c>
      <c r="Q1" t="s">
        <v>692</v>
      </c>
    </row>
    <row r="2" spans="1:21" x14ac:dyDescent="0.25">
      <c r="A2" s="1" t="s">
        <v>13</v>
      </c>
      <c r="B2" s="1" t="s">
        <v>14</v>
      </c>
      <c r="C2">
        <v>0</v>
      </c>
      <c r="D2">
        <v>4</v>
      </c>
      <c r="E2">
        <v>4</v>
      </c>
      <c r="F2">
        <v>5</v>
      </c>
      <c r="G2">
        <v>6</v>
      </c>
      <c r="H2">
        <v>6</v>
      </c>
      <c r="I2">
        <v>62</v>
      </c>
      <c r="J2">
        <v>13</v>
      </c>
      <c r="K2">
        <v>26</v>
      </c>
      <c r="L2">
        <v>67</v>
      </c>
      <c r="M2">
        <v>62</v>
      </c>
      <c r="N2">
        <f t="shared" ref="N2:N65" si="0">I2/10 + J2/10 + K2/10 + L2/10 + M2/10</f>
        <v>23</v>
      </c>
      <c r="O2" cm="1">
        <f t="array" ref="O2">SUM(_xlfn.XLOOKUP(E2:H2, $U$13:$U$17, $T$13:$T$17))</f>
        <v>34</v>
      </c>
      <c r="P2">
        <f t="shared" ref="P2:P65" si="1">IF(D2=6,C2+2,C2)</f>
        <v>0</v>
      </c>
      <c r="Q2" s="1">
        <f t="shared" ref="Q2:Q65" si="2">IF((O2+P2)&gt;N2, 1, 0)</f>
        <v>1</v>
      </c>
    </row>
    <row r="3" spans="1:21" x14ac:dyDescent="0.25">
      <c r="A3" s="1" t="s">
        <v>15</v>
      </c>
      <c r="B3" s="1" t="s">
        <v>16</v>
      </c>
      <c r="C3">
        <v>7</v>
      </c>
      <c r="D3">
        <v>4</v>
      </c>
      <c r="E3">
        <v>4</v>
      </c>
      <c r="F3">
        <v>2</v>
      </c>
      <c r="G3">
        <v>5</v>
      </c>
      <c r="H3">
        <v>6</v>
      </c>
      <c r="I3">
        <v>90</v>
      </c>
      <c r="J3">
        <v>8</v>
      </c>
      <c r="K3">
        <v>21</v>
      </c>
      <c r="L3">
        <v>52</v>
      </c>
      <c r="M3">
        <v>33</v>
      </c>
      <c r="N3">
        <f t="shared" si="0"/>
        <v>20.400000000000002</v>
      </c>
      <c r="O3" cm="1">
        <f t="array" ref="O3">SUM(_xlfn.XLOOKUP(E3:H3, $U$13:$U$17, $T$13:$T$17))</f>
        <v>24</v>
      </c>
      <c r="P3">
        <f t="shared" si="1"/>
        <v>7</v>
      </c>
      <c r="Q3" s="1">
        <f t="shared" si="2"/>
        <v>1</v>
      </c>
    </row>
    <row r="4" spans="1:21" x14ac:dyDescent="0.25">
      <c r="A4" s="1" t="s">
        <v>17</v>
      </c>
      <c r="B4" s="1" t="s">
        <v>18</v>
      </c>
      <c r="C4">
        <v>7</v>
      </c>
      <c r="D4">
        <v>4</v>
      </c>
      <c r="E4">
        <v>4</v>
      </c>
      <c r="F4">
        <v>6</v>
      </c>
      <c r="G4">
        <v>6</v>
      </c>
      <c r="H4">
        <v>5</v>
      </c>
      <c r="I4">
        <v>96</v>
      </c>
      <c r="J4">
        <v>99</v>
      </c>
      <c r="K4">
        <v>16</v>
      </c>
      <c r="L4">
        <v>85</v>
      </c>
      <c r="M4">
        <v>65</v>
      </c>
      <c r="N4">
        <f t="shared" si="0"/>
        <v>36.1</v>
      </c>
      <c r="O4" cm="1">
        <f t="array" ref="O4">SUM(_xlfn.XLOOKUP(E4:H4, $U$13:$U$17, $T$13:$T$17))</f>
        <v>34</v>
      </c>
      <c r="P4">
        <f t="shared" si="1"/>
        <v>7</v>
      </c>
      <c r="Q4" s="1">
        <f t="shared" si="2"/>
        <v>1</v>
      </c>
    </row>
    <row r="5" spans="1:21" x14ac:dyDescent="0.25">
      <c r="A5" s="1" t="s">
        <v>19</v>
      </c>
      <c r="B5" s="1" t="s">
        <v>20</v>
      </c>
      <c r="C5">
        <v>8</v>
      </c>
      <c r="D5">
        <v>6</v>
      </c>
      <c r="E5">
        <v>4</v>
      </c>
      <c r="F5">
        <v>4</v>
      </c>
      <c r="G5">
        <v>3</v>
      </c>
      <c r="H5">
        <v>5</v>
      </c>
      <c r="I5">
        <v>17</v>
      </c>
      <c r="J5">
        <v>100</v>
      </c>
      <c r="K5">
        <v>100</v>
      </c>
      <c r="L5">
        <v>100</v>
      </c>
      <c r="M5">
        <v>31</v>
      </c>
      <c r="N5">
        <f t="shared" si="0"/>
        <v>34.799999999999997</v>
      </c>
      <c r="O5" cm="1">
        <f t="array" ref="O5">SUM(_xlfn.XLOOKUP(E5:H5, $U$13:$U$17, $T$13:$T$17))</f>
        <v>24</v>
      </c>
      <c r="P5">
        <f t="shared" si="1"/>
        <v>10</v>
      </c>
      <c r="Q5" s="1">
        <f t="shared" si="2"/>
        <v>0</v>
      </c>
    </row>
    <row r="6" spans="1:21" x14ac:dyDescent="0.25">
      <c r="A6" s="1" t="s">
        <v>21</v>
      </c>
      <c r="B6" s="1" t="s">
        <v>18</v>
      </c>
      <c r="C6">
        <v>5</v>
      </c>
      <c r="D6">
        <v>4</v>
      </c>
      <c r="E6">
        <v>2</v>
      </c>
      <c r="F6">
        <v>4</v>
      </c>
      <c r="G6">
        <v>5</v>
      </c>
      <c r="H6">
        <v>4</v>
      </c>
      <c r="I6">
        <v>20</v>
      </c>
      <c r="J6">
        <v>28</v>
      </c>
      <c r="K6">
        <v>58</v>
      </c>
      <c r="L6">
        <v>86</v>
      </c>
      <c r="M6">
        <v>48</v>
      </c>
      <c r="N6">
        <f t="shared" si="0"/>
        <v>24</v>
      </c>
      <c r="O6" cm="1">
        <f t="array" ref="O6">SUM(_xlfn.XLOOKUP(E6:H6, $U$13:$U$17, $T$13:$T$17))</f>
        <v>20</v>
      </c>
      <c r="P6">
        <f t="shared" si="1"/>
        <v>5</v>
      </c>
      <c r="Q6" s="1">
        <f t="shared" si="2"/>
        <v>1</v>
      </c>
    </row>
    <row r="7" spans="1:21" x14ac:dyDescent="0.25">
      <c r="A7" s="1" t="s">
        <v>22</v>
      </c>
      <c r="B7" s="1" t="s">
        <v>23</v>
      </c>
      <c r="C7">
        <v>7</v>
      </c>
      <c r="D7">
        <v>3</v>
      </c>
      <c r="E7">
        <v>2</v>
      </c>
      <c r="F7">
        <v>2</v>
      </c>
      <c r="G7">
        <v>2</v>
      </c>
      <c r="H7">
        <v>3</v>
      </c>
      <c r="I7">
        <v>77</v>
      </c>
      <c r="J7">
        <v>10</v>
      </c>
      <c r="K7">
        <v>11</v>
      </c>
      <c r="L7">
        <v>72</v>
      </c>
      <c r="M7">
        <v>78</v>
      </c>
      <c r="N7">
        <f t="shared" si="0"/>
        <v>24.8</v>
      </c>
      <c r="O7" cm="1">
        <f t="array" ref="O7">SUM(_xlfn.XLOOKUP(E7:H7, $U$13:$U$17, $T$13:$T$17))</f>
        <v>4</v>
      </c>
      <c r="P7">
        <f t="shared" si="1"/>
        <v>7</v>
      </c>
      <c r="Q7" s="1">
        <f t="shared" si="2"/>
        <v>0</v>
      </c>
    </row>
    <row r="8" spans="1:21" x14ac:dyDescent="0.25">
      <c r="A8" s="1" t="s">
        <v>24</v>
      </c>
      <c r="B8" s="1" t="s">
        <v>23</v>
      </c>
      <c r="C8">
        <v>8</v>
      </c>
      <c r="D8">
        <v>6</v>
      </c>
      <c r="E8">
        <v>6</v>
      </c>
      <c r="F8">
        <v>5</v>
      </c>
      <c r="G8">
        <v>5</v>
      </c>
      <c r="H8">
        <v>2</v>
      </c>
      <c r="I8">
        <v>75</v>
      </c>
      <c r="J8">
        <v>25</v>
      </c>
      <c r="K8">
        <v>5</v>
      </c>
      <c r="L8">
        <v>3</v>
      </c>
      <c r="M8">
        <v>58</v>
      </c>
      <c r="N8">
        <f t="shared" si="0"/>
        <v>16.600000000000001</v>
      </c>
      <c r="O8" cm="1">
        <f t="array" ref="O8">SUM(_xlfn.XLOOKUP(E8:H8, $U$13:$U$17, $T$13:$T$17))</f>
        <v>26</v>
      </c>
      <c r="P8">
        <f t="shared" si="1"/>
        <v>10</v>
      </c>
      <c r="Q8" s="1">
        <f t="shared" si="2"/>
        <v>1</v>
      </c>
    </row>
    <row r="9" spans="1:21" x14ac:dyDescent="0.25">
      <c r="A9" s="1" t="s">
        <v>25</v>
      </c>
      <c r="B9" s="1" t="s">
        <v>26</v>
      </c>
      <c r="C9">
        <v>6</v>
      </c>
      <c r="D9">
        <v>6</v>
      </c>
      <c r="E9">
        <v>2</v>
      </c>
      <c r="F9">
        <v>5</v>
      </c>
      <c r="G9">
        <v>5</v>
      </c>
      <c r="H9">
        <v>3</v>
      </c>
      <c r="I9">
        <v>12</v>
      </c>
      <c r="J9">
        <v>17</v>
      </c>
      <c r="K9">
        <v>14</v>
      </c>
      <c r="L9">
        <v>4</v>
      </c>
      <c r="M9">
        <v>3</v>
      </c>
      <c r="N9">
        <f t="shared" si="0"/>
        <v>5</v>
      </c>
      <c r="O9" cm="1">
        <f t="array" ref="O9">SUM(_xlfn.XLOOKUP(E9:H9, $U$13:$U$17, $T$13:$T$17))</f>
        <v>20</v>
      </c>
      <c r="P9">
        <f t="shared" si="1"/>
        <v>8</v>
      </c>
      <c r="Q9" s="1">
        <f t="shared" si="2"/>
        <v>1</v>
      </c>
    </row>
    <row r="10" spans="1:21" x14ac:dyDescent="0.25">
      <c r="A10" s="1" t="s">
        <v>27</v>
      </c>
      <c r="B10" s="1" t="s">
        <v>28</v>
      </c>
      <c r="C10">
        <v>1</v>
      </c>
      <c r="D10">
        <v>6</v>
      </c>
      <c r="E10">
        <v>6</v>
      </c>
      <c r="F10">
        <v>2</v>
      </c>
      <c r="G10">
        <v>3</v>
      </c>
      <c r="H10">
        <v>6</v>
      </c>
      <c r="I10">
        <v>1</v>
      </c>
      <c r="J10">
        <v>3</v>
      </c>
      <c r="K10">
        <v>69</v>
      </c>
      <c r="L10">
        <v>89</v>
      </c>
      <c r="M10">
        <v>10</v>
      </c>
      <c r="N10">
        <f t="shared" si="0"/>
        <v>17.200000000000003</v>
      </c>
      <c r="O10" cm="1">
        <f t="array" ref="O10">SUM(_xlfn.XLOOKUP(E10:H10, $U$13:$U$17, $T$13:$T$17))</f>
        <v>24</v>
      </c>
      <c r="P10">
        <f t="shared" si="1"/>
        <v>3</v>
      </c>
      <c r="Q10" s="1">
        <f t="shared" si="2"/>
        <v>1</v>
      </c>
    </row>
    <row r="11" spans="1:21" x14ac:dyDescent="0.25">
      <c r="A11" s="1" t="s">
        <v>29</v>
      </c>
      <c r="B11" s="1" t="s">
        <v>30</v>
      </c>
      <c r="C11">
        <v>0</v>
      </c>
      <c r="D11">
        <v>5</v>
      </c>
      <c r="E11">
        <v>3</v>
      </c>
      <c r="F11">
        <v>6</v>
      </c>
      <c r="G11">
        <v>6</v>
      </c>
      <c r="H11">
        <v>4</v>
      </c>
      <c r="I11">
        <v>28</v>
      </c>
      <c r="J11">
        <v>53</v>
      </c>
      <c r="K11">
        <v>38</v>
      </c>
      <c r="L11">
        <v>63</v>
      </c>
      <c r="M11">
        <v>70</v>
      </c>
      <c r="N11">
        <f t="shared" si="0"/>
        <v>25.2</v>
      </c>
      <c r="O11" cm="1">
        <f t="array" ref="O11">SUM(_xlfn.XLOOKUP(E11:H11, $U$13:$U$17, $T$13:$T$17))</f>
        <v>30</v>
      </c>
      <c r="P11">
        <f t="shared" si="1"/>
        <v>0</v>
      </c>
      <c r="Q11" s="1">
        <f t="shared" si="2"/>
        <v>1</v>
      </c>
    </row>
    <row r="12" spans="1:21" x14ac:dyDescent="0.25">
      <c r="A12" s="1" t="s">
        <v>31</v>
      </c>
      <c r="B12" s="1" t="s">
        <v>32</v>
      </c>
      <c r="C12">
        <v>4</v>
      </c>
      <c r="D12">
        <v>3</v>
      </c>
      <c r="E12">
        <v>3</v>
      </c>
      <c r="F12">
        <v>6</v>
      </c>
      <c r="G12">
        <v>6</v>
      </c>
      <c r="H12">
        <v>2</v>
      </c>
      <c r="I12">
        <v>77</v>
      </c>
      <c r="J12">
        <v>8</v>
      </c>
      <c r="K12">
        <v>71</v>
      </c>
      <c r="L12">
        <v>88</v>
      </c>
      <c r="M12">
        <v>41</v>
      </c>
      <c r="N12">
        <f t="shared" si="0"/>
        <v>28.5</v>
      </c>
      <c r="O12" cm="1">
        <f t="array" ref="O12">SUM(_xlfn.XLOOKUP(E12:H12, $U$13:$U$17, $T$13:$T$17))</f>
        <v>24</v>
      </c>
      <c r="P12">
        <f t="shared" si="1"/>
        <v>4</v>
      </c>
      <c r="Q12" s="1">
        <f t="shared" si="2"/>
        <v>0</v>
      </c>
      <c r="T12" t="s">
        <v>676</v>
      </c>
      <c r="U12" t="s">
        <v>677</v>
      </c>
    </row>
    <row r="13" spans="1:21" x14ac:dyDescent="0.25">
      <c r="A13" s="1" t="s">
        <v>33</v>
      </c>
      <c r="B13" s="1" t="s">
        <v>34</v>
      </c>
      <c r="C13">
        <v>4</v>
      </c>
      <c r="D13">
        <v>6</v>
      </c>
      <c r="E13">
        <v>5</v>
      </c>
      <c r="F13">
        <v>6</v>
      </c>
      <c r="G13">
        <v>3</v>
      </c>
      <c r="H13">
        <v>6</v>
      </c>
      <c r="I13">
        <v>83</v>
      </c>
      <c r="J13">
        <v>27</v>
      </c>
      <c r="K13">
        <v>79</v>
      </c>
      <c r="L13">
        <v>20</v>
      </c>
      <c r="M13">
        <v>43</v>
      </c>
      <c r="N13">
        <f t="shared" si="0"/>
        <v>25.2</v>
      </c>
      <c r="O13" cm="1">
        <f t="array" ref="O13">SUM(_xlfn.XLOOKUP(E13:H13, $U$13:$U$17, $T$13:$T$17))</f>
        <v>32</v>
      </c>
      <c r="P13">
        <f t="shared" si="1"/>
        <v>6</v>
      </c>
      <c r="Q13" s="1">
        <f t="shared" si="2"/>
        <v>1</v>
      </c>
      <c r="T13">
        <v>0</v>
      </c>
      <c r="U13">
        <v>2</v>
      </c>
    </row>
    <row r="14" spans="1:21" x14ac:dyDescent="0.25">
      <c r="A14" s="1" t="s">
        <v>35</v>
      </c>
      <c r="B14" s="1" t="s">
        <v>36</v>
      </c>
      <c r="C14">
        <v>1</v>
      </c>
      <c r="D14">
        <v>3</v>
      </c>
      <c r="E14">
        <v>6</v>
      </c>
      <c r="F14">
        <v>3</v>
      </c>
      <c r="G14">
        <v>3</v>
      </c>
      <c r="H14">
        <v>2</v>
      </c>
      <c r="I14">
        <v>16</v>
      </c>
      <c r="J14">
        <v>43</v>
      </c>
      <c r="K14">
        <v>92</v>
      </c>
      <c r="L14">
        <v>54</v>
      </c>
      <c r="M14">
        <v>27</v>
      </c>
      <c r="N14">
        <f t="shared" si="0"/>
        <v>23.2</v>
      </c>
      <c r="O14" cm="1">
        <f t="array" ref="O14">SUM(_xlfn.XLOOKUP(E14:H14, $U$13:$U$17, $T$13:$T$17))</f>
        <v>18</v>
      </c>
      <c r="P14">
        <f t="shared" si="1"/>
        <v>1</v>
      </c>
      <c r="Q14" s="1">
        <f t="shared" si="2"/>
        <v>0</v>
      </c>
      <c r="T14">
        <v>4</v>
      </c>
      <c r="U14">
        <v>3</v>
      </c>
    </row>
    <row r="15" spans="1:21" x14ac:dyDescent="0.25">
      <c r="A15" s="1" t="s">
        <v>37</v>
      </c>
      <c r="B15" s="1" t="s">
        <v>38</v>
      </c>
      <c r="C15">
        <v>6</v>
      </c>
      <c r="D15">
        <v>6</v>
      </c>
      <c r="E15">
        <v>5</v>
      </c>
      <c r="F15">
        <v>3</v>
      </c>
      <c r="G15">
        <v>2</v>
      </c>
      <c r="H15">
        <v>6</v>
      </c>
      <c r="I15">
        <v>11</v>
      </c>
      <c r="J15">
        <v>36</v>
      </c>
      <c r="K15">
        <v>4</v>
      </c>
      <c r="L15">
        <v>41</v>
      </c>
      <c r="M15">
        <v>62</v>
      </c>
      <c r="N15">
        <f t="shared" si="0"/>
        <v>15.399999999999999</v>
      </c>
      <c r="O15" cm="1">
        <f t="array" ref="O15">SUM(_xlfn.XLOOKUP(E15:H15, $U$13:$U$17, $T$13:$T$17))</f>
        <v>22</v>
      </c>
      <c r="P15">
        <f t="shared" si="1"/>
        <v>8</v>
      </c>
      <c r="Q15" s="1">
        <f t="shared" si="2"/>
        <v>1</v>
      </c>
      <c r="T15">
        <v>6</v>
      </c>
      <c r="U15">
        <v>4</v>
      </c>
    </row>
    <row r="16" spans="1:21" x14ac:dyDescent="0.25">
      <c r="A16" s="1" t="s">
        <v>39</v>
      </c>
      <c r="B16" s="1" t="s">
        <v>38</v>
      </c>
      <c r="C16">
        <v>5</v>
      </c>
      <c r="D16">
        <v>2</v>
      </c>
      <c r="E16">
        <v>4</v>
      </c>
      <c r="F16">
        <v>2</v>
      </c>
      <c r="G16">
        <v>3</v>
      </c>
      <c r="H16">
        <v>5</v>
      </c>
      <c r="I16">
        <v>80</v>
      </c>
      <c r="J16">
        <v>75</v>
      </c>
      <c r="K16">
        <v>60</v>
      </c>
      <c r="L16">
        <v>54</v>
      </c>
      <c r="M16">
        <v>69</v>
      </c>
      <c r="N16">
        <f t="shared" si="0"/>
        <v>33.799999999999997</v>
      </c>
      <c r="O16" cm="1">
        <f t="array" ref="O16">SUM(_xlfn.XLOOKUP(E16:H16, $U$13:$U$17, $T$13:$T$17))</f>
        <v>18</v>
      </c>
      <c r="P16">
        <f t="shared" si="1"/>
        <v>5</v>
      </c>
      <c r="Q16" s="1">
        <f t="shared" si="2"/>
        <v>0</v>
      </c>
      <c r="T16">
        <v>8</v>
      </c>
      <c r="U16">
        <v>5</v>
      </c>
    </row>
    <row r="17" spans="1:21" x14ac:dyDescent="0.25">
      <c r="A17" s="1" t="s">
        <v>40</v>
      </c>
      <c r="B17" s="1" t="s">
        <v>41</v>
      </c>
      <c r="C17">
        <v>8</v>
      </c>
      <c r="D17">
        <v>6</v>
      </c>
      <c r="E17">
        <v>4</v>
      </c>
      <c r="F17">
        <v>3</v>
      </c>
      <c r="G17">
        <v>4</v>
      </c>
      <c r="H17">
        <v>5</v>
      </c>
      <c r="I17">
        <v>22</v>
      </c>
      <c r="J17">
        <v>46</v>
      </c>
      <c r="K17">
        <v>36</v>
      </c>
      <c r="L17">
        <v>35</v>
      </c>
      <c r="M17">
        <v>91</v>
      </c>
      <c r="N17">
        <f t="shared" si="0"/>
        <v>23</v>
      </c>
      <c r="O17" cm="1">
        <f t="array" ref="O17">SUM(_xlfn.XLOOKUP(E17:H17, $U$13:$U$17, $T$13:$T$17))</f>
        <v>24</v>
      </c>
      <c r="P17">
        <f t="shared" si="1"/>
        <v>10</v>
      </c>
      <c r="Q17" s="1">
        <f t="shared" si="2"/>
        <v>1</v>
      </c>
      <c r="T17">
        <v>10</v>
      </c>
      <c r="U17">
        <v>6</v>
      </c>
    </row>
    <row r="18" spans="1:21" x14ac:dyDescent="0.25">
      <c r="A18" s="1" t="s">
        <v>42</v>
      </c>
      <c r="B18" s="1" t="s">
        <v>43</v>
      </c>
      <c r="C18">
        <v>2</v>
      </c>
      <c r="D18">
        <v>5</v>
      </c>
      <c r="E18">
        <v>3</v>
      </c>
      <c r="F18">
        <v>5</v>
      </c>
      <c r="G18">
        <v>6</v>
      </c>
      <c r="H18">
        <v>3</v>
      </c>
      <c r="I18">
        <v>47</v>
      </c>
      <c r="J18">
        <v>30</v>
      </c>
      <c r="K18">
        <v>2</v>
      </c>
      <c r="L18">
        <v>45</v>
      </c>
      <c r="M18">
        <v>76</v>
      </c>
      <c r="N18">
        <f t="shared" si="0"/>
        <v>20</v>
      </c>
      <c r="O18" cm="1">
        <f t="array" ref="O18">SUM(_xlfn.XLOOKUP(E18:H18, $U$13:$U$17, $T$13:$T$17))</f>
        <v>26</v>
      </c>
      <c r="P18">
        <f t="shared" si="1"/>
        <v>2</v>
      </c>
      <c r="Q18" s="1">
        <f t="shared" si="2"/>
        <v>1</v>
      </c>
    </row>
    <row r="19" spans="1:21" x14ac:dyDescent="0.25">
      <c r="A19" s="1" t="s">
        <v>44</v>
      </c>
      <c r="B19" s="1" t="s">
        <v>45</v>
      </c>
      <c r="C19">
        <v>8</v>
      </c>
      <c r="D19">
        <v>4</v>
      </c>
      <c r="E19">
        <v>3</v>
      </c>
      <c r="F19">
        <v>4</v>
      </c>
      <c r="G19">
        <v>6</v>
      </c>
      <c r="H19">
        <v>2</v>
      </c>
      <c r="I19">
        <v>23</v>
      </c>
      <c r="J19">
        <v>49</v>
      </c>
      <c r="K19">
        <v>16</v>
      </c>
      <c r="L19">
        <v>3</v>
      </c>
      <c r="M19">
        <v>81</v>
      </c>
      <c r="N19">
        <f t="shared" si="0"/>
        <v>17.200000000000003</v>
      </c>
      <c r="O19" cm="1">
        <f t="array" ref="O19">SUM(_xlfn.XLOOKUP(E19:H19, $U$13:$U$17, $T$13:$T$17))</f>
        <v>20</v>
      </c>
      <c r="P19">
        <f t="shared" si="1"/>
        <v>8</v>
      </c>
      <c r="Q19" s="1">
        <f t="shared" si="2"/>
        <v>1</v>
      </c>
    </row>
    <row r="20" spans="1:21" x14ac:dyDescent="0.25">
      <c r="A20" s="1" t="s">
        <v>46</v>
      </c>
      <c r="B20" s="1" t="s">
        <v>16</v>
      </c>
      <c r="C20">
        <v>1</v>
      </c>
      <c r="D20">
        <v>6</v>
      </c>
      <c r="E20">
        <v>6</v>
      </c>
      <c r="F20">
        <v>6</v>
      </c>
      <c r="G20">
        <v>3</v>
      </c>
      <c r="H20">
        <v>2</v>
      </c>
      <c r="I20">
        <v>14</v>
      </c>
      <c r="J20">
        <v>20</v>
      </c>
      <c r="K20">
        <v>14</v>
      </c>
      <c r="L20">
        <v>64</v>
      </c>
      <c r="M20">
        <v>55</v>
      </c>
      <c r="N20">
        <f t="shared" si="0"/>
        <v>16.7</v>
      </c>
      <c r="O20" cm="1">
        <f t="array" ref="O20">SUM(_xlfn.XLOOKUP(E20:H20, $U$13:$U$17, $T$13:$T$17))</f>
        <v>24</v>
      </c>
      <c r="P20">
        <f t="shared" si="1"/>
        <v>3</v>
      </c>
      <c r="Q20" s="1">
        <f t="shared" si="2"/>
        <v>1</v>
      </c>
    </row>
    <row r="21" spans="1:21" x14ac:dyDescent="0.25">
      <c r="A21" s="1" t="s">
        <v>47</v>
      </c>
      <c r="B21" s="1" t="s">
        <v>48</v>
      </c>
      <c r="C21">
        <v>5</v>
      </c>
      <c r="D21">
        <v>4</v>
      </c>
      <c r="E21">
        <v>3</v>
      </c>
      <c r="F21">
        <v>3</v>
      </c>
      <c r="G21">
        <v>3</v>
      </c>
      <c r="H21">
        <v>6</v>
      </c>
      <c r="I21">
        <v>98</v>
      </c>
      <c r="J21">
        <v>48</v>
      </c>
      <c r="K21">
        <v>6</v>
      </c>
      <c r="L21">
        <v>70</v>
      </c>
      <c r="M21">
        <v>6</v>
      </c>
      <c r="N21">
        <f t="shared" si="0"/>
        <v>22.800000000000004</v>
      </c>
      <c r="O21" cm="1">
        <f t="array" ref="O21">SUM(_xlfn.XLOOKUP(E21:H21, $U$13:$U$17, $T$13:$T$17))</f>
        <v>22</v>
      </c>
      <c r="P21">
        <f t="shared" si="1"/>
        <v>5</v>
      </c>
      <c r="Q21" s="1">
        <f t="shared" si="2"/>
        <v>1</v>
      </c>
      <c r="T21" t="s">
        <v>693</v>
      </c>
      <c r="U21" s="1">
        <f>COUNTIF(Q2:Q515, 1)</f>
        <v>300</v>
      </c>
    </row>
    <row r="22" spans="1:21" x14ac:dyDescent="0.25">
      <c r="A22" s="1" t="s">
        <v>49</v>
      </c>
      <c r="B22" s="1" t="s">
        <v>38</v>
      </c>
      <c r="C22">
        <v>3</v>
      </c>
      <c r="D22">
        <v>3</v>
      </c>
      <c r="E22">
        <v>2</v>
      </c>
      <c r="F22">
        <v>3</v>
      </c>
      <c r="G22">
        <v>3</v>
      </c>
      <c r="H22">
        <v>2</v>
      </c>
      <c r="I22">
        <v>38</v>
      </c>
      <c r="J22">
        <v>71</v>
      </c>
      <c r="K22">
        <v>35</v>
      </c>
      <c r="L22">
        <v>95</v>
      </c>
      <c r="M22">
        <v>84</v>
      </c>
      <c r="N22">
        <f t="shared" si="0"/>
        <v>32.299999999999997</v>
      </c>
      <c r="O22" cm="1">
        <f t="array" ref="O22">SUM(_xlfn.XLOOKUP(E22:H22, $U$13:$U$17, $T$13:$T$17))</f>
        <v>8</v>
      </c>
      <c r="P22">
        <f t="shared" si="1"/>
        <v>3</v>
      </c>
      <c r="Q22" s="1">
        <f t="shared" si="2"/>
        <v>0</v>
      </c>
    </row>
    <row r="23" spans="1:21" x14ac:dyDescent="0.25">
      <c r="A23" s="1" t="s">
        <v>50</v>
      </c>
      <c r="B23" s="1" t="s">
        <v>51</v>
      </c>
      <c r="C23">
        <v>7</v>
      </c>
      <c r="D23">
        <v>4</v>
      </c>
      <c r="E23">
        <v>6</v>
      </c>
      <c r="F23">
        <v>4</v>
      </c>
      <c r="G23">
        <v>6</v>
      </c>
      <c r="H23">
        <v>5</v>
      </c>
      <c r="I23">
        <v>95</v>
      </c>
      <c r="J23">
        <v>100</v>
      </c>
      <c r="K23">
        <v>100</v>
      </c>
      <c r="L23">
        <v>40</v>
      </c>
      <c r="M23">
        <v>100</v>
      </c>
      <c r="N23">
        <f t="shared" si="0"/>
        <v>43.5</v>
      </c>
      <c r="O23" cm="1">
        <f t="array" ref="O23">SUM(_xlfn.XLOOKUP(E23:H23, $U$13:$U$17, $T$13:$T$17))</f>
        <v>34</v>
      </c>
      <c r="P23">
        <f t="shared" si="1"/>
        <v>7</v>
      </c>
      <c r="Q23" s="1">
        <f t="shared" si="2"/>
        <v>0</v>
      </c>
    </row>
    <row r="24" spans="1:21" x14ac:dyDescent="0.25">
      <c r="A24" s="1" t="s">
        <v>52</v>
      </c>
      <c r="B24" s="1" t="s">
        <v>53</v>
      </c>
      <c r="C24">
        <v>7</v>
      </c>
      <c r="D24">
        <v>2</v>
      </c>
      <c r="E24">
        <v>4</v>
      </c>
      <c r="F24">
        <v>5</v>
      </c>
      <c r="G24">
        <v>3</v>
      </c>
      <c r="H24">
        <v>4</v>
      </c>
      <c r="I24">
        <v>59</v>
      </c>
      <c r="J24">
        <v>14</v>
      </c>
      <c r="K24">
        <v>99</v>
      </c>
      <c r="L24">
        <v>4</v>
      </c>
      <c r="M24">
        <v>3</v>
      </c>
      <c r="N24">
        <f t="shared" si="0"/>
        <v>17.900000000000002</v>
      </c>
      <c r="O24" cm="1">
        <f t="array" ref="O24">SUM(_xlfn.XLOOKUP(E24:H24, $U$13:$U$17, $T$13:$T$17))</f>
        <v>24</v>
      </c>
      <c r="P24">
        <f t="shared" si="1"/>
        <v>7</v>
      </c>
      <c r="Q24" s="1">
        <f t="shared" si="2"/>
        <v>1</v>
      </c>
    </row>
    <row r="25" spans="1:21" x14ac:dyDescent="0.25">
      <c r="A25" s="1" t="s">
        <v>54</v>
      </c>
      <c r="B25" s="1" t="s">
        <v>55</v>
      </c>
      <c r="C25">
        <v>3</v>
      </c>
      <c r="D25">
        <v>3</v>
      </c>
      <c r="E25">
        <v>5</v>
      </c>
      <c r="F25">
        <v>5</v>
      </c>
      <c r="G25">
        <v>2</v>
      </c>
      <c r="H25">
        <v>6</v>
      </c>
      <c r="I25">
        <v>26</v>
      </c>
      <c r="J25">
        <v>14</v>
      </c>
      <c r="K25">
        <v>18</v>
      </c>
      <c r="L25">
        <v>96</v>
      </c>
      <c r="M25">
        <v>41</v>
      </c>
      <c r="N25">
        <f t="shared" si="0"/>
        <v>19.5</v>
      </c>
      <c r="O25" cm="1">
        <f t="array" ref="O25">SUM(_xlfn.XLOOKUP(E25:H25, $U$13:$U$17, $T$13:$T$17))</f>
        <v>26</v>
      </c>
      <c r="P25">
        <f t="shared" si="1"/>
        <v>3</v>
      </c>
      <c r="Q25" s="1">
        <f t="shared" si="2"/>
        <v>1</v>
      </c>
    </row>
    <row r="26" spans="1:21" x14ac:dyDescent="0.25">
      <c r="A26" s="1" t="s">
        <v>56</v>
      </c>
      <c r="B26" s="1" t="s">
        <v>38</v>
      </c>
      <c r="C26">
        <v>8</v>
      </c>
      <c r="D26">
        <v>6</v>
      </c>
      <c r="E26">
        <v>3</v>
      </c>
      <c r="F26">
        <v>4</v>
      </c>
      <c r="G26">
        <v>2</v>
      </c>
      <c r="H26">
        <v>4</v>
      </c>
      <c r="I26">
        <v>8</v>
      </c>
      <c r="J26">
        <v>78</v>
      </c>
      <c r="K26">
        <v>64</v>
      </c>
      <c r="L26">
        <v>10</v>
      </c>
      <c r="M26">
        <v>55</v>
      </c>
      <c r="N26">
        <f t="shared" si="0"/>
        <v>21.5</v>
      </c>
      <c r="O26" cm="1">
        <f t="array" ref="O26">SUM(_xlfn.XLOOKUP(E26:H26, $U$13:$U$17, $T$13:$T$17))</f>
        <v>16</v>
      </c>
      <c r="P26">
        <f t="shared" si="1"/>
        <v>10</v>
      </c>
      <c r="Q26" s="1">
        <f t="shared" si="2"/>
        <v>1</v>
      </c>
    </row>
    <row r="27" spans="1:21" x14ac:dyDescent="0.25">
      <c r="A27" s="1" t="s">
        <v>57</v>
      </c>
      <c r="B27" s="1" t="s">
        <v>58</v>
      </c>
      <c r="C27">
        <v>3</v>
      </c>
      <c r="D27">
        <v>5</v>
      </c>
      <c r="E27">
        <v>2</v>
      </c>
      <c r="F27">
        <v>4</v>
      </c>
      <c r="G27">
        <v>3</v>
      </c>
      <c r="H27">
        <v>6</v>
      </c>
      <c r="I27">
        <v>41</v>
      </c>
      <c r="J27">
        <v>37</v>
      </c>
      <c r="K27">
        <v>5</v>
      </c>
      <c r="L27">
        <v>34</v>
      </c>
      <c r="M27">
        <v>93</v>
      </c>
      <c r="N27">
        <f t="shared" si="0"/>
        <v>21</v>
      </c>
      <c r="O27" cm="1">
        <f t="array" ref="O27">SUM(_xlfn.XLOOKUP(E27:H27, $U$13:$U$17, $T$13:$T$17))</f>
        <v>20</v>
      </c>
      <c r="P27">
        <f t="shared" si="1"/>
        <v>3</v>
      </c>
      <c r="Q27" s="1">
        <f t="shared" si="2"/>
        <v>1</v>
      </c>
    </row>
    <row r="28" spans="1:21" x14ac:dyDescent="0.25">
      <c r="A28" s="1" t="s">
        <v>59</v>
      </c>
      <c r="B28" s="1" t="s">
        <v>16</v>
      </c>
      <c r="C28">
        <v>4</v>
      </c>
      <c r="D28">
        <v>6</v>
      </c>
      <c r="E28">
        <v>4</v>
      </c>
      <c r="F28">
        <v>3</v>
      </c>
      <c r="G28">
        <v>2</v>
      </c>
      <c r="H28">
        <v>3</v>
      </c>
      <c r="I28">
        <v>60</v>
      </c>
      <c r="J28">
        <v>7</v>
      </c>
      <c r="K28">
        <v>97</v>
      </c>
      <c r="L28">
        <v>80</v>
      </c>
      <c r="M28">
        <v>43</v>
      </c>
      <c r="N28">
        <f t="shared" si="0"/>
        <v>28.7</v>
      </c>
      <c r="O28" cm="1">
        <f t="array" ref="O28">SUM(_xlfn.XLOOKUP(E28:H28, $U$13:$U$17, $T$13:$T$17))</f>
        <v>14</v>
      </c>
      <c r="P28">
        <f t="shared" si="1"/>
        <v>6</v>
      </c>
      <c r="Q28" s="1">
        <f t="shared" si="2"/>
        <v>0</v>
      </c>
    </row>
    <row r="29" spans="1:21" x14ac:dyDescent="0.25">
      <c r="A29" s="1" t="s">
        <v>60</v>
      </c>
      <c r="B29" s="1" t="s">
        <v>61</v>
      </c>
      <c r="C29">
        <v>1</v>
      </c>
      <c r="D29">
        <v>4</v>
      </c>
      <c r="E29">
        <v>5</v>
      </c>
      <c r="F29">
        <v>4</v>
      </c>
      <c r="G29">
        <v>2</v>
      </c>
      <c r="H29">
        <v>5</v>
      </c>
      <c r="I29">
        <v>53</v>
      </c>
      <c r="J29">
        <v>18</v>
      </c>
      <c r="K29">
        <v>94</v>
      </c>
      <c r="L29">
        <v>99</v>
      </c>
      <c r="M29">
        <v>76</v>
      </c>
      <c r="N29">
        <f t="shared" si="0"/>
        <v>34</v>
      </c>
      <c r="O29" cm="1">
        <f t="array" ref="O29">SUM(_xlfn.XLOOKUP(E29:H29, $U$13:$U$17, $T$13:$T$17))</f>
        <v>22</v>
      </c>
      <c r="P29">
        <f t="shared" si="1"/>
        <v>1</v>
      </c>
      <c r="Q29" s="1">
        <f t="shared" si="2"/>
        <v>0</v>
      </c>
    </row>
    <row r="30" spans="1:21" x14ac:dyDescent="0.25">
      <c r="A30" s="1" t="s">
        <v>62</v>
      </c>
      <c r="B30" s="1" t="s">
        <v>38</v>
      </c>
      <c r="C30">
        <v>5</v>
      </c>
      <c r="D30">
        <v>3</v>
      </c>
      <c r="E30">
        <v>3</v>
      </c>
      <c r="F30">
        <v>4</v>
      </c>
      <c r="G30">
        <v>6</v>
      </c>
      <c r="H30">
        <v>6</v>
      </c>
      <c r="I30">
        <v>84</v>
      </c>
      <c r="J30">
        <v>87</v>
      </c>
      <c r="K30">
        <v>96</v>
      </c>
      <c r="L30">
        <v>8</v>
      </c>
      <c r="M30">
        <v>17</v>
      </c>
      <c r="N30">
        <f t="shared" si="0"/>
        <v>29.200000000000003</v>
      </c>
      <c r="O30" cm="1">
        <f t="array" ref="O30">SUM(_xlfn.XLOOKUP(E30:H30, $U$13:$U$17, $T$13:$T$17))</f>
        <v>30</v>
      </c>
      <c r="P30">
        <f t="shared" si="1"/>
        <v>5</v>
      </c>
      <c r="Q30" s="1">
        <f t="shared" si="2"/>
        <v>1</v>
      </c>
    </row>
    <row r="31" spans="1:21" x14ac:dyDescent="0.25">
      <c r="A31" s="1" t="s">
        <v>63</v>
      </c>
      <c r="B31" s="1" t="s">
        <v>64</v>
      </c>
      <c r="C31">
        <v>2</v>
      </c>
      <c r="D31">
        <v>3</v>
      </c>
      <c r="E31">
        <v>5</v>
      </c>
      <c r="F31">
        <v>2</v>
      </c>
      <c r="G31">
        <v>2</v>
      </c>
      <c r="H31">
        <v>5</v>
      </c>
      <c r="I31">
        <v>6</v>
      </c>
      <c r="J31">
        <v>43</v>
      </c>
      <c r="K31">
        <v>53</v>
      </c>
      <c r="L31">
        <v>71</v>
      </c>
      <c r="M31">
        <v>3</v>
      </c>
      <c r="N31">
        <f t="shared" si="0"/>
        <v>17.599999999999998</v>
      </c>
      <c r="O31" cm="1">
        <f t="array" ref="O31">SUM(_xlfn.XLOOKUP(E31:H31, $U$13:$U$17, $T$13:$T$17))</f>
        <v>16</v>
      </c>
      <c r="P31">
        <f t="shared" si="1"/>
        <v>2</v>
      </c>
      <c r="Q31" s="1">
        <f t="shared" si="2"/>
        <v>1</v>
      </c>
    </row>
    <row r="32" spans="1:21" x14ac:dyDescent="0.25">
      <c r="A32" s="1" t="s">
        <v>65</v>
      </c>
      <c r="B32" s="1" t="s">
        <v>66</v>
      </c>
      <c r="C32">
        <v>0</v>
      </c>
      <c r="D32">
        <v>2</v>
      </c>
      <c r="E32">
        <v>6</v>
      </c>
      <c r="F32">
        <v>5</v>
      </c>
      <c r="G32">
        <v>6</v>
      </c>
      <c r="H32">
        <v>3</v>
      </c>
      <c r="I32">
        <v>89</v>
      </c>
      <c r="J32">
        <v>40</v>
      </c>
      <c r="K32">
        <v>28</v>
      </c>
      <c r="L32">
        <v>32</v>
      </c>
      <c r="M32">
        <v>47</v>
      </c>
      <c r="N32">
        <f t="shared" si="0"/>
        <v>23.599999999999998</v>
      </c>
      <c r="O32" cm="1">
        <f t="array" ref="O32">SUM(_xlfn.XLOOKUP(E32:H32, $U$13:$U$17, $T$13:$T$17))</f>
        <v>32</v>
      </c>
      <c r="P32">
        <f t="shared" si="1"/>
        <v>0</v>
      </c>
      <c r="Q32" s="1">
        <f t="shared" si="2"/>
        <v>1</v>
      </c>
    </row>
    <row r="33" spans="1:17" x14ac:dyDescent="0.25">
      <c r="A33" s="1" t="s">
        <v>67</v>
      </c>
      <c r="B33" s="1" t="s">
        <v>68</v>
      </c>
      <c r="C33">
        <v>0</v>
      </c>
      <c r="D33">
        <v>5</v>
      </c>
      <c r="E33">
        <v>6</v>
      </c>
      <c r="F33">
        <v>4</v>
      </c>
      <c r="G33">
        <v>4</v>
      </c>
      <c r="H33">
        <v>2</v>
      </c>
      <c r="I33">
        <v>22</v>
      </c>
      <c r="J33">
        <v>9</v>
      </c>
      <c r="K33">
        <v>1</v>
      </c>
      <c r="L33">
        <v>76</v>
      </c>
      <c r="M33">
        <v>28</v>
      </c>
      <c r="N33">
        <f t="shared" si="0"/>
        <v>13.600000000000001</v>
      </c>
      <c r="O33" cm="1">
        <f t="array" ref="O33">SUM(_xlfn.XLOOKUP(E33:H33, $U$13:$U$17, $T$13:$T$17))</f>
        <v>22</v>
      </c>
      <c r="P33">
        <f t="shared" si="1"/>
        <v>0</v>
      </c>
      <c r="Q33" s="1">
        <f t="shared" si="2"/>
        <v>1</v>
      </c>
    </row>
    <row r="34" spans="1:17" x14ac:dyDescent="0.25">
      <c r="A34" s="1" t="s">
        <v>69</v>
      </c>
      <c r="B34" s="1" t="s">
        <v>70</v>
      </c>
      <c r="C34">
        <v>6</v>
      </c>
      <c r="D34">
        <v>3</v>
      </c>
      <c r="E34">
        <v>2</v>
      </c>
      <c r="F34">
        <v>2</v>
      </c>
      <c r="G34">
        <v>2</v>
      </c>
      <c r="H34">
        <v>4</v>
      </c>
      <c r="I34">
        <v>82</v>
      </c>
      <c r="J34">
        <v>95</v>
      </c>
      <c r="K34">
        <v>8</v>
      </c>
      <c r="L34">
        <v>46</v>
      </c>
      <c r="M34">
        <v>76</v>
      </c>
      <c r="N34">
        <f t="shared" si="0"/>
        <v>30.700000000000003</v>
      </c>
      <c r="O34" cm="1">
        <f t="array" ref="O34">SUM(_xlfn.XLOOKUP(E34:H34, $U$13:$U$17, $T$13:$T$17))</f>
        <v>6</v>
      </c>
      <c r="P34">
        <f t="shared" si="1"/>
        <v>6</v>
      </c>
      <c r="Q34" s="1">
        <f t="shared" si="2"/>
        <v>0</v>
      </c>
    </row>
    <row r="35" spans="1:17" x14ac:dyDescent="0.25">
      <c r="A35" s="1" t="s">
        <v>71</v>
      </c>
      <c r="B35" s="1" t="s">
        <v>72</v>
      </c>
      <c r="C35">
        <v>7</v>
      </c>
      <c r="D35">
        <v>3</v>
      </c>
      <c r="E35">
        <v>2</v>
      </c>
      <c r="F35">
        <v>4</v>
      </c>
      <c r="G35">
        <v>4</v>
      </c>
      <c r="H35">
        <v>2</v>
      </c>
      <c r="I35">
        <v>67</v>
      </c>
      <c r="J35">
        <v>26</v>
      </c>
      <c r="K35">
        <v>50</v>
      </c>
      <c r="L35">
        <v>90</v>
      </c>
      <c r="M35">
        <v>34</v>
      </c>
      <c r="N35">
        <f t="shared" si="0"/>
        <v>26.7</v>
      </c>
      <c r="O35" cm="1">
        <f t="array" ref="O35">SUM(_xlfn.XLOOKUP(E35:H35, $U$13:$U$17, $T$13:$T$17))</f>
        <v>12</v>
      </c>
      <c r="P35">
        <f t="shared" si="1"/>
        <v>7</v>
      </c>
      <c r="Q35" s="1">
        <f t="shared" si="2"/>
        <v>0</v>
      </c>
    </row>
    <row r="36" spans="1:17" x14ac:dyDescent="0.25">
      <c r="A36" s="1" t="s">
        <v>73</v>
      </c>
      <c r="B36" s="1" t="s">
        <v>74</v>
      </c>
      <c r="C36">
        <v>2</v>
      </c>
      <c r="D36">
        <v>2</v>
      </c>
      <c r="E36">
        <v>6</v>
      </c>
      <c r="F36">
        <v>5</v>
      </c>
      <c r="G36">
        <v>4</v>
      </c>
      <c r="H36">
        <v>5</v>
      </c>
      <c r="I36">
        <v>34</v>
      </c>
      <c r="J36">
        <v>59</v>
      </c>
      <c r="K36">
        <v>59</v>
      </c>
      <c r="L36">
        <v>7</v>
      </c>
      <c r="M36">
        <v>1</v>
      </c>
      <c r="N36">
        <f t="shared" si="0"/>
        <v>16</v>
      </c>
      <c r="O36" cm="1">
        <f t="array" ref="O36">SUM(_xlfn.XLOOKUP(E36:H36, $U$13:$U$17, $T$13:$T$17))</f>
        <v>32</v>
      </c>
      <c r="P36">
        <f t="shared" si="1"/>
        <v>2</v>
      </c>
      <c r="Q36" s="1">
        <f t="shared" si="2"/>
        <v>1</v>
      </c>
    </row>
    <row r="37" spans="1:17" x14ac:dyDescent="0.25">
      <c r="A37" s="1" t="s">
        <v>75</v>
      </c>
      <c r="B37" s="1" t="s">
        <v>76</v>
      </c>
      <c r="C37">
        <v>4</v>
      </c>
      <c r="D37">
        <v>6</v>
      </c>
      <c r="E37">
        <v>5</v>
      </c>
      <c r="F37">
        <v>5</v>
      </c>
      <c r="G37">
        <v>6</v>
      </c>
      <c r="H37">
        <v>4</v>
      </c>
      <c r="I37">
        <v>56</v>
      </c>
      <c r="J37">
        <v>75</v>
      </c>
      <c r="K37">
        <v>51</v>
      </c>
      <c r="L37">
        <v>47</v>
      </c>
      <c r="M37">
        <v>71</v>
      </c>
      <c r="N37">
        <f t="shared" si="0"/>
        <v>30</v>
      </c>
      <c r="O37" cm="1">
        <f t="array" ref="O37">SUM(_xlfn.XLOOKUP(E37:H37, $U$13:$U$17, $T$13:$T$17))</f>
        <v>32</v>
      </c>
      <c r="P37">
        <f t="shared" si="1"/>
        <v>6</v>
      </c>
      <c r="Q37" s="1">
        <f t="shared" si="2"/>
        <v>1</v>
      </c>
    </row>
    <row r="38" spans="1:17" x14ac:dyDescent="0.25">
      <c r="A38" s="1" t="s">
        <v>77</v>
      </c>
      <c r="B38" s="1" t="s">
        <v>78</v>
      </c>
      <c r="C38">
        <v>6</v>
      </c>
      <c r="D38">
        <v>4</v>
      </c>
      <c r="E38">
        <v>5</v>
      </c>
      <c r="F38">
        <v>5</v>
      </c>
      <c r="G38">
        <v>5</v>
      </c>
      <c r="H38">
        <v>4</v>
      </c>
      <c r="I38">
        <v>70</v>
      </c>
      <c r="J38">
        <v>71</v>
      </c>
      <c r="K38">
        <v>27</v>
      </c>
      <c r="L38">
        <v>77</v>
      </c>
      <c r="M38">
        <v>13</v>
      </c>
      <c r="N38">
        <f t="shared" si="0"/>
        <v>25.8</v>
      </c>
      <c r="O38" cm="1">
        <f t="array" ref="O38">SUM(_xlfn.XLOOKUP(E38:H38, $U$13:$U$17, $T$13:$T$17))</f>
        <v>30</v>
      </c>
      <c r="P38">
        <f t="shared" si="1"/>
        <v>6</v>
      </c>
      <c r="Q38" s="1">
        <f t="shared" si="2"/>
        <v>1</v>
      </c>
    </row>
    <row r="39" spans="1:17" x14ac:dyDescent="0.25">
      <c r="A39" s="1" t="s">
        <v>79</v>
      </c>
      <c r="B39" s="1" t="s">
        <v>80</v>
      </c>
      <c r="C39">
        <v>2</v>
      </c>
      <c r="D39">
        <v>2</v>
      </c>
      <c r="E39">
        <v>4</v>
      </c>
      <c r="F39">
        <v>4</v>
      </c>
      <c r="G39">
        <v>4</v>
      </c>
      <c r="H39">
        <v>6</v>
      </c>
      <c r="I39">
        <v>30</v>
      </c>
      <c r="J39">
        <v>55</v>
      </c>
      <c r="K39">
        <v>59</v>
      </c>
      <c r="L39">
        <v>77</v>
      </c>
      <c r="M39">
        <v>58</v>
      </c>
      <c r="N39">
        <f t="shared" si="0"/>
        <v>27.900000000000002</v>
      </c>
      <c r="O39" cm="1">
        <f t="array" ref="O39">SUM(_xlfn.XLOOKUP(E39:H39, $U$13:$U$17, $T$13:$T$17))</f>
        <v>28</v>
      </c>
      <c r="P39">
        <f t="shared" si="1"/>
        <v>2</v>
      </c>
      <c r="Q39" s="1">
        <f t="shared" si="2"/>
        <v>1</v>
      </c>
    </row>
    <row r="40" spans="1:17" x14ac:dyDescent="0.25">
      <c r="A40" s="1" t="s">
        <v>81</v>
      </c>
      <c r="B40" s="1" t="s">
        <v>38</v>
      </c>
      <c r="C40">
        <v>5</v>
      </c>
      <c r="D40">
        <v>6</v>
      </c>
      <c r="E40">
        <v>6</v>
      </c>
      <c r="F40">
        <v>6</v>
      </c>
      <c r="G40">
        <v>5</v>
      </c>
      <c r="H40">
        <v>5</v>
      </c>
      <c r="I40">
        <v>57</v>
      </c>
      <c r="J40">
        <v>22</v>
      </c>
      <c r="K40">
        <v>16</v>
      </c>
      <c r="L40">
        <v>20</v>
      </c>
      <c r="M40">
        <v>67</v>
      </c>
      <c r="N40">
        <f t="shared" si="0"/>
        <v>18.2</v>
      </c>
      <c r="O40" cm="1">
        <f t="array" ref="O40">SUM(_xlfn.XLOOKUP(E40:H40, $U$13:$U$17, $T$13:$T$17))</f>
        <v>36</v>
      </c>
      <c r="P40">
        <f t="shared" si="1"/>
        <v>7</v>
      </c>
      <c r="Q40" s="1">
        <f t="shared" si="2"/>
        <v>1</v>
      </c>
    </row>
    <row r="41" spans="1:17" x14ac:dyDescent="0.25">
      <c r="A41" s="1" t="s">
        <v>82</v>
      </c>
      <c r="B41" s="1" t="s">
        <v>83</v>
      </c>
      <c r="C41">
        <v>6</v>
      </c>
      <c r="D41">
        <v>2</v>
      </c>
      <c r="E41">
        <v>5</v>
      </c>
      <c r="F41">
        <v>3</v>
      </c>
      <c r="G41">
        <v>3</v>
      </c>
      <c r="H41">
        <v>6</v>
      </c>
      <c r="I41">
        <v>67</v>
      </c>
      <c r="J41">
        <v>98</v>
      </c>
      <c r="K41">
        <v>28</v>
      </c>
      <c r="L41">
        <v>6</v>
      </c>
      <c r="M41">
        <v>20</v>
      </c>
      <c r="N41">
        <f t="shared" si="0"/>
        <v>21.900000000000002</v>
      </c>
      <c r="O41" cm="1">
        <f t="array" ref="O41">SUM(_xlfn.XLOOKUP(E41:H41, $U$13:$U$17, $T$13:$T$17))</f>
        <v>26</v>
      </c>
      <c r="P41">
        <f t="shared" si="1"/>
        <v>6</v>
      </c>
      <c r="Q41" s="1">
        <f t="shared" si="2"/>
        <v>1</v>
      </c>
    </row>
    <row r="42" spans="1:17" x14ac:dyDescent="0.25">
      <c r="A42" s="1" t="s">
        <v>84</v>
      </c>
      <c r="B42" s="1" t="s">
        <v>38</v>
      </c>
      <c r="C42">
        <v>7</v>
      </c>
      <c r="D42">
        <v>4</v>
      </c>
      <c r="E42">
        <v>6</v>
      </c>
      <c r="F42">
        <v>4</v>
      </c>
      <c r="G42">
        <v>3</v>
      </c>
      <c r="H42">
        <v>3</v>
      </c>
      <c r="I42">
        <v>12</v>
      </c>
      <c r="J42">
        <v>86</v>
      </c>
      <c r="K42">
        <v>61</v>
      </c>
      <c r="L42">
        <v>94</v>
      </c>
      <c r="M42">
        <v>74</v>
      </c>
      <c r="N42">
        <f t="shared" si="0"/>
        <v>32.699999999999996</v>
      </c>
      <c r="O42" cm="1">
        <f t="array" ref="O42">SUM(_xlfn.XLOOKUP(E42:H42, $U$13:$U$17, $T$13:$T$17))</f>
        <v>24</v>
      </c>
      <c r="P42">
        <f t="shared" si="1"/>
        <v>7</v>
      </c>
      <c r="Q42" s="1">
        <f t="shared" si="2"/>
        <v>0</v>
      </c>
    </row>
    <row r="43" spans="1:17" x14ac:dyDescent="0.25">
      <c r="A43" s="1" t="s">
        <v>46</v>
      </c>
      <c r="B43" s="1" t="s">
        <v>16</v>
      </c>
      <c r="C43">
        <v>0</v>
      </c>
      <c r="D43">
        <v>3</v>
      </c>
      <c r="E43">
        <v>4</v>
      </c>
      <c r="F43">
        <v>3</v>
      </c>
      <c r="G43">
        <v>5</v>
      </c>
      <c r="H43">
        <v>2</v>
      </c>
      <c r="I43">
        <v>82</v>
      </c>
      <c r="J43">
        <v>70</v>
      </c>
      <c r="K43">
        <v>18</v>
      </c>
      <c r="L43">
        <v>28</v>
      </c>
      <c r="M43">
        <v>34</v>
      </c>
      <c r="N43">
        <f t="shared" si="0"/>
        <v>23.2</v>
      </c>
      <c r="O43" cm="1">
        <f t="array" ref="O43">SUM(_xlfn.XLOOKUP(E43:H43, $U$13:$U$17, $T$13:$T$17))</f>
        <v>18</v>
      </c>
      <c r="P43">
        <f t="shared" si="1"/>
        <v>0</v>
      </c>
      <c r="Q43" s="1">
        <f t="shared" si="2"/>
        <v>0</v>
      </c>
    </row>
    <row r="44" spans="1:17" x14ac:dyDescent="0.25">
      <c r="A44" s="1" t="s">
        <v>85</v>
      </c>
      <c r="B44" s="1" t="s">
        <v>86</v>
      </c>
      <c r="C44">
        <v>8</v>
      </c>
      <c r="D44">
        <v>5</v>
      </c>
      <c r="E44">
        <v>4</v>
      </c>
      <c r="F44">
        <v>6</v>
      </c>
      <c r="G44">
        <v>2</v>
      </c>
      <c r="H44">
        <v>6</v>
      </c>
      <c r="I44">
        <v>32</v>
      </c>
      <c r="J44">
        <v>88</v>
      </c>
      <c r="K44">
        <v>15</v>
      </c>
      <c r="L44">
        <v>45</v>
      </c>
      <c r="M44">
        <v>24</v>
      </c>
      <c r="N44">
        <f t="shared" si="0"/>
        <v>20.399999999999999</v>
      </c>
      <c r="O44" cm="1">
        <f t="array" ref="O44">SUM(_xlfn.XLOOKUP(E44:H44, $U$13:$U$17, $T$13:$T$17))</f>
        <v>26</v>
      </c>
      <c r="P44">
        <f t="shared" si="1"/>
        <v>8</v>
      </c>
      <c r="Q44" s="1">
        <f t="shared" si="2"/>
        <v>1</v>
      </c>
    </row>
    <row r="45" spans="1:17" x14ac:dyDescent="0.25">
      <c r="A45" s="1" t="s">
        <v>87</v>
      </c>
      <c r="B45" s="1" t="s">
        <v>55</v>
      </c>
      <c r="C45">
        <v>2</v>
      </c>
      <c r="D45">
        <v>2</v>
      </c>
      <c r="E45">
        <v>5</v>
      </c>
      <c r="F45">
        <v>5</v>
      </c>
      <c r="G45">
        <v>2</v>
      </c>
      <c r="H45">
        <v>2</v>
      </c>
      <c r="I45">
        <v>65</v>
      </c>
      <c r="J45">
        <v>87</v>
      </c>
      <c r="K45">
        <v>53</v>
      </c>
      <c r="L45">
        <v>98</v>
      </c>
      <c r="M45">
        <v>50</v>
      </c>
      <c r="N45">
        <f t="shared" si="0"/>
        <v>35.299999999999997</v>
      </c>
      <c r="O45" cm="1">
        <f t="array" ref="O45">SUM(_xlfn.XLOOKUP(E45:H45, $U$13:$U$17, $T$13:$T$17))</f>
        <v>16</v>
      </c>
      <c r="P45">
        <f t="shared" si="1"/>
        <v>2</v>
      </c>
      <c r="Q45" s="1">
        <f t="shared" si="2"/>
        <v>0</v>
      </c>
    </row>
    <row r="46" spans="1:17" x14ac:dyDescent="0.25">
      <c r="A46" s="1" t="s">
        <v>88</v>
      </c>
      <c r="B46" s="1" t="s">
        <v>26</v>
      </c>
      <c r="C46">
        <v>3</v>
      </c>
      <c r="D46">
        <v>2</v>
      </c>
      <c r="E46">
        <v>3</v>
      </c>
      <c r="F46">
        <v>3</v>
      </c>
      <c r="G46">
        <v>6</v>
      </c>
      <c r="H46">
        <v>6</v>
      </c>
      <c r="I46">
        <v>10</v>
      </c>
      <c r="J46">
        <v>21</v>
      </c>
      <c r="K46">
        <v>35</v>
      </c>
      <c r="L46">
        <v>98</v>
      </c>
      <c r="M46">
        <v>21</v>
      </c>
      <c r="N46">
        <f t="shared" si="0"/>
        <v>18.5</v>
      </c>
      <c r="O46" cm="1">
        <f t="array" ref="O46">SUM(_xlfn.XLOOKUP(E46:H46, $U$13:$U$17, $T$13:$T$17))</f>
        <v>28</v>
      </c>
      <c r="P46">
        <f t="shared" si="1"/>
        <v>3</v>
      </c>
      <c r="Q46" s="1">
        <f t="shared" si="2"/>
        <v>1</v>
      </c>
    </row>
    <row r="47" spans="1:17" x14ac:dyDescent="0.25">
      <c r="A47" s="1" t="s">
        <v>89</v>
      </c>
      <c r="B47" s="1" t="s">
        <v>90</v>
      </c>
      <c r="C47">
        <v>2</v>
      </c>
      <c r="D47">
        <v>3</v>
      </c>
      <c r="E47">
        <v>6</v>
      </c>
      <c r="F47">
        <v>3</v>
      </c>
      <c r="G47">
        <v>6</v>
      </c>
      <c r="H47">
        <v>3</v>
      </c>
      <c r="I47">
        <v>53</v>
      </c>
      <c r="J47">
        <v>50</v>
      </c>
      <c r="K47">
        <v>16</v>
      </c>
      <c r="L47">
        <v>44</v>
      </c>
      <c r="M47">
        <v>8</v>
      </c>
      <c r="N47">
        <f t="shared" si="0"/>
        <v>17.100000000000001</v>
      </c>
      <c r="O47" cm="1">
        <f t="array" ref="O47">SUM(_xlfn.XLOOKUP(E47:H47, $U$13:$U$17, $T$13:$T$17))</f>
        <v>28</v>
      </c>
      <c r="P47">
        <f t="shared" si="1"/>
        <v>2</v>
      </c>
      <c r="Q47" s="1">
        <f t="shared" si="2"/>
        <v>1</v>
      </c>
    </row>
    <row r="48" spans="1:17" x14ac:dyDescent="0.25">
      <c r="A48" s="1" t="s">
        <v>91</v>
      </c>
      <c r="B48" s="1" t="s">
        <v>70</v>
      </c>
      <c r="C48">
        <v>1</v>
      </c>
      <c r="D48">
        <v>5</v>
      </c>
      <c r="E48">
        <v>3</v>
      </c>
      <c r="F48">
        <v>6</v>
      </c>
      <c r="G48">
        <v>4</v>
      </c>
      <c r="H48">
        <v>4</v>
      </c>
      <c r="I48">
        <v>38</v>
      </c>
      <c r="J48">
        <v>43</v>
      </c>
      <c r="K48">
        <v>49</v>
      </c>
      <c r="L48">
        <v>89</v>
      </c>
      <c r="M48">
        <v>16</v>
      </c>
      <c r="N48">
        <f t="shared" si="0"/>
        <v>23.5</v>
      </c>
      <c r="O48" cm="1">
        <f t="array" ref="O48">SUM(_xlfn.XLOOKUP(E48:H48, $U$13:$U$17, $T$13:$T$17))</f>
        <v>26</v>
      </c>
      <c r="P48">
        <f t="shared" si="1"/>
        <v>1</v>
      </c>
      <c r="Q48" s="1">
        <f t="shared" si="2"/>
        <v>1</v>
      </c>
    </row>
    <row r="49" spans="1:17" x14ac:dyDescent="0.25">
      <c r="A49" s="1" t="s">
        <v>92</v>
      </c>
      <c r="B49" s="1" t="s">
        <v>45</v>
      </c>
      <c r="C49">
        <v>6</v>
      </c>
      <c r="D49">
        <v>6</v>
      </c>
      <c r="E49">
        <v>4</v>
      </c>
      <c r="F49">
        <v>6</v>
      </c>
      <c r="G49">
        <v>5</v>
      </c>
      <c r="H49">
        <v>3</v>
      </c>
      <c r="I49">
        <v>99</v>
      </c>
      <c r="J49">
        <v>95</v>
      </c>
      <c r="K49">
        <v>48</v>
      </c>
      <c r="L49">
        <v>16</v>
      </c>
      <c r="M49">
        <v>11</v>
      </c>
      <c r="N49">
        <f t="shared" si="0"/>
        <v>26.900000000000002</v>
      </c>
      <c r="O49" cm="1">
        <f t="array" ref="O49">SUM(_xlfn.XLOOKUP(E49:H49, $U$13:$U$17, $T$13:$T$17))</f>
        <v>28</v>
      </c>
      <c r="P49">
        <f t="shared" si="1"/>
        <v>8</v>
      </c>
      <c r="Q49" s="1">
        <f t="shared" si="2"/>
        <v>1</v>
      </c>
    </row>
    <row r="50" spans="1:17" x14ac:dyDescent="0.25">
      <c r="A50" s="1" t="s">
        <v>93</v>
      </c>
      <c r="B50" s="1" t="s">
        <v>32</v>
      </c>
      <c r="C50">
        <v>6</v>
      </c>
      <c r="D50">
        <v>5</v>
      </c>
      <c r="E50">
        <v>6</v>
      </c>
      <c r="F50">
        <v>5</v>
      </c>
      <c r="G50">
        <v>6</v>
      </c>
      <c r="H50">
        <v>3</v>
      </c>
      <c r="I50">
        <v>78</v>
      </c>
      <c r="J50">
        <v>22</v>
      </c>
      <c r="K50">
        <v>95</v>
      </c>
      <c r="L50">
        <v>18</v>
      </c>
      <c r="M50">
        <v>15</v>
      </c>
      <c r="N50">
        <f t="shared" si="0"/>
        <v>22.8</v>
      </c>
      <c r="O50" cm="1">
        <f t="array" ref="O50">SUM(_xlfn.XLOOKUP(E50:H50, $U$13:$U$17, $T$13:$T$17))</f>
        <v>32</v>
      </c>
      <c r="P50">
        <f t="shared" si="1"/>
        <v>6</v>
      </c>
      <c r="Q50" s="1">
        <f t="shared" si="2"/>
        <v>1</v>
      </c>
    </row>
    <row r="51" spans="1:17" x14ac:dyDescent="0.25">
      <c r="A51" s="1" t="s">
        <v>94</v>
      </c>
      <c r="B51" s="1" t="s">
        <v>48</v>
      </c>
      <c r="C51">
        <v>6</v>
      </c>
      <c r="D51">
        <v>3</v>
      </c>
      <c r="E51">
        <v>3</v>
      </c>
      <c r="F51">
        <v>6</v>
      </c>
      <c r="G51">
        <v>4</v>
      </c>
      <c r="H51">
        <v>5</v>
      </c>
      <c r="I51">
        <v>25</v>
      </c>
      <c r="J51">
        <v>73</v>
      </c>
      <c r="K51">
        <v>78</v>
      </c>
      <c r="L51">
        <v>61</v>
      </c>
      <c r="M51">
        <v>29</v>
      </c>
      <c r="N51">
        <f t="shared" si="0"/>
        <v>26.6</v>
      </c>
      <c r="O51" cm="1">
        <f t="array" ref="O51">SUM(_xlfn.XLOOKUP(E51:H51, $U$13:$U$17, $T$13:$T$17))</f>
        <v>28</v>
      </c>
      <c r="P51">
        <f t="shared" si="1"/>
        <v>6</v>
      </c>
      <c r="Q51" s="1">
        <f t="shared" si="2"/>
        <v>1</v>
      </c>
    </row>
    <row r="52" spans="1:17" x14ac:dyDescent="0.25">
      <c r="A52" s="1" t="s">
        <v>95</v>
      </c>
      <c r="B52" s="1" t="s">
        <v>96</v>
      </c>
      <c r="C52">
        <v>6</v>
      </c>
      <c r="D52">
        <v>5</v>
      </c>
      <c r="E52">
        <v>5</v>
      </c>
      <c r="F52">
        <v>6</v>
      </c>
      <c r="G52">
        <v>2</v>
      </c>
      <c r="H52">
        <v>4</v>
      </c>
      <c r="I52">
        <v>65</v>
      </c>
      <c r="J52">
        <v>66</v>
      </c>
      <c r="K52">
        <v>87</v>
      </c>
      <c r="L52">
        <v>5</v>
      </c>
      <c r="M52">
        <v>65</v>
      </c>
      <c r="N52">
        <f t="shared" si="0"/>
        <v>28.799999999999997</v>
      </c>
      <c r="O52" cm="1">
        <f t="array" ref="O52">SUM(_xlfn.XLOOKUP(E52:H52, $U$13:$U$17, $T$13:$T$17))</f>
        <v>24</v>
      </c>
      <c r="P52">
        <f t="shared" si="1"/>
        <v>6</v>
      </c>
      <c r="Q52" s="1">
        <f t="shared" si="2"/>
        <v>1</v>
      </c>
    </row>
    <row r="53" spans="1:17" x14ac:dyDescent="0.25">
      <c r="A53" s="1" t="s">
        <v>97</v>
      </c>
      <c r="B53" s="1" t="s">
        <v>90</v>
      </c>
      <c r="C53">
        <v>8</v>
      </c>
      <c r="D53">
        <v>2</v>
      </c>
      <c r="E53">
        <v>2</v>
      </c>
      <c r="F53">
        <v>3</v>
      </c>
      <c r="G53">
        <v>4</v>
      </c>
      <c r="H53">
        <v>3</v>
      </c>
      <c r="I53">
        <v>18</v>
      </c>
      <c r="J53">
        <v>83</v>
      </c>
      <c r="K53">
        <v>86</v>
      </c>
      <c r="L53">
        <v>67</v>
      </c>
      <c r="M53">
        <v>90</v>
      </c>
      <c r="N53">
        <f t="shared" si="0"/>
        <v>34.400000000000006</v>
      </c>
      <c r="O53" cm="1">
        <f t="array" ref="O53">SUM(_xlfn.XLOOKUP(E53:H53, $U$13:$U$17, $T$13:$T$17))</f>
        <v>14</v>
      </c>
      <c r="P53">
        <f t="shared" si="1"/>
        <v>8</v>
      </c>
      <c r="Q53" s="1">
        <f t="shared" si="2"/>
        <v>0</v>
      </c>
    </row>
    <row r="54" spans="1:17" x14ac:dyDescent="0.25">
      <c r="A54" s="1" t="s">
        <v>98</v>
      </c>
      <c r="B54" s="1" t="s">
        <v>99</v>
      </c>
      <c r="C54">
        <v>0</v>
      </c>
      <c r="D54">
        <v>3</v>
      </c>
      <c r="E54">
        <v>4</v>
      </c>
      <c r="F54">
        <v>6</v>
      </c>
      <c r="G54">
        <v>4</v>
      </c>
      <c r="H54">
        <v>4</v>
      </c>
      <c r="I54">
        <v>41</v>
      </c>
      <c r="J54">
        <v>88</v>
      </c>
      <c r="K54">
        <v>4</v>
      </c>
      <c r="L54">
        <v>24</v>
      </c>
      <c r="M54">
        <v>37</v>
      </c>
      <c r="N54">
        <f t="shared" si="0"/>
        <v>19.400000000000002</v>
      </c>
      <c r="O54" cm="1">
        <f t="array" ref="O54">SUM(_xlfn.XLOOKUP(E54:H54, $U$13:$U$17, $T$13:$T$17))</f>
        <v>28</v>
      </c>
      <c r="P54">
        <f t="shared" si="1"/>
        <v>0</v>
      </c>
      <c r="Q54" s="1">
        <f t="shared" si="2"/>
        <v>1</v>
      </c>
    </row>
    <row r="55" spans="1:17" x14ac:dyDescent="0.25">
      <c r="A55" s="1" t="s">
        <v>100</v>
      </c>
      <c r="B55" s="1" t="s">
        <v>101</v>
      </c>
      <c r="C55">
        <v>7</v>
      </c>
      <c r="D55">
        <v>3</v>
      </c>
      <c r="E55">
        <v>4</v>
      </c>
      <c r="F55">
        <v>4</v>
      </c>
      <c r="G55">
        <v>5</v>
      </c>
      <c r="H55">
        <v>6</v>
      </c>
      <c r="I55">
        <v>54</v>
      </c>
      <c r="J55">
        <v>42</v>
      </c>
      <c r="K55">
        <v>82</v>
      </c>
      <c r="L55">
        <v>99</v>
      </c>
      <c r="M55">
        <v>81</v>
      </c>
      <c r="N55">
        <f t="shared" si="0"/>
        <v>35.800000000000004</v>
      </c>
      <c r="O55" cm="1">
        <f t="array" ref="O55">SUM(_xlfn.XLOOKUP(E55:H55, $U$13:$U$17, $T$13:$T$17))</f>
        <v>30</v>
      </c>
      <c r="P55">
        <f t="shared" si="1"/>
        <v>7</v>
      </c>
      <c r="Q55" s="1">
        <f t="shared" si="2"/>
        <v>1</v>
      </c>
    </row>
    <row r="56" spans="1:17" x14ac:dyDescent="0.25">
      <c r="A56" s="1" t="s">
        <v>102</v>
      </c>
      <c r="B56" s="1" t="s">
        <v>70</v>
      </c>
      <c r="C56">
        <v>3</v>
      </c>
      <c r="D56">
        <v>6</v>
      </c>
      <c r="E56">
        <v>5</v>
      </c>
      <c r="F56">
        <v>2</v>
      </c>
      <c r="G56">
        <v>4</v>
      </c>
      <c r="H56">
        <v>6</v>
      </c>
      <c r="I56">
        <v>51</v>
      </c>
      <c r="J56">
        <v>96</v>
      </c>
      <c r="K56">
        <v>78</v>
      </c>
      <c r="L56">
        <v>72</v>
      </c>
      <c r="M56">
        <v>39</v>
      </c>
      <c r="N56">
        <f t="shared" si="0"/>
        <v>33.6</v>
      </c>
      <c r="O56" cm="1">
        <f t="array" ref="O56">SUM(_xlfn.XLOOKUP(E56:H56, $U$13:$U$17, $T$13:$T$17))</f>
        <v>24</v>
      </c>
      <c r="P56">
        <f t="shared" si="1"/>
        <v>5</v>
      </c>
      <c r="Q56" s="1">
        <f t="shared" si="2"/>
        <v>0</v>
      </c>
    </row>
    <row r="57" spans="1:17" x14ac:dyDescent="0.25">
      <c r="A57" s="1" t="s">
        <v>103</v>
      </c>
      <c r="B57" s="1" t="s">
        <v>55</v>
      </c>
      <c r="C57">
        <v>8</v>
      </c>
      <c r="D57">
        <v>6</v>
      </c>
      <c r="E57">
        <v>2</v>
      </c>
      <c r="F57">
        <v>2</v>
      </c>
      <c r="G57">
        <v>6</v>
      </c>
      <c r="H57">
        <v>6</v>
      </c>
      <c r="I57">
        <v>86</v>
      </c>
      <c r="J57">
        <v>67</v>
      </c>
      <c r="K57">
        <v>94</v>
      </c>
      <c r="L57">
        <v>38</v>
      </c>
      <c r="M57">
        <v>45</v>
      </c>
      <c r="N57">
        <f t="shared" si="0"/>
        <v>33</v>
      </c>
      <c r="O57" cm="1">
        <f t="array" ref="O57">SUM(_xlfn.XLOOKUP(E57:H57, $U$13:$U$17, $T$13:$T$17))</f>
        <v>20</v>
      </c>
      <c r="P57">
        <f t="shared" si="1"/>
        <v>10</v>
      </c>
      <c r="Q57" s="1">
        <f t="shared" si="2"/>
        <v>0</v>
      </c>
    </row>
    <row r="58" spans="1:17" x14ac:dyDescent="0.25">
      <c r="A58" s="1" t="s">
        <v>104</v>
      </c>
      <c r="B58" s="1" t="s">
        <v>32</v>
      </c>
      <c r="C58">
        <v>7</v>
      </c>
      <c r="D58">
        <v>5</v>
      </c>
      <c r="E58">
        <v>6</v>
      </c>
      <c r="F58">
        <v>4</v>
      </c>
      <c r="G58">
        <v>6</v>
      </c>
      <c r="H58">
        <v>5</v>
      </c>
      <c r="I58">
        <v>15</v>
      </c>
      <c r="J58">
        <v>79</v>
      </c>
      <c r="K58">
        <v>11</v>
      </c>
      <c r="L58">
        <v>20</v>
      </c>
      <c r="M58">
        <v>58</v>
      </c>
      <c r="N58">
        <f t="shared" si="0"/>
        <v>18.3</v>
      </c>
      <c r="O58" cm="1">
        <f t="array" ref="O58">SUM(_xlfn.XLOOKUP(E58:H58, $U$13:$U$17, $T$13:$T$17))</f>
        <v>34</v>
      </c>
      <c r="P58">
        <f t="shared" si="1"/>
        <v>7</v>
      </c>
      <c r="Q58" s="1">
        <f t="shared" si="2"/>
        <v>1</v>
      </c>
    </row>
    <row r="59" spans="1:17" x14ac:dyDescent="0.25">
      <c r="A59" s="1" t="s">
        <v>105</v>
      </c>
      <c r="B59" s="1" t="s">
        <v>70</v>
      </c>
      <c r="C59">
        <v>3</v>
      </c>
      <c r="D59">
        <v>6</v>
      </c>
      <c r="E59">
        <v>3</v>
      </c>
      <c r="F59">
        <v>5</v>
      </c>
      <c r="G59">
        <v>5</v>
      </c>
      <c r="H59">
        <v>2</v>
      </c>
      <c r="I59">
        <v>49</v>
      </c>
      <c r="J59">
        <v>99</v>
      </c>
      <c r="K59">
        <v>78</v>
      </c>
      <c r="L59">
        <v>70</v>
      </c>
      <c r="M59">
        <v>60</v>
      </c>
      <c r="N59">
        <f t="shared" si="0"/>
        <v>35.6</v>
      </c>
      <c r="O59" cm="1">
        <f t="array" ref="O59">SUM(_xlfn.XLOOKUP(E59:H59, $U$13:$U$17, $T$13:$T$17))</f>
        <v>20</v>
      </c>
      <c r="P59">
        <f t="shared" si="1"/>
        <v>5</v>
      </c>
      <c r="Q59" s="1">
        <f t="shared" si="2"/>
        <v>0</v>
      </c>
    </row>
    <row r="60" spans="1:17" x14ac:dyDescent="0.25">
      <c r="A60" s="1" t="s">
        <v>106</v>
      </c>
      <c r="B60" s="1" t="s">
        <v>107</v>
      </c>
      <c r="C60">
        <v>3</v>
      </c>
      <c r="D60">
        <v>6</v>
      </c>
      <c r="E60">
        <v>3</v>
      </c>
      <c r="F60">
        <v>5</v>
      </c>
      <c r="G60">
        <v>4</v>
      </c>
      <c r="H60">
        <v>2</v>
      </c>
      <c r="I60">
        <v>94</v>
      </c>
      <c r="J60">
        <v>27</v>
      </c>
      <c r="K60">
        <v>20</v>
      </c>
      <c r="L60">
        <v>13</v>
      </c>
      <c r="M60">
        <v>49</v>
      </c>
      <c r="N60">
        <f t="shared" si="0"/>
        <v>20.300000000000004</v>
      </c>
      <c r="O60" cm="1">
        <f t="array" ref="O60">SUM(_xlfn.XLOOKUP(E60:H60, $U$13:$U$17, $T$13:$T$17))</f>
        <v>18</v>
      </c>
      <c r="P60">
        <f t="shared" si="1"/>
        <v>5</v>
      </c>
      <c r="Q60" s="1">
        <f t="shared" si="2"/>
        <v>1</v>
      </c>
    </row>
    <row r="61" spans="1:17" x14ac:dyDescent="0.25">
      <c r="A61" s="1" t="s">
        <v>108</v>
      </c>
      <c r="B61" s="1" t="s">
        <v>83</v>
      </c>
      <c r="C61">
        <v>8</v>
      </c>
      <c r="D61">
        <v>4</v>
      </c>
      <c r="E61">
        <v>5</v>
      </c>
      <c r="F61">
        <v>6</v>
      </c>
      <c r="G61">
        <v>6</v>
      </c>
      <c r="H61">
        <v>2</v>
      </c>
      <c r="I61">
        <v>94</v>
      </c>
      <c r="J61">
        <v>99</v>
      </c>
      <c r="K61">
        <v>87</v>
      </c>
      <c r="L61">
        <v>99</v>
      </c>
      <c r="M61">
        <v>62</v>
      </c>
      <c r="N61">
        <f t="shared" si="0"/>
        <v>44.1</v>
      </c>
      <c r="O61" cm="1">
        <f t="array" ref="O61">SUM(_xlfn.XLOOKUP(E61:H61, $U$13:$U$17, $T$13:$T$17))</f>
        <v>28</v>
      </c>
      <c r="P61">
        <f t="shared" si="1"/>
        <v>8</v>
      </c>
      <c r="Q61" s="1">
        <f t="shared" si="2"/>
        <v>0</v>
      </c>
    </row>
    <row r="62" spans="1:17" x14ac:dyDescent="0.25">
      <c r="A62" s="1" t="s">
        <v>109</v>
      </c>
      <c r="B62" s="1" t="s">
        <v>110</v>
      </c>
      <c r="C62">
        <v>8</v>
      </c>
      <c r="D62">
        <v>2</v>
      </c>
      <c r="E62">
        <v>4</v>
      </c>
      <c r="F62">
        <v>5</v>
      </c>
      <c r="G62">
        <v>2</v>
      </c>
      <c r="H62">
        <v>4</v>
      </c>
      <c r="I62">
        <v>20</v>
      </c>
      <c r="J62">
        <v>78</v>
      </c>
      <c r="K62">
        <v>54</v>
      </c>
      <c r="L62">
        <v>34</v>
      </c>
      <c r="M62">
        <v>95</v>
      </c>
      <c r="N62">
        <f t="shared" si="0"/>
        <v>28.1</v>
      </c>
      <c r="O62" cm="1">
        <f t="array" ref="O62">SUM(_xlfn.XLOOKUP(E62:H62, $U$13:$U$17, $T$13:$T$17))</f>
        <v>20</v>
      </c>
      <c r="P62">
        <f t="shared" si="1"/>
        <v>8</v>
      </c>
      <c r="Q62" s="1">
        <f t="shared" si="2"/>
        <v>0</v>
      </c>
    </row>
    <row r="63" spans="1:17" x14ac:dyDescent="0.25">
      <c r="A63" s="1" t="s">
        <v>111</v>
      </c>
      <c r="B63" s="1" t="s">
        <v>74</v>
      </c>
      <c r="C63">
        <v>5</v>
      </c>
      <c r="D63">
        <v>2</v>
      </c>
      <c r="E63">
        <v>4</v>
      </c>
      <c r="F63">
        <v>5</v>
      </c>
      <c r="G63">
        <v>5</v>
      </c>
      <c r="H63">
        <v>3</v>
      </c>
      <c r="I63">
        <v>39</v>
      </c>
      <c r="J63">
        <v>16</v>
      </c>
      <c r="K63">
        <v>8</v>
      </c>
      <c r="L63">
        <v>66</v>
      </c>
      <c r="M63">
        <v>29</v>
      </c>
      <c r="N63">
        <f t="shared" si="0"/>
        <v>15.799999999999999</v>
      </c>
      <c r="O63" cm="1">
        <f t="array" ref="O63">SUM(_xlfn.XLOOKUP(E63:H63, $U$13:$U$17, $T$13:$T$17))</f>
        <v>26</v>
      </c>
      <c r="P63">
        <f t="shared" si="1"/>
        <v>5</v>
      </c>
      <c r="Q63" s="1">
        <f t="shared" si="2"/>
        <v>1</v>
      </c>
    </row>
    <row r="64" spans="1:17" x14ac:dyDescent="0.25">
      <c r="A64" s="1" t="s">
        <v>112</v>
      </c>
      <c r="B64" s="1" t="s">
        <v>113</v>
      </c>
      <c r="C64">
        <v>0</v>
      </c>
      <c r="D64">
        <v>6</v>
      </c>
      <c r="E64">
        <v>3</v>
      </c>
      <c r="F64">
        <v>5</v>
      </c>
      <c r="G64">
        <v>4</v>
      </c>
      <c r="H64">
        <v>2</v>
      </c>
      <c r="I64">
        <v>77</v>
      </c>
      <c r="J64">
        <v>80</v>
      </c>
      <c r="K64">
        <v>92</v>
      </c>
      <c r="L64">
        <v>43</v>
      </c>
      <c r="M64">
        <v>100</v>
      </c>
      <c r="N64">
        <f t="shared" si="0"/>
        <v>39.200000000000003</v>
      </c>
      <c r="O64" cm="1">
        <f t="array" ref="O64">SUM(_xlfn.XLOOKUP(E64:H64, $U$13:$U$17, $T$13:$T$17))</f>
        <v>18</v>
      </c>
      <c r="P64">
        <f t="shared" si="1"/>
        <v>2</v>
      </c>
      <c r="Q64" s="1">
        <f t="shared" si="2"/>
        <v>0</v>
      </c>
    </row>
    <row r="65" spans="1:17" x14ac:dyDescent="0.25">
      <c r="A65" s="1" t="s">
        <v>114</v>
      </c>
      <c r="B65" s="1" t="s">
        <v>101</v>
      </c>
      <c r="C65">
        <v>1</v>
      </c>
      <c r="D65">
        <v>4</v>
      </c>
      <c r="E65">
        <v>6</v>
      </c>
      <c r="F65">
        <v>3</v>
      </c>
      <c r="G65">
        <v>4</v>
      </c>
      <c r="H65">
        <v>2</v>
      </c>
      <c r="I65">
        <v>70</v>
      </c>
      <c r="J65">
        <v>39</v>
      </c>
      <c r="K65">
        <v>65</v>
      </c>
      <c r="L65">
        <v>57</v>
      </c>
      <c r="M65">
        <v>90</v>
      </c>
      <c r="N65">
        <f t="shared" si="0"/>
        <v>32.099999999999994</v>
      </c>
      <c r="O65" cm="1">
        <f t="array" ref="O65">SUM(_xlfn.XLOOKUP(E65:H65, $U$13:$U$17, $T$13:$T$17))</f>
        <v>20</v>
      </c>
      <c r="P65">
        <f t="shared" si="1"/>
        <v>1</v>
      </c>
      <c r="Q65" s="1">
        <f t="shared" si="2"/>
        <v>0</v>
      </c>
    </row>
    <row r="66" spans="1:17" x14ac:dyDescent="0.25">
      <c r="A66" s="1" t="s">
        <v>115</v>
      </c>
      <c r="B66" s="1" t="s">
        <v>41</v>
      </c>
      <c r="C66">
        <v>0</v>
      </c>
      <c r="D66">
        <v>4</v>
      </c>
      <c r="E66">
        <v>5</v>
      </c>
      <c r="F66">
        <v>4</v>
      </c>
      <c r="G66">
        <v>6</v>
      </c>
      <c r="H66">
        <v>2</v>
      </c>
      <c r="I66">
        <v>4</v>
      </c>
      <c r="J66">
        <v>85</v>
      </c>
      <c r="K66">
        <v>83</v>
      </c>
      <c r="L66">
        <v>10</v>
      </c>
      <c r="M66">
        <v>33</v>
      </c>
      <c r="N66">
        <f t="shared" ref="N66:N129" si="3">I66/10 + J66/10 + K66/10 + L66/10 + M66/10</f>
        <v>21.500000000000004</v>
      </c>
      <c r="O66" cm="1">
        <f t="array" ref="O66">SUM(_xlfn.XLOOKUP(E66:H66, $U$13:$U$17, $T$13:$T$17))</f>
        <v>24</v>
      </c>
      <c r="P66">
        <f t="shared" ref="P66:P129" si="4">IF(D66=6,C66+2,C66)</f>
        <v>0</v>
      </c>
      <c r="Q66" s="1">
        <f t="shared" ref="Q66:Q129" si="5">IF((O66+P66)&gt;N66, 1, 0)</f>
        <v>1</v>
      </c>
    </row>
    <row r="67" spans="1:17" x14ac:dyDescent="0.25">
      <c r="A67" s="1" t="s">
        <v>116</v>
      </c>
      <c r="B67" s="1" t="s">
        <v>117</v>
      </c>
      <c r="C67">
        <v>8</v>
      </c>
      <c r="D67">
        <v>5</v>
      </c>
      <c r="E67">
        <v>5</v>
      </c>
      <c r="F67">
        <v>4</v>
      </c>
      <c r="G67">
        <v>3</v>
      </c>
      <c r="H67">
        <v>3</v>
      </c>
      <c r="I67">
        <v>80</v>
      </c>
      <c r="J67">
        <v>91</v>
      </c>
      <c r="K67">
        <v>16</v>
      </c>
      <c r="L67">
        <v>12</v>
      </c>
      <c r="M67">
        <v>73</v>
      </c>
      <c r="N67">
        <f t="shared" si="3"/>
        <v>27.200000000000003</v>
      </c>
      <c r="O67" cm="1">
        <f t="array" ref="O67">SUM(_xlfn.XLOOKUP(E67:H67, $U$13:$U$17, $T$13:$T$17))</f>
        <v>22</v>
      </c>
      <c r="P67">
        <f t="shared" si="4"/>
        <v>8</v>
      </c>
      <c r="Q67" s="1">
        <f t="shared" si="5"/>
        <v>1</v>
      </c>
    </row>
    <row r="68" spans="1:17" x14ac:dyDescent="0.25">
      <c r="A68" s="1" t="s">
        <v>118</v>
      </c>
      <c r="B68" s="1" t="s">
        <v>119</v>
      </c>
      <c r="C68">
        <v>6</v>
      </c>
      <c r="D68">
        <v>6</v>
      </c>
      <c r="E68">
        <v>2</v>
      </c>
      <c r="F68">
        <v>3</v>
      </c>
      <c r="G68">
        <v>6</v>
      </c>
      <c r="H68">
        <v>5</v>
      </c>
      <c r="I68">
        <v>27</v>
      </c>
      <c r="J68">
        <v>6</v>
      </c>
      <c r="K68">
        <v>19</v>
      </c>
      <c r="L68">
        <v>61</v>
      </c>
      <c r="M68">
        <v>63</v>
      </c>
      <c r="N68">
        <f t="shared" si="3"/>
        <v>17.600000000000001</v>
      </c>
      <c r="O68" cm="1">
        <f t="array" ref="O68">SUM(_xlfn.XLOOKUP(E68:H68, $U$13:$U$17, $T$13:$T$17))</f>
        <v>22</v>
      </c>
      <c r="P68">
        <f t="shared" si="4"/>
        <v>8</v>
      </c>
      <c r="Q68" s="1">
        <f t="shared" si="5"/>
        <v>1</v>
      </c>
    </row>
    <row r="69" spans="1:17" x14ac:dyDescent="0.25">
      <c r="A69" s="1" t="s">
        <v>120</v>
      </c>
      <c r="B69" s="1" t="s">
        <v>121</v>
      </c>
      <c r="C69">
        <v>0</v>
      </c>
      <c r="D69">
        <v>5</v>
      </c>
      <c r="E69">
        <v>5</v>
      </c>
      <c r="F69">
        <v>3</v>
      </c>
      <c r="G69">
        <v>2</v>
      </c>
      <c r="H69">
        <v>6</v>
      </c>
      <c r="I69">
        <v>26</v>
      </c>
      <c r="J69">
        <v>23</v>
      </c>
      <c r="K69">
        <v>48</v>
      </c>
      <c r="L69">
        <v>73</v>
      </c>
      <c r="M69">
        <v>63</v>
      </c>
      <c r="N69">
        <f t="shared" si="3"/>
        <v>23.3</v>
      </c>
      <c r="O69" cm="1">
        <f t="array" ref="O69">SUM(_xlfn.XLOOKUP(E69:H69, $U$13:$U$17, $T$13:$T$17))</f>
        <v>22</v>
      </c>
      <c r="P69">
        <f t="shared" si="4"/>
        <v>0</v>
      </c>
      <c r="Q69" s="1">
        <f t="shared" si="5"/>
        <v>0</v>
      </c>
    </row>
    <row r="70" spans="1:17" x14ac:dyDescent="0.25">
      <c r="A70" s="1" t="s">
        <v>122</v>
      </c>
      <c r="B70" s="1" t="s">
        <v>121</v>
      </c>
      <c r="C70">
        <v>8</v>
      </c>
      <c r="D70">
        <v>3</v>
      </c>
      <c r="E70">
        <v>5</v>
      </c>
      <c r="F70">
        <v>5</v>
      </c>
      <c r="G70">
        <v>6</v>
      </c>
      <c r="H70">
        <v>3</v>
      </c>
      <c r="I70">
        <v>28</v>
      </c>
      <c r="J70">
        <v>69</v>
      </c>
      <c r="K70">
        <v>99</v>
      </c>
      <c r="L70">
        <v>45</v>
      </c>
      <c r="M70">
        <v>61</v>
      </c>
      <c r="N70">
        <f t="shared" si="3"/>
        <v>30.200000000000003</v>
      </c>
      <c r="O70" cm="1">
        <f t="array" ref="O70">SUM(_xlfn.XLOOKUP(E70:H70, $U$13:$U$17, $T$13:$T$17))</f>
        <v>30</v>
      </c>
      <c r="P70">
        <f t="shared" si="4"/>
        <v>8</v>
      </c>
      <c r="Q70" s="1">
        <f t="shared" si="5"/>
        <v>1</v>
      </c>
    </row>
    <row r="71" spans="1:17" x14ac:dyDescent="0.25">
      <c r="A71" s="1" t="s">
        <v>123</v>
      </c>
      <c r="B71" s="1" t="s">
        <v>119</v>
      </c>
      <c r="C71">
        <v>1</v>
      </c>
      <c r="D71">
        <v>2</v>
      </c>
      <c r="E71">
        <v>3</v>
      </c>
      <c r="F71">
        <v>2</v>
      </c>
      <c r="G71">
        <v>3</v>
      </c>
      <c r="H71">
        <v>6</v>
      </c>
      <c r="I71">
        <v>51</v>
      </c>
      <c r="J71">
        <v>14</v>
      </c>
      <c r="K71">
        <v>33</v>
      </c>
      <c r="L71">
        <v>28</v>
      </c>
      <c r="M71">
        <v>43</v>
      </c>
      <c r="N71">
        <f t="shared" si="3"/>
        <v>16.900000000000002</v>
      </c>
      <c r="O71" cm="1">
        <f t="array" ref="O71">SUM(_xlfn.XLOOKUP(E71:H71, $U$13:$U$17, $T$13:$T$17))</f>
        <v>18</v>
      </c>
      <c r="P71">
        <f t="shared" si="4"/>
        <v>1</v>
      </c>
      <c r="Q71" s="1">
        <f t="shared" si="5"/>
        <v>1</v>
      </c>
    </row>
    <row r="72" spans="1:17" x14ac:dyDescent="0.25">
      <c r="A72" s="1" t="s">
        <v>124</v>
      </c>
      <c r="B72" s="1" t="s">
        <v>41</v>
      </c>
      <c r="C72">
        <v>3</v>
      </c>
      <c r="D72">
        <v>5</v>
      </c>
      <c r="E72">
        <v>6</v>
      </c>
      <c r="F72">
        <v>5</v>
      </c>
      <c r="G72">
        <v>2</v>
      </c>
      <c r="H72">
        <v>5</v>
      </c>
      <c r="I72">
        <v>73</v>
      </c>
      <c r="J72">
        <v>84</v>
      </c>
      <c r="K72">
        <v>48</v>
      </c>
      <c r="L72">
        <v>36</v>
      </c>
      <c r="M72">
        <v>4</v>
      </c>
      <c r="N72">
        <f t="shared" si="3"/>
        <v>24.5</v>
      </c>
      <c r="O72" cm="1">
        <f t="array" ref="O72">SUM(_xlfn.XLOOKUP(E72:H72, $U$13:$U$17, $T$13:$T$17))</f>
        <v>26</v>
      </c>
      <c r="P72">
        <f t="shared" si="4"/>
        <v>3</v>
      </c>
      <c r="Q72" s="1">
        <f t="shared" si="5"/>
        <v>1</v>
      </c>
    </row>
    <row r="73" spans="1:17" x14ac:dyDescent="0.25">
      <c r="A73" s="1" t="s">
        <v>125</v>
      </c>
      <c r="B73" s="1" t="s">
        <v>126</v>
      </c>
      <c r="C73">
        <v>4</v>
      </c>
      <c r="D73">
        <v>4</v>
      </c>
      <c r="E73">
        <v>5</v>
      </c>
      <c r="F73">
        <v>5</v>
      </c>
      <c r="G73">
        <v>3</v>
      </c>
      <c r="H73">
        <v>6</v>
      </c>
      <c r="I73">
        <v>44</v>
      </c>
      <c r="J73">
        <v>16</v>
      </c>
      <c r="K73">
        <v>68</v>
      </c>
      <c r="L73">
        <v>55</v>
      </c>
      <c r="M73">
        <v>66</v>
      </c>
      <c r="N73">
        <f t="shared" si="3"/>
        <v>24.9</v>
      </c>
      <c r="O73" cm="1">
        <f t="array" ref="O73">SUM(_xlfn.XLOOKUP(E73:H73, $U$13:$U$17, $T$13:$T$17))</f>
        <v>30</v>
      </c>
      <c r="P73">
        <f t="shared" si="4"/>
        <v>4</v>
      </c>
      <c r="Q73" s="1">
        <f t="shared" si="5"/>
        <v>1</v>
      </c>
    </row>
    <row r="74" spans="1:17" x14ac:dyDescent="0.25">
      <c r="A74" s="1" t="s">
        <v>127</v>
      </c>
      <c r="B74" s="1" t="s">
        <v>90</v>
      </c>
      <c r="C74">
        <v>2</v>
      </c>
      <c r="D74">
        <v>6</v>
      </c>
      <c r="E74">
        <v>6</v>
      </c>
      <c r="F74">
        <v>3</v>
      </c>
      <c r="G74">
        <v>6</v>
      </c>
      <c r="H74">
        <v>2</v>
      </c>
      <c r="I74">
        <v>71</v>
      </c>
      <c r="J74">
        <v>95</v>
      </c>
      <c r="K74">
        <v>90</v>
      </c>
      <c r="L74">
        <v>50</v>
      </c>
      <c r="M74">
        <v>91</v>
      </c>
      <c r="N74">
        <f t="shared" si="3"/>
        <v>39.700000000000003</v>
      </c>
      <c r="O74" cm="1">
        <f t="array" ref="O74">SUM(_xlfn.XLOOKUP(E74:H74, $U$13:$U$17, $T$13:$T$17))</f>
        <v>24</v>
      </c>
      <c r="P74">
        <f t="shared" si="4"/>
        <v>4</v>
      </c>
      <c r="Q74" s="1">
        <f t="shared" si="5"/>
        <v>0</v>
      </c>
    </row>
    <row r="75" spans="1:17" x14ac:dyDescent="0.25">
      <c r="A75" s="1" t="s">
        <v>128</v>
      </c>
      <c r="B75" s="1" t="s">
        <v>45</v>
      </c>
      <c r="C75">
        <v>5</v>
      </c>
      <c r="D75">
        <v>5</v>
      </c>
      <c r="E75">
        <v>2</v>
      </c>
      <c r="F75">
        <v>6</v>
      </c>
      <c r="G75">
        <v>2</v>
      </c>
      <c r="H75">
        <v>2</v>
      </c>
      <c r="I75">
        <v>90</v>
      </c>
      <c r="J75">
        <v>88</v>
      </c>
      <c r="K75">
        <v>73</v>
      </c>
      <c r="L75">
        <v>83</v>
      </c>
      <c r="M75">
        <v>51</v>
      </c>
      <c r="N75">
        <f t="shared" si="3"/>
        <v>38.500000000000007</v>
      </c>
      <c r="O75" cm="1">
        <f t="array" ref="O75">SUM(_xlfn.XLOOKUP(E75:H75, $U$13:$U$17, $T$13:$T$17))</f>
        <v>10</v>
      </c>
      <c r="P75">
        <f t="shared" si="4"/>
        <v>5</v>
      </c>
      <c r="Q75" s="1">
        <f t="shared" si="5"/>
        <v>0</v>
      </c>
    </row>
    <row r="76" spans="1:17" x14ac:dyDescent="0.25">
      <c r="A76" s="1" t="s">
        <v>129</v>
      </c>
      <c r="B76" s="1" t="s">
        <v>130</v>
      </c>
      <c r="C76">
        <v>1</v>
      </c>
      <c r="D76">
        <v>5</v>
      </c>
      <c r="E76">
        <v>2</v>
      </c>
      <c r="F76">
        <v>2</v>
      </c>
      <c r="G76">
        <v>3</v>
      </c>
      <c r="H76">
        <v>5</v>
      </c>
      <c r="I76">
        <v>11</v>
      </c>
      <c r="J76">
        <v>24</v>
      </c>
      <c r="K76">
        <v>35</v>
      </c>
      <c r="L76">
        <v>70</v>
      </c>
      <c r="M76">
        <v>6</v>
      </c>
      <c r="N76">
        <f t="shared" si="3"/>
        <v>14.6</v>
      </c>
      <c r="O76" cm="1">
        <f t="array" ref="O76">SUM(_xlfn.XLOOKUP(E76:H76, $U$13:$U$17, $T$13:$T$17))</f>
        <v>12</v>
      </c>
      <c r="P76">
        <f t="shared" si="4"/>
        <v>1</v>
      </c>
      <c r="Q76" s="1">
        <f t="shared" si="5"/>
        <v>0</v>
      </c>
    </row>
    <row r="77" spans="1:17" x14ac:dyDescent="0.25">
      <c r="A77" s="1" t="s">
        <v>131</v>
      </c>
      <c r="B77" s="1" t="s">
        <v>70</v>
      </c>
      <c r="C77">
        <v>5</v>
      </c>
      <c r="D77">
        <v>2</v>
      </c>
      <c r="E77">
        <v>2</v>
      </c>
      <c r="F77">
        <v>6</v>
      </c>
      <c r="G77">
        <v>5</v>
      </c>
      <c r="H77">
        <v>6</v>
      </c>
      <c r="I77">
        <v>44</v>
      </c>
      <c r="J77">
        <v>43</v>
      </c>
      <c r="K77">
        <v>19</v>
      </c>
      <c r="L77">
        <v>86</v>
      </c>
      <c r="M77">
        <v>18</v>
      </c>
      <c r="N77">
        <f t="shared" si="3"/>
        <v>21</v>
      </c>
      <c r="O77" cm="1">
        <f t="array" ref="O77">SUM(_xlfn.XLOOKUP(E77:H77, $U$13:$U$17, $T$13:$T$17))</f>
        <v>28</v>
      </c>
      <c r="P77">
        <f t="shared" si="4"/>
        <v>5</v>
      </c>
      <c r="Q77" s="1">
        <f t="shared" si="5"/>
        <v>1</v>
      </c>
    </row>
    <row r="78" spans="1:17" x14ac:dyDescent="0.25">
      <c r="A78" s="1" t="s">
        <v>132</v>
      </c>
      <c r="B78" s="1" t="s">
        <v>133</v>
      </c>
      <c r="C78">
        <v>2</v>
      </c>
      <c r="D78">
        <v>5</v>
      </c>
      <c r="E78">
        <v>4</v>
      </c>
      <c r="F78">
        <v>3</v>
      </c>
      <c r="G78">
        <v>6</v>
      </c>
      <c r="H78">
        <v>6</v>
      </c>
      <c r="I78">
        <v>15</v>
      </c>
      <c r="J78">
        <v>69</v>
      </c>
      <c r="K78">
        <v>48</v>
      </c>
      <c r="L78">
        <v>14</v>
      </c>
      <c r="M78">
        <v>32</v>
      </c>
      <c r="N78">
        <f t="shared" si="3"/>
        <v>17.8</v>
      </c>
      <c r="O78" cm="1">
        <f t="array" ref="O78">SUM(_xlfn.XLOOKUP(E78:H78, $U$13:$U$17, $T$13:$T$17))</f>
        <v>30</v>
      </c>
      <c r="P78">
        <f t="shared" si="4"/>
        <v>2</v>
      </c>
      <c r="Q78" s="1">
        <f t="shared" si="5"/>
        <v>1</v>
      </c>
    </row>
    <row r="79" spans="1:17" x14ac:dyDescent="0.25">
      <c r="A79" s="1" t="s">
        <v>134</v>
      </c>
      <c r="B79" s="1" t="s">
        <v>45</v>
      </c>
      <c r="C79">
        <v>6</v>
      </c>
      <c r="D79">
        <v>3</v>
      </c>
      <c r="E79">
        <v>4</v>
      </c>
      <c r="F79">
        <v>5</v>
      </c>
      <c r="G79">
        <v>3</v>
      </c>
      <c r="H79">
        <v>4</v>
      </c>
      <c r="I79">
        <v>38</v>
      </c>
      <c r="J79">
        <v>48</v>
      </c>
      <c r="K79">
        <v>3</v>
      </c>
      <c r="L79">
        <v>38</v>
      </c>
      <c r="M79">
        <v>91</v>
      </c>
      <c r="N79">
        <f t="shared" si="3"/>
        <v>21.799999999999997</v>
      </c>
      <c r="O79" cm="1">
        <f t="array" ref="O79">SUM(_xlfn.XLOOKUP(E79:H79, $U$13:$U$17, $T$13:$T$17))</f>
        <v>24</v>
      </c>
      <c r="P79">
        <f t="shared" si="4"/>
        <v>6</v>
      </c>
      <c r="Q79" s="1">
        <f t="shared" si="5"/>
        <v>1</v>
      </c>
    </row>
    <row r="80" spans="1:17" x14ac:dyDescent="0.25">
      <c r="A80" s="1" t="s">
        <v>135</v>
      </c>
      <c r="B80" s="1" t="s">
        <v>38</v>
      </c>
      <c r="C80">
        <v>3</v>
      </c>
      <c r="D80">
        <v>6</v>
      </c>
      <c r="E80">
        <v>3</v>
      </c>
      <c r="F80">
        <v>6</v>
      </c>
      <c r="G80">
        <v>3</v>
      </c>
      <c r="H80">
        <v>5</v>
      </c>
      <c r="I80">
        <v>66</v>
      </c>
      <c r="J80">
        <v>42</v>
      </c>
      <c r="K80">
        <v>40</v>
      </c>
      <c r="L80">
        <v>91</v>
      </c>
      <c r="M80">
        <v>74</v>
      </c>
      <c r="N80">
        <f t="shared" si="3"/>
        <v>31.299999999999997</v>
      </c>
      <c r="O80" cm="1">
        <f t="array" ref="O80">SUM(_xlfn.XLOOKUP(E80:H80, $U$13:$U$17, $T$13:$T$17))</f>
        <v>26</v>
      </c>
      <c r="P80">
        <f t="shared" si="4"/>
        <v>5</v>
      </c>
      <c r="Q80" s="1">
        <f t="shared" si="5"/>
        <v>0</v>
      </c>
    </row>
    <row r="81" spans="1:17" x14ac:dyDescent="0.25">
      <c r="A81" s="1" t="s">
        <v>136</v>
      </c>
      <c r="B81" s="1" t="s">
        <v>137</v>
      </c>
      <c r="C81">
        <v>7</v>
      </c>
      <c r="D81">
        <v>4</v>
      </c>
      <c r="E81">
        <v>2</v>
      </c>
      <c r="F81">
        <v>4</v>
      </c>
      <c r="G81">
        <v>6</v>
      </c>
      <c r="H81">
        <v>5</v>
      </c>
      <c r="I81">
        <v>28</v>
      </c>
      <c r="J81">
        <v>1</v>
      </c>
      <c r="K81">
        <v>36</v>
      </c>
      <c r="L81">
        <v>63</v>
      </c>
      <c r="M81">
        <v>49</v>
      </c>
      <c r="N81">
        <f t="shared" si="3"/>
        <v>17.700000000000003</v>
      </c>
      <c r="O81" cm="1">
        <f t="array" ref="O81">SUM(_xlfn.XLOOKUP(E81:H81, $U$13:$U$17, $T$13:$T$17))</f>
        <v>24</v>
      </c>
      <c r="P81">
        <f t="shared" si="4"/>
        <v>7</v>
      </c>
      <c r="Q81" s="1">
        <f t="shared" si="5"/>
        <v>1</v>
      </c>
    </row>
    <row r="82" spans="1:17" x14ac:dyDescent="0.25">
      <c r="A82" s="1" t="s">
        <v>138</v>
      </c>
      <c r="B82" s="1" t="s">
        <v>139</v>
      </c>
      <c r="C82">
        <v>0</v>
      </c>
      <c r="D82">
        <v>6</v>
      </c>
      <c r="E82">
        <v>5</v>
      </c>
      <c r="F82">
        <v>6</v>
      </c>
      <c r="G82">
        <v>5</v>
      </c>
      <c r="H82">
        <v>6</v>
      </c>
      <c r="I82">
        <v>12</v>
      </c>
      <c r="J82">
        <v>20</v>
      </c>
      <c r="K82">
        <v>10</v>
      </c>
      <c r="L82">
        <v>73</v>
      </c>
      <c r="M82">
        <v>68</v>
      </c>
      <c r="N82">
        <f t="shared" si="3"/>
        <v>18.3</v>
      </c>
      <c r="O82" cm="1">
        <f t="array" ref="O82">SUM(_xlfn.XLOOKUP(E82:H82, $U$13:$U$17, $T$13:$T$17))</f>
        <v>36</v>
      </c>
      <c r="P82">
        <f t="shared" si="4"/>
        <v>2</v>
      </c>
      <c r="Q82" s="1">
        <f t="shared" si="5"/>
        <v>1</v>
      </c>
    </row>
    <row r="83" spans="1:17" x14ac:dyDescent="0.25">
      <c r="A83" s="1" t="s">
        <v>140</v>
      </c>
      <c r="B83" s="1" t="s">
        <v>45</v>
      </c>
      <c r="C83">
        <v>4</v>
      </c>
      <c r="D83">
        <v>5</v>
      </c>
      <c r="E83">
        <v>4</v>
      </c>
      <c r="F83">
        <v>2</v>
      </c>
      <c r="G83">
        <v>3</v>
      </c>
      <c r="H83">
        <v>4</v>
      </c>
      <c r="I83">
        <v>21</v>
      </c>
      <c r="J83">
        <v>58</v>
      </c>
      <c r="K83">
        <v>66</v>
      </c>
      <c r="L83">
        <v>93</v>
      </c>
      <c r="M83">
        <v>89</v>
      </c>
      <c r="N83">
        <f t="shared" si="3"/>
        <v>32.700000000000003</v>
      </c>
      <c r="O83" cm="1">
        <f t="array" ref="O83">SUM(_xlfn.XLOOKUP(E83:H83, $U$13:$U$17, $T$13:$T$17))</f>
        <v>16</v>
      </c>
      <c r="P83">
        <f t="shared" si="4"/>
        <v>4</v>
      </c>
      <c r="Q83" s="1">
        <f t="shared" si="5"/>
        <v>0</v>
      </c>
    </row>
    <row r="84" spans="1:17" x14ac:dyDescent="0.25">
      <c r="A84" s="1" t="s">
        <v>141</v>
      </c>
      <c r="B84" s="1" t="s">
        <v>99</v>
      </c>
      <c r="C84">
        <v>0</v>
      </c>
      <c r="D84">
        <v>2</v>
      </c>
      <c r="E84">
        <v>2</v>
      </c>
      <c r="F84">
        <v>4</v>
      </c>
      <c r="G84">
        <v>3</v>
      </c>
      <c r="H84">
        <v>3</v>
      </c>
      <c r="I84">
        <v>3</v>
      </c>
      <c r="J84">
        <v>25</v>
      </c>
      <c r="K84">
        <v>93</v>
      </c>
      <c r="L84">
        <v>92</v>
      </c>
      <c r="M84">
        <v>73</v>
      </c>
      <c r="N84">
        <f t="shared" si="3"/>
        <v>28.6</v>
      </c>
      <c r="O84" cm="1">
        <f t="array" ref="O84">SUM(_xlfn.XLOOKUP(E84:H84, $U$13:$U$17, $T$13:$T$17))</f>
        <v>14</v>
      </c>
      <c r="P84">
        <f t="shared" si="4"/>
        <v>0</v>
      </c>
      <c r="Q84" s="1">
        <f t="shared" si="5"/>
        <v>0</v>
      </c>
    </row>
    <row r="85" spans="1:17" x14ac:dyDescent="0.25">
      <c r="A85" s="1" t="s">
        <v>142</v>
      </c>
      <c r="B85" s="1" t="s">
        <v>130</v>
      </c>
      <c r="C85">
        <v>4</v>
      </c>
      <c r="D85">
        <v>4</v>
      </c>
      <c r="E85">
        <v>2</v>
      </c>
      <c r="F85">
        <v>6</v>
      </c>
      <c r="G85">
        <v>5</v>
      </c>
      <c r="H85">
        <v>2</v>
      </c>
      <c r="I85">
        <v>81</v>
      </c>
      <c r="J85">
        <v>5</v>
      </c>
      <c r="K85">
        <v>60</v>
      </c>
      <c r="L85">
        <v>2</v>
      </c>
      <c r="M85">
        <v>91</v>
      </c>
      <c r="N85">
        <f t="shared" si="3"/>
        <v>23.9</v>
      </c>
      <c r="O85" cm="1">
        <f t="array" ref="O85">SUM(_xlfn.XLOOKUP(E85:H85, $U$13:$U$17, $T$13:$T$17))</f>
        <v>18</v>
      </c>
      <c r="P85">
        <f t="shared" si="4"/>
        <v>4</v>
      </c>
      <c r="Q85" s="1">
        <f t="shared" si="5"/>
        <v>0</v>
      </c>
    </row>
    <row r="86" spans="1:17" x14ac:dyDescent="0.25">
      <c r="A86" s="1" t="s">
        <v>143</v>
      </c>
      <c r="B86" s="1" t="s">
        <v>70</v>
      </c>
      <c r="C86">
        <v>1</v>
      </c>
      <c r="D86">
        <v>4</v>
      </c>
      <c r="E86">
        <v>6</v>
      </c>
      <c r="F86">
        <v>4</v>
      </c>
      <c r="G86">
        <v>3</v>
      </c>
      <c r="H86">
        <v>6</v>
      </c>
      <c r="I86">
        <v>100</v>
      </c>
      <c r="J86">
        <v>100</v>
      </c>
      <c r="K86">
        <v>100</v>
      </c>
      <c r="L86">
        <v>36</v>
      </c>
      <c r="M86">
        <v>10</v>
      </c>
      <c r="N86">
        <f t="shared" si="3"/>
        <v>34.6</v>
      </c>
      <c r="O86" cm="1">
        <f t="array" ref="O86">SUM(_xlfn.XLOOKUP(E86:H86, $U$13:$U$17, $T$13:$T$17))</f>
        <v>30</v>
      </c>
      <c r="P86">
        <f t="shared" si="4"/>
        <v>1</v>
      </c>
      <c r="Q86" s="1">
        <f t="shared" si="5"/>
        <v>0</v>
      </c>
    </row>
    <row r="87" spans="1:17" x14ac:dyDescent="0.25">
      <c r="A87" s="1" t="s">
        <v>144</v>
      </c>
      <c r="B87" s="1" t="s">
        <v>145</v>
      </c>
      <c r="C87">
        <v>2</v>
      </c>
      <c r="D87">
        <v>3</v>
      </c>
      <c r="E87">
        <v>3</v>
      </c>
      <c r="F87">
        <v>5</v>
      </c>
      <c r="G87">
        <v>6</v>
      </c>
      <c r="H87">
        <v>6</v>
      </c>
      <c r="I87">
        <v>32</v>
      </c>
      <c r="J87">
        <v>27</v>
      </c>
      <c r="K87">
        <v>15</v>
      </c>
      <c r="L87">
        <v>59</v>
      </c>
      <c r="M87">
        <v>26</v>
      </c>
      <c r="N87">
        <f t="shared" si="3"/>
        <v>15.9</v>
      </c>
      <c r="O87" cm="1">
        <f t="array" ref="O87">SUM(_xlfn.XLOOKUP(E87:H87, $U$13:$U$17, $T$13:$T$17))</f>
        <v>32</v>
      </c>
      <c r="P87">
        <f t="shared" si="4"/>
        <v>2</v>
      </c>
      <c r="Q87" s="1">
        <f t="shared" si="5"/>
        <v>1</v>
      </c>
    </row>
    <row r="88" spans="1:17" x14ac:dyDescent="0.25">
      <c r="A88" s="1" t="s">
        <v>146</v>
      </c>
      <c r="B88" s="1" t="s">
        <v>147</v>
      </c>
      <c r="C88">
        <v>3</v>
      </c>
      <c r="D88">
        <v>5</v>
      </c>
      <c r="E88">
        <v>2</v>
      </c>
      <c r="F88">
        <v>6</v>
      </c>
      <c r="G88">
        <v>3</v>
      </c>
      <c r="H88">
        <v>3</v>
      </c>
      <c r="I88">
        <v>95</v>
      </c>
      <c r="J88">
        <v>15</v>
      </c>
      <c r="K88">
        <v>44</v>
      </c>
      <c r="L88">
        <v>29</v>
      </c>
      <c r="M88">
        <v>14</v>
      </c>
      <c r="N88">
        <f t="shared" si="3"/>
        <v>19.7</v>
      </c>
      <c r="O88" cm="1">
        <f t="array" ref="O88">SUM(_xlfn.XLOOKUP(E88:H88, $U$13:$U$17, $T$13:$T$17))</f>
        <v>18</v>
      </c>
      <c r="P88">
        <f t="shared" si="4"/>
        <v>3</v>
      </c>
      <c r="Q88" s="1">
        <f t="shared" si="5"/>
        <v>1</v>
      </c>
    </row>
    <row r="89" spans="1:17" x14ac:dyDescent="0.25">
      <c r="A89" s="1" t="s">
        <v>148</v>
      </c>
      <c r="B89" s="1" t="s">
        <v>28</v>
      </c>
      <c r="C89">
        <v>2</v>
      </c>
      <c r="D89">
        <v>4</v>
      </c>
      <c r="E89">
        <v>2</v>
      </c>
      <c r="F89">
        <v>6</v>
      </c>
      <c r="G89">
        <v>4</v>
      </c>
      <c r="H89">
        <v>4</v>
      </c>
      <c r="I89">
        <v>84</v>
      </c>
      <c r="J89">
        <v>95</v>
      </c>
      <c r="K89">
        <v>31</v>
      </c>
      <c r="L89">
        <v>8</v>
      </c>
      <c r="M89">
        <v>54</v>
      </c>
      <c r="N89">
        <f t="shared" si="3"/>
        <v>27.200000000000003</v>
      </c>
      <c r="O89" cm="1">
        <f t="array" ref="O89">SUM(_xlfn.XLOOKUP(E89:H89, $U$13:$U$17, $T$13:$T$17))</f>
        <v>22</v>
      </c>
      <c r="P89">
        <f t="shared" si="4"/>
        <v>2</v>
      </c>
      <c r="Q89" s="1">
        <f t="shared" si="5"/>
        <v>0</v>
      </c>
    </row>
    <row r="90" spans="1:17" x14ac:dyDescent="0.25">
      <c r="A90" s="1" t="s">
        <v>149</v>
      </c>
      <c r="B90" s="1" t="s">
        <v>150</v>
      </c>
      <c r="C90">
        <v>5</v>
      </c>
      <c r="D90">
        <v>2</v>
      </c>
      <c r="E90">
        <v>3</v>
      </c>
      <c r="F90">
        <v>4</v>
      </c>
      <c r="G90">
        <v>3</v>
      </c>
      <c r="H90">
        <v>6</v>
      </c>
      <c r="I90">
        <v>30</v>
      </c>
      <c r="J90">
        <v>24</v>
      </c>
      <c r="K90">
        <v>66</v>
      </c>
      <c r="L90">
        <v>41</v>
      </c>
      <c r="M90">
        <v>82</v>
      </c>
      <c r="N90">
        <f t="shared" si="3"/>
        <v>24.3</v>
      </c>
      <c r="O90" cm="1">
        <f t="array" ref="O90">SUM(_xlfn.XLOOKUP(E90:H90, $U$13:$U$17, $T$13:$T$17))</f>
        <v>24</v>
      </c>
      <c r="P90">
        <f t="shared" si="4"/>
        <v>5</v>
      </c>
      <c r="Q90" s="1">
        <f t="shared" si="5"/>
        <v>1</v>
      </c>
    </row>
    <row r="91" spans="1:17" x14ac:dyDescent="0.25">
      <c r="A91" s="1" t="s">
        <v>151</v>
      </c>
      <c r="B91" s="1" t="s">
        <v>70</v>
      </c>
      <c r="C91">
        <v>1</v>
      </c>
      <c r="D91">
        <v>3</v>
      </c>
      <c r="E91">
        <v>6</v>
      </c>
      <c r="F91">
        <v>4</v>
      </c>
      <c r="G91">
        <v>6</v>
      </c>
      <c r="H91">
        <v>2</v>
      </c>
      <c r="I91">
        <v>30</v>
      </c>
      <c r="J91">
        <v>35</v>
      </c>
      <c r="K91">
        <v>100</v>
      </c>
      <c r="L91">
        <v>100</v>
      </c>
      <c r="M91">
        <v>100</v>
      </c>
      <c r="N91">
        <f t="shared" si="3"/>
        <v>36.5</v>
      </c>
      <c r="O91" cm="1">
        <f t="array" ref="O91">SUM(_xlfn.XLOOKUP(E91:H91, $U$13:$U$17, $T$13:$T$17))</f>
        <v>26</v>
      </c>
      <c r="P91">
        <f t="shared" si="4"/>
        <v>1</v>
      </c>
      <c r="Q91" s="1">
        <f t="shared" si="5"/>
        <v>0</v>
      </c>
    </row>
    <row r="92" spans="1:17" x14ac:dyDescent="0.25">
      <c r="A92" s="1" t="s">
        <v>152</v>
      </c>
      <c r="B92" s="1" t="s">
        <v>153</v>
      </c>
      <c r="C92">
        <v>1</v>
      </c>
      <c r="D92">
        <v>5</v>
      </c>
      <c r="E92">
        <v>4</v>
      </c>
      <c r="F92">
        <v>2</v>
      </c>
      <c r="G92">
        <v>5</v>
      </c>
      <c r="H92">
        <v>6</v>
      </c>
      <c r="I92">
        <v>54</v>
      </c>
      <c r="J92">
        <v>50</v>
      </c>
      <c r="K92">
        <v>9</v>
      </c>
      <c r="L92">
        <v>59</v>
      </c>
      <c r="M92">
        <v>54</v>
      </c>
      <c r="N92">
        <f t="shared" si="3"/>
        <v>22.6</v>
      </c>
      <c r="O92" cm="1">
        <f t="array" ref="O92">SUM(_xlfn.XLOOKUP(E92:H92, $U$13:$U$17, $T$13:$T$17))</f>
        <v>24</v>
      </c>
      <c r="P92">
        <f t="shared" si="4"/>
        <v>1</v>
      </c>
      <c r="Q92" s="1">
        <f t="shared" si="5"/>
        <v>1</v>
      </c>
    </row>
    <row r="93" spans="1:17" x14ac:dyDescent="0.25">
      <c r="A93" s="1" t="s">
        <v>154</v>
      </c>
      <c r="B93" s="1" t="s">
        <v>155</v>
      </c>
      <c r="C93">
        <v>6</v>
      </c>
      <c r="D93">
        <v>2</v>
      </c>
      <c r="E93">
        <v>3</v>
      </c>
      <c r="F93">
        <v>5</v>
      </c>
      <c r="G93">
        <v>4</v>
      </c>
      <c r="H93">
        <v>4</v>
      </c>
      <c r="I93">
        <v>50</v>
      </c>
      <c r="J93">
        <v>30</v>
      </c>
      <c r="K93">
        <v>14</v>
      </c>
      <c r="L93">
        <v>20</v>
      </c>
      <c r="M93">
        <v>88</v>
      </c>
      <c r="N93">
        <f t="shared" si="3"/>
        <v>20.200000000000003</v>
      </c>
      <c r="O93" cm="1">
        <f t="array" ref="O93">SUM(_xlfn.XLOOKUP(E93:H93, $U$13:$U$17, $T$13:$T$17))</f>
        <v>24</v>
      </c>
      <c r="P93">
        <f t="shared" si="4"/>
        <v>6</v>
      </c>
      <c r="Q93" s="1">
        <f t="shared" si="5"/>
        <v>1</v>
      </c>
    </row>
    <row r="94" spans="1:17" x14ac:dyDescent="0.25">
      <c r="A94" s="1" t="s">
        <v>156</v>
      </c>
      <c r="B94" s="1" t="s">
        <v>157</v>
      </c>
      <c r="C94">
        <v>6</v>
      </c>
      <c r="D94">
        <v>3</v>
      </c>
      <c r="E94">
        <v>6</v>
      </c>
      <c r="F94">
        <v>5</v>
      </c>
      <c r="G94">
        <v>4</v>
      </c>
      <c r="H94">
        <v>5</v>
      </c>
      <c r="I94">
        <v>62</v>
      </c>
      <c r="J94">
        <v>47</v>
      </c>
      <c r="K94">
        <v>19</v>
      </c>
      <c r="L94">
        <v>10</v>
      </c>
      <c r="M94">
        <v>40</v>
      </c>
      <c r="N94">
        <f t="shared" si="3"/>
        <v>17.8</v>
      </c>
      <c r="O94" cm="1">
        <f t="array" ref="O94">SUM(_xlfn.XLOOKUP(E94:H94, $U$13:$U$17, $T$13:$T$17))</f>
        <v>32</v>
      </c>
      <c r="P94">
        <f t="shared" si="4"/>
        <v>6</v>
      </c>
      <c r="Q94" s="1">
        <f t="shared" si="5"/>
        <v>1</v>
      </c>
    </row>
    <row r="95" spans="1:17" x14ac:dyDescent="0.25">
      <c r="A95" s="1" t="s">
        <v>158</v>
      </c>
      <c r="B95" s="1" t="s">
        <v>159</v>
      </c>
      <c r="C95">
        <v>0</v>
      </c>
      <c r="D95">
        <v>3</v>
      </c>
      <c r="E95">
        <v>6</v>
      </c>
      <c r="F95">
        <v>3</v>
      </c>
      <c r="G95">
        <v>5</v>
      </c>
      <c r="H95">
        <v>6</v>
      </c>
      <c r="I95">
        <v>12</v>
      </c>
      <c r="J95">
        <v>60</v>
      </c>
      <c r="K95">
        <v>63</v>
      </c>
      <c r="L95">
        <v>37</v>
      </c>
      <c r="M95">
        <v>71</v>
      </c>
      <c r="N95">
        <f t="shared" si="3"/>
        <v>24.299999999999997</v>
      </c>
      <c r="O95" cm="1">
        <f t="array" ref="O95">SUM(_xlfn.XLOOKUP(E95:H95, $U$13:$U$17, $T$13:$T$17))</f>
        <v>32</v>
      </c>
      <c r="P95">
        <f t="shared" si="4"/>
        <v>0</v>
      </c>
      <c r="Q95" s="1">
        <f t="shared" si="5"/>
        <v>1</v>
      </c>
    </row>
    <row r="96" spans="1:17" x14ac:dyDescent="0.25">
      <c r="A96" s="1" t="s">
        <v>160</v>
      </c>
      <c r="B96" s="1" t="s">
        <v>161</v>
      </c>
      <c r="C96">
        <v>2</v>
      </c>
      <c r="D96">
        <v>3</v>
      </c>
      <c r="E96">
        <v>2</v>
      </c>
      <c r="F96">
        <v>2</v>
      </c>
      <c r="G96">
        <v>3</v>
      </c>
      <c r="H96">
        <v>2</v>
      </c>
      <c r="I96">
        <v>56</v>
      </c>
      <c r="J96">
        <v>63</v>
      </c>
      <c r="K96">
        <v>26</v>
      </c>
      <c r="L96">
        <v>92</v>
      </c>
      <c r="M96">
        <v>13</v>
      </c>
      <c r="N96">
        <f t="shared" si="3"/>
        <v>24.999999999999996</v>
      </c>
      <c r="O96" cm="1">
        <f t="array" ref="O96">SUM(_xlfn.XLOOKUP(E96:H96, $U$13:$U$17, $T$13:$T$17))</f>
        <v>4</v>
      </c>
      <c r="P96">
        <f t="shared" si="4"/>
        <v>2</v>
      </c>
      <c r="Q96" s="1">
        <f t="shared" si="5"/>
        <v>0</v>
      </c>
    </row>
    <row r="97" spans="1:17" x14ac:dyDescent="0.25">
      <c r="A97" s="1" t="s">
        <v>162</v>
      </c>
      <c r="B97" s="1" t="s">
        <v>30</v>
      </c>
      <c r="C97">
        <v>5</v>
      </c>
      <c r="D97">
        <v>5</v>
      </c>
      <c r="E97">
        <v>6</v>
      </c>
      <c r="F97">
        <v>6</v>
      </c>
      <c r="G97">
        <v>5</v>
      </c>
      <c r="H97">
        <v>6</v>
      </c>
      <c r="I97">
        <v>45</v>
      </c>
      <c r="J97">
        <v>97</v>
      </c>
      <c r="K97">
        <v>5</v>
      </c>
      <c r="L97">
        <v>73</v>
      </c>
      <c r="M97">
        <v>12</v>
      </c>
      <c r="N97">
        <f t="shared" si="3"/>
        <v>23.2</v>
      </c>
      <c r="O97" cm="1">
        <f t="array" ref="O97">SUM(_xlfn.XLOOKUP(E97:H97, $U$13:$U$17, $T$13:$T$17))</f>
        <v>38</v>
      </c>
      <c r="P97">
        <f t="shared" si="4"/>
        <v>5</v>
      </c>
      <c r="Q97" s="1">
        <f t="shared" si="5"/>
        <v>1</v>
      </c>
    </row>
    <row r="98" spans="1:17" x14ac:dyDescent="0.25">
      <c r="A98" s="1" t="s">
        <v>163</v>
      </c>
      <c r="B98" s="1" t="s">
        <v>164</v>
      </c>
      <c r="C98">
        <v>2</v>
      </c>
      <c r="D98">
        <v>4</v>
      </c>
      <c r="E98">
        <v>5</v>
      </c>
      <c r="F98">
        <v>2</v>
      </c>
      <c r="G98">
        <v>4</v>
      </c>
      <c r="H98">
        <v>6</v>
      </c>
      <c r="I98">
        <v>96</v>
      </c>
      <c r="J98">
        <v>60</v>
      </c>
      <c r="K98">
        <v>4</v>
      </c>
      <c r="L98">
        <v>45</v>
      </c>
      <c r="M98">
        <v>21</v>
      </c>
      <c r="N98">
        <f t="shared" si="3"/>
        <v>22.6</v>
      </c>
      <c r="O98" cm="1">
        <f t="array" ref="O98">SUM(_xlfn.XLOOKUP(E98:H98, $U$13:$U$17, $T$13:$T$17))</f>
        <v>24</v>
      </c>
      <c r="P98">
        <f t="shared" si="4"/>
        <v>2</v>
      </c>
      <c r="Q98" s="1">
        <f t="shared" si="5"/>
        <v>1</v>
      </c>
    </row>
    <row r="99" spans="1:17" x14ac:dyDescent="0.25">
      <c r="A99" s="1" t="s">
        <v>165</v>
      </c>
      <c r="B99" s="1" t="s">
        <v>166</v>
      </c>
      <c r="C99">
        <v>7</v>
      </c>
      <c r="D99">
        <v>3</v>
      </c>
      <c r="E99">
        <v>3</v>
      </c>
      <c r="F99">
        <v>6</v>
      </c>
      <c r="G99">
        <v>5</v>
      </c>
      <c r="H99">
        <v>5</v>
      </c>
      <c r="I99">
        <v>57</v>
      </c>
      <c r="J99">
        <v>31</v>
      </c>
      <c r="K99">
        <v>22</v>
      </c>
      <c r="L99">
        <v>59</v>
      </c>
      <c r="M99">
        <v>61</v>
      </c>
      <c r="N99">
        <f t="shared" si="3"/>
        <v>23</v>
      </c>
      <c r="O99" cm="1">
        <f t="array" ref="O99">SUM(_xlfn.XLOOKUP(E99:H99, $U$13:$U$17, $T$13:$T$17))</f>
        <v>30</v>
      </c>
      <c r="P99">
        <f t="shared" si="4"/>
        <v>7</v>
      </c>
      <c r="Q99" s="1">
        <f t="shared" si="5"/>
        <v>1</v>
      </c>
    </row>
    <row r="100" spans="1:17" x14ac:dyDescent="0.25">
      <c r="A100" s="1" t="s">
        <v>167</v>
      </c>
      <c r="B100" s="1" t="s">
        <v>18</v>
      </c>
      <c r="C100">
        <v>5</v>
      </c>
      <c r="D100">
        <v>6</v>
      </c>
      <c r="E100">
        <v>4</v>
      </c>
      <c r="F100">
        <v>2</v>
      </c>
      <c r="G100">
        <v>5</v>
      </c>
      <c r="H100">
        <v>5</v>
      </c>
      <c r="I100">
        <v>18</v>
      </c>
      <c r="J100">
        <v>86</v>
      </c>
      <c r="K100">
        <v>25</v>
      </c>
      <c r="L100">
        <v>29</v>
      </c>
      <c r="M100">
        <v>9</v>
      </c>
      <c r="N100">
        <f t="shared" si="3"/>
        <v>16.7</v>
      </c>
      <c r="O100" cm="1">
        <f t="array" ref="O100">SUM(_xlfn.XLOOKUP(E100:H100, $U$13:$U$17, $T$13:$T$17))</f>
        <v>22</v>
      </c>
      <c r="P100">
        <f t="shared" si="4"/>
        <v>7</v>
      </c>
      <c r="Q100" s="1">
        <f t="shared" si="5"/>
        <v>1</v>
      </c>
    </row>
    <row r="101" spans="1:17" x14ac:dyDescent="0.25">
      <c r="A101" s="1" t="s">
        <v>168</v>
      </c>
      <c r="B101" s="1" t="s">
        <v>169</v>
      </c>
      <c r="C101">
        <v>5</v>
      </c>
      <c r="D101">
        <v>4</v>
      </c>
      <c r="E101">
        <v>6</v>
      </c>
      <c r="F101">
        <v>2</v>
      </c>
      <c r="G101">
        <v>5</v>
      </c>
      <c r="H101">
        <v>4</v>
      </c>
      <c r="I101">
        <v>93</v>
      </c>
      <c r="J101">
        <v>47</v>
      </c>
      <c r="K101">
        <v>47</v>
      </c>
      <c r="L101">
        <v>34</v>
      </c>
      <c r="M101">
        <v>39</v>
      </c>
      <c r="N101">
        <f t="shared" si="3"/>
        <v>25.999999999999996</v>
      </c>
      <c r="O101" cm="1">
        <f t="array" ref="O101">SUM(_xlfn.XLOOKUP(E101:H101, $U$13:$U$17, $T$13:$T$17))</f>
        <v>24</v>
      </c>
      <c r="P101">
        <f t="shared" si="4"/>
        <v>5</v>
      </c>
      <c r="Q101" s="1">
        <f t="shared" si="5"/>
        <v>1</v>
      </c>
    </row>
    <row r="102" spans="1:17" x14ac:dyDescent="0.25">
      <c r="A102" s="1" t="s">
        <v>170</v>
      </c>
      <c r="B102" s="1" t="s">
        <v>171</v>
      </c>
      <c r="C102">
        <v>3</v>
      </c>
      <c r="D102">
        <v>6</v>
      </c>
      <c r="E102">
        <v>2</v>
      </c>
      <c r="F102">
        <v>3</v>
      </c>
      <c r="G102">
        <v>2</v>
      </c>
      <c r="H102">
        <v>6</v>
      </c>
      <c r="I102">
        <v>89</v>
      </c>
      <c r="J102">
        <v>30</v>
      </c>
      <c r="K102">
        <v>43</v>
      </c>
      <c r="L102">
        <v>25</v>
      </c>
      <c r="M102">
        <v>1</v>
      </c>
      <c r="N102">
        <f t="shared" si="3"/>
        <v>18.8</v>
      </c>
      <c r="O102" cm="1">
        <f t="array" ref="O102">SUM(_xlfn.XLOOKUP(E102:H102, $U$13:$U$17, $T$13:$T$17))</f>
        <v>14</v>
      </c>
      <c r="P102">
        <f t="shared" si="4"/>
        <v>5</v>
      </c>
      <c r="Q102" s="1">
        <f t="shared" si="5"/>
        <v>1</v>
      </c>
    </row>
    <row r="103" spans="1:17" x14ac:dyDescent="0.25">
      <c r="A103" s="1" t="s">
        <v>172</v>
      </c>
      <c r="B103" s="1" t="s">
        <v>130</v>
      </c>
      <c r="C103">
        <v>6</v>
      </c>
      <c r="D103">
        <v>2</v>
      </c>
      <c r="E103">
        <v>3</v>
      </c>
      <c r="F103">
        <v>2</v>
      </c>
      <c r="G103">
        <v>3</v>
      </c>
      <c r="H103">
        <v>6</v>
      </c>
      <c r="I103">
        <v>67</v>
      </c>
      <c r="J103">
        <v>74</v>
      </c>
      <c r="K103">
        <v>49</v>
      </c>
      <c r="L103">
        <v>43</v>
      </c>
      <c r="M103">
        <v>52</v>
      </c>
      <c r="N103">
        <f t="shared" si="3"/>
        <v>28.5</v>
      </c>
      <c r="O103" cm="1">
        <f t="array" ref="O103">SUM(_xlfn.XLOOKUP(E103:H103, $U$13:$U$17, $T$13:$T$17))</f>
        <v>18</v>
      </c>
      <c r="P103">
        <f t="shared" si="4"/>
        <v>6</v>
      </c>
      <c r="Q103" s="1">
        <f t="shared" si="5"/>
        <v>0</v>
      </c>
    </row>
    <row r="104" spans="1:17" x14ac:dyDescent="0.25">
      <c r="A104" s="1" t="s">
        <v>173</v>
      </c>
      <c r="B104" s="1" t="s">
        <v>174</v>
      </c>
      <c r="C104">
        <v>8</v>
      </c>
      <c r="D104">
        <v>3</v>
      </c>
      <c r="E104">
        <v>2</v>
      </c>
      <c r="F104">
        <v>6</v>
      </c>
      <c r="G104">
        <v>5</v>
      </c>
      <c r="H104">
        <v>3</v>
      </c>
      <c r="I104">
        <v>41</v>
      </c>
      <c r="J104">
        <v>29</v>
      </c>
      <c r="K104">
        <v>52</v>
      </c>
      <c r="L104">
        <v>81</v>
      </c>
      <c r="M104">
        <v>26</v>
      </c>
      <c r="N104">
        <f t="shared" si="3"/>
        <v>22.9</v>
      </c>
      <c r="O104" cm="1">
        <f t="array" ref="O104">SUM(_xlfn.XLOOKUP(E104:H104, $U$13:$U$17, $T$13:$T$17))</f>
        <v>22</v>
      </c>
      <c r="P104">
        <f t="shared" si="4"/>
        <v>8</v>
      </c>
      <c r="Q104" s="1">
        <f t="shared" si="5"/>
        <v>1</v>
      </c>
    </row>
    <row r="105" spans="1:17" x14ac:dyDescent="0.25">
      <c r="A105" s="1" t="s">
        <v>175</v>
      </c>
      <c r="B105" s="1" t="s">
        <v>45</v>
      </c>
      <c r="C105">
        <v>8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32</v>
      </c>
      <c r="J105">
        <v>83</v>
      </c>
      <c r="K105">
        <v>14</v>
      </c>
      <c r="L105">
        <v>77</v>
      </c>
      <c r="M105">
        <v>71</v>
      </c>
      <c r="N105">
        <f t="shared" si="3"/>
        <v>27.700000000000003</v>
      </c>
      <c r="O105" cm="1">
        <f t="array" ref="O105">SUM(_xlfn.XLOOKUP(E105:H105, $U$13:$U$17, $T$13:$T$17))</f>
        <v>24</v>
      </c>
      <c r="P105">
        <f t="shared" si="4"/>
        <v>8</v>
      </c>
      <c r="Q105" s="1">
        <f t="shared" si="5"/>
        <v>1</v>
      </c>
    </row>
    <row r="106" spans="1:17" x14ac:dyDescent="0.25">
      <c r="A106" s="1" t="s">
        <v>176</v>
      </c>
      <c r="B106" s="1" t="s">
        <v>177</v>
      </c>
      <c r="C106">
        <v>6</v>
      </c>
      <c r="D106">
        <v>5</v>
      </c>
      <c r="E106">
        <v>2</v>
      </c>
      <c r="F106">
        <v>6</v>
      </c>
      <c r="G106">
        <v>6</v>
      </c>
      <c r="H106">
        <v>4</v>
      </c>
      <c r="I106">
        <v>48</v>
      </c>
      <c r="J106">
        <v>39</v>
      </c>
      <c r="K106">
        <v>45</v>
      </c>
      <c r="L106">
        <v>39</v>
      </c>
      <c r="M106">
        <v>59</v>
      </c>
      <c r="N106">
        <f t="shared" si="3"/>
        <v>23</v>
      </c>
      <c r="O106" cm="1">
        <f t="array" ref="O106">SUM(_xlfn.XLOOKUP(E106:H106, $U$13:$U$17, $T$13:$T$17))</f>
        <v>26</v>
      </c>
      <c r="P106">
        <f t="shared" si="4"/>
        <v>6</v>
      </c>
      <c r="Q106" s="1">
        <f t="shared" si="5"/>
        <v>1</v>
      </c>
    </row>
    <row r="107" spans="1:17" x14ac:dyDescent="0.25">
      <c r="A107" s="1" t="s">
        <v>178</v>
      </c>
      <c r="B107" s="1" t="s">
        <v>119</v>
      </c>
      <c r="C107">
        <v>1</v>
      </c>
      <c r="D107">
        <v>3</v>
      </c>
      <c r="E107">
        <v>2</v>
      </c>
      <c r="F107">
        <v>3</v>
      </c>
      <c r="G107">
        <v>5</v>
      </c>
      <c r="H107">
        <v>2</v>
      </c>
      <c r="I107">
        <v>11</v>
      </c>
      <c r="J107">
        <v>23</v>
      </c>
      <c r="K107">
        <v>92</v>
      </c>
      <c r="L107">
        <v>50</v>
      </c>
      <c r="M107">
        <v>36</v>
      </c>
      <c r="N107">
        <f t="shared" si="3"/>
        <v>21.200000000000003</v>
      </c>
      <c r="O107" cm="1">
        <f t="array" ref="O107">SUM(_xlfn.XLOOKUP(E107:H107, $U$13:$U$17, $T$13:$T$17))</f>
        <v>12</v>
      </c>
      <c r="P107">
        <f t="shared" si="4"/>
        <v>1</v>
      </c>
      <c r="Q107" s="1">
        <f t="shared" si="5"/>
        <v>0</v>
      </c>
    </row>
    <row r="108" spans="1:17" x14ac:dyDescent="0.25">
      <c r="A108" s="1" t="s">
        <v>179</v>
      </c>
      <c r="B108" s="1" t="s">
        <v>180</v>
      </c>
      <c r="C108">
        <v>0</v>
      </c>
      <c r="D108">
        <v>5</v>
      </c>
      <c r="E108">
        <v>3</v>
      </c>
      <c r="F108">
        <v>5</v>
      </c>
      <c r="G108">
        <v>2</v>
      </c>
      <c r="H108">
        <v>5</v>
      </c>
      <c r="I108">
        <v>20</v>
      </c>
      <c r="J108">
        <v>51</v>
      </c>
      <c r="K108">
        <v>64</v>
      </c>
      <c r="L108">
        <v>67</v>
      </c>
      <c r="M108">
        <v>72</v>
      </c>
      <c r="N108">
        <f t="shared" si="3"/>
        <v>27.4</v>
      </c>
      <c r="O108" cm="1">
        <f t="array" ref="O108">SUM(_xlfn.XLOOKUP(E108:H108, $U$13:$U$17, $T$13:$T$17))</f>
        <v>20</v>
      </c>
      <c r="P108">
        <f t="shared" si="4"/>
        <v>0</v>
      </c>
      <c r="Q108" s="1">
        <f t="shared" si="5"/>
        <v>0</v>
      </c>
    </row>
    <row r="109" spans="1:17" x14ac:dyDescent="0.25">
      <c r="A109" s="1" t="s">
        <v>181</v>
      </c>
      <c r="B109" s="1" t="s">
        <v>182</v>
      </c>
      <c r="C109">
        <v>7</v>
      </c>
      <c r="D109">
        <v>4</v>
      </c>
      <c r="E109">
        <v>6</v>
      </c>
      <c r="F109">
        <v>2</v>
      </c>
      <c r="G109">
        <v>5</v>
      </c>
      <c r="H109">
        <v>5</v>
      </c>
      <c r="I109">
        <v>90</v>
      </c>
      <c r="J109">
        <v>9</v>
      </c>
      <c r="K109">
        <v>61</v>
      </c>
      <c r="L109">
        <v>28</v>
      </c>
      <c r="M109">
        <v>92</v>
      </c>
      <c r="N109">
        <f t="shared" si="3"/>
        <v>28</v>
      </c>
      <c r="O109" cm="1">
        <f t="array" ref="O109">SUM(_xlfn.XLOOKUP(E109:H109, $U$13:$U$17, $T$13:$T$17))</f>
        <v>26</v>
      </c>
      <c r="P109">
        <f t="shared" si="4"/>
        <v>7</v>
      </c>
      <c r="Q109" s="1">
        <f t="shared" si="5"/>
        <v>1</v>
      </c>
    </row>
    <row r="110" spans="1:17" x14ac:dyDescent="0.25">
      <c r="A110" s="1" t="s">
        <v>183</v>
      </c>
      <c r="B110" s="1" t="s">
        <v>155</v>
      </c>
      <c r="C110">
        <v>4</v>
      </c>
      <c r="D110">
        <v>2</v>
      </c>
      <c r="E110">
        <v>6</v>
      </c>
      <c r="F110">
        <v>6</v>
      </c>
      <c r="G110">
        <v>6</v>
      </c>
      <c r="H110">
        <v>4</v>
      </c>
      <c r="I110">
        <v>91</v>
      </c>
      <c r="J110">
        <v>63</v>
      </c>
      <c r="K110">
        <v>88</v>
      </c>
      <c r="L110">
        <v>68</v>
      </c>
      <c r="M110">
        <v>75</v>
      </c>
      <c r="N110">
        <f t="shared" si="3"/>
        <v>38.5</v>
      </c>
      <c r="O110" cm="1">
        <f t="array" ref="O110">SUM(_xlfn.XLOOKUP(E110:H110, $U$13:$U$17, $T$13:$T$17))</f>
        <v>36</v>
      </c>
      <c r="P110">
        <f t="shared" si="4"/>
        <v>4</v>
      </c>
      <c r="Q110" s="1">
        <f t="shared" si="5"/>
        <v>1</v>
      </c>
    </row>
    <row r="111" spans="1:17" x14ac:dyDescent="0.25">
      <c r="A111" s="1" t="s">
        <v>184</v>
      </c>
      <c r="B111" s="1" t="s">
        <v>185</v>
      </c>
      <c r="C111">
        <v>3</v>
      </c>
      <c r="D111">
        <v>3</v>
      </c>
      <c r="E111">
        <v>4</v>
      </c>
      <c r="F111">
        <v>5</v>
      </c>
      <c r="G111">
        <v>6</v>
      </c>
      <c r="H111">
        <v>3</v>
      </c>
      <c r="I111">
        <v>59</v>
      </c>
      <c r="J111">
        <v>13</v>
      </c>
      <c r="K111">
        <v>14</v>
      </c>
      <c r="L111">
        <v>22</v>
      </c>
      <c r="M111">
        <v>96</v>
      </c>
      <c r="N111">
        <f t="shared" si="3"/>
        <v>20.399999999999999</v>
      </c>
      <c r="O111" cm="1">
        <f t="array" ref="O111">SUM(_xlfn.XLOOKUP(E111:H111, $U$13:$U$17, $T$13:$T$17))</f>
        <v>28</v>
      </c>
      <c r="P111">
        <f t="shared" si="4"/>
        <v>3</v>
      </c>
      <c r="Q111" s="1">
        <f t="shared" si="5"/>
        <v>1</v>
      </c>
    </row>
    <row r="112" spans="1:17" x14ac:dyDescent="0.25">
      <c r="A112" s="1" t="s">
        <v>186</v>
      </c>
      <c r="B112" s="1" t="s">
        <v>70</v>
      </c>
      <c r="C112">
        <v>1</v>
      </c>
      <c r="D112">
        <v>3</v>
      </c>
      <c r="E112">
        <v>3</v>
      </c>
      <c r="F112">
        <v>4</v>
      </c>
      <c r="G112">
        <v>3</v>
      </c>
      <c r="H112">
        <v>4</v>
      </c>
      <c r="I112">
        <v>7</v>
      </c>
      <c r="J112">
        <v>13</v>
      </c>
      <c r="K112">
        <v>73</v>
      </c>
      <c r="L112">
        <v>73</v>
      </c>
      <c r="M112">
        <v>78</v>
      </c>
      <c r="N112">
        <f t="shared" si="3"/>
        <v>24.400000000000002</v>
      </c>
      <c r="O112" cm="1">
        <f t="array" ref="O112">SUM(_xlfn.XLOOKUP(E112:H112, $U$13:$U$17, $T$13:$T$17))</f>
        <v>20</v>
      </c>
      <c r="P112">
        <f t="shared" si="4"/>
        <v>1</v>
      </c>
      <c r="Q112" s="1">
        <f t="shared" si="5"/>
        <v>0</v>
      </c>
    </row>
    <row r="113" spans="1:17" x14ac:dyDescent="0.25">
      <c r="A113" s="1" t="s">
        <v>187</v>
      </c>
      <c r="B113" s="1" t="s">
        <v>188</v>
      </c>
      <c r="C113">
        <v>7</v>
      </c>
      <c r="D113">
        <v>3</v>
      </c>
      <c r="E113">
        <v>6</v>
      </c>
      <c r="F113">
        <v>2</v>
      </c>
      <c r="G113">
        <v>4</v>
      </c>
      <c r="H113">
        <v>6</v>
      </c>
      <c r="I113">
        <v>39</v>
      </c>
      <c r="J113">
        <v>69</v>
      </c>
      <c r="K113">
        <v>10</v>
      </c>
      <c r="L113">
        <v>10</v>
      </c>
      <c r="M113">
        <v>91</v>
      </c>
      <c r="N113">
        <f t="shared" si="3"/>
        <v>21.9</v>
      </c>
      <c r="O113" cm="1">
        <f t="array" ref="O113">SUM(_xlfn.XLOOKUP(E113:H113, $U$13:$U$17, $T$13:$T$17))</f>
        <v>26</v>
      </c>
      <c r="P113">
        <f t="shared" si="4"/>
        <v>7</v>
      </c>
      <c r="Q113" s="1">
        <f t="shared" si="5"/>
        <v>1</v>
      </c>
    </row>
    <row r="114" spans="1:17" x14ac:dyDescent="0.25">
      <c r="A114" s="1" t="s">
        <v>189</v>
      </c>
      <c r="B114" s="1" t="s">
        <v>70</v>
      </c>
      <c r="C114">
        <v>5</v>
      </c>
      <c r="D114">
        <v>6</v>
      </c>
      <c r="E114">
        <v>4</v>
      </c>
      <c r="F114">
        <v>3</v>
      </c>
      <c r="G114">
        <v>5</v>
      </c>
      <c r="H114">
        <v>2</v>
      </c>
      <c r="I114">
        <v>18</v>
      </c>
      <c r="J114">
        <v>29</v>
      </c>
      <c r="K114">
        <v>18</v>
      </c>
      <c r="L114">
        <v>5</v>
      </c>
      <c r="M114">
        <v>64</v>
      </c>
      <c r="N114">
        <f t="shared" si="3"/>
        <v>13.4</v>
      </c>
      <c r="O114" cm="1">
        <f t="array" ref="O114">SUM(_xlfn.XLOOKUP(E114:H114, $U$13:$U$17, $T$13:$T$17))</f>
        <v>18</v>
      </c>
      <c r="P114">
        <f t="shared" si="4"/>
        <v>7</v>
      </c>
      <c r="Q114" s="1">
        <f t="shared" si="5"/>
        <v>1</v>
      </c>
    </row>
    <row r="115" spans="1:17" x14ac:dyDescent="0.25">
      <c r="A115" s="1" t="s">
        <v>190</v>
      </c>
      <c r="B115" s="1" t="s">
        <v>101</v>
      </c>
      <c r="C115">
        <v>3</v>
      </c>
      <c r="D115">
        <v>3</v>
      </c>
      <c r="E115">
        <v>3</v>
      </c>
      <c r="F115">
        <v>6</v>
      </c>
      <c r="G115">
        <v>2</v>
      </c>
      <c r="H115">
        <v>2</v>
      </c>
      <c r="I115">
        <v>80</v>
      </c>
      <c r="J115">
        <v>5</v>
      </c>
      <c r="K115">
        <v>4</v>
      </c>
      <c r="L115">
        <v>59</v>
      </c>
      <c r="M115">
        <v>5</v>
      </c>
      <c r="N115">
        <f t="shared" si="3"/>
        <v>15.3</v>
      </c>
      <c r="O115" cm="1">
        <f t="array" ref="O115">SUM(_xlfn.XLOOKUP(E115:H115, $U$13:$U$17, $T$13:$T$17))</f>
        <v>14</v>
      </c>
      <c r="P115">
        <f t="shared" si="4"/>
        <v>3</v>
      </c>
      <c r="Q115" s="1">
        <f t="shared" si="5"/>
        <v>1</v>
      </c>
    </row>
    <row r="116" spans="1:17" x14ac:dyDescent="0.25">
      <c r="A116" s="1" t="s">
        <v>191</v>
      </c>
      <c r="B116" s="1" t="s">
        <v>16</v>
      </c>
      <c r="C116">
        <v>2</v>
      </c>
      <c r="D116">
        <v>4</v>
      </c>
      <c r="E116">
        <v>6</v>
      </c>
      <c r="F116">
        <v>3</v>
      </c>
      <c r="G116">
        <v>6</v>
      </c>
      <c r="H116">
        <v>6</v>
      </c>
      <c r="I116">
        <v>72</v>
      </c>
      <c r="J116">
        <v>51</v>
      </c>
      <c r="K116">
        <v>1</v>
      </c>
      <c r="L116">
        <v>33</v>
      </c>
      <c r="M116">
        <v>91</v>
      </c>
      <c r="N116">
        <f t="shared" si="3"/>
        <v>24.799999999999997</v>
      </c>
      <c r="O116" cm="1">
        <f t="array" ref="O116">SUM(_xlfn.XLOOKUP(E116:H116, $U$13:$U$17, $T$13:$T$17))</f>
        <v>34</v>
      </c>
      <c r="P116">
        <f t="shared" si="4"/>
        <v>2</v>
      </c>
      <c r="Q116" s="1">
        <f t="shared" si="5"/>
        <v>1</v>
      </c>
    </row>
    <row r="117" spans="1:17" x14ac:dyDescent="0.25">
      <c r="A117" s="1" t="s">
        <v>192</v>
      </c>
      <c r="B117" s="1" t="s">
        <v>30</v>
      </c>
      <c r="C117">
        <v>1</v>
      </c>
      <c r="D117">
        <v>4</v>
      </c>
      <c r="E117">
        <v>4</v>
      </c>
      <c r="F117">
        <v>3</v>
      </c>
      <c r="G117">
        <v>3</v>
      </c>
      <c r="H117">
        <v>6</v>
      </c>
      <c r="I117">
        <v>25</v>
      </c>
      <c r="J117">
        <v>23</v>
      </c>
      <c r="K117">
        <v>20</v>
      </c>
      <c r="L117">
        <v>93</v>
      </c>
      <c r="M117">
        <v>78</v>
      </c>
      <c r="N117">
        <f t="shared" si="3"/>
        <v>23.900000000000002</v>
      </c>
      <c r="O117" cm="1">
        <f t="array" ref="O117">SUM(_xlfn.XLOOKUP(E117:H117, $U$13:$U$17, $T$13:$T$17))</f>
        <v>24</v>
      </c>
      <c r="P117">
        <f t="shared" si="4"/>
        <v>1</v>
      </c>
      <c r="Q117" s="1">
        <f t="shared" si="5"/>
        <v>1</v>
      </c>
    </row>
    <row r="118" spans="1:17" x14ac:dyDescent="0.25">
      <c r="A118" s="1" t="s">
        <v>148</v>
      </c>
      <c r="B118" s="1" t="s">
        <v>193</v>
      </c>
      <c r="C118">
        <v>4</v>
      </c>
      <c r="D118">
        <v>5</v>
      </c>
      <c r="E118">
        <v>5</v>
      </c>
      <c r="F118">
        <v>3</v>
      </c>
      <c r="G118">
        <v>5</v>
      </c>
      <c r="H118">
        <v>2</v>
      </c>
      <c r="I118">
        <v>79</v>
      </c>
      <c r="J118">
        <v>53</v>
      </c>
      <c r="K118">
        <v>97</v>
      </c>
      <c r="L118">
        <v>34</v>
      </c>
      <c r="M118">
        <v>92</v>
      </c>
      <c r="N118">
        <f t="shared" si="3"/>
        <v>35.5</v>
      </c>
      <c r="O118" cm="1">
        <f t="array" ref="O118">SUM(_xlfn.XLOOKUP(E118:H118, $U$13:$U$17, $T$13:$T$17))</f>
        <v>20</v>
      </c>
      <c r="P118">
        <f t="shared" si="4"/>
        <v>4</v>
      </c>
      <c r="Q118" s="1">
        <f t="shared" si="5"/>
        <v>0</v>
      </c>
    </row>
    <row r="119" spans="1:17" x14ac:dyDescent="0.25">
      <c r="A119" s="1" t="s">
        <v>194</v>
      </c>
      <c r="B119" s="1" t="s">
        <v>86</v>
      </c>
      <c r="C119">
        <v>4</v>
      </c>
      <c r="D119">
        <v>2</v>
      </c>
      <c r="E119">
        <v>6</v>
      </c>
      <c r="F119">
        <v>4</v>
      </c>
      <c r="G119">
        <v>3</v>
      </c>
      <c r="H119">
        <v>2</v>
      </c>
      <c r="I119">
        <v>13</v>
      </c>
      <c r="J119">
        <v>81</v>
      </c>
      <c r="K119">
        <v>58</v>
      </c>
      <c r="L119">
        <v>45</v>
      </c>
      <c r="M119">
        <v>11</v>
      </c>
      <c r="N119">
        <f t="shared" si="3"/>
        <v>20.8</v>
      </c>
      <c r="O119" cm="1">
        <f t="array" ref="O119">SUM(_xlfn.XLOOKUP(E119:H119, $U$13:$U$17, $T$13:$T$17))</f>
        <v>20</v>
      </c>
      <c r="P119">
        <f t="shared" si="4"/>
        <v>4</v>
      </c>
      <c r="Q119" s="1">
        <f t="shared" si="5"/>
        <v>1</v>
      </c>
    </row>
    <row r="120" spans="1:17" x14ac:dyDescent="0.25">
      <c r="A120" s="1" t="s">
        <v>195</v>
      </c>
      <c r="B120" s="1" t="s">
        <v>155</v>
      </c>
      <c r="C120">
        <v>5</v>
      </c>
      <c r="D120">
        <v>2</v>
      </c>
      <c r="E120">
        <v>3</v>
      </c>
      <c r="F120">
        <v>3</v>
      </c>
      <c r="G120">
        <v>2</v>
      </c>
      <c r="H120">
        <v>6</v>
      </c>
      <c r="I120">
        <v>93</v>
      </c>
      <c r="J120">
        <v>31</v>
      </c>
      <c r="K120">
        <v>9</v>
      </c>
      <c r="L120">
        <v>50</v>
      </c>
      <c r="M120">
        <v>41</v>
      </c>
      <c r="N120">
        <f t="shared" si="3"/>
        <v>22.4</v>
      </c>
      <c r="O120" cm="1">
        <f t="array" ref="O120">SUM(_xlfn.XLOOKUP(E120:H120, $U$13:$U$17, $T$13:$T$17))</f>
        <v>18</v>
      </c>
      <c r="P120">
        <f t="shared" si="4"/>
        <v>5</v>
      </c>
      <c r="Q120" s="1">
        <f t="shared" si="5"/>
        <v>1</v>
      </c>
    </row>
    <row r="121" spans="1:17" x14ac:dyDescent="0.25">
      <c r="A121" s="1" t="s">
        <v>196</v>
      </c>
      <c r="B121" s="1" t="s">
        <v>197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10</v>
      </c>
      <c r="J121">
        <v>93</v>
      </c>
      <c r="K121">
        <v>88</v>
      </c>
      <c r="L121">
        <v>23</v>
      </c>
      <c r="M121">
        <v>43</v>
      </c>
      <c r="N121">
        <f t="shared" si="3"/>
        <v>25.700000000000003</v>
      </c>
      <c r="O121" cm="1">
        <f t="array" ref="O121">SUM(_xlfn.XLOOKUP(E121:H121, $U$13:$U$17, $T$13:$T$17))</f>
        <v>0</v>
      </c>
      <c r="P121">
        <f t="shared" si="4"/>
        <v>2</v>
      </c>
      <c r="Q121" s="1">
        <f t="shared" si="5"/>
        <v>0</v>
      </c>
    </row>
    <row r="122" spans="1:17" x14ac:dyDescent="0.25">
      <c r="A122" s="1" t="s">
        <v>198</v>
      </c>
      <c r="B122" s="1" t="s">
        <v>199</v>
      </c>
      <c r="C122">
        <v>0</v>
      </c>
      <c r="D122">
        <v>3</v>
      </c>
      <c r="E122">
        <v>3</v>
      </c>
      <c r="F122">
        <v>2</v>
      </c>
      <c r="G122">
        <v>3</v>
      </c>
      <c r="H122">
        <v>6</v>
      </c>
      <c r="I122">
        <v>7</v>
      </c>
      <c r="J122">
        <v>69</v>
      </c>
      <c r="K122">
        <v>31</v>
      </c>
      <c r="L122">
        <v>13</v>
      </c>
      <c r="M122">
        <v>61</v>
      </c>
      <c r="N122">
        <f t="shared" si="3"/>
        <v>18.100000000000001</v>
      </c>
      <c r="O122" cm="1">
        <f t="array" ref="O122">SUM(_xlfn.XLOOKUP(E122:H122, $U$13:$U$17, $T$13:$T$17))</f>
        <v>18</v>
      </c>
      <c r="P122">
        <f t="shared" si="4"/>
        <v>0</v>
      </c>
      <c r="Q122" s="1">
        <f t="shared" si="5"/>
        <v>0</v>
      </c>
    </row>
    <row r="123" spans="1:17" x14ac:dyDescent="0.25">
      <c r="A123" s="1" t="s">
        <v>200</v>
      </c>
      <c r="B123" s="1" t="s">
        <v>201</v>
      </c>
      <c r="C123">
        <v>5</v>
      </c>
      <c r="D123">
        <v>3</v>
      </c>
      <c r="E123">
        <v>2</v>
      </c>
      <c r="F123">
        <v>2</v>
      </c>
      <c r="G123">
        <v>4</v>
      </c>
      <c r="H123">
        <v>6</v>
      </c>
      <c r="I123">
        <v>24</v>
      </c>
      <c r="J123">
        <v>79</v>
      </c>
      <c r="K123">
        <v>99</v>
      </c>
      <c r="L123">
        <v>6</v>
      </c>
      <c r="M123">
        <v>89</v>
      </c>
      <c r="N123">
        <f t="shared" si="3"/>
        <v>29.700000000000003</v>
      </c>
      <c r="O123" cm="1">
        <f t="array" ref="O123">SUM(_xlfn.XLOOKUP(E123:H123, $U$13:$U$17, $T$13:$T$17))</f>
        <v>16</v>
      </c>
      <c r="P123">
        <f t="shared" si="4"/>
        <v>5</v>
      </c>
      <c r="Q123" s="1">
        <f t="shared" si="5"/>
        <v>0</v>
      </c>
    </row>
    <row r="124" spans="1:17" x14ac:dyDescent="0.25">
      <c r="A124" s="1" t="s">
        <v>202</v>
      </c>
      <c r="B124" s="1" t="s">
        <v>203</v>
      </c>
      <c r="C124">
        <v>7</v>
      </c>
      <c r="D124">
        <v>2</v>
      </c>
      <c r="E124">
        <v>2</v>
      </c>
      <c r="F124">
        <v>4</v>
      </c>
      <c r="G124">
        <v>4</v>
      </c>
      <c r="H124">
        <v>6</v>
      </c>
      <c r="I124">
        <v>57</v>
      </c>
      <c r="J124">
        <v>11</v>
      </c>
      <c r="K124">
        <v>80</v>
      </c>
      <c r="L124">
        <v>27</v>
      </c>
      <c r="M124">
        <v>21</v>
      </c>
      <c r="N124">
        <f t="shared" si="3"/>
        <v>19.600000000000001</v>
      </c>
      <c r="O124" cm="1">
        <f t="array" ref="O124">SUM(_xlfn.XLOOKUP(E124:H124, $U$13:$U$17, $T$13:$T$17))</f>
        <v>22</v>
      </c>
      <c r="P124">
        <f t="shared" si="4"/>
        <v>7</v>
      </c>
      <c r="Q124" s="1">
        <f t="shared" si="5"/>
        <v>1</v>
      </c>
    </row>
    <row r="125" spans="1:17" x14ac:dyDescent="0.25">
      <c r="A125" s="1" t="s">
        <v>204</v>
      </c>
      <c r="B125" s="1" t="s">
        <v>205</v>
      </c>
      <c r="C125">
        <v>7</v>
      </c>
      <c r="D125">
        <v>6</v>
      </c>
      <c r="E125">
        <v>6</v>
      </c>
      <c r="F125">
        <v>2</v>
      </c>
      <c r="G125">
        <v>2</v>
      </c>
      <c r="H125">
        <v>4</v>
      </c>
      <c r="I125">
        <v>2</v>
      </c>
      <c r="J125">
        <v>65</v>
      </c>
      <c r="K125">
        <v>47</v>
      </c>
      <c r="L125">
        <v>64</v>
      </c>
      <c r="M125">
        <v>89</v>
      </c>
      <c r="N125">
        <f t="shared" si="3"/>
        <v>26.700000000000003</v>
      </c>
      <c r="O125" cm="1">
        <f t="array" ref="O125">SUM(_xlfn.XLOOKUP(E125:H125, $U$13:$U$17, $T$13:$T$17))</f>
        <v>16</v>
      </c>
      <c r="P125">
        <f t="shared" si="4"/>
        <v>9</v>
      </c>
      <c r="Q125" s="1">
        <f t="shared" si="5"/>
        <v>0</v>
      </c>
    </row>
    <row r="126" spans="1:17" x14ac:dyDescent="0.25">
      <c r="A126" s="1" t="s">
        <v>206</v>
      </c>
      <c r="B126" s="1" t="s">
        <v>155</v>
      </c>
      <c r="C126">
        <v>6</v>
      </c>
      <c r="D126">
        <v>4</v>
      </c>
      <c r="E126">
        <v>5</v>
      </c>
      <c r="F126">
        <v>3</v>
      </c>
      <c r="G126">
        <v>6</v>
      </c>
      <c r="H126">
        <v>2</v>
      </c>
      <c r="I126">
        <v>46</v>
      </c>
      <c r="J126">
        <v>75</v>
      </c>
      <c r="K126">
        <v>6</v>
      </c>
      <c r="L126">
        <v>45</v>
      </c>
      <c r="M126">
        <v>9</v>
      </c>
      <c r="N126">
        <f t="shared" si="3"/>
        <v>18.099999999999998</v>
      </c>
      <c r="O126" cm="1">
        <f t="array" ref="O126">SUM(_xlfn.XLOOKUP(E126:H126, $U$13:$U$17, $T$13:$T$17))</f>
        <v>22</v>
      </c>
      <c r="P126">
        <f t="shared" si="4"/>
        <v>6</v>
      </c>
      <c r="Q126" s="1">
        <f t="shared" si="5"/>
        <v>1</v>
      </c>
    </row>
    <row r="127" spans="1:17" x14ac:dyDescent="0.25">
      <c r="A127" s="1" t="s">
        <v>207</v>
      </c>
      <c r="B127" s="1" t="s">
        <v>51</v>
      </c>
      <c r="C127">
        <v>8</v>
      </c>
      <c r="D127">
        <v>3</v>
      </c>
      <c r="E127">
        <v>6</v>
      </c>
      <c r="F127">
        <v>4</v>
      </c>
      <c r="G127">
        <v>5</v>
      </c>
      <c r="H127">
        <v>2</v>
      </c>
      <c r="I127">
        <v>8</v>
      </c>
      <c r="J127">
        <v>35</v>
      </c>
      <c r="K127">
        <v>65</v>
      </c>
      <c r="L127">
        <v>30</v>
      </c>
      <c r="M127">
        <v>5</v>
      </c>
      <c r="N127">
        <f t="shared" si="3"/>
        <v>14.3</v>
      </c>
      <c r="O127" cm="1">
        <f t="array" ref="O127">SUM(_xlfn.XLOOKUP(E127:H127, $U$13:$U$17, $T$13:$T$17))</f>
        <v>24</v>
      </c>
      <c r="P127">
        <f t="shared" si="4"/>
        <v>8</v>
      </c>
      <c r="Q127" s="1">
        <f t="shared" si="5"/>
        <v>1</v>
      </c>
    </row>
    <row r="128" spans="1:17" x14ac:dyDescent="0.25">
      <c r="A128" s="1" t="s">
        <v>208</v>
      </c>
      <c r="B128" s="1" t="s">
        <v>30</v>
      </c>
      <c r="C128">
        <v>3</v>
      </c>
      <c r="D128">
        <v>6</v>
      </c>
      <c r="E128">
        <v>6</v>
      </c>
      <c r="F128">
        <v>3</v>
      </c>
      <c r="G128">
        <v>4</v>
      </c>
      <c r="H128">
        <v>5</v>
      </c>
      <c r="I128">
        <v>35</v>
      </c>
      <c r="J128">
        <v>1</v>
      </c>
      <c r="K128">
        <v>100</v>
      </c>
      <c r="L128">
        <v>65</v>
      </c>
      <c r="M128">
        <v>86</v>
      </c>
      <c r="N128">
        <f t="shared" si="3"/>
        <v>28.700000000000003</v>
      </c>
      <c r="O128" cm="1">
        <f t="array" ref="O128">SUM(_xlfn.XLOOKUP(E128:H128, $U$13:$U$17, $T$13:$T$17))</f>
        <v>28</v>
      </c>
      <c r="P128">
        <f t="shared" si="4"/>
        <v>5</v>
      </c>
      <c r="Q128" s="1">
        <f t="shared" si="5"/>
        <v>1</v>
      </c>
    </row>
    <row r="129" spans="1:17" x14ac:dyDescent="0.25">
      <c r="A129" s="1" t="s">
        <v>209</v>
      </c>
      <c r="B129" s="1" t="s">
        <v>210</v>
      </c>
      <c r="C129">
        <v>8</v>
      </c>
      <c r="D129">
        <v>3</v>
      </c>
      <c r="E129">
        <v>2</v>
      </c>
      <c r="F129">
        <v>3</v>
      </c>
      <c r="G129">
        <v>5</v>
      </c>
      <c r="H129">
        <v>5</v>
      </c>
      <c r="I129">
        <v>31</v>
      </c>
      <c r="J129">
        <v>75</v>
      </c>
      <c r="K129">
        <v>10</v>
      </c>
      <c r="L129">
        <v>37</v>
      </c>
      <c r="M129">
        <v>48</v>
      </c>
      <c r="N129">
        <f t="shared" si="3"/>
        <v>20.100000000000001</v>
      </c>
      <c r="O129" cm="1">
        <f t="array" ref="O129">SUM(_xlfn.XLOOKUP(E129:H129, $U$13:$U$17, $T$13:$T$17))</f>
        <v>20</v>
      </c>
      <c r="P129">
        <f t="shared" si="4"/>
        <v>8</v>
      </c>
      <c r="Q129" s="1">
        <f t="shared" si="5"/>
        <v>1</v>
      </c>
    </row>
    <row r="130" spans="1:17" x14ac:dyDescent="0.25">
      <c r="A130" s="1" t="s">
        <v>211</v>
      </c>
      <c r="B130" s="1" t="s">
        <v>78</v>
      </c>
      <c r="C130">
        <v>4</v>
      </c>
      <c r="D130">
        <v>3</v>
      </c>
      <c r="E130">
        <v>4</v>
      </c>
      <c r="F130">
        <v>2</v>
      </c>
      <c r="G130">
        <v>5</v>
      </c>
      <c r="H130">
        <v>6</v>
      </c>
      <c r="I130">
        <v>53</v>
      </c>
      <c r="J130">
        <v>74</v>
      </c>
      <c r="K130">
        <v>66</v>
      </c>
      <c r="L130">
        <v>37</v>
      </c>
      <c r="M130">
        <v>55</v>
      </c>
      <c r="N130">
        <f t="shared" ref="N130:N193" si="6">I130/10 + J130/10 + K130/10 + L130/10 + M130/10</f>
        <v>28.499999999999996</v>
      </c>
      <c r="O130" cm="1">
        <f t="array" ref="O130">SUM(_xlfn.XLOOKUP(E130:H130, $U$13:$U$17, $T$13:$T$17))</f>
        <v>24</v>
      </c>
      <c r="P130">
        <f t="shared" ref="P130:P193" si="7">IF(D130=6,C130+2,C130)</f>
        <v>4</v>
      </c>
      <c r="Q130" s="1">
        <f t="shared" ref="Q130:Q193" si="8">IF((O130+P130)&gt;N130, 1, 0)</f>
        <v>0</v>
      </c>
    </row>
    <row r="131" spans="1:17" x14ac:dyDescent="0.25">
      <c r="A131" s="1" t="s">
        <v>212</v>
      </c>
      <c r="B131" s="1" t="s">
        <v>101</v>
      </c>
      <c r="C131">
        <v>4</v>
      </c>
      <c r="D131">
        <v>6</v>
      </c>
      <c r="E131">
        <v>5</v>
      </c>
      <c r="F131">
        <v>3</v>
      </c>
      <c r="G131">
        <v>4</v>
      </c>
      <c r="H131">
        <v>4</v>
      </c>
      <c r="I131">
        <v>43</v>
      </c>
      <c r="J131">
        <v>49</v>
      </c>
      <c r="K131">
        <v>12</v>
      </c>
      <c r="L131">
        <v>36</v>
      </c>
      <c r="M131">
        <v>87</v>
      </c>
      <c r="N131">
        <f t="shared" si="6"/>
        <v>22.699999999999996</v>
      </c>
      <c r="O131" cm="1">
        <f t="array" ref="O131">SUM(_xlfn.XLOOKUP(E131:H131, $U$13:$U$17, $T$13:$T$17))</f>
        <v>24</v>
      </c>
      <c r="P131">
        <f t="shared" si="7"/>
        <v>6</v>
      </c>
      <c r="Q131" s="1">
        <f t="shared" si="8"/>
        <v>1</v>
      </c>
    </row>
    <row r="132" spans="1:17" x14ac:dyDescent="0.25">
      <c r="A132" s="1" t="s">
        <v>213</v>
      </c>
      <c r="B132" s="1" t="s">
        <v>72</v>
      </c>
      <c r="C132">
        <v>4</v>
      </c>
      <c r="D132">
        <v>4</v>
      </c>
      <c r="E132">
        <v>6</v>
      </c>
      <c r="F132">
        <v>2</v>
      </c>
      <c r="G132">
        <v>5</v>
      </c>
      <c r="H132">
        <v>2</v>
      </c>
      <c r="I132">
        <v>60</v>
      </c>
      <c r="J132">
        <v>75</v>
      </c>
      <c r="K132">
        <v>10</v>
      </c>
      <c r="L132">
        <v>59</v>
      </c>
      <c r="M132">
        <v>5</v>
      </c>
      <c r="N132">
        <f t="shared" si="6"/>
        <v>20.9</v>
      </c>
      <c r="O132" cm="1">
        <f t="array" ref="O132">SUM(_xlfn.XLOOKUP(E132:H132, $U$13:$U$17, $T$13:$T$17))</f>
        <v>18</v>
      </c>
      <c r="P132">
        <f t="shared" si="7"/>
        <v>4</v>
      </c>
      <c r="Q132" s="1">
        <f t="shared" si="8"/>
        <v>1</v>
      </c>
    </row>
    <row r="133" spans="1:17" x14ac:dyDescent="0.25">
      <c r="A133" s="1" t="s">
        <v>214</v>
      </c>
      <c r="B133" s="1" t="s">
        <v>197</v>
      </c>
      <c r="C133">
        <v>7</v>
      </c>
      <c r="D133">
        <v>6</v>
      </c>
      <c r="E133">
        <v>4</v>
      </c>
      <c r="F133">
        <v>2</v>
      </c>
      <c r="G133">
        <v>2</v>
      </c>
      <c r="H133">
        <v>3</v>
      </c>
      <c r="I133">
        <v>89</v>
      </c>
      <c r="J133">
        <v>29</v>
      </c>
      <c r="K133">
        <v>58</v>
      </c>
      <c r="L133">
        <v>19</v>
      </c>
      <c r="M133">
        <v>97</v>
      </c>
      <c r="N133">
        <f t="shared" si="6"/>
        <v>29.2</v>
      </c>
      <c r="O133" cm="1">
        <f t="array" ref="O133">SUM(_xlfn.XLOOKUP(E133:H133, $U$13:$U$17, $T$13:$T$17))</f>
        <v>10</v>
      </c>
      <c r="P133">
        <f t="shared" si="7"/>
        <v>9</v>
      </c>
      <c r="Q133" s="1">
        <f t="shared" si="8"/>
        <v>0</v>
      </c>
    </row>
    <row r="134" spans="1:17" x14ac:dyDescent="0.25">
      <c r="A134" s="1" t="s">
        <v>215</v>
      </c>
      <c r="B134" s="1" t="s">
        <v>216</v>
      </c>
      <c r="C134">
        <v>5</v>
      </c>
      <c r="D134">
        <v>6</v>
      </c>
      <c r="E134">
        <v>5</v>
      </c>
      <c r="F134">
        <v>3</v>
      </c>
      <c r="G134">
        <v>5</v>
      </c>
      <c r="H134">
        <v>3</v>
      </c>
      <c r="I134">
        <v>61</v>
      </c>
      <c r="J134">
        <v>95</v>
      </c>
      <c r="K134">
        <v>36</v>
      </c>
      <c r="L134">
        <v>86</v>
      </c>
      <c r="M134">
        <v>36</v>
      </c>
      <c r="N134">
        <f t="shared" si="6"/>
        <v>31.4</v>
      </c>
      <c r="O134" cm="1">
        <f t="array" ref="O134">SUM(_xlfn.XLOOKUP(E134:H134, $U$13:$U$17, $T$13:$T$17))</f>
        <v>24</v>
      </c>
      <c r="P134">
        <f t="shared" si="7"/>
        <v>7</v>
      </c>
      <c r="Q134" s="1">
        <f t="shared" si="8"/>
        <v>0</v>
      </c>
    </row>
    <row r="135" spans="1:17" x14ac:dyDescent="0.25">
      <c r="A135" s="1" t="s">
        <v>217</v>
      </c>
      <c r="B135" s="1" t="s">
        <v>218</v>
      </c>
      <c r="C135">
        <v>7</v>
      </c>
      <c r="D135">
        <v>6</v>
      </c>
      <c r="E135">
        <v>2</v>
      </c>
      <c r="F135">
        <v>3</v>
      </c>
      <c r="G135">
        <v>3</v>
      </c>
      <c r="H135">
        <v>2</v>
      </c>
      <c r="I135">
        <v>2</v>
      </c>
      <c r="J135">
        <v>9</v>
      </c>
      <c r="K135">
        <v>56</v>
      </c>
      <c r="L135">
        <v>86</v>
      </c>
      <c r="M135">
        <v>71</v>
      </c>
      <c r="N135">
        <f t="shared" si="6"/>
        <v>22.4</v>
      </c>
      <c r="O135" cm="1">
        <f t="array" ref="O135">SUM(_xlfn.XLOOKUP(E135:H135, $U$13:$U$17, $T$13:$T$17))</f>
        <v>8</v>
      </c>
      <c r="P135">
        <f t="shared" si="7"/>
        <v>9</v>
      </c>
      <c r="Q135" s="1">
        <f t="shared" si="8"/>
        <v>0</v>
      </c>
    </row>
    <row r="136" spans="1:17" x14ac:dyDescent="0.25">
      <c r="A136" s="1" t="s">
        <v>219</v>
      </c>
      <c r="B136" s="1" t="s">
        <v>16</v>
      </c>
      <c r="C136">
        <v>6</v>
      </c>
      <c r="D136">
        <v>2</v>
      </c>
      <c r="E136">
        <v>4</v>
      </c>
      <c r="F136">
        <v>5</v>
      </c>
      <c r="G136">
        <v>6</v>
      </c>
      <c r="H136">
        <v>4</v>
      </c>
      <c r="I136">
        <v>21</v>
      </c>
      <c r="J136">
        <v>73</v>
      </c>
      <c r="K136">
        <v>39</v>
      </c>
      <c r="L136">
        <v>28</v>
      </c>
      <c r="M136">
        <v>25</v>
      </c>
      <c r="N136">
        <f t="shared" si="6"/>
        <v>18.600000000000001</v>
      </c>
      <c r="O136" cm="1">
        <f t="array" ref="O136">SUM(_xlfn.XLOOKUP(E136:H136, $U$13:$U$17, $T$13:$T$17))</f>
        <v>30</v>
      </c>
      <c r="P136">
        <f t="shared" si="7"/>
        <v>6</v>
      </c>
      <c r="Q136" s="1">
        <f t="shared" si="8"/>
        <v>1</v>
      </c>
    </row>
    <row r="137" spans="1:17" x14ac:dyDescent="0.25">
      <c r="A137" s="1" t="s">
        <v>220</v>
      </c>
      <c r="B137" s="1" t="s">
        <v>130</v>
      </c>
      <c r="C137">
        <v>0</v>
      </c>
      <c r="D137">
        <v>5</v>
      </c>
      <c r="E137">
        <v>2</v>
      </c>
      <c r="F137">
        <v>4</v>
      </c>
      <c r="G137">
        <v>3</v>
      </c>
      <c r="H137">
        <v>3</v>
      </c>
      <c r="I137">
        <v>52</v>
      </c>
      <c r="J137">
        <v>74</v>
      </c>
      <c r="K137">
        <v>79</v>
      </c>
      <c r="L137">
        <v>92</v>
      </c>
      <c r="M137">
        <v>69</v>
      </c>
      <c r="N137">
        <f t="shared" si="6"/>
        <v>36.6</v>
      </c>
      <c r="O137" cm="1">
        <f t="array" ref="O137">SUM(_xlfn.XLOOKUP(E137:H137, $U$13:$U$17, $T$13:$T$17))</f>
        <v>14</v>
      </c>
      <c r="P137">
        <f t="shared" si="7"/>
        <v>0</v>
      </c>
      <c r="Q137" s="1">
        <f t="shared" si="8"/>
        <v>0</v>
      </c>
    </row>
    <row r="138" spans="1:17" x14ac:dyDescent="0.25">
      <c r="A138" s="1" t="s">
        <v>221</v>
      </c>
      <c r="B138" s="1" t="s">
        <v>222</v>
      </c>
      <c r="C138">
        <v>1</v>
      </c>
      <c r="D138">
        <v>2</v>
      </c>
      <c r="E138">
        <v>2</v>
      </c>
      <c r="F138">
        <v>4</v>
      </c>
      <c r="G138">
        <v>5</v>
      </c>
      <c r="H138">
        <v>3</v>
      </c>
      <c r="I138">
        <v>97</v>
      </c>
      <c r="J138">
        <v>51</v>
      </c>
      <c r="K138">
        <v>38</v>
      </c>
      <c r="L138">
        <v>17</v>
      </c>
      <c r="M138">
        <v>5</v>
      </c>
      <c r="N138">
        <f t="shared" si="6"/>
        <v>20.799999999999997</v>
      </c>
      <c r="O138" cm="1">
        <f t="array" ref="O138">SUM(_xlfn.XLOOKUP(E138:H138, $U$13:$U$17, $T$13:$T$17))</f>
        <v>18</v>
      </c>
      <c r="P138">
        <f t="shared" si="7"/>
        <v>1</v>
      </c>
      <c r="Q138" s="1">
        <f t="shared" si="8"/>
        <v>0</v>
      </c>
    </row>
    <row r="139" spans="1:17" x14ac:dyDescent="0.25">
      <c r="A139" s="1" t="s">
        <v>223</v>
      </c>
      <c r="B139" s="1" t="s">
        <v>145</v>
      </c>
      <c r="C139">
        <v>3</v>
      </c>
      <c r="D139">
        <v>3</v>
      </c>
      <c r="E139">
        <v>2</v>
      </c>
      <c r="F139">
        <v>5</v>
      </c>
      <c r="G139">
        <v>3</v>
      </c>
      <c r="H139">
        <v>5</v>
      </c>
      <c r="I139">
        <v>68</v>
      </c>
      <c r="J139">
        <v>38</v>
      </c>
      <c r="K139">
        <v>31</v>
      </c>
      <c r="L139">
        <v>14</v>
      </c>
      <c r="M139">
        <v>54</v>
      </c>
      <c r="N139">
        <f t="shared" si="6"/>
        <v>20.5</v>
      </c>
      <c r="O139" cm="1">
        <f t="array" ref="O139">SUM(_xlfn.XLOOKUP(E139:H139, $U$13:$U$17, $T$13:$T$17))</f>
        <v>20</v>
      </c>
      <c r="P139">
        <f t="shared" si="7"/>
        <v>3</v>
      </c>
      <c r="Q139" s="1">
        <f t="shared" si="8"/>
        <v>1</v>
      </c>
    </row>
    <row r="140" spans="1:17" x14ac:dyDescent="0.25">
      <c r="A140" s="1" t="s">
        <v>224</v>
      </c>
      <c r="B140" s="1" t="s">
        <v>225</v>
      </c>
      <c r="C140">
        <v>7</v>
      </c>
      <c r="D140">
        <v>6</v>
      </c>
      <c r="E140">
        <v>2</v>
      </c>
      <c r="F140">
        <v>5</v>
      </c>
      <c r="G140">
        <v>6</v>
      </c>
      <c r="H140">
        <v>5</v>
      </c>
      <c r="I140">
        <v>19</v>
      </c>
      <c r="J140">
        <v>56</v>
      </c>
      <c r="K140">
        <v>50</v>
      </c>
      <c r="L140">
        <v>43</v>
      </c>
      <c r="M140">
        <v>66</v>
      </c>
      <c r="N140">
        <f t="shared" si="6"/>
        <v>23.4</v>
      </c>
      <c r="O140" cm="1">
        <f t="array" ref="O140">SUM(_xlfn.XLOOKUP(E140:H140, $U$13:$U$17, $T$13:$T$17))</f>
        <v>26</v>
      </c>
      <c r="P140">
        <f t="shared" si="7"/>
        <v>9</v>
      </c>
      <c r="Q140" s="1">
        <f t="shared" si="8"/>
        <v>1</v>
      </c>
    </row>
    <row r="141" spans="1:17" x14ac:dyDescent="0.25">
      <c r="A141" s="1" t="s">
        <v>226</v>
      </c>
      <c r="B141" s="1" t="s">
        <v>74</v>
      </c>
      <c r="C141">
        <v>6</v>
      </c>
      <c r="D141">
        <v>6</v>
      </c>
      <c r="E141">
        <v>5</v>
      </c>
      <c r="F141">
        <v>3</v>
      </c>
      <c r="G141">
        <v>2</v>
      </c>
      <c r="H141">
        <v>3</v>
      </c>
      <c r="I141">
        <v>16</v>
      </c>
      <c r="J141">
        <v>95</v>
      </c>
      <c r="K141">
        <v>97</v>
      </c>
      <c r="L141">
        <v>62</v>
      </c>
      <c r="M141">
        <v>46</v>
      </c>
      <c r="N141">
        <f t="shared" si="6"/>
        <v>31.599999999999994</v>
      </c>
      <c r="O141" cm="1">
        <f t="array" ref="O141">SUM(_xlfn.XLOOKUP(E141:H141, $U$13:$U$17, $T$13:$T$17))</f>
        <v>16</v>
      </c>
      <c r="P141">
        <f t="shared" si="7"/>
        <v>8</v>
      </c>
      <c r="Q141" s="1">
        <f t="shared" si="8"/>
        <v>0</v>
      </c>
    </row>
    <row r="142" spans="1:17" x14ac:dyDescent="0.25">
      <c r="A142" s="1" t="s">
        <v>227</v>
      </c>
      <c r="B142" s="1" t="s">
        <v>78</v>
      </c>
      <c r="C142">
        <v>6</v>
      </c>
      <c r="D142">
        <v>5</v>
      </c>
      <c r="E142">
        <v>3</v>
      </c>
      <c r="F142">
        <v>2</v>
      </c>
      <c r="G142">
        <v>3</v>
      </c>
      <c r="H142">
        <v>5</v>
      </c>
      <c r="I142">
        <v>55</v>
      </c>
      <c r="J142">
        <v>2</v>
      </c>
      <c r="K142">
        <v>64</v>
      </c>
      <c r="L142">
        <v>13</v>
      </c>
      <c r="M142">
        <v>72</v>
      </c>
      <c r="N142">
        <f t="shared" si="6"/>
        <v>20.6</v>
      </c>
      <c r="O142" cm="1">
        <f t="array" ref="O142">SUM(_xlfn.XLOOKUP(E142:H142, $U$13:$U$17, $T$13:$T$17))</f>
        <v>16</v>
      </c>
      <c r="P142">
        <f t="shared" si="7"/>
        <v>6</v>
      </c>
      <c r="Q142" s="1">
        <f t="shared" si="8"/>
        <v>1</v>
      </c>
    </row>
    <row r="143" spans="1:17" x14ac:dyDescent="0.25">
      <c r="A143" s="1" t="s">
        <v>228</v>
      </c>
      <c r="B143" s="1" t="s">
        <v>166</v>
      </c>
      <c r="C143">
        <v>6</v>
      </c>
      <c r="D143">
        <v>2</v>
      </c>
      <c r="E143">
        <v>4</v>
      </c>
      <c r="F143">
        <v>3</v>
      </c>
      <c r="G143">
        <v>3</v>
      </c>
      <c r="H143">
        <v>2</v>
      </c>
      <c r="I143">
        <v>54</v>
      </c>
      <c r="J143">
        <v>83</v>
      </c>
      <c r="K143">
        <v>36</v>
      </c>
      <c r="L143">
        <v>27</v>
      </c>
      <c r="M143">
        <v>21</v>
      </c>
      <c r="N143">
        <f t="shared" si="6"/>
        <v>22.1</v>
      </c>
      <c r="O143" cm="1">
        <f t="array" ref="O143">SUM(_xlfn.XLOOKUP(E143:H143, $U$13:$U$17, $T$13:$T$17))</f>
        <v>14</v>
      </c>
      <c r="P143">
        <f t="shared" si="7"/>
        <v>6</v>
      </c>
      <c r="Q143" s="1">
        <f t="shared" si="8"/>
        <v>0</v>
      </c>
    </row>
    <row r="144" spans="1:17" x14ac:dyDescent="0.25">
      <c r="A144" s="1" t="s">
        <v>229</v>
      </c>
      <c r="B144" s="1" t="s">
        <v>174</v>
      </c>
      <c r="C144">
        <v>1</v>
      </c>
      <c r="D144">
        <v>5</v>
      </c>
      <c r="E144">
        <v>2</v>
      </c>
      <c r="F144">
        <v>2</v>
      </c>
      <c r="G144">
        <v>4</v>
      </c>
      <c r="H144">
        <v>5</v>
      </c>
      <c r="I144">
        <v>19</v>
      </c>
      <c r="J144">
        <v>92</v>
      </c>
      <c r="K144">
        <v>24</v>
      </c>
      <c r="L144">
        <v>32</v>
      </c>
      <c r="M144">
        <v>91</v>
      </c>
      <c r="N144">
        <f t="shared" si="6"/>
        <v>25.799999999999997</v>
      </c>
      <c r="O144" cm="1">
        <f t="array" ref="O144">SUM(_xlfn.XLOOKUP(E144:H144, $U$13:$U$17, $T$13:$T$17))</f>
        <v>14</v>
      </c>
      <c r="P144">
        <f t="shared" si="7"/>
        <v>1</v>
      </c>
      <c r="Q144" s="1">
        <f t="shared" si="8"/>
        <v>0</v>
      </c>
    </row>
    <row r="145" spans="1:17" x14ac:dyDescent="0.25">
      <c r="A145" s="1" t="s">
        <v>230</v>
      </c>
      <c r="B145" s="1" t="s">
        <v>137</v>
      </c>
      <c r="C145">
        <v>7</v>
      </c>
      <c r="D145">
        <v>3</v>
      </c>
      <c r="E145">
        <v>2</v>
      </c>
      <c r="F145">
        <v>3</v>
      </c>
      <c r="G145">
        <v>5</v>
      </c>
      <c r="H145">
        <v>6</v>
      </c>
      <c r="I145">
        <v>25</v>
      </c>
      <c r="J145">
        <v>14</v>
      </c>
      <c r="K145">
        <v>19</v>
      </c>
      <c r="L145">
        <v>95</v>
      </c>
      <c r="M145">
        <v>91</v>
      </c>
      <c r="N145">
        <f t="shared" si="6"/>
        <v>24.4</v>
      </c>
      <c r="O145" cm="1">
        <f t="array" ref="O145">SUM(_xlfn.XLOOKUP(E145:H145, $U$13:$U$17, $T$13:$T$17))</f>
        <v>22</v>
      </c>
      <c r="P145">
        <f t="shared" si="7"/>
        <v>7</v>
      </c>
      <c r="Q145" s="1">
        <f t="shared" si="8"/>
        <v>1</v>
      </c>
    </row>
    <row r="146" spans="1:17" x14ac:dyDescent="0.25">
      <c r="A146" s="1" t="s">
        <v>231</v>
      </c>
      <c r="B146" s="1" t="s">
        <v>232</v>
      </c>
      <c r="C146">
        <v>8</v>
      </c>
      <c r="D146">
        <v>4</v>
      </c>
      <c r="E146">
        <v>3</v>
      </c>
      <c r="F146">
        <v>2</v>
      </c>
      <c r="G146">
        <v>3</v>
      </c>
      <c r="H146">
        <v>4</v>
      </c>
      <c r="I146">
        <v>37</v>
      </c>
      <c r="J146">
        <v>69</v>
      </c>
      <c r="K146">
        <v>12</v>
      </c>
      <c r="L146">
        <v>17</v>
      </c>
      <c r="M146">
        <v>48</v>
      </c>
      <c r="N146">
        <f t="shared" si="6"/>
        <v>18.3</v>
      </c>
      <c r="O146" cm="1">
        <f t="array" ref="O146">SUM(_xlfn.XLOOKUP(E146:H146, $U$13:$U$17, $T$13:$T$17))</f>
        <v>14</v>
      </c>
      <c r="P146">
        <f t="shared" si="7"/>
        <v>8</v>
      </c>
      <c r="Q146" s="1">
        <f t="shared" si="8"/>
        <v>1</v>
      </c>
    </row>
    <row r="147" spans="1:17" x14ac:dyDescent="0.25">
      <c r="A147" s="1" t="s">
        <v>233</v>
      </c>
      <c r="B147" s="1" t="s">
        <v>145</v>
      </c>
      <c r="C147">
        <v>3</v>
      </c>
      <c r="D147">
        <v>6</v>
      </c>
      <c r="E147">
        <v>6</v>
      </c>
      <c r="F147">
        <v>6</v>
      </c>
      <c r="G147">
        <v>3</v>
      </c>
      <c r="H147">
        <v>4</v>
      </c>
      <c r="I147">
        <v>79</v>
      </c>
      <c r="J147">
        <v>23</v>
      </c>
      <c r="K147">
        <v>17</v>
      </c>
      <c r="L147">
        <v>99</v>
      </c>
      <c r="M147">
        <v>29</v>
      </c>
      <c r="N147">
        <f t="shared" si="6"/>
        <v>24.699999999999996</v>
      </c>
      <c r="O147" cm="1">
        <f t="array" ref="O147">SUM(_xlfn.XLOOKUP(E147:H147, $U$13:$U$17, $T$13:$T$17))</f>
        <v>30</v>
      </c>
      <c r="P147">
        <f t="shared" si="7"/>
        <v>5</v>
      </c>
      <c r="Q147" s="1">
        <f t="shared" si="8"/>
        <v>1</v>
      </c>
    </row>
    <row r="148" spans="1:17" x14ac:dyDescent="0.25">
      <c r="A148" s="1" t="s">
        <v>234</v>
      </c>
      <c r="B148" s="1" t="s">
        <v>159</v>
      </c>
      <c r="C148">
        <v>4</v>
      </c>
      <c r="D148">
        <v>5</v>
      </c>
      <c r="E148">
        <v>2</v>
      </c>
      <c r="F148">
        <v>5</v>
      </c>
      <c r="G148">
        <v>4</v>
      </c>
      <c r="H148">
        <v>3</v>
      </c>
      <c r="I148">
        <v>41</v>
      </c>
      <c r="J148">
        <v>64</v>
      </c>
      <c r="K148">
        <v>91</v>
      </c>
      <c r="L148">
        <v>82</v>
      </c>
      <c r="M148">
        <v>100</v>
      </c>
      <c r="N148">
        <f t="shared" si="6"/>
        <v>37.799999999999997</v>
      </c>
      <c r="O148" cm="1">
        <f t="array" ref="O148">SUM(_xlfn.XLOOKUP(E148:H148, $U$13:$U$17, $T$13:$T$17))</f>
        <v>18</v>
      </c>
      <c r="P148">
        <f t="shared" si="7"/>
        <v>4</v>
      </c>
      <c r="Q148" s="1">
        <f t="shared" si="8"/>
        <v>0</v>
      </c>
    </row>
    <row r="149" spans="1:17" x14ac:dyDescent="0.25">
      <c r="A149" s="1" t="s">
        <v>235</v>
      </c>
      <c r="B149" s="1" t="s">
        <v>101</v>
      </c>
      <c r="C149">
        <v>5</v>
      </c>
      <c r="D149">
        <v>4</v>
      </c>
      <c r="E149">
        <v>5</v>
      </c>
      <c r="F149">
        <v>2</v>
      </c>
      <c r="G149">
        <v>3</v>
      </c>
      <c r="H149">
        <v>2</v>
      </c>
      <c r="I149">
        <v>87</v>
      </c>
      <c r="J149">
        <v>45</v>
      </c>
      <c r="K149">
        <v>47</v>
      </c>
      <c r="L149">
        <v>75</v>
      </c>
      <c r="M149">
        <v>51</v>
      </c>
      <c r="N149">
        <f t="shared" si="6"/>
        <v>30.5</v>
      </c>
      <c r="O149" cm="1">
        <f t="array" ref="O149">SUM(_xlfn.XLOOKUP(E149:H149, $U$13:$U$17, $T$13:$T$17))</f>
        <v>12</v>
      </c>
      <c r="P149">
        <f t="shared" si="7"/>
        <v>5</v>
      </c>
      <c r="Q149" s="1">
        <f t="shared" si="8"/>
        <v>0</v>
      </c>
    </row>
    <row r="150" spans="1:17" x14ac:dyDescent="0.25">
      <c r="A150" s="1" t="s">
        <v>236</v>
      </c>
      <c r="B150" s="1" t="s">
        <v>90</v>
      </c>
      <c r="C150">
        <v>8</v>
      </c>
      <c r="D150">
        <v>3</v>
      </c>
      <c r="E150">
        <v>6</v>
      </c>
      <c r="F150">
        <v>3</v>
      </c>
      <c r="G150">
        <v>6</v>
      </c>
      <c r="H150">
        <v>2</v>
      </c>
      <c r="I150">
        <v>84</v>
      </c>
      <c r="J150">
        <v>77</v>
      </c>
      <c r="K150">
        <v>71</v>
      </c>
      <c r="L150">
        <v>71</v>
      </c>
      <c r="M150">
        <v>9</v>
      </c>
      <c r="N150">
        <f t="shared" si="6"/>
        <v>31.200000000000003</v>
      </c>
      <c r="O150" cm="1">
        <f t="array" ref="O150">SUM(_xlfn.XLOOKUP(E150:H150, $U$13:$U$17, $T$13:$T$17))</f>
        <v>24</v>
      </c>
      <c r="P150">
        <f t="shared" si="7"/>
        <v>8</v>
      </c>
      <c r="Q150" s="1">
        <f t="shared" si="8"/>
        <v>1</v>
      </c>
    </row>
    <row r="151" spans="1:17" x14ac:dyDescent="0.25">
      <c r="A151" s="1" t="s">
        <v>237</v>
      </c>
      <c r="B151" s="1" t="s">
        <v>90</v>
      </c>
      <c r="C151">
        <v>1</v>
      </c>
      <c r="D151">
        <v>2</v>
      </c>
      <c r="E151">
        <v>4</v>
      </c>
      <c r="F151">
        <v>4</v>
      </c>
      <c r="G151">
        <v>5</v>
      </c>
      <c r="H151">
        <v>5</v>
      </c>
      <c r="I151">
        <v>20</v>
      </c>
      <c r="J151">
        <v>93</v>
      </c>
      <c r="K151">
        <v>68</v>
      </c>
      <c r="L151">
        <v>58</v>
      </c>
      <c r="M151">
        <v>23</v>
      </c>
      <c r="N151">
        <f t="shared" si="6"/>
        <v>26.200000000000003</v>
      </c>
      <c r="O151" cm="1">
        <f t="array" ref="O151">SUM(_xlfn.XLOOKUP(E151:H151, $U$13:$U$17, $T$13:$T$17))</f>
        <v>28</v>
      </c>
      <c r="P151">
        <f t="shared" si="7"/>
        <v>1</v>
      </c>
      <c r="Q151" s="1">
        <f t="shared" si="8"/>
        <v>1</v>
      </c>
    </row>
    <row r="152" spans="1:17" x14ac:dyDescent="0.25">
      <c r="A152" s="1" t="s">
        <v>238</v>
      </c>
      <c r="B152" s="1" t="s">
        <v>239</v>
      </c>
      <c r="C152">
        <v>7</v>
      </c>
      <c r="D152">
        <v>5</v>
      </c>
      <c r="E152">
        <v>6</v>
      </c>
      <c r="F152">
        <v>6</v>
      </c>
      <c r="G152">
        <v>2</v>
      </c>
      <c r="H152">
        <v>5</v>
      </c>
      <c r="I152">
        <v>80</v>
      </c>
      <c r="J152">
        <v>90</v>
      </c>
      <c r="K152">
        <v>62</v>
      </c>
      <c r="L152">
        <v>97</v>
      </c>
      <c r="M152">
        <v>3</v>
      </c>
      <c r="N152">
        <f t="shared" si="6"/>
        <v>33.199999999999996</v>
      </c>
      <c r="O152" cm="1">
        <f t="array" ref="O152">SUM(_xlfn.XLOOKUP(E152:H152, $U$13:$U$17, $T$13:$T$17))</f>
        <v>28</v>
      </c>
      <c r="P152">
        <f t="shared" si="7"/>
        <v>7</v>
      </c>
      <c r="Q152" s="1">
        <f t="shared" si="8"/>
        <v>1</v>
      </c>
    </row>
    <row r="153" spans="1:17" x14ac:dyDescent="0.25">
      <c r="A153" s="1" t="s">
        <v>240</v>
      </c>
      <c r="B153" s="1" t="s">
        <v>232</v>
      </c>
      <c r="C153">
        <v>6</v>
      </c>
      <c r="D153">
        <v>6</v>
      </c>
      <c r="E153">
        <v>6</v>
      </c>
      <c r="F153">
        <v>4</v>
      </c>
      <c r="G153">
        <v>4</v>
      </c>
      <c r="H153">
        <v>5</v>
      </c>
      <c r="I153">
        <v>77</v>
      </c>
      <c r="J153">
        <v>40</v>
      </c>
      <c r="K153">
        <v>93</v>
      </c>
      <c r="L153">
        <v>80</v>
      </c>
      <c r="M153">
        <v>71</v>
      </c>
      <c r="N153">
        <f t="shared" si="6"/>
        <v>36.1</v>
      </c>
      <c r="O153" cm="1">
        <f t="array" ref="O153">SUM(_xlfn.XLOOKUP(E153:H153, $U$13:$U$17, $T$13:$T$17))</f>
        <v>30</v>
      </c>
      <c r="P153">
        <f t="shared" si="7"/>
        <v>8</v>
      </c>
      <c r="Q153" s="1">
        <f t="shared" si="8"/>
        <v>1</v>
      </c>
    </row>
    <row r="154" spans="1:17" x14ac:dyDescent="0.25">
      <c r="A154" s="1" t="s">
        <v>241</v>
      </c>
      <c r="B154" s="1" t="s">
        <v>242</v>
      </c>
      <c r="C154">
        <v>4</v>
      </c>
      <c r="D154">
        <v>6</v>
      </c>
      <c r="E154">
        <v>5</v>
      </c>
      <c r="F154">
        <v>3</v>
      </c>
      <c r="G154">
        <v>5</v>
      </c>
      <c r="H154">
        <v>4</v>
      </c>
      <c r="I154">
        <v>65</v>
      </c>
      <c r="J154">
        <v>34</v>
      </c>
      <c r="K154">
        <v>51</v>
      </c>
      <c r="L154">
        <v>38</v>
      </c>
      <c r="M154">
        <v>65</v>
      </c>
      <c r="N154">
        <f t="shared" si="6"/>
        <v>25.3</v>
      </c>
      <c r="O154" cm="1">
        <f t="array" ref="O154">SUM(_xlfn.XLOOKUP(E154:H154, $U$13:$U$17, $T$13:$T$17))</f>
        <v>26</v>
      </c>
      <c r="P154">
        <f t="shared" si="7"/>
        <v>6</v>
      </c>
      <c r="Q154" s="1">
        <f t="shared" si="8"/>
        <v>1</v>
      </c>
    </row>
    <row r="155" spans="1:17" x14ac:dyDescent="0.25">
      <c r="A155" s="1" t="s">
        <v>243</v>
      </c>
      <c r="B155" s="1" t="s">
        <v>244</v>
      </c>
      <c r="C155">
        <v>0</v>
      </c>
      <c r="D155">
        <v>6</v>
      </c>
      <c r="E155">
        <v>4</v>
      </c>
      <c r="F155">
        <v>3</v>
      </c>
      <c r="G155">
        <v>3</v>
      </c>
      <c r="H155">
        <v>2</v>
      </c>
      <c r="I155">
        <v>62</v>
      </c>
      <c r="J155">
        <v>62</v>
      </c>
      <c r="K155">
        <v>86</v>
      </c>
      <c r="L155">
        <v>10</v>
      </c>
      <c r="M155">
        <v>2</v>
      </c>
      <c r="N155">
        <f t="shared" si="6"/>
        <v>22.2</v>
      </c>
      <c r="O155" cm="1">
        <f t="array" ref="O155">SUM(_xlfn.XLOOKUP(E155:H155, $U$13:$U$17, $T$13:$T$17))</f>
        <v>14</v>
      </c>
      <c r="P155">
        <f t="shared" si="7"/>
        <v>2</v>
      </c>
      <c r="Q155" s="1">
        <f t="shared" si="8"/>
        <v>0</v>
      </c>
    </row>
    <row r="156" spans="1:17" x14ac:dyDescent="0.25">
      <c r="A156" s="1" t="s">
        <v>245</v>
      </c>
      <c r="B156" s="1" t="s">
        <v>246</v>
      </c>
      <c r="C156">
        <v>8</v>
      </c>
      <c r="D156">
        <v>5</v>
      </c>
      <c r="E156">
        <v>4</v>
      </c>
      <c r="F156">
        <v>2</v>
      </c>
      <c r="G156">
        <v>4</v>
      </c>
      <c r="H156">
        <v>2</v>
      </c>
      <c r="I156">
        <v>70</v>
      </c>
      <c r="J156">
        <v>4</v>
      </c>
      <c r="K156">
        <v>92</v>
      </c>
      <c r="L156">
        <v>91</v>
      </c>
      <c r="M156">
        <v>21</v>
      </c>
      <c r="N156">
        <f t="shared" si="6"/>
        <v>27.800000000000004</v>
      </c>
      <c r="O156" cm="1">
        <f t="array" ref="O156">SUM(_xlfn.XLOOKUP(E156:H156, $U$13:$U$17, $T$13:$T$17))</f>
        <v>12</v>
      </c>
      <c r="P156">
        <f t="shared" si="7"/>
        <v>8</v>
      </c>
      <c r="Q156" s="1">
        <f t="shared" si="8"/>
        <v>0</v>
      </c>
    </row>
    <row r="157" spans="1:17" x14ac:dyDescent="0.25">
      <c r="A157" s="1" t="s">
        <v>247</v>
      </c>
      <c r="B157" s="1" t="s">
        <v>164</v>
      </c>
      <c r="C157">
        <v>1</v>
      </c>
      <c r="D157">
        <v>2</v>
      </c>
      <c r="E157">
        <v>6</v>
      </c>
      <c r="F157">
        <v>5</v>
      </c>
      <c r="G157">
        <v>6</v>
      </c>
      <c r="H157">
        <v>4</v>
      </c>
      <c r="I157">
        <v>66</v>
      </c>
      <c r="J157">
        <v>78</v>
      </c>
      <c r="K157">
        <v>26</v>
      </c>
      <c r="L157">
        <v>98</v>
      </c>
      <c r="M157">
        <v>56</v>
      </c>
      <c r="N157">
        <f t="shared" si="6"/>
        <v>32.4</v>
      </c>
      <c r="O157" cm="1">
        <f t="array" ref="O157">SUM(_xlfn.XLOOKUP(E157:H157, $U$13:$U$17, $T$13:$T$17))</f>
        <v>34</v>
      </c>
      <c r="P157">
        <f t="shared" si="7"/>
        <v>1</v>
      </c>
      <c r="Q157" s="1">
        <f t="shared" si="8"/>
        <v>1</v>
      </c>
    </row>
    <row r="158" spans="1:17" x14ac:dyDescent="0.25">
      <c r="A158" s="1" t="s">
        <v>248</v>
      </c>
      <c r="B158" s="1" t="s">
        <v>249</v>
      </c>
      <c r="C158">
        <v>3</v>
      </c>
      <c r="D158">
        <v>4</v>
      </c>
      <c r="E158">
        <v>6</v>
      </c>
      <c r="F158">
        <v>2</v>
      </c>
      <c r="G158">
        <v>2</v>
      </c>
      <c r="H158">
        <v>5</v>
      </c>
      <c r="I158">
        <v>54</v>
      </c>
      <c r="J158">
        <v>12</v>
      </c>
      <c r="K158">
        <v>13</v>
      </c>
      <c r="L158">
        <v>21</v>
      </c>
      <c r="M158">
        <v>24</v>
      </c>
      <c r="N158">
        <f t="shared" si="6"/>
        <v>12.4</v>
      </c>
      <c r="O158" cm="1">
        <f t="array" ref="O158">SUM(_xlfn.XLOOKUP(E158:H158, $U$13:$U$17, $T$13:$T$17))</f>
        <v>18</v>
      </c>
      <c r="P158">
        <f t="shared" si="7"/>
        <v>3</v>
      </c>
      <c r="Q158" s="1">
        <f t="shared" si="8"/>
        <v>1</v>
      </c>
    </row>
    <row r="159" spans="1:17" x14ac:dyDescent="0.25">
      <c r="A159" s="1" t="s">
        <v>250</v>
      </c>
      <c r="B159" s="1" t="s">
        <v>251</v>
      </c>
      <c r="C159">
        <v>6</v>
      </c>
      <c r="D159">
        <v>2</v>
      </c>
      <c r="E159">
        <v>3</v>
      </c>
      <c r="F159">
        <v>3</v>
      </c>
      <c r="G159">
        <v>3</v>
      </c>
      <c r="H159">
        <v>6</v>
      </c>
      <c r="I159">
        <v>27</v>
      </c>
      <c r="J159">
        <v>2</v>
      </c>
      <c r="K159">
        <v>84</v>
      </c>
      <c r="L159">
        <v>100</v>
      </c>
      <c r="M159">
        <v>27</v>
      </c>
      <c r="N159">
        <f t="shared" si="6"/>
        <v>24</v>
      </c>
      <c r="O159" cm="1">
        <f t="array" ref="O159">SUM(_xlfn.XLOOKUP(E159:H159, $U$13:$U$17, $T$13:$T$17))</f>
        <v>22</v>
      </c>
      <c r="P159">
        <f t="shared" si="7"/>
        <v>6</v>
      </c>
      <c r="Q159" s="1">
        <f t="shared" si="8"/>
        <v>1</v>
      </c>
    </row>
    <row r="160" spans="1:17" x14ac:dyDescent="0.25">
      <c r="A160" s="1" t="s">
        <v>252</v>
      </c>
      <c r="B160" s="1" t="s">
        <v>253</v>
      </c>
      <c r="C160">
        <v>1</v>
      </c>
      <c r="D160">
        <v>4</v>
      </c>
      <c r="E160">
        <v>6</v>
      </c>
      <c r="F160">
        <v>6</v>
      </c>
      <c r="G160">
        <v>2</v>
      </c>
      <c r="H160">
        <v>3</v>
      </c>
      <c r="I160">
        <v>43</v>
      </c>
      <c r="J160">
        <v>77</v>
      </c>
      <c r="K160">
        <v>31</v>
      </c>
      <c r="L160">
        <v>88</v>
      </c>
      <c r="M160">
        <v>67</v>
      </c>
      <c r="N160">
        <f t="shared" si="6"/>
        <v>30.599999999999998</v>
      </c>
      <c r="O160" cm="1">
        <f t="array" ref="O160">SUM(_xlfn.XLOOKUP(E160:H160, $U$13:$U$17, $T$13:$T$17))</f>
        <v>24</v>
      </c>
      <c r="P160">
        <f t="shared" si="7"/>
        <v>1</v>
      </c>
      <c r="Q160" s="1">
        <f t="shared" si="8"/>
        <v>0</v>
      </c>
    </row>
    <row r="161" spans="1:17" x14ac:dyDescent="0.25">
      <c r="A161" s="1" t="s">
        <v>254</v>
      </c>
      <c r="B161" s="1" t="s">
        <v>28</v>
      </c>
      <c r="C161">
        <v>3</v>
      </c>
      <c r="D161">
        <v>6</v>
      </c>
      <c r="E161">
        <v>6</v>
      </c>
      <c r="F161">
        <v>4</v>
      </c>
      <c r="G161">
        <v>3</v>
      </c>
      <c r="H161">
        <v>6</v>
      </c>
      <c r="I161">
        <v>63</v>
      </c>
      <c r="J161">
        <v>36</v>
      </c>
      <c r="K161">
        <v>68</v>
      </c>
      <c r="L161">
        <v>19</v>
      </c>
      <c r="M161">
        <v>39</v>
      </c>
      <c r="N161">
        <f t="shared" si="6"/>
        <v>22.499999999999996</v>
      </c>
      <c r="O161" cm="1">
        <f t="array" ref="O161">SUM(_xlfn.XLOOKUP(E161:H161, $U$13:$U$17, $T$13:$T$17))</f>
        <v>30</v>
      </c>
      <c r="P161">
        <f t="shared" si="7"/>
        <v>5</v>
      </c>
      <c r="Q161" s="1">
        <f t="shared" si="8"/>
        <v>1</v>
      </c>
    </row>
    <row r="162" spans="1:17" x14ac:dyDescent="0.25">
      <c r="A162" s="1" t="s">
        <v>255</v>
      </c>
      <c r="B162" s="1" t="s">
        <v>222</v>
      </c>
      <c r="C162">
        <v>1</v>
      </c>
      <c r="D162">
        <v>2</v>
      </c>
      <c r="E162">
        <v>6</v>
      </c>
      <c r="F162">
        <v>4</v>
      </c>
      <c r="G162">
        <v>2</v>
      </c>
      <c r="H162">
        <v>2</v>
      </c>
      <c r="I162">
        <v>32</v>
      </c>
      <c r="J162">
        <v>18</v>
      </c>
      <c r="K162">
        <v>1</v>
      </c>
      <c r="L162">
        <v>56</v>
      </c>
      <c r="M162">
        <v>7</v>
      </c>
      <c r="N162">
        <f t="shared" si="6"/>
        <v>11.399999999999999</v>
      </c>
      <c r="O162" cm="1">
        <f t="array" ref="O162">SUM(_xlfn.XLOOKUP(E162:H162, $U$13:$U$17, $T$13:$T$17))</f>
        <v>16</v>
      </c>
      <c r="P162">
        <f t="shared" si="7"/>
        <v>1</v>
      </c>
      <c r="Q162" s="1">
        <f t="shared" si="8"/>
        <v>1</v>
      </c>
    </row>
    <row r="163" spans="1:17" x14ac:dyDescent="0.25">
      <c r="A163" s="1" t="s">
        <v>256</v>
      </c>
      <c r="B163" s="1" t="s">
        <v>78</v>
      </c>
      <c r="C163">
        <v>4</v>
      </c>
      <c r="D163">
        <v>3</v>
      </c>
      <c r="E163">
        <v>3</v>
      </c>
      <c r="F163">
        <v>2</v>
      </c>
      <c r="G163">
        <v>6</v>
      </c>
      <c r="H163">
        <v>2</v>
      </c>
      <c r="I163">
        <v>60</v>
      </c>
      <c r="J163">
        <v>64</v>
      </c>
      <c r="K163">
        <v>100</v>
      </c>
      <c r="L163">
        <v>38</v>
      </c>
      <c r="M163">
        <v>70</v>
      </c>
      <c r="N163">
        <f t="shared" si="6"/>
        <v>33.200000000000003</v>
      </c>
      <c r="O163" cm="1">
        <f t="array" ref="O163">SUM(_xlfn.XLOOKUP(E163:H163, $U$13:$U$17, $T$13:$T$17))</f>
        <v>14</v>
      </c>
      <c r="P163">
        <f t="shared" si="7"/>
        <v>4</v>
      </c>
      <c r="Q163" s="1">
        <f t="shared" si="8"/>
        <v>0</v>
      </c>
    </row>
    <row r="164" spans="1:17" x14ac:dyDescent="0.25">
      <c r="A164" s="1" t="s">
        <v>257</v>
      </c>
      <c r="B164" s="1" t="s">
        <v>20</v>
      </c>
      <c r="C164">
        <v>0</v>
      </c>
      <c r="D164">
        <v>6</v>
      </c>
      <c r="E164">
        <v>6</v>
      </c>
      <c r="F164">
        <v>5</v>
      </c>
      <c r="G164">
        <v>3</v>
      </c>
      <c r="H164">
        <v>2</v>
      </c>
      <c r="I164">
        <v>39</v>
      </c>
      <c r="J164">
        <v>66</v>
      </c>
      <c r="K164">
        <v>84</v>
      </c>
      <c r="L164">
        <v>47</v>
      </c>
      <c r="M164">
        <v>21</v>
      </c>
      <c r="N164">
        <f t="shared" si="6"/>
        <v>25.7</v>
      </c>
      <c r="O164" cm="1">
        <f t="array" ref="O164">SUM(_xlfn.XLOOKUP(E164:H164, $U$13:$U$17, $T$13:$T$17))</f>
        <v>22</v>
      </c>
      <c r="P164">
        <f t="shared" si="7"/>
        <v>2</v>
      </c>
      <c r="Q164" s="1">
        <f t="shared" si="8"/>
        <v>0</v>
      </c>
    </row>
    <row r="165" spans="1:17" x14ac:dyDescent="0.25">
      <c r="A165" s="1" t="s">
        <v>258</v>
      </c>
      <c r="B165" s="1" t="s">
        <v>180</v>
      </c>
      <c r="C165">
        <v>2</v>
      </c>
      <c r="D165">
        <v>2</v>
      </c>
      <c r="E165">
        <v>5</v>
      </c>
      <c r="F165">
        <v>2</v>
      </c>
      <c r="G165">
        <v>3</v>
      </c>
      <c r="H165">
        <v>3</v>
      </c>
      <c r="I165">
        <v>11</v>
      </c>
      <c r="J165">
        <v>88</v>
      </c>
      <c r="K165">
        <v>90</v>
      </c>
      <c r="L165">
        <v>20</v>
      </c>
      <c r="M165">
        <v>65</v>
      </c>
      <c r="N165">
        <f t="shared" si="6"/>
        <v>27.4</v>
      </c>
      <c r="O165" cm="1">
        <f t="array" ref="O165">SUM(_xlfn.XLOOKUP(E165:H165, $U$13:$U$17, $T$13:$T$17))</f>
        <v>16</v>
      </c>
      <c r="P165">
        <f t="shared" si="7"/>
        <v>2</v>
      </c>
      <c r="Q165" s="1">
        <f t="shared" si="8"/>
        <v>0</v>
      </c>
    </row>
    <row r="166" spans="1:17" x14ac:dyDescent="0.25">
      <c r="A166" s="1" t="s">
        <v>259</v>
      </c>
      <c r="B166" s="1" t="s">
        <v>260</v>
      </c>
      <c r="C166">
        <v>2</v>
      </c>
      <c r="D166">
        <v>5</v>
      </c>
      <c r="E166">
        <v>5</v>
      </c>
      <c r="F166">
        <v>2</v>
      </c>
      <c r="G166">
        <v>6</v>
      </c>
      <c r="H166">
        <v>2</v>
      </c>
      <c r="I166">
        <v>79</v>
      </c>
      <c r="J166">
        <v>66</v>
      </c>
      <c r="K166">
        <v>91</v>
      </c>
      <c r="L166">
        <v>30</v>
      </c>
      <c r="M166">
        <v>90</v>
      </c>
      <c r="N166">
        <f t="shared" si="6"/>
        <v>35.6</v>
      </c>
      <c r="O166" cm="1">
        <f t="array" ref="O166">SUM(_xlfn.XLOOKUP(E166:H166, $U$13:$U$17, $T$13:$T$17))</f>
        <v>18</v>
      </c>
      <c r="P166">
        <f t="shared" si="7"/>
        <v>2</v>
      </c>
      <c r="Q166" s="1">
        <f t="shared" si="8"/>
        <v>0</v>
      </c>
    </row>
    <row r="167" spans="1:17" x14ac:dyDescent="0.25">
      <c r="A167" s="1" t="s">
        <v>261</v>
      </c>
      <c r="B167" s="1" t="s">
        <v>218</v>
      </c>
      <c r="C167">
        <v>5</v>
      </c>
      <c r="D167">
        <v>3</v>
      </c>
      <c r="E167">
        <v>6</v>
      </c>
      <c r="F167">
        <v>3</v>
      </c>
      <c r="G167">
        <v>3</v>
      </c>
      <c r="H167">
        <v>5</v>
      </c>
      <c r="I167">
        <v>15</v>
      </c>
      <c r="J167">
        <v>21</v>
      </c>
      <c r="K167">
        <v>66</v>
      </c>
      <c r="L167">
        <v>55</v>
      </c>
      <c r="M167">
        <v>90</v>
      </c>
      <c r="N167">
        <f t="shared" si="6"/>
        <v>24.7</v>
      </c>
      <c r="O167" cm="1">
        <f t="array" ref="O167">SUM(_xlfn.XLOOKUP(E167:H167, $U$13:$U$17, $T$13:$T$17))</f>
        <v>26</v>
      </c>
      <c r="P167">
        <f t="shared" si="7"/>
        <v>5</v>
      </c>
      <c r="Q167" s="1">
        <f t="shared" si="8"/>
        <v>1</v>
      </c>
    </row>
    <row r="168" spans="1:17" x14ac:dyDescent="0.25">
      <c r="A168" s="1" t="s">
        <v>262</v>
      </c>
      <c r="B168" s="1" t="s">
        <v>41</v>
      </c>
      <c r="C168">
        <v>4</v>
      </c>
      <c r="D168">
        <v>3</v>
      </c>
      <c r="E168">
        <v>6</v>
      </c>
      <c r="F168">
        <v>6</v>
      </c>
      <c r="G168">
        <v>4</v>
      </c>
      <c r="H168">
        <v>4</v>
      </c>
      <c r="I168">
        <v>15</v>
      </c>
      <c r="J168">
        <v>36</v>
      </c>
      <c r="K168">
        <v>51</v>
      </c>
      <c r="L168">
        <v>10</v>
      </c>
      <c r="M168">
        <v>68</v>
      </c>
      <c r="N168">
        <f t="shared" si="6"/>
        <v>18</v>
      </c>
      <c r="O168" cm="1">
        <f t="array" ref="O168">SUM(_xlfn.XLOOKUP(E168:H168, $U$13:$U$17, $T$13:$T$17))</f>
        <v>32</v>
      </c>
      <c r="P168">
        <f t="shared" si="7"/>
        <v>4</v>
      </c>
      <c r="Q168" s="1">
        <f t="shared" si="8"/>
        <v>1</v>
      </c>
    </row>
    <row r="169" spans="1:17" x14ac:dyDescent="0.25">
      <c r="A169" s="1" t="s">
        <v>263</v>
      </c>
      <c r="B169" s="1" t="s">
        <v>78</v>
      </c>
      <c r="C169">
        <v>5</v>
      </c>
      <c r="D169">
        <v>5</v>
      </c>
      <c r="E169">
        <v>6</v>
      </c>
      <c r="F169">
        <v>6</v>
      </c>
      <c r="G169">
        <v>6</v>
      </c>
      <c r="H169">
        <v>6</v>
      </c>
      <c r="I169">
        <v>63</v>
      </c>
      <c r="J169">
        <v>88</v>
      </c>
      <c r="K169">
        <v>72</v>
      </c>
      <c r="L169">
        <v>90</v>
      </c>
      <c r="M169">
        <v>83</v>
      </c>
      <c r="N169">
        <f t="shared" si="6"/>
        <v>39.6</v>
      </c>
      <c r="O169" cm="1">
        <f t="array" ref="O169">SUM(_xlfn.XLOOKUP(E169:H169, $U$13:$U$17, $T$13:$T$17))</f>
        <v>40</v>
      </c>
      <c r="P169">
        <f t="shared" si="7"/>
        <v>5</v>
      </c>
      <c r="Q169" s="1">
        <f t="shared" si="8"/>
        <v>1</v>
      </c>
    </row>
    <row r="170" spans="1:17" x14ac:dyDescent="0.25">
      <c r="A170" s="1" t="s">
        <v>264</v>
      </c>
      <c r="B170" s="1" t="s">
        <v>246</v>
      </c>
      <c r="C170">
        <v>8</v>
      </c>
      <c r="D170">
        <v>3</v>
      </c>
      <c r="E170">
        <v>5</v>
      </c>
      <c r="F170">
        <v>5</v>
      </c>
      <c r="G170">
        <v>5</v>
      </c>
      <c r="H170">
        <v>6</v>
      </c>
      <c r="I170">
        <v>55</v>
      </c>
      <c r="J170">
        <v>10</v>
      </c>
      <c r="K170">
        <v>80</v>
      </c>
      <c r="L170">
        <v>8</v>
      </c>
      <c r="M170">
        <v>78</v>
      </c>
      <c r="N170">
        <f t="shared" si="6"/>
        <v>23.1</v>
      </c>
      <c r="O170" cm="1">
        <f t="array" ref="O170">SUM(_xlfn.XLOOKUP(E170:H170, $U$13:$U$17, $T$13:$T$17))</f>
        <v>34</v>
      </c>
      <c r="P170">
        <f t="shared" si="7"/>
        <v>8</v>
      </c>
      <c r="Q170" s="1">
        <f t="shared" si="8"/>
        <v>1</v>
      </c>
    </row>
    <row r="171" spans="1:17" x14ac:dyDescent="0.25">
      <c r="A171" s="1" t="s">
        <v>265</v>
      </c>
      <c r="B171" s="1" t="s">
        <v>16</v>
      </c>
      <c r="C171">
        <v>7</v>
      </c>
      <c r="D171">
        <v>3</v>
      </c>
      <c r="E171">
        <v>5</v>
      </c>
      <c r="F171">
        <v>4</v>
      </c>
      <c r="G171">
        <v>5</v>
      </c>
      <c r="H171">
        <v>6</v>
      </c>
      <c r="I171">
        <v>24</v>
      </c>
      <c r="J171">
        <v>82</v>
      </c>
      <c r="K171">
        <v>37</v>
      </c>
      <c r="L171">
        <v>7</v>
      </c>
      <c r="M171">
        <v>12</v>
      </c>
      <c r="N171">
        <f t="shared" si="6"/>
        <v>16.2</v>
      </c>
      <c r="O171" cm="1">
        <f t="array" ref="O171">SUM(_xlfn.XLOOKUP(E171:H171, $U$13:$U$17, $T$13:$T$17))</f>
        <v>32</v>
      </c>
      <c r="P171">
        <f t="shared" si="7"/>
        <v>7</v>
      </c>
      <c r="Q171" s="1">
        <f t="shared" si="8"/>
        <v>1</v>
      </c>
    </row>
    <row r="172" spans="1:17" x14ac:dyDescent="0.25">
      <c r="A172" s="1" t="s">
        <v>266</v>
      </c>
      <c r="B172" s="1" t="s">
        <v>199</v>
      </c>
      <c r="C172">
        <v>0</v>
      </c>
      <c r="D172">
        <v>2</v>
      </c>
      <c r="E172">
        <v>3</v>
      </c>
      <c r="F172">
        <v>4</v>
      </c>
      <c r="G172">
        <v>6</v>
      </c>
      <c r="H172">
        <v>6</v>
      </c>
      <c r="I172">
        <v>19</v>
      </c>
      <c r="J172">
        <v>82</v>
      </c>
      <c r="K172">
        <v>75</v>
      </c>
      <c r="L172">
        <v>35</v>
      </c>
      <c r="M172">
        <v>75</v>
      </c>
      <c r="N172">
        <f t="shared" si="6"/>
        <v>28.6</v>
      </c>
      <c r="O172" cm="1">
        <f t="array" ref="O172">SUM(_xlfn.XLOOKUP(E172:H172, $U$13:$U$17, $T$13:$T$17))</f>
        <v>30</v>
      </c>
      <c r="P172">
        <f t="shared" si="7"/>
        <v>0</v>
      </c>
      <c r="Q172" s="1">
        <f t="shared" si="8"/>
        <v>1</v>
      </c>
    </row>
    <row r="173" spans="1:17" x14ac:dyDescent="0.25">
      <c r="A173" s="1" t="s">
        <v>267</v>
      </c>
      <c r="B173" s="1" t="s">
        <v>239</v>
      </c>
      <c r="C173">
        <v>5</v>
      </c>
      <c r="D173">
        <v>3</v>
      </c>
      <c r="E173">
        <v>5</v>
      </c>
      <c r="F173">
        <v>3</v>
      </c>
      <c r="G173">
        <v>3</v>
      </c>
      <c r="H173">
        <v>2</v>
      </c>
      <c r="I173">
        <v>33</v>
      </c>
      <c r="J173">
        <v>10</v>
      </c>
      <c r="K173">
        <v>92</v>
      </c>
      <c r="L173">
        <v>74</v>
      </c>
      <c r="M173">
        <v>79</v>
      </c>
      <c r="N173">
        <f t="shared" si="6"/>
        <v>28.799999999999997</v>
      </c>
      <c r="O173" cm="1">
        <f t="array" ref="O173">SUM(_xlfn.XLOOKUP(E173:H173, $U$13:$U$17, $T$13:$T$17))</f>
        <v>16</v>
      </c>
      <c r="P173">
        <f t="shared" si="7"/>
        <v>5</v>
      </c>
      <c r="Q173" s="1">
        <f t="shared" si="8"/>
        <v>0</v>
      </c>
    </row>
    <row r="174" spans="1:17" x14ac:dyDescent="0.25">
      <c r="A174" s="1" t="s">
        <v>268</v>
      </c>
      <c r="B174" s="1" t="s">
        <v>101</v>
      </c>
      <c r="C174">
        <v>4</v>
      </c>
      <c r="D174">
        <v>5</v>
      </c>
      <c r="E174">
        <v>5</v>
      </c>
      <c r="F174">
        <v>3</v>
      </c>
      <c r="G174">
        <v>4</v>
      </c>
      <c r="H174">
        <v>4</v>
      </c>
      <c r="I174">
        <v>94</v>
      </c>
      <c r="J174">
        <v>21</v>
      </c>
      <c r="K174">
        <v>58</v>
      </c>
      <c r="L174">
        <v>60</v>
      </c>
      <c r="M174">
        <v>36</v>
      </c>
      <c r="N174">
        <f t="shared" si="6"/>
        <v>26.900000000000002</v>
      </c>
      <c r="O174" cm="1">
        <f t="array" ref="O174">SUM(_xlfn.XLOOKUP(E174:H174, $U$13:$U$17, $T$13:$T$17))</f>
        <v>24</v>
      </c>
      <c r="P174">
        <f t="shared" si="7"/>
        <v>4</v>
      </c>
      <c r="Q174" s="1">
        <f t="shared" si="8"/>
        <v>1</v>
      </c>
    </row>
    <row r="175" spans="1:17" x14ac:dyDescent="0.25">
      <c r="A175" s="1" t="s">
        <v>269</v>
      </c>
      <c r="B175" s="1" t="s">
        <v>205</v>
      </c>
      <c r="C175">
        <v>1</v>
      </c>
      <c r="D175">
        <v>2</v>
      </c>
      <c r="E175">
        <v>6</v>
      </c>
      <c r="F175">
        <v>4</v>
      </c>
      <c r="G175">
        <v>6</v>
      </c>
      <c r="H175">
        <v>5</v>
      </c>
      <c r="I175">
        <v>5</v>
      </c>
      <c r="J175">
        <v>79</v>
      </c>
      <c r="K175">
        <v>31</v>
      </c>
      <c r="L175">
        <v>60</v>
      </c>
      <c r="M175">
        <v>44</v>
      </c>
      <c r="N175">
        <f t="shared" si="6"/>
        <v>21.9</v>
      </c>
      <c r="O175" cm="1">
        <f t="array" ref="O175">SUM(_xlfn.XLOOKUP(E175:H175, $U$13:$U$17, $T$13:$T$17))</f>
        <v>34</v>
      </c>
      <c r="P175">
        <f t="shared" si="7"/>
        <v>1</v>
      </c>
      <c r="Q175" s="1">
        <f t="shared" si="8"/>
        <v>1</v>
      </c>
    </row>
    <row r="176" spans="1:17" x14ac:dyDescent="0.25">
      <c r="A176" s="1" t="s">
        <v>270</v>
      </c>
      <c r="B176" s="1" t="s">
        <v>210</v>
      </c>
      <c r="C176">
        <v>0</v>
      </c>
      <c r="D176">
        <v>4</v>
      </c>
      <c r="E176">
        <v>4</v>
      </c>
      <c r="F176">
        <v>6</v>
      </c>
      <c r="G176">
        <v>4</v>
      </c>
      <c r="H176">
        <v>4</v>
      </c>
      <c r="I176">
        <v>60</v>
      </c>
      <c r="J176">
        <v>36</v>
      </c>
      <c r="K176">
        <v>6</v>
      </c>
      <c r="L176">
        <v>48</v>
      </c>
      <c r="M176">
        <v>31</v>
      </c>
      <c r="N176">
        <f t="shared" si="6"/>
        <v>18.100000000000001</v>
      </c>
      <c r="O176" cm="1">
        <f t="array" ref="O176">SUM(_xlfn.XLOOKUP(E176:H176, $U$13:$U$17, $T$13:$T$17))</f>
        <v>28</v>
      </c>
      <c r="P176">
        <f t="shared" si="7"/>
        <v>0</v>
      </c>
      <c r="Q176" s="1">
        <f t="shared" si="8"/>
        <v>1</v>
      </c>
    </row>
    <row r="177" spans="1:17" x14ac:dyDescent="0.25">
      <c r="A177" s="1" t="s">
        <v>271</v>
      </c>
      <c r="B177" s="1" t="s">
        <v>30</v>
      </c>
      <c r="C177">
        <v>6</v>
      </c>
      <c r="D177">
        <v>3</v>
      </c>
      <c r="E177">
        <v>2</v>
      </c>
      <c r="F177">
        <v>2</v>
      </c>
      <c r="G177">
        <v>6</v>
      </c>
      <c r="H177">
        <v>6</v>
      </c>
      <c r="I177">
        <v>47</v>
      </c>
      <c r="J177">
        <v>36</v>
      </c>
      <c r="K177">
        <v>64</v>
      </c>
      <c r="L177">
        <v>67</v>
      </c>
      <c r="M177">
        <v>13</v>
      </c>
      <c r="N177">
        <f t="shared" si="6"/>
        <v>22.700000000000003</v>
      </c>
      <c r="O177" cm="1">
        <f t="array" ref="O177">SUM(_xlfn.XLOOKUP(E177:H177, $U$13:$U$17, $T$13:$T$17))</f>
        <v>20</v>
      </c>
      <c r="P177">
        <f t="shared" si="7"/>
        <v>6</v>
      </c>
      <c r="Q177" s="1">
        <f t="shared" si="8"/>
        <v>1</v>
      </c>
    </row>
    <row r="178" spans="1:17" x14ac:dyDescent="0.25">
      <c r="A178" s="1" t="s">
        <v>272</v>
      </c>
      <c r="B178" s="1" t="s">
        <v>273</v>
      </c>
      <c r="C178">
        <v>0</v>
      </c>
      <c r="D178">
        <v>5</v>
      </c>
      <c r="E178">
        <v>5</v>
      </c>
      <c r="F178">
        <v>3</v>
      </c>
      <c r="G178">
        <v>3</v>
      </c>
      <c r="H178">
        <v>4</v>
      </c>
      <c r="I178">
        <v>92</v>
      </c>
      <c r="J178">
        <v>58</v>
      </c>
      <c r="K178">
        <v>73</v>
      </c>
      <c r="L178">
        <v>53</v>
      </c>
      <c r="M178">
        <v>68</v>
      </c>
      <c r="N178">
        <f t="shared" si="6"/>
        <v>34.4</v>
      </c>
      <c r="O178" cm="1">
        <f t="array" ref="O178">SUM(_xlfn.XLOOKUP(E178:H178, $U$13:$U$17, $T$13:$T$17))</f>
        <v>22</v>
      </c>
      <c r="P178">
        <f t="shared" si="7"/>
        <v>0</v>
      </c>
      <c r="Q178" s="1">
        <f t="shared" si="8"/>
        <v>0</v>
      </c>
    </row>
    <row r="179" spans="1:17" x14ac:dyDescent="0.25">
      <c r="A179" s="1" t="s">
        <v>274</v>
      </c>
      <c r="B179" s="1" t="s">
        <v>16</v>
      </c>
      <c r="C179">
        <v>3</v>
      </c>
      <c r="D179">
        <v>5</v>
      </c>
      <c r="E179">
        <v>4</v>
      </c>
      <c r="F179">
        <v>6</v>
      </c>
      <c r="G179">
        <v>6</v>
      </c>
      <c r="H179">
        <v>4</v>
      </c>
      <c r="I179">
        <v>70</v>
      </c>
      <c r="J179">
        <v>3</v>
      </c>
      <c r="K179">
        <v>92</v>
      </c>
      <c r="L179">
        <v>40</v>
      </c>
      <c r="M179">
        <v>41</v>
      </c>
      <c r="N179">
        <f t="shared" si="6"/>
        <v>24.6</v>
      </c>
      <c r="O179" cm="1">
        <f t="array" ref="O179">SUM(_xlfn.XLOOKUP(E179:H179, $U$13:$U$17, $T$13:$T$17))</f>
        <v>32</v>
      </c>
      <c r="P179">
        <f t="shared" si="7"/>
        <v>3</v>
      </c>
      <c r="Q179" s="1">
        <f t="shared" si="8"/>
        <v>1</v>
      </c>
    </row>
    <row r="180" spans="1:17" x14ac:dyDescent="0.25">
      <c r="A180" s="1" t="s">
        <v>275</v>
      </c>
      <c r="B180" s="1" t="s">
        <v>126</v>
      </c>
      <c r="C180">
        <v>5</v>
      </c>
      <c r="D180">
        <v>2</v>
      </c>
      <c r="E180">
        <v>4</v>
      </c>
      <c r="F180">
        <v>6</v>
      </c>
      <c r="G180">
        <v>5</v>
      </c>
      <c r="H180">
        <v>3</v>
      </c>
      <c r="I180">
        <v>78</v>
      </c>
      <c r="J180">
        <v>78</v>
      </c>
      <c r="K180">
        <v>90</v>
      </c>
      <c r="L180">
        <v>83</v>
      </c>
      <c r="M180">
        <v>63</v>
      </c>
      <c r="N180">
        <f t="shared" si="6"/>
        <v>39.200000000000003</v>
      </c>
      <c r="O180" cm="1">
        <f t="array" ref="O180">SUM(_xlfn.XLOOKUP(E180:H180, $U$13:$U$17, $T$13:$T$17))</f>
        <v>28</v>
      </c>
      <c r="P180">
        <f t="shared" si="7"/>
        <v>5</v>
      </c>
      <c r="Q180" s="1">
        <f t="shared" si="8"/>
        <v>0</v>
      </c>
    </row>
    <row r="181" spans="1:17" x14ac:dyDescent="0.25">
      <c r="A181" s="1" t="s">
        <v>276</v>
      </c>
      <c r="B181" s="1" t="s">
        <v>180</v>
      </c>
      <c r="C181">
        <v>0</v>
      </c>
      <c r="D181">
        <v>6</v>
      </c>
      <c r="E181">
        <v>5</v>
      </c>
      <c r="F181">
        <v>6</v>
      </c>
      <c r="G181">
        <v>6</v>
      </c>
      <c r="H181">
        <v>6</v>
      </c>
      <c r="I181">
        <v>43</v>
      </c>
      <c r="J181">
        <v>3</v>
      </c>
      <c r="K181">
        <v>56</v>
      </c>
      <c r="L181">
        <v>52</v>
      </c>
      <c r="M181">
        <v>41</v>
      </c>
      <c r="N181">
        <f t="shared" si="6"/>
        <v>19.5</v>
      </c>
      <c r="O181" cm="1">
        <f t="array" ref="O181">SUM(_xlfn.XLOOKUP(E181:H181, $U$13:$U$17, $T$13:$T$17))</f>
        <v>38</v>
      </c>
      <c r="P181">
        <f t="shared" si="7"/>
        <v>2</v>
      </c>
      <c r="Q181" s="1">
        <f t="shared" si="8"/>
        <v>1</v>
      </c>
    </row>
    <row r="182" spans="1:17" x14ac:dyDescent="0.25">
      <c r="A182" s="1" t="s">
        <v>277</v>
      </c>
      <c r="B182" s="1" t="s">
        <v>161</v>
      </c>
      <c r="C182">
        <v>1</v>
      </c>
      <c r="D182">
        <v>4</v>
      </c>
      <c r="E182">
        <v>4</v>
      </c>
      <c r="F182">
        <v>3</v>
      </c>
      <c r="G182">
        <v>6</v>
      </c>
      <c r="H182">
        <v>6</v>
      </c>
      <c r="I182">
        <v>33</v>
      </c>
      <c r="J182">
        <v>38</v>
      </c>
      <c r="K182">
        <v>27</v>
      </c>
      <c r="L182">
        <v>60</v>
      </c>
      <c r="M182">
        <v>80</v>
      </c>
      <c r="N182">
        <f t="shared" si="6"/>
        <v>23.8</v>
      </c>
      <c r="O182" cm="1">
        <f t="array" ref="O182">SUM(_xlfn.XLOOKUP(E182:H182, $U$13:$U$17, $T$13:$T$17))</f>
        <v>30</v>
      </c>
      <c r="P182">
        <f t="shared" si="7"/>
        <v>1</v>
      </c>
      <c r="Q182" s="1">
        <f t="shared" si="8"/>
        <v>1</v>
      </c>
    </row>
    <row r="183" spans="1:17" x14ac:dyDescent="0.25">
      <c r="A183" s="1" t="s">
        <v>278</v>
      </c>
      <c r="B183" s="1" t="s">
        <v>279</v>
      </c>
      <c r="C183">
        <v>5</v>
      </c>
      <c r="D183">
        <v>6</v>
      </c>
      <c r="E183">
        <v>2</v>
      </c>
      <c r="F183">
        <v>5</v>
      </c>
      <c r="G183">
        <v>5</v>
      </c>
      <c r="H183">
        <v>5</v>
      </c>
      <c r="I183">
        <v>80</v>
      </c>
      <c r="J183">
        <v>54</v>
      </c>
      <c r="K183">
        <v>22</v>
      </c>
      <c r="L183">
        <v>26</v>
      </c>
      <c r="M183">
        <v>62</v>
      </c>
      <c r="N183">
        <f t="shared" si="6"/>
        <v>24.400000000000002</v>
      </c>
      <c r="O183" cm="1">
        <f t="array" ref="O183">SUM(_xlfn.XLOOKUP(E183:H183, $U$13:$U$17, $T$13:$T$17))</f>
        <v>24</v>
      </c>
      <c r="P183">
        <f t="shared" si="7"/>
        <v>7</v>
      </c>
      <c r="Q183" s="1">
        <f t="shared" si="8"/>
        <v>1</v>
      </c>
    </row>
    <row r="184" spans="1:17" x14ac:dyDescent="0.25">
      <c r="A184" s="1" t="s">
        <v>280</v>
      </c>
      <c r="B184" s="1" t="s">
        <v>159</v>
      </c>
      <c r="C184">
        <v>6</v>
      </c>
      <c r="D184">
        <v>6</v>
      </c>
      <c r="E184">
        <v>2</v>
      </c>
      <c r="F184">
        <v>4</v>
      </c>
      <c r="G184">
        <v>5</v>
      </c>
      <c r="H184">
        <v>2</v>
      </c>
      <c r="I184">
        <v>34</v>
      </c>
      <c r="J184">
        <v>92</v>
      </c>
      <c r="K184">
        <v>51</v>
      </c>
      <c r="L184">
        <v>32</v>
      </c>
      <c r="M184">
        <v>80</v>
      </c>
      <c r="N184">
        <f t="shared" si="6"/>
        <v>28.9</v>
      </c>
      <c r="O184" cm="1">
        <f t="array" ref="O184">SUM(_xlfn.XLOOKUP(E184:H184, $U$13:$U$17, $T$13:$T$17))</f>
        <v>14</v>
      </c>
      <c r="P184">
        <f t="shared" si="7"/>
        <v>8</v>
      </c>
      <c r="Q184" s="1">
        <f t="shared" si="8"/>
        <v>0</v>
      </c>
    </row>
    <row r="185" spans="1:17" x14ac:dyDescent="0.25">
      <c r="A185" s="1" t="s">
        <v>281</v>
      </c>
      <c r="B185" s="1" t="s">
        <v>41</v>
      </c>
      <c r="C185">
        <v>8</v>
      </c>
      <c r="D185">
        <v>2</v>
      </c>
      <c r="E185">
        <v>4</v>
      </c>
      <c r="F185">
        <v>2</v>
      </c>
      <c r="G185">
        <v>6</v>
      </c>
      <c r="H185">
        <v>5</v>
      </c>
      <c r="I185">
        <v>17</v>
      </c>
      <c r="J185">
        <v>29</v>
      </c>
      <c r="K185">
        <v>83</v>
      </c>
      <c r="L185">
        <v>9</v>
      </c>
      <c r="M185">
        <v>54</v>
      </c>
      <c r="N185">
        <f t="shared" si="6"/>
        <v>19.200000000000003</v>
      </c>
      <c r="O185" cm="1">
        <f t="array" ref="O185">SUM(_xlfn.XLOOKUP(E185:H185, $U$13:$U$17, $T$13:$T$17))</f>
        <v>24</v>
      </c>
      <c r="P185">
        <f t="shared" si="7"/>
        <v>8</v>
      </c>
      <c r="Q185" s="1">
        <f t="shared" si="8"/>
        <v>1</v>
      </c>
    </row>
    <row r="186" spans="1:17" x14ac:dyDescent="0.25">
      <c r="A186" s="1" t="s">
        <v>282</v>
      </c>
      <c r="B186" s="1" t="s">
        <v>41</v>
      </c>
      <c r="C186">
        <v>1</v>
      </c>
      <c r="D186">
        <v>5</v>
      </c>
      <c r="E186">
        <v>6</v>
      </c>
      <c r="F186">
        <v>4</v>
      </c>
      <c r="G186">
        <v>3</v>
      </c>
      <c r="H186">
        <v>2</v>
      </c>
      <c r="I186">
        <v>14</v>
      </c>
      <c r="J186">
        <v>49</v>
      </c>
      <c r="K186">
        <v>64</v>
      </c>
      <c r="L186">
        <v>36</v>
      </c>
      <c r="M186">
        <v>2</v>
      </c>
      <c r="N186">
        <f t="shared" si="6"/>
        <v>16.5</v>
      </c>
      <c r="O186" cm="1">
        <f t="array" ref="O186">SUM(_xlfn.XLOOKUP(E186:H186, $U$13:$U$17, $T$13:$T$17))</f>
        <v>20</v>
      </c>
      <c r="P186">
        <f t="shared" si="7"/>
        <v>1</v>
      </c>
      <c r="Q186" s="1">
        <f t="shared" si="8"/>
        <v>1</v>
      </c>
    </row>
    <row r="187" spans="1:17" x14ac:dyDescent="0.25">
      <c r="A187" s="1" t="s">
        <v>283</v>
      </c>
      <c r="B187" s="1" t="s">
        <v>242</v>
      </c>
      <c r="C187">
        <v>6</v>
      </c>
      <c r="D187">
        <v>6</v>
      </c>
      <c r="E187">
        <v>3</v>
      </c>
      <c r="F187">
        <v>6</v>
      </c>
      <c r="G187">
        <v>2</v>
      </c>
      <c r="H187">
        <v>3</v>
      </c>
      <c r="I187">
        <v>27</v>
      </c>
      <c r="J187">
        <v>64</v>
      </c>
      <c r="K187">
        <v>47</v>
      </c>
      <c r="L187">
        <v>11</v>
      </c>
      <c r="M187">
        <v>24</v>
      </c>
      <c r="N187">
        <f t="shared" si="6"/>
        <v>17.3</v>
      </c>
      <c r="O187" cm="1">
        <f t="array" ref="O187">SUM(_xlfn.XLOOKUP(E187:H187, $U$13:$U$17, $T$13:$T$17))</f>
        <v>18</v>
      </c>
      <c r="P187">
        <f t="shared" si="7"/>
        <v>8</v>
      </c>
      <c r="Q187" s="1">
        <f t="shared" si="8"/>
        <v>1</v>
      </c>
    </row>
    <row r="188" spans="1:17" x14ac:dyDescent="0.25">
      <c r="A188" s="1" t="s">
        <v>284</v>
      </c>
      <c r="B188" s="1" t="s">
        <v>166</v>
      </c>
      <c r="C188">
        <v>3</v>
      </c>
      <c r="D188">
        <v>5</v>
      </c>
      <c r="E188">
        <v>3</v>
      </c>
      <c r="F188">
        <v>2</v>
      </c>
      <c r="G188">
        <v>6</v>
      </c>
      <c r="H188">
        <v>6</v>
      </c>
      <c r="I188">
        <v>77</v>
      </c>
      <c r="J188">
        <v>9</v>
      </c>
      <c r="K188">
        <v>73</v>
      </c>
      <c r="L188">
        <v>35</v>
      </c>
      <c r="M188">
        <v>96</v>
      </c>
      <c r="N188">
        <f t="shared" si="6"/>
        <v>29</v>
      </c>
      <c r="O188" cm="1">
        <f t="array" ref="O188">SUM(_xlfn.XLOOKUP(E188:H188, $U$13:$U$17, $T$13:$T$17))</f>
        <v>24</v>
      </c>
      <c r="P188">
        <f t="shared" si="7"/>
        <v>3</v>
      </c>
      <c r="Q188" s="1">
        <f t="shared" si="8"/>
        <v>0</v>
      </c>
    </row>
    <row r="189" spans="1:17" x14ac:dyDescent="0.25">
      <c r="A189" s="1" t="s">
        <v>285</v>
      </c>
      <c r="B189" s="1" t="s">
        <v>286</v>
      </c>
      <c r="C189">
        <v>2</v>
      </c>
      <c r="D189">
        <v>5</v>
      </c>
      <c r="E189">
        <v>4</v>
      </c>
      <c r="F189">
        <v>4</v>
      </c>
      <c r="G189">
        <v>2</v>
      </c>
      <c r="H189">
        <v>5</v>
      </c>
      <c r="I189">
        <v>46</v>
      </c>
      <c r="J189">
        <v>15</v>
      </c>
      <c r="K189">
        <v>67</v>
      </c>
      <c r="L189">
        <v>56</v>
      </c>
      <c r="M189">
        <v>9</v>
      </c>
      <c r="N189">
        <f t="shared" si="6"/>
        <v>19.299999999999997</v>
      </c>
      <c r="O189" cm="1">
        <f t="array" ref="O189">SUM(_xlfn.XLOOKUP(E189:H189, $U$13:$U$17, $T$13:$T$17))</f>
        <v>20</v>
      </c>
      <c r="P189">
        <f t="shared" si="7"/>
        <v>2</v>
      </c>
      <c r="Q189" s="1">
        <f t="shared" si="8"/>
        <v>1</v>
      </c>
    </row>
    <row r="190" spans="1:17" x14ac:dyDescent="0.25">
      <c r="A190" s="1" t="s">
        <v>287</v>
      </c>
      <c r="B190" s="1" t="s">
        <v>288</v>
      </c>
      <c r="C190">
        <v>3</v>
      </c>
      <c r="D190">
        <v>4</v>
      </c>
      <c r="E190">
        <v>6</v>
      </c>
      <c r="F190">
        <v>3</v>
      </c>
      <c r="G190">
        <v>2</v>
      </c>
      <c r="H190">
        <v>2</v>
      </c>
      <c r="I190">
        <v>79</v>
      </c>
      <c r="J190">
        <v>70</v>
      </c>
      <c r="K190">
        <v>42</v>
      </c>
      <c r="L190">
        <v>36</v>
      </c>
      <c r="M190">
        <v>76</v>
      </c>
      <c r="N190">
        <f t="shared" si="6"/>
        <v>30.300000000000004</v>
      </c>
      <c r="O190" cm="1">
        <f t="array" ref="O190">SUM(_xlfn.XLOOKUP(E190:H190, $U$13:$U$17, $T$13:$T$17))</f>
        <v>14</v>
      </c>
      <c r="P190">
        <f t="shared" si="7"/>
        <v>3</v>
      </c>
      <c r="Q190" s="1">
        <f t="shared" si="8"/>
        <v>0</v>
      </c>
    </row>
    <row r="191" spans="1:17" x14ac:dyDescent="0.25">
      <c r="A191" s="1" t="s">
        <v>289</v>
      </c>
      <c r="B191" s="1" t="s">
        <v>30</v>
      </c>
      <c r="C191">
        <v>3</v>
      </c>
      <c r="D191">
        <v>6</v>
      </c>
      <c r="E191">
        <v>3</v>
      </c>
      <c r="F191">
        <v>6</v>
      </c>
      <c r="G191">
        <v>2</v>
      </c>
      <c r="H191">
        <v>5</v>
      </c>
      <c r="I191">
        <v>25</v>
      </c>
      <c r="J191">
        <v>78</v>
      </c>
      <c r="K191">
        <v>36</v>
      </c>
      <c r="L191">
        <v>67</v>
      </c>
      <c r="M191">
        <v>37</v>
      </c>
      <c r="N191">
        <f t="shared" si="6"/>
        <v>24.3</v>
      </c>
      <c r="O191" cm="1">
        <f t="array" ref="O191">SUM(_xlfn.XLOOKUP(E191:H191, $U$13:$U$17, $T$13:$T$17))</f>
        <v>22</v>
      </c>
      <c r="P191">
        <f t="shared" si="7"/>
        <v>5</v>
      </c>
      <c r="Q191" s="1">
        <f t="shared" si="8"/>
        <v>1</v>
      </c>
    </row>
    <row r="192" spans="1:17" x14ac:dyDescent="0.25">
      <c r="A192" s="1" t="s">
        <v>290</v>
      </c>
      <c r="B192" s="1" t="s">
        <v>78</v>
      </c>
      <c r="C192">
        <v>4</v>
      </c>
      <c r="D192">
        <v>5</v>
      </c>
      <c r="E192">
        <v>4</v>
      </c>
      <c r="F192">
        <v>6</v>
      </c>
      <c r="G192">
        <v>5</v>
      </c>
      <c r="H192">
        <v>2</v>
      </c>
      <c r="I192">
        <v>53</v>
      </c>
      <c r="J192">
        <v>61</v>
      </c>
      <c r="K192">
        <v>85</v>
      </c>
      <c r="L192">
        <v>8</v>
      </c>
      <c r="M192">
        <v>76</v>
      </c>
      <c r="N192">
        <f t="shared" si="6"/>
        <v>28.299999999999997</v>
      </c>
      <c r="O192" cm="1">
        <f t="array" ref="O192">SUM(_xlfn.XLOOKUP(E192:H192, $U$13:$U$17, $T$13:$T$17))</f>
        <v>24</v>
      </c>
      <c r="P192">
        <f t="shared" si="7"/>
        <v>4</v>
      </c>
      <c r="Q192" s="1">
        <f t="shared" si="8"/>
        <v>0</v>
      </c>
    </row>
    <row r="193" spans="1:17" x14ac:dyDescent="0.25">
      <c r="A193" s="1" t="s">
        <v>264</v>
      </c>
      <c r="B193" s="1" t="s">
        <v>246</v>
      </c>
      <c r="C193">
        <v>7</v>
      </c>
      <c r="D193">
        <v>2</v>
      </c>
      <c r="E193">
        <v>4</v>
      </c>
      <c r="F193">
        <v>3</v>
      </c>
      <c r="G193">
        <v>6</v>
      </c>
      <c r="H193">
        <v>3</v>
      </c>
      <c r="I193">
        <v>13</v>
      </c>
      <c r="J193">
        <v>89</v>
      </c>
      <c r="K193">
        <v>20</v>
      </c>
      <c r="L193">
        <v>2</v>
      </c>
      <c r="M193">
        <v>36</v>
      </c>
      <c r="N193">
        <f t="shared" si="6"/>
        <v>16</v>
      </c>
      <c r="O193" cm="1">
        <f t="array" ref="O193">SUM(_xlfn.XLOOKUP(E193:H193, $U$13:$U$17, $T$13:$T$17))</f>
        <v>24</v>
      </c>
      <c r="P193">
        <f t="shared" si="7"/>
        <v>7</v>
      </c>
      <c r="Q193" s="1">
        <f t="shared" si="8"/>
        <v>1</v>
      </c>
    </row>
    <row r="194" spans="1:17" x14ac:dyDescent="0.25">
      <c r="A194" s="1" t="s">
        <v>291</v>
      </c>
      <c r="B194" s="1" t="s">
        <v>222</v>
      </c>
      <c r="C194">
        <v>3</v>
      </c>
      <c r="D194">
        <v>5</v>
      </c>
      <c r="E194">
        <v>5</v>
      </c>
      <c r="F194">
        <v>2</v>
      </c>
      <c r="G194">
        <v>5</v>
      </c>
      <c r="H194">
        <v>2</v>
      </c>
      <c r="I194">
        <v>25</v>
      </c>
      <c r="J194">
        <v>46</v>
      </c>
      <c r="K194">
        <v>91</v>
      </c>
      <c r="L194">
        <v>75</v>
      </c>
      <c r="M194">
        <v>91</v>
      </c>
      <c r="N194">
        <f t="shared" ref="N194:N257" si="9">I194/10 + J194/10 + K194/10 + L194/10 + M194/10</f>
        <v>32.799999999999997</v>
      </c>
      <c r="O194" cm="1">
        <f t="array" ref="O194">SUM(_xlfn.XLOOKUP(E194:H194, $U$13:$U$17, $T$13:$T$17))</f>
        <v>16</v>
      </c>
      <c r="P194">
        <f t="shared" ref="P194:P257" si="10">IF(D194=6,C194+2,C194)</f>
        <v>3</v>
      </c>
      <c r="Q194" s="1">
        <f t="shared" ref="Q194:Q257" si="11">IF((O194+P194)&gt;N194, 1, 0)</f>
        <v>0</v>
      </c>
    </row>
    <row r="195" spans="1:17" x14ac:dyDescent="0.25">
      <c r="A195" s="1" t="s">
        <v>292</v>
      </c>
      <c r="B195" s="1" t="s">
        <v>225</v>
      </c>
      <c r="C195">
        <v>7</v>
      </c>
      <c r="D195">
        <v>6</v>
      </c>
      <c r="E195">
        <v>4</v>
      </c>
      <c r="F195">
        <v>5</v>
      </c>
      <c r="G195">
        <v>4</v>
      </c>
      <c r="H195">
        <v>6</v>
      </c>
      <c r="I195">
        <v>52</v>
      </c>
      <c r="J195">
        <v>32</v>
      </c>
      <c r="K195">
        <v>57</v>
      </c>
      <c r="L195">
        <v>58</v>
      </c>
      <c r="M195">
        <v>67</v>
      </c>
      <c r="N195">
        <f t="shared" si="9"/>
        <v>26.6</v>
      </c>
      <c r="O195" cm="1">
        <f t="array" ref="O195">SUM(_xlfn.XLOOKUP(E195:H195, $U$13:$U$17, $T$13:$T$17))</f>
        <v>30</v>
      </c>
      <c r="P195">
        <f t="shared" si="10"/>
        <v>9</v>
      </c>
      <c r="Q195" s="1">
        <f t="shared" si="11"/>
        <v>1</v>
      </c>
    </row>
    <row r="196" spans="1:17" x14ac:dyDescent="0.25">
      <c r="A196" s="1" t="s">
        <v>293</v>
      </c>
      <c r="B196" s="1" t="s">
        <v>239</v>
      </c>
      <c r="C196">
        <v>7</v>
      </c>
      <c r="D196">
        <v>6</v>
      </c>
      <c r="E196">
        <v>4</v>
      </c>
      <c r="F196">
        <v>6</v>
      </c>
      <c r="G196">
        <v>6</v>
      </c>
      <c r="H196">
        <v>5</v>
      </c>
      <c r="I196">
        <v>85</v>
      </c>
      <c r="J196">
        <v>37</v>
      </c>
      <c r="K196">
        <v>73</v>
      </c>
      <c r="L196">
        <v>73</v>
      </c>
      <c r="M196">
        <v>19</v>
      </c>
      <c r="N196">
        <f t="shared" si="9"/>
        <v>28.7</v>
      </c>
      <c r="O196" cm="1">
        <f t="array" ref="O196">SUM(_xlfn.XLOOKUP(E196:H196, $U$13:$U$17, $T$13:$T$17))</f>
        <v>34</v>
      </c>
      <c r="P196">
        <f t="shared" si="10"/>
        <v>9</v>
      </c>
      <c r="Q196" s="1">
        <f t="shared" si="11"/>
        <v>1</v>
      </c>
    </row>
    <row r="197" spans="1:17" x14ac:dyDescent="0.25">
      <c r="A197" s="1" t="s">
        <v>294</v>
      </c>
      <c r="B197" s="1" t="s">
        <v>28</v>
      </c>
      <c r="C197">
        <v>8</v>
      </c>
      <c r="D197">
        <v>3</v>
      </c>
      <c r="E197">
        <v>3</v>
      </c>
      <c r="F197">
        <v>4</v>
      </c>
      <c r="G197">
        <v>3</v>
      </c>
      <c r="H197">
        <v>5</v>
      </c>
      <c r="I197">
        <v>96</v>
      </c>
      <c r="J197">
        <v>17</v>
      </c>
      <c r="K197">
        <v>94</v>
      </c>
      <c r="L197">
        <v>90</v>
      </c>
      <c r="M197">
        <v>1</v>
      </c>
      <c r="N197">
        <f t="shared" si="9"/>
        <v>29.8</v>
      </c>
      <c r="O197" cm="1">
        <f t="array" ref="O197">SUM(_xlfn.XLOOKUP(E197:H197, $U$13:$U$17, $T$13:$T$17))</f>
        <v>22</v>
      </c>
      <c r="P197">
        <f t="shared" si="10"/>
        <v>8</v>
      </c>
      <c r="Q197" s="1">
        <f t="shared" si="11"/>
        <v>1</v>
      </c>
    </row>
    <row r="198" spans="1:17" x14ac:dyDescent="0.25">
      <c r="A198" s="1" t="s">
        <v>295</v>
      </c>
      <c r="B198" s="1" t="s">
        <v>180</v>
      </c>
      <c r="C198">
        <v>2</v>
      </c>
      <c r="D198">
        <v>3</v>
      </c>
      <c r="E198">
        <v>6</v>
      </c>
      <c r="F198">
        <v>4</v>
      </c>
      <c r="G198">
        <v>5</v>
      </c>
      <c r="H198">
        <v>6</v>
      </c>
      <c r="I198">
        <v>68</v>
      </c>
      <c r="J198">
        <v>10</v>
      </c>
      <c r="K198">
        <v>64</v>
      </c>
      <c r="L198">
        <v>85</v>
      </c>
      <c r="M198">
        <v>26</v>
      </c>
      <c r="N198">
        <f t="shared" si="9"/>
        <v>25.3</v>
      </c>
      <c r="O198" cm="1">
        <f t="array" ref="O198">SUM(_xlfn.XLOOKUP(E198:H198, $U$13:$U$17, $T$13:$T$17))</f>
        <v>34</v>
      </c>
      <c r="P198">
        <f t="shared" si="10"/>
        <v>2</v>
      </c>
      <c r="Q198" s="1">
        <f t="shared" si="11"/>
        <v>1</v>
      </c>
    </row>
    <row r="199" spans="1:17" x14ac:dyDescent="0.25">
      <c r="A199" s="1" t="s">
        <v>296</v>
      </c>
      <c r="B199" s="1" t="s">
        <v>222</v>
      </c>
      <c r="C199">
        <v>7</v>
      </c>
      <c r="D199">
        <v>2</v>
      </c>
      <c r="E199">
        <v>2</v>
      </c>
      <c r="F199">
        <v>6</v>
      </c>
      <c r="G199">
        <v>5</v>
      </c>
      <c r="H199">
        <v>3</v>
      </c>
      <c r="I199">
        <v>45</v>
      </c>
      <c r="J199">
        <v>81</v>
      </c>
      <c r="K199">
        <v>28</v>
      </c>
      <c r="L199">
        <v>11</v>
      </c>
      <c r="M199">
        <v>25</v>
      </c>
      <c r="N199">
        <f t="shared" si="9"/>
        <v>19</v>
      </c>
      <c r="O199" cm="1">
        <f t="array" ref="O199">SUM(_xlfn.XLOOKUP(E199:H199, $U$13:$U$17, $T$13:$T$17))</f>
        <v>22</v>
      </c>
      <c r="P199">
        <f t="shared" si="10"/>
        <v>7</v>
      </c>
      <c r="Q199" s="1">
        <f t="shared" si="11"/>
        <v>1</v>
      </c>
    </row>
    <row r="200" spans="1:17" x14ac:dyDescent="0.25">
      <c r="A200" s="1" t="s">
        <v>297</v>
      </c>
      <c r="B200" s="1" t="s">
        <v>161</v>
      </c>
      <c r="C200">
        <v>3</v>
      </c>
      <c r="D200">
        <v>2</v>
      </c>
      <c r="E200">
        <v>3</v>
      </c>
      <c r="F200">
        <v>2</v>
      </c>
      <c r="G200">
        <v>5</v>
      </c>
      <c r="H200">
        <v>4</v>
      </c>
      <c r="I200">
        <v>85</v>
      </c>
      <c r="J200">
        <v>28</v>
      </c>
      <c r="K200">
        <v>36</v>
      </c>
      <c r="L200">
        <v>9</v>
      </c>
      <c r="M200">
        <v>95</v>
      </c>
      <c r="N200">
        <f t="shared" si="9"/>
        <v>25.3</v>
      </c>
      <c r="O200" cm="1">
        <f t="array" ref="O200">SUM(_xlfn.XLOOKUP(E200:H200, $U$13:$U$17, $T$13:$T$17))</f>
        <v>18</v>
      </c>
      <c r="P200">
        <f t="shared" si="10"/>
        <v>3</v>
      </c>
      <c r="Q200" s="1">
        <f t="shared" si="11"/>
        <v>0</v>
      </c>
    </row>
    <row r="201" spans="1:17" x14ac:dyDescent="0.25">
      <c r="A201" s="1" t="s">
        <v>298</v>
      </c>
      <c r="B201" s="1" t="s">
        <v>299</v>
      </c>
      <c r="C201">
        <v>4</v>
      </c>
      <c r="D201">
        <v>3</v>
      </c>
      <c r="E201">
        <v>6</v>
      </c>
      <c r="F201">
        <v>4</v>
      </c>
      <c r="G201">
        <v>4</v>
      </c>
      <c r="H201">
        <v>3</v>
      </c>
      <c r="I201">
        <v>48</v>
      </c>
      <c r="J201">
        <v>71</v>
      </c>
      <c r="K201">
        <v>40</v>
      </c>
      <c r="L201">
        <v>67</v>
      </c>
      <c r="M201">
        <v>83</v>
      </c>
      <c r="N201">
        <f t="shared" si="9"/>
        <v>30.9</v>
      </c>
      <c r="O201" cm="1">
        <f t="array" ref="O201">SUM(_xlfn.XLOOKUP(E201:H201, $U$13:$U$17, $T$13:$T$17))</f>
        <v>26</v>
      </c>
      <c r="P201">
        <f t="shared" si="10"/>
        <v>4</v>
      </c>
      <c r="Q201" s="1">
        <f t="shared" si="11"/>
        <v>0</v>
      </c>
    </row>
    <row r="202" spans="1:17" x14ac:dyDescent="0.25">
      <c r="A202" s="1" t="s">
        <v>300</v>
      </c>
      <c r="B202" s="1" t="s">
        <v>242</v>
      </c>
      <c r="C202">
        <v>0</v>
      </c>
      <c r="D202">
        <v>5</v>
      </c>
      <c r="E202">
        <v>6</v>
      </c>
      <c r="F202">
        <v>4</v>
      </c>
      <c r="G202">
        <v>4</v>
      </c>
      <c r="H202">
        <v>5</v>
      </c>
      <c r="I202">
        <v>70</v>
      </c>
      <c r="J202">
        <v>42</v>
      </c>
      <c r="K202">
        <v>47</v>
      </c>
      <c r="L202">
        <v>24</v>
      </c>
      <c r="M202">
        <v>40</v>
      </c>
      <c r="N202">
        <f t="shared" si="9"/>
        <v>22.299999999999997</v>
      </c>
      <c r="O202" cm="1">
        <f t="array" ref="O202">SUM(_xlfn.XLOOKUP(E202:H202, $U$13:$U$17, $T$13:$T$17))</f>
        <v>30</v>
      </c>
      <c r="P202">
        <f t="shared" si="10"/>
        <v>0</v>
      </c>
      <c r="Q202" s="1">
        <f t="shared" si="11"/>
        <v>1</v>
      </c>
    </row>
    <row r="203" spans="1:17" x14ac:dyDescent="0.25">
      <c r="A203" s="1" t="s">
        <v>301</v>
      </c>
      <c r="B203" s="1" t="s">
        <v>302</v>
      </c>
      <c r="C203">
        <v>8</v>
      </c>
      <c r="D203">
        <v>4</v>
      </c>
      <c r="E203">
        <v>5</v>
      </c>
      <c r="F203">
        <v>4</v>
      </c>
      <c r="G203">
        <v>4</v>
      </c>
      <c r="H203">
        <v>5</v>
      </c>
      <c r="I203">
        <v>83</v>
      </c>
      <c r="J203">
        <v>18</v>
      </c>
      <c r="K203">
        <v>29</v>
      </c>
      <c r="L203">
        <v>17</v>
      </c>
      <c r="M203">
        <v>9</v>
      </c>
      <c r="N203">
        <f t="shared" si="9"/>
        <v>15.600000000000001</v>
      </c>
      <c r="O203" cm="1">
        <f t="array" ref="O203">SUM(_xlfn.XLOOKUP(E203:H203, $U$13:$U$17, $T$13:$T$17))</f>
        <v>28</v>
      </c>
      <c r="P203">
        <f t="shared" si="10"/>
        <v>8</v>
      </c>
      <c r="Q203" s="1">
        <f t="shared" si="11"/>
        <v>1</v>
      </c>
    </row>
    <row r="204" spans="1:17" x14ac:dyDescent="0.25">
      <c r="A204" s="1" t="s">
        <v>303</v>
      </c>
      <c r="B204" s="1" t="s">
        <v>90</v>
      </c>
      <c r="C204">
        <v>1</v>
      </c>
      <c r="D204">
        <v>6</v>
      </c>
      <c r="E204">
        <v>4</v>
      </c>
      <c r="F204">
        <v>6</v>
      </c>
      <c r="G204">
        <v>3</v>
      </c>
      <c r="H204">
        <v>2</v>
      </c>
      <c r="I204">
        <v>48</v>
      </c>
      <c r="J204">
        <v>65</v>
      </c>
      <c r="K204">
        <v>86</v>
      </c>
      <c r="L204">
        <v>18</v>
      </c>
      <c r="M204">
        <v>88</v>
      </c>
      <c r="N204">
        <f t="shared" si="9"/>
        <v>30.5</v>
      </c>
      <c r="O204" cm="1">
        <f t="array" ref="O204">SUM(_xlfn.XLOOKUP(E204:H204, $U$13:$U$17, $T$13:$T$17))</f>
        <v>20</v>
      </c>
      <c r="P204">
        <f t="shared" si="10"/>
        <v>3</v>
      </c>
      <c r="Q204" s="1">
        <f t="shared" si="11"/>
        <v>0</v>
      </c>
    </row>
    <row r="205" spans="1:17" x14ac:dyDescent="0.25">
      <c r="A205" s="1" t="s">
        <v>304</v>
      </c>
      <c r="B205" s="1" t="s">
        <v>70</v>
      </c>
      <c r="C205">
        <v>4</v>
      </c>
      <c r="D205">
        <v>5</v>
      </c>
      <c r="E205">
        <v>3</v>
      </c>
      <c r="F205">
        <v>5</v>
      </c>
      <c r="G205">
        <v>5</v>
      </c>
      <c r="H205">
        <v>2</v>
      </c>
      <c r="I205">
        <v>70</v>
      </c>
      <c r="J205">
        <v>20</v>
      </c>
      <c r="K205">
        <v>38</v>
      </c>
      <c r="L205">
        <v>18</v>
      </c>
      <c r="M205">
        <v>65</v>
      </c>
      <c r="N205">
        <f t="shared" si="9"/>
        <v>21.1</v>
      </c>
      <c r="O205" cm="1">
        <f t="array" ref="O205">SUM(_xlfn.XLOOKUP(E205:H205, $U$13:$U$17, $T$13:$T$17))</f>
        <v>20</v>
      </c>
      <c r="P205">
        <f t="shared" si="10"/>
        <v>4</v>
      </c>
      <c r="Q205" s="1">
        <f t="shared" si="11"/>
        <v>1</v>
      </c>
    </row>
    <row r="206" spans="1:17" x14ac:dyDescent="0.25">
      <c r="A206" s="1" t="s">
        <v>305</v>
      </c>
      <c r="B206" s="1" t="s">
        <v>306</v>
      </c>
      <c r="C206">
        <v>2</v>
      </c>
      <c r="D206">
        <v>2</v>
      </c>
      <c r="E206">
        <v>6</v>
      </c>
      <c r="F206">
        <v>5</v>
      </c>
      <c r="G206">
        <v>2</v>
      </c>
      <c r="H206">
        <v>6</v>
      </c>
      <c r="I206">
        <v>74</v>
      </c>
      <c r="J206">
        <v>61</v>
      </c>
      <c r="K206">
        <v>24</v>
      </c>
      <c r="L206">
        <v>72</v>
      </c>
      <c r="M206">
        <v>41</v>
      </c>
      <c r="N206">
        <f t="shared" si="9"/>
        <v>27.200000000000003</v>
      </c>
      <c r="O206" cm="1">
        <f t="array" ref="O206">SUM(_xlfn.XLOOKUP(E206:H206, $U$13:$U$17, $T$13:$T$17))</f>
        <v>28</v>
      </c>
      <c r="P206">
        <f t="shared" si="10"/>
        <v>2</v>
      </c>
      <c r="Q206" s="1">
        <f t="shared" si="11"/>
        <v>1</v>
      </c>
    </row>
    <row r="207" spans="1:17" x14ac:dyDescent="0.25">
      <c r="A207" s="1" t="s">
        <v>125</v>
      </c>
      <c r="B207" s="1" t="s">
        <v>307</v>
      </c>
      <c r="C207">
        <v>2</v>
      </c>
      <c r="D207">
        <v>2</v>
      </c>
      <c r="E207">
        <v>4</v>
      </c>
      <c r="F207">
        <v>4</v>
      </c>
      <c r="G207">
        <v>4</v>
      </c>
      <c r="H207">
        <v>3</v>
      </c>
      <c r="I207">
        <v>18</v>
      </c>
      <c r="J207">
        <v>50</v>
      </c>
      <c r="K207">
        <v>99</v>
      </c>
      <c r="L207">
        <v>35</v>
      </c>
      <c r="M207">
        <v>8</v>
      </c>
      <c r="N207">
        <f t="shared" si="9"/>
        <v>21</v>
      </c>
      <c r="O207" cm="1">
        <f t="array" ref="O207">SUM(_xlfn.XLOOKUP(E207:H207, $U$13:$U$17, $T$13:$T$17))</f>
        <v>22</v>
      </c>
      <c r="P207">
        <f t="shared" si="10"/>
        <v>2</v>
      </c>
      <c r="Q207" s="1">
        <f t="shared" si="11"/>
        <v>1</v>
      </c>
    </row>
    <row r="208" spans="1:17" x14ac:dyDescent="0.25">
      <c r="A208" s="1" t="s">
        <v>308</v>
      </c>
      <c r="B208" s="1" t="s">
        <v>166</v>
      </c>
      <c r="C208">
        <v>6</v>
      </c>
      <c r="D208">
        <v>6</v>
      </c>
      <c r="E208">
        <v>4</v>
      </c>
      <c r="F208">
        <v>3</v>
      </c>
      <c r="G208">
        <v>6</v>
      </c>
      <c r="H208">
        <v>2</v>
      </c>
      <c r="I208">
        <v>68</v>
      </c>
      <c r="J208">
        <v>82</v>
      </c>
      <c r="K208">
        <v>74</v>
      </c>
      <c r="L208">
        <v>4</v>
      </c>
      <c r="M208">
        <v>9</v>
      </c>
      <c r="N208">
        <f t="shared" si="9"/>
        <v>23.699999999999996</v>
      </c>
      <c r="O208" cm="1">
        <f t="array" ref="O208">SUM(_xlfn.XLOOKUP(E208:H208, $U$13:$U$17, $T$13:$T$17))</f>
        <v>20</v>
      </c>
      <c r="P208">
        <f t="shared" si="10"/>
        <v>8</v>
      </c>
      <c r="Q208" s="1">
        <f t="shared" si="11"/>
        <v>1</v>
      </c>
    </row>
    <row r="209" spans="1:17" x14ac:dyDescent="0.25">
      <c r="A209" s="1" t="s">
        <v>309</v>
      </c>
      <c r="B209" s="1" t="s">
        <v>239</v>
      </c>
      <c r="C209">
        <v>3</v>
      </c>
      <c r="D209">
        <v>4</v>
      </c>
      <c r="E209">
        <v>2</v>
      </c>
      <c r="F209">
        <v>2</v>
      </c>
      <c r="G209">
        <v>6</v>
      </c>
      <c r="H209">
        <v>4</v>
      </c>
      <c r="I209">
        <v>48</v>
      </c>
      <c r="J209">
        <v>56</v>
      </c>
      <c r="K209">
        <v>97</v>
      </c>
      <c r="L209">
        <v>34</v>
      </c>
      <c r="M209">
        <v>50</v>
      </c>
      <c r="N209">
        <f t="shared" si="9"/>
        <v>28.499999999999996</v>
      </c>
      <c r="O209" cm="1">
        <f t="array" ref="O209">SUM(_xlfn.XLOOKUP(E209:H209, $U$13:$U$17, $T$13:$T$17))</f>
        <v>16</v>
      </c>
      <c r="P209">
        <f t="shared" si="10"/>
        <v>3</v>
      </c>
      <c r="Q209" s="1">
        <f t="shared" si="11"/>
        <v>0</v>
      </c>
    </row>
    <row r="210" spans="1:17" x14ac:dyDescent="0.25">
      <c r="A210" s="1" t="s">
        <v>310</v>
      </c>
      <c r="B210" s="1" t="s">
        <v>311</v>
      </c>
      <c r="C210">
        <v>2</v>
      </c>
      <c r="D210">
        <v>5</v>
      </c>
      <c r="E210">
        <v>5</v>
      </c>
      <c r="F210">
        <v>5</v>
      </c>
      <c r="G210">
        <v>3</v>
      </c>
      <c r="H210">
        <v>2</v>
      </c>
      <c r="I210">
        <v>69</v>
      </c>
      <c r="J210">
        <v>49</v>
      </c>
      <c r="K210">
        <v>67</v>
      </c>
      <c r="L210">
        <v>20</v>
      </c>
      <c r="M210">
        <v>3</v>
      </c>
      <c r="N210">
        <f t="shared" si="9"/>
        <v>20.8</v>
      </c>
      <c r="O210" cm="1">
        <f t="array" ref="O210">SUM(_xlfn.XLOOKUP(E210:H210, $U$13:$U$17, $T$13:$T$17))</f>
        <v>20</v>
      </c>
      <c r="P210">
        <f t="shared" si="10"/>
        <v>2</v>
      </c>
      <c r="Q210" s="1">
        <f t="shared" si="11"/>
        <v>1</v>
      </c>
    </row>
    <row r="211" spans="1:17" x14ac:dyDescent="0.25">
      <c r="A211" s="1" t="s">
        <v>312</v>
      </c>
      <c r="B211" s="1" t="s">
        <v>313</v>
      </c>
      <c r="C211">
        <v>5</v>
      </c>
      <c r="D211">
        <v>2</v>
      </c>
      <c r="E211">
        <v>4</v>
      </c>
      <c r="F211">
        <v>5</v>
      </c>
      <c r="G211">
        <v>6</v>
      </c>
      <c r="H211">
        <v>4</v>
      </c>
      <c r="I211">
        <v>68</v>
      </c>
      <c r="J211">
        <v>37</v>
      </c>
      <c r="K211">
        <v>91</v>
      </c>
      <c r="L211">
        <v>56</v>
      </c>
      <c r="M211">
        <v>46</v>
      </c>
      <c r="N211">
        <f t="shared" si="9"/>
        <v>29.800000000000004</v>
      </c>
      <c r="O211" cm="1">
        <f t="array" ref="O211">SUM(_xlfn.XLOOKUP(E211:H211, $U$13:$U$17, $T$13:$T$17))</f>
        <v>30</v>
      </c>
      <c r="P211">
        <f t="shared" si="10"/>
        <v>5</v>
      </c>
      <c r="Q211" s="1">
        <f t="shared" si="11"/>
        <v>1</v>
      </c>
    </row>
    <row r="212" spans="1:17" x14ac:dyDescent="0.25">
      <c r="A212" s="1" t="s">
        <v>314</v>
      </c>
      <c r="B212" s="1" t="s">
        <v>249</v>
      </c>
      <c r="C212">
        <v>7</v>
      </c>
      <c r="D212">
        <v>2</v>
      </c>
      <c r="E212">
        <v>2</v>
      </c>
      <c r="F212">
        <v>3</v>
      </c>
      <c r="G212">
        <v>6</v>
      </c>
      <c r="H212">
        <v>5</v>
      </c>
      <c r="I212">
        <v>11</v>
      </c>
      <c r="J212">
        <v>6</v>
      </c>
      <c r="K212">
        <v>24</v>
      </c>
      <c r="L212">
        <v>72</v>
      </c>
      <c r="M212">
        <v>17</v>
      </c>
      <c r="N212">
        <f t="shared" si="9"/>
        <v>13</v>
      </c>
      <c r="O212" cm="1">
        <f t="array" ref="O212">SUM(_xlfn.XLOOKUP(E212:H212, $U$13:$U$17, $T$13:$T$17))</f>
        <v>22</v>
      </c>
      <c r="P212">
        <f t="shared" si="10"/>
        <v>7</v>
      </c>
      <c r="Q212" s="1">
        <f t="shared" si="11"/>
        <v>1</v>
      </c>
    </row>
    <row r="213" spans="1:17" x14ac:dyDescent="0.25">
      <c r="A213" s="1" t="s">
        <v>315</v>
      </c>
      <c r="B213" s="1" t="s">
        <v>316</v>
      </c>
      <c r="C213">
        <v>2</v>
      </c>
      <c r="D213">
        <v>2</v>
      </c>
      <c r="E213">
        <v>6</v>
      </c>
      <c r="F213">
        <v>2</v>
      </c>
      <c r="G213">
        <v>2</v>
      </c>
      <c r="H213">
        <v>4</v>
      </c>
      <c r="I213">
        <v>13</v>
      </c>
      <c r="J213">
        <v>7</v>
      </c>
      <c r="K213">
        <v>71</v>
      </c>
      <c r="L213">
        <v>64</v>
      </c>
      <c r="M213">
        <v>96</v>
      </c>
      <c r="N213">
        <f t="shared" si="9"/>
        <v>25.1</v>
      </c>
      <c r="O213" cm="1">
        <f t="array" ref="O213">SUM(_xlfn.XLOOKUP(E213:H213, $U$13:$U$17, $T$13:$T$17))</f>
        <v>16</v>
      </c>
      <c r="P213">
        <f t="shared" si="10"/>
        <v>2</v>
      </c>
      <c r="Q213" s="1">
        <f t="shared" si="11"/>
        <v>0</v>
      </c>
    </row>
    <row r="214" spans="1:17" x14ac:dyDescent="0.25">
      <c r="A214" s="1" t="s">
        <v>317</v>
      </c>
      <c r="B214" s="1" t="s">
        <v>232</v>
      </c>
      <c r="C214">
        <v>8</v>
      </c>
      <c r="D214">
        <v>4</v>
      </c>
      <c r="E214">
        <v>5</v>
      </c>
      <c r="F214">
        <v>5</v>
      </c>
      <c r="G214">
        <v>3</v>
      </c>
      <c r="H214">
        <v>4</v>
      </c>
      <c r="I214">
        <v>92</v>
      </c>
      <c r="J214">
        <v>71</v>
      </c>
      <c r="K214">
        <v>26</v>
      </c>
      <c r="L214">
        <v>42</v>
      </c>
      <c r="M214">
        <v>46</v>
      </c>
      <c r="N214">
        <f t="shared" si="9"/>
        <v>27.699999999999996</v>
      </c>
      <c r="O214" cm="1">
        <f t="array" ref="O214">SUM(_xlfn.XLOOKUP(E214:H214, $U$13:$U$17, $T$13:$T$17))</f>
        <v>26</v>
      </c>
      <c r="P214">
        <f t="shared" si="10"/>
        <v>8</v>
      </c>
      <c r="Q214" s="1">
        <f t="shared" si="11"/>
        <v>1</v>
      </c>
    </row>
    <row r="215" spans="1:17" x14ac:dyDescent="0.25">
      <c r="A215" s="1" t="s">
        <v>318</v>
      </c>
      <c r="B215" s="1" t="s">
        <v>279</v>
      </c>
      <c r="C215">
        <v>5</v>
      </c>
      <c r="D215">
        <v>6</v>
      </c>
      <c r="E215">
        <v>2</v>
      </c>
      <c r="F215">
        <v>6</v>
      </c>
      <c r="G215">
        <v>6</v>
      </c>
      <c r="H215">
        <v>5</v>
      </c>
      <c r="I215">
        <v>79</v>
      </c>
      <c r="J215">
        <v>19</v>
      </c>
      <c r="K215">
        <v>23</v>
      </c>
      <c r="L215">
        <v>18</v>
      </c>
      <c r="M215">
        <v>13</v>
      </c>
      <c r="N215">
        <f t="shared" si="9"/>
        <v>15.200000000000003</v>
      </c>
      <c r="O215" cm="1">
        <f t="array" ref="O215">SUM(_xlfn.XLOOKUP(E215:H215, $U$13:$U$17, $T$13:$T$17))</f>
        <v>28</v>
      </c>
      <c r="P215">
        <f t="shared" si="10"/>
        <v>7</v>
      </c>
      <c r="Q215" s="1">
        <f t="shared" si="11"/>
        <v>1</v>
      </c>
    </row>
    <row r="216" spans="1:17" x14ac:dyDescent="0.25">
      <c r="A216" s="1" t="s">
        <v>319</v>
      </c>
      <c r="B216" s="1" t="s">
        <v>197</v>
      </c>
      <c r="C216">
        <v>3</v>
      </c>
      <c r="D216">
        <v>2</v>
      </c>
      <c r="E216">
        <v>5</v>
      </c>
      <c r="F216">
        <v>3</v>
      </c>
      <c r="G216">
        <v>5</v>
      </c>
      <c r="H216">
        <v>2</v>
      </c>
      <c r="I216">
        <v>47</v>
      </c>
      <c r="J216">
        <v>7</v>
      </c>
      <c r="K216">
        <v>72</v>
      </c>
      <c r="L216">
        <v>74</v>
      </c>
      <c r="M216">
        <v>85</v>
      </c>
      <c r="N216">
        <f t="shared" si="9"/>
        <v>28.5</v>
      </c>
      <c r="O216" cm="1">
        <f t="array" ref="O216">SUM(_xlfn.XLOOKUP(E216:H216, $U$13:$U$17, $T$13:$T$17))</f>
        <v>20</v>
      </c>
      <c r="P216">
        <f t="shared" si="10"/>
        <v>3</v>
      </c>
      <c r="Q216" s="1">
        <f t="shared" si="11"/>
        <v>0</v>
      </c>
    </row>
    <row r="217" spans="1:17" x14ac:dyDescent="0.25">
      <c r="A217" s="1" t="s">
        <v>320</v>
      </c>
      <c r="B217" s="1" t="s">
        <v>145</v>
      </c>
      <c r="C217">
        <v>1</v>
      </c>
      <c r="D217">
        <v>6</v>
      </c>
      <c r="E217">
        <v>2</v>
      </c>
      <c r="F217">
        <v>5</v>
      </c>
      <c r="G217">
        <v>6</v>
      </c>
      <c r="H217">
        <v>3</v>
      </c>
      <c r="I217">
        <v>74</v>
      </c>
      <c r="J217">
        <v>64</v>
      </c>
      <c r="K217">
        <v>17</v>
      </c>
      <c r="L217">
        <v>76</v>
      </c>
      <c r="M217">
        <v>23</v>
      </c>
      <c r="N217">
        <f t="shared" si="9"/>
        <v>25.400000000000002</v>
      </c>
      <c r="O217" cm="1">
        <f t="array" ref="O217">SUM(_xlfn.XLOOKUP(E217:H217, $U$13:$U$17, $T$13:$T$17))</f>
        <v>22</v>
      </c>
      <c r="P217">
        <f t="shared" si="10"/>
        <v>3</v>
      </c>
      <c r="Q217" s="1">
        <f t="shared" si="11"/>
        <v>0</v>
      </c>
    </row>
    <row r="218" spans="1:17" x14ac:dyDescent="0.25">
      <c r="A218" s="1" t="s">
        <v>321</v>
      </c>
      <c r="B218" s="1" t="s">
        <v>322</v>
      </c>
      <c r="C218">
        <v>3</v>
      </c>
      <c r="D218">
        <v>4</v>
      </c>
      <c r="E218">
        <v>2</v>
      </c>
      <c r="F218">
        <v>4</v>
      </c>
      <c r="G218">
        <v>5</v>
      </c>
      <c r="H218">
        <v>6</v>
      </c>
      <c r="I218">
        <v>47</v>
      </c>
      <c r="J218">
        <v>80</v>
      </c>
      <c r="K218">
        <v>34</v>
      </c>
      <c r="L218">
        <v>4</v>
      </c>
      <c r="M218">
        <v>81</v>
      </c>
      <c r="N218">
        <f t="shared" si="9"/>
        <v>24.599999999999994</v>
      </c>
      <c r="O218" cm="1">
        <f t="array" ref="O218">SUM(_xlfn.XLOOKUP(E218:H218, $U$13:$U$17, $T$13:$T$17))</f>
        <v>24</v>
      </c>
      <c r="P218">
        <f t="shared" si="10"/>
        <v>3</v>
      </c>
      <c r="Q218" s="1">
        <f t="shared" si="11"/>
        <v>1</v>
      </c>
    </row>
    <row r="219" spans="1:17" x14ac:dyDescent="0.25">
      <c r="A219" s="1" t="s">
        <v>323</v>
      </c>
      <c r="B219" s="1" t="s">
        <v>324</v>
      </c>
      <c r="C219">
        <v>3</v>
      </c>
      <c r="D219">
        <v>4</v>
      </c>
      <c r="E219">
        <v>3</v>
      </c>
      <c r="F219">
        <v>2</v>
      </c>
      <c r="G219">
        <v>4</v>
      </c>
      <c r="H219">
        <v>4</v>
      </c>
      <c r="I219">
        <v>14</v>
      </c>
      <c r="J219">
        <v>35</v>
      </c>
      <c r="K219">
        <v>43</v>
      </c>
      <c r="L219">
        <v>57</v>
      </c>
      <c r="M219">
        <v>34</v>
      </c>
      <c r="N219">
        <f t="shared" si="9"/>
        <v>18.299999999999997</v>
      </c>
      <c r="O219" cm="1">
        <f t="array" ref="O219">SUM(_xlfn.XLOOKUP(E219:H219, $U$13:$U$17, $T$13:$T$17))</f>
        <v>16</v>
      </c>
      <c r="P219">
        <f t="shared" si="10"/>
        <v>3</v>
      </c>
      <c r="Q219" s="1">
        <f t="shared" si="11"/>
        <v>1</v>
      </c>
    </row>
    <row r="220" spans="1:17" x14ac:dyDescent="0.25">
      <c r="A220" s="1" t="s">
        <v>325</v>
      </c>
      <c r="B220" s="1" t="s">
        <v>326</v>
      </c>
      <c r="C220">
        <v>7</v>
      </c>
      <c r="D220">
        <v>3</v>
      </c>
      <c r="E220">
        <v>3</v>
      </c>
      <c r="F220">
        <v>2</v>
      </c>
      <c r="G220">
        <v>6</v>
      </c>
      <c r="H220">
        <v>5</v>
      </c>
      <c r="I220">
        <v>84</v>
      </c>
      <c r="J220">
        <v>70</v>
      </c>
      <c r="K220">
        <v>57</v>
      </c>
      <c r="L220">
        <v>62</v>
      </c>
      <c r="M220">
        <v>1</v>
      </c>
      <c r="N220">
        <f t="shared" si="9"/>
        <v>27.400000000000002</v>
      </c>
      <c r="O220" cm="1">
        <f t="array" ref="O220">SUM(_xlfn.XLOOKUP(E220:H220, $U$13:$U$17, $T$13:$T$17))</f>
        <v>22</v>
      </c>
      <c r="P220">
        <f t="shared" si="10"/>
        <v>7</v>
      </c>
      <c r="Q220" s="1">
        <f t="shared" si="11"/>
        <v>1</v>
      </c>
    </row>
    <row r="221" spans="1:17" x14ac:dyDescent="0.25">
      <c r="A221" s="1" t="s">
        <v>108</v>
      </c>
      <c r="B221" s="1" t="s">
        <v>327</v>
      </c>
      <c r="C221">
        <v>1</v>
      </c>
      <c r="D221">
        <v>5</v>
      </c>
      <c r="E221">
        <v>3</v>
      </c>
      <c r="F221">
        <v>5</v>
      </c>
      <c r="G221">
        <v>2</v>
      </c>
      <c r="H221">
        <v>4</v>
      </c>
      <c r="I221">
        <v>42</v>
      </c>
      <c r="J221">
        <v>82</v>
      </c>
      <c r="K221">
        <v>89</v>
      </c>
      <c r="L221">
        <v>2</v>
      </c>
      <c r="M221">
        <v>41</v>
      </c>
      <c r="N221">
        <f t="shared" si="9"/>
        <v>25.599999999999994</v>
      </c>
      <c r="O221" cm="1">
        <f t="array" ref="O221">SUM(_xlfn.XLOOKUP(E221:H221, $U$13:$U$17, $T$13:$T$17))</f>
        <v>18</v>
      </c>
      <c r="P221">
        <f t="shared" si="10"/>
        <v>1</v>
      </c>
      <c r="Q221" s="1">
        <f t="shared" si="11"/>
        <v>0</v>
      </c>
    </row>
    <row r="222" spans="1:17" x14ac:dyDescent="0.25">
      <c r="A222" s="1" t="s">
        <v>328</v>
      </c>
      <c r="B222" s="1" t="s">
        <v>68</v>
      </c>
      <c r="C222">
        <v>0</v>
      </c>
      <c r="D222">
        <v>6</v>
      </c>
      <c r="E222">
        <v>6</v>
      </c>
      <c r="F222">
        <v>4</v>
      </c>
      <c r="G222">
        <v>4</v>
      </c>
      <c r="H222">
        <v>3</v>
      </c>
      <c r="I222">
        <v>25</v>
      </c>
      <c r="J222">
        <v>40</v>
      </c>
      <c r="K222">
        <v>61</v>
      </c>
      <c r="L222">
        <v>59</v>
      </c>
      <c r="M222">
        <v>88</v>
      </c>
      <c r="N222">
        <f t="shared" si="9"/>
        <v>27.3</v>
      </c>
      <c r="O222" cm="1">
        <f t="array" ref="O222">SUM(_xlfn.XLOOKUP(E222:H222, $U$13:$U$17, $T$13:$T$17))</f>
        <v>26</v>
      </c>
      <c r="P222">
        <f t="shared" si="10"/>
        <v>2</v>
      </c>
      <c r="Q222" s="1">
        <f t="shared" si="11"/>
        <v>1</v>
      </c>
    </row>
    <row r="223" spans="1:17" x14ac:dyDescent="0.25">
      <c r="A223" s="1" t="s">
        <v>329</v>
      </c>
      <c r="B223" s="1" t="s">
        <v>188</v>
      </c>
      <c r="C223">
        <v>2</v>
      </c>
      <c r="D223">
        <v>4</v>
      </c>
      <c r="E223">
        <v>3</v>
      </c>
      <c r="F223">
        <v>3</v>
      </c>
      <c r="G223">
        <v>3</v>
      </c>
      <c r="H223">
        <v>2</v>
      </c>
      <c r="I223">
        <v>76</v>
      </c>
      <c r="J223">
        <v>21</v>
      </c>
      <c r="K223">
        <v>59</v>
      </c>
      <c r="L223">
        <v>79</v>
      </c>
      <c r="M223">
        <v>33</v>
      </c>
      <c r="N223">
        <f t="shared" si="9"/>
        <v>26.8</v>
      </c>
      <c r="O223" cm="1">
        <f t="array" ref="O223">SUM(_xlfn.XLOOKUP(E223:H223, $U$13:$U$17, $T$13:$T$17))</f>
        <v>12</v>
      </c>
      <c r="P223">
        <f t="shared" si="10"/>
        <v>2</v>
      </c>
      <c r="Q223" s="1">
        <f t="shared" si="11"/>
        <v>0</v>
      </c>
    </row>
    <row r="224" spans="1:17" x14ac:dyDescent="0.25">
      <c r="A224" s="1" t="s">
        <v>330</v>
      </c>
      <c r="B224" s="1" t="s">
        <v>30</v>
      </c>
      <c r="C224">
        <v>3</v>
      </c>
      <c r="D224">
        <v>6</v>
      </c>
      <c r="E224">
        <v>5</v>
      </c>
      <c r="F224">
        <v>2</v>
      </c>
      <c r="G224">
        <v>5</v>
      </c>
      <c r="H224">
        <v>4</v>
      </c>
      <c r="I224">
        <v>18</v>
      </c>
      <c r="J224">
        <v>33</v>
      </c>
      <c r="K224">
        <v>57</v>
      </c>
      <c r="L224">
        <v>34</v>
      </c>
      <c r="M224">
        <v>74</v>
      </c>
      <c r="N224">
        <f t="shared" si="9"/>
        <v>21.6</v>
      </c>
      <c r="O224" cm="1">
        <f t="array" ref="O224">SUM(_xlfn.XLOOKUP(E224:H224, $U$13:$U$17, $T$13:$T$17))</f>
        <v>22</v>
      </c>
      <c r="P224">
        <f t="shared" si="10"/>
        <v>5</v>
      </c>
      <c r="Q224" s="1">
        <f t="shared" si="11"/>
        <v>1</v>
      </c>
    </row>
    <row r="225" spans="1:17" x14ac:dyDescent="0.25">
      <c r="A225" s="1" t="s">
        <v>131</v>
      </c>
      <c r="B225" s="1" t="s">
        <v>171</v>
      </c>
      <c r="C225">
        <v>8</v>
      </c>
      <c r="D225">
        <v>4</v>
      </c>
      <c r="E225">
        <v>3</v>
      </c>
      <c r="F225">
        <v>2</v>
      </c>
      <c r="G225">
        <v>6</v>
      </c>
      <c r="H225">
        <v>5</v>
      </c>
      <c r="I225">
        <v>67</v>
      </c>
      <c r="J225">
        <v>34</v>
      </c>
      <c r="K225">
        <v>96</v>
      </c>
      <c r="L225">
        <v>61</v>
      </c>
      <c r="M225">
        <v>40</v>
      </c>
      <c r="N225">
        <f t="shared" si="9"/>
        <v>29.799999999999997</v>
      </c>
      <c r="O225" cm="1">
        <f t="array" ref="O225">SUM(_xlfn.XLOOKUP(E225:H225, $U$13:$U$17, $T$13:$T$17))</f>
        <v>22</v>
      </c>
      <c r="P225">
        <f t="shared" si="10"/>
        <v>8</v>
      </c>
      <c r="Q225" s="1">
        <f t="shared" si="11"/>
        <v>1</v>
      </c>
    </row>
    <row r="226" spans="1:17" x14ac:dyDescent="0.25">
      <c r="A226" s="1" t="s">
        <v>265</v>
      </c>
      <c r="B226" s="1" t="s">
        <v>16</v>
      </c>
      <c r="C226">
        <v>5</v>
      </c>
      <c r="D226">
        <v>4</v>
      </c>
      <c r="E226">
        <v>4</v>
      </c>
      <c r="F226">
        <v>6</v>
      </c>
      <c r="G226">
        <v>4</v>
      </c>
      <c r="H226">
        <v>5</v>
      </c>
      <c r="I226">
        <v>39</v>
      </c>
      <c r="J226">
        <v>12</v>
      </c>
      <c r="K226">
        <v>100</v>
      </c>
      <c r="L226">
        <v>47</v>
      </c>
      <c r="M226">
        <v>42</v>
      </c>
      <c r="N226">
        <f t="shared" si="9"/>
        <v>24</v>
      </c>
      <c r="O226" cm="1">
        <f t="array" ref="O226">SUM(_xlfn.XLOOKUP(E226:H226, $U$13:$U$17, $T$13:$T$17))</f>
        <v>30</v>
      </c>
      <c r="P226">
        <f t="shared" si="10"/>
        <v>5</v>
      </c>
      <c r="Q226" s="1">
        <f t="shared" si="11"/>
        <v>1</v>
      </c>
    </row>
    <row r="227" spans="1:17" x14ac:dyDescent="0.25">
      <c r="A227" s="1" t="s">
        <v>331</v>
      </c>
      <c r="B227" s="1" t="s">
        <v>155</v>
      </c>
      <c r="C227">
        <v>0</v>
      </c>
      <c r="D227">
        <v>3</v>
      </c>
      <c r="E227">
        <v>2</v>
      </c>
      <c r="F227">
        <v>4</v>
      </c>
      <c r="G227">
        <v>4</v>
      </c>
      <c r="H227">
        <v>2</v>
      </c>
      <c r="I227">
        <v>88</v>
      </c>
      <c r="J227">
        <v>79</v>
      </c>
      <c r="K227">
        <v>26</v>
      </c>
      <c r="L227">
        <v>8</v>
      </c>
      <c r="M227">
        <v>70</v>
      </c>
      <c r="N227">
        <f t="shared" si="9"/>
        <v>27.100000000000005</v>
      </c>
      <c r="O227" cm="1">
        <f t="array" ref="O227">SUM(_xlfn.XLOOKUP(E227:H227, $U$13:$U$17, $T$13:$T$17))</f>
        <v>12</v>
      </c>
      <c r="P227">
        <f t="shared" si="10"/>
        <v>0</v>
      </c>
      <c r="Q227" s="1">
        <f t="shared" si="11"/>
        <v>0</v>
      </c>
    </row>
    <row r="228" spans="1:17" x14ac:dyDescent="0.25">
      <c r="A228" s="1" t="s">
        <v>332</v>
      </c>
      <c r="B228" s="1" t="s">
        <v>117</v>
      </c>
      <c r="C228">
        <v>1</v>
      </c>
      <c r="D228">
        <v>2</v>
      </c>
      <c r="E228">
        <v>2</v>
      </c>
      <c r="F228">
        <v>6</v>
      </c>
      <c r="G228">
        <v>6</v>
      </c>
      <c r="H228">
        <v>3</v>
      </c>
      <c r="I228">
        <v>83</v>
      </c>
      <c r="J228">
        <v>76</v>
      </c>
      <c r="K228">
        <v>52</v>
      </c>
      <c r="L228">
        <v>43</v>
      </c>
      <c r="M228">
        <v>64</v>
      </c>
      <c r="N228">
        <f t="shared" si="9"/>
        <v>31.800000000000004</v>
      </c>
      <c r="O228" cm="1">
        <f t="array" ref="O228">SUM(_xlfn.XLOOKUP(E228:H228, $U$13:$U$17, $T$13:$T$17))</f>
        <v>24</v>
      </c>
      <c r="P228">
        <f t="shared" si="10"/>
        <v>1</v>
      </c>
      <c r="Q228" s="1">
        <f t="shared" si="11"/>
        <v>0</v>
      </c>
    </row>
    <row r="229" spans="1:17" x14ac:dyDescent="0.25">
      <c r="A229" s="1" t="s">
        <v>333</v>
      </c>
      <c r="B229" s="1" t="s">
        <v>216</v>
      </c>
      <c r="C229">
        <v>1</v>
      </c>
      <c r="D229">
        <v>6</v>
      </c>
      <c r="E229">
        <v>6</v>
      </c>
      <c r="F229">
        <v>3</v>
      </c>
      <c r="G229">
        <v>6</v>
      </c>
      <c r="H229">
        <v>4</v>
      </c>
      <c r="I229">
        <v>54</v>
      </c>
      <c r="J229">
        <v>50</v>
      </c>
      <c r="K229">
        <v>36</v>
      </c>
      <c r="L229">
        <v>23</v>
      </c>
      <c r="M229">
        <v>9</v>
      </c>
      <c r="N229">
        <f t="shared" si="9"/>
        <v>17.2</v>
      </c>
      <c r="O229" cm="1">
        <f t="array" ref="O229">SUM(_xlfn.XLOOKUP(E229:H229, $U$13:$U$17, $T$13:$T$17))</f>
        <v>30</v>
      </c>
      <c r="P229">
        <f t="shared" si="10"/>
        <v>3</v>
      </c>
      <c r="Q229" s="1">
        <f t="shared" si="11"/>
        <v>1</v>
      </c>
    </row>
    <row r="230" spans="1:17" x14ac:dyDescent="0.25">
      <c r="A230" s="1" t="s">
        <v>334</v>
      </c>
      <c r="B230" s="1" t="s">
        <v>242</v>
      </c>
      <c r="C230">
        <v>0</v>
      </c>
      <c r="D230">
        <v>3</v>
      </c>
      <c r="E230">
        <v>4</v>
      </c>
      <c r="F230">
        <v>6</v>
      </c>
      <c r="G230">
        <v>3</v>
      </c>
      <c r="H230">
        <v>5</v>
      </c>
      <c r="I230">
        <v>49</v>
      </c>
      <c r="J230">
        <v>31</v>
      </c>
      <c r="K230">
        <v>34</v>
      </c>
      <c r="L230">
        <v>22</v>
      </c>
      <c r="M230">
        <v>76</v>
      </c>
      <c r="N230">
        <f t="shared" si="9"/>
        <v>21.200000000000003</v>
      </c>
      <c r="O230" cm="1">
        <f t="array" ref="O230">SUM(_xlfn.XLOOKUP(E230:H230, $U$13:$U$17, $T$13:$T$17))</f>
        <v>28</v>
      </c>
      <c r="P230">
        <f t="shared" si="10"/>
        <v>0</v>
      </c>
      <c r="Q230" s="1">
        <f t="shared" si="11"/>
        <v>1</v>
      </c>
    </row>
    <row r="231" spans="1:17" x14ac:dyDescent="0.25">
      <c r="A231" s="1" t="s">
        <v>335</v>
      </c>
      <c r="B231" s="1" t="s">
        <v>177</v>
      </c>
      <c r="C231">
        <v>1</v>
      </c>
      <c r="D231">
        <v>3</v>
      </c>
      <c r="E231">
        <v>2</v>
      </c>
      <c r="F231">
        <v>2</v>
      </c>
      <c r="G231">
        <v>2</v>
      </c>
      <c r="H231">
        <v>3</v>
      </c>
      <c r="I231">
        <v>71</v>
      </c>
      <c r="J231">
        <v>20</v>
      </c>
      <c r="K231">
        <v>46</v>
      </c>
      <c r="L231">
        <v>6</v>
      </c>
      <c r="M231">
        <v>22</v>
      </c>
      <c r="N231">
        <f t="shared" si="9"/>
        <v>16.5</v>
      </c>
      <c r="O231" cm="1">
        <f t="array" ref="O231">SUM(_xlfn.XLOOKUP(E231:H231, $U$13:$U$17, $T$13:$T$17))</f>
        <v>4</v>
      </c>
      <c r="P231">
        <f t="shared" si="10"/>
        <v>1</v>
      </c>
      <c r="Q231" s="1">
        <f t="shared" si="11"/>
        <v>0</v>
      </c>
    </row>
    <row r="232" spans="1:17" x14ac:dyDescent="0.25">
      <c r="A232" s="1" t="s">
        <v>336</v>
      </c>
      <c r="B232" s="1" t="s">
        <v>210</v>
      </c>
      <c r="C232">
        <v>8</v>
      </c>
      <c r="D232">
        <v>5</v>
      </c>
      <c r="E232">
        <v>6</v>
      </c>
      <c r="F232">
        <v>4</v>
      </c>
      <c r="G232">
        <v>5</v>
      </c>
      <c r="H232">
        <v>4</v>
      </c>
      <c r="I232">
        <v>5</v>
      </c>
      <c r="J232">
        <v>48</v>
      </c>
      <c r="K232">
        <v>2</v>
      </c>
      <c r="L232">
        <v>12</v>
      </c>
      <c r="M232">
        <v>15</v>
      </c>
      <c r="N232">
        <f t="shared" si="9"/>
        <v>8.1999999999999993</v>
      </c>
      <c r="O232" cm="1">
        <f t="array" ref="O232">SUM(_xlfn.XLOOKUP(E232:H232, $U$13:$U$17, $T$13:$T$17))</f>
        <v>30</v>
      </c>
      <c r="P232">
        <f t="shared" si="10"/>
        <v>8</v>
      </c>
      <c r="Q232" s="1">
        <f t="shared" si="11"/>
        <v>1</v>
      </c>
    </row>
    <row r="233" spans="1:17" x14ac:dyDescent="0.25">
      <c r="A233" s="1" t="s">
        <v>337</v>
      </c>
      <c r="B233" s="1" t="s">
        <v>338</v>
      </c>
      <c r="C233">
        <v>7</v>
      </c>
      <c r="D233">
        <v>4</v>
      </c>
      <c r="E233">
        <v>3</v>
      </c>
      <c r="F233">
        <v>4</v>
      </c>
      <c r="G233">
        <v>6</v>
      </c>
      <c r="H233">
        <v>6</v>
      </c>
      <c r="I233">
        <v>27</v>
      </c>
      <c r="J233">
        <v>12</v>
      </c>
      <c r="K233">
        <v>19</v>
      </c>
      <c r="L233">
        <v>10</v>
      </c>
      <c r="M233">
        <v>66</v>
      </c>
      <c r="N233">
        <f t="shared" si="9"/>
        <v>13.4</v>
      </c>
      <c r="O233" cm="1">
        <f t="array" ref="O233">SUM(_xlfn.XLOOKUP(E233:H233, $U$13:$U$17, $T$13:$T$17))</f>
        <v>30</v>
      </c>
      <c r="P233">
        <f t="shared" si="10"/>
        <v>7</v>
      </c>
      <c r="Q233" s="1">
        <f t="shared" si="11"/>
        <v>1</v>
      </c>
    </row>
    <row r="234" spans="1:17" x14ac:dyDescent="0.25">
      <c r="A234" s="1" t="s">
        <v>339</v>
      </c>
      <c r="B234" s="1" t="s">
        <v>340</v>
      </c>
      <c r="C234">
        <v>6</v>
      </c>
      <c r="D234">
        <v>2</v>
      </c>
      <c r="E234">
        <v>5</v>
      </c>
      <c r="F234">
        <v>3</v>
      </c>
      <c r="G234">
        <v>5</v>
      </c>
      <c r="H234">
        <v>3</v>
      </c>
      <c r="I234">
        <v>95</v>
      </c>
      <c r="J234">
        <v>12</v>
      </c>
      <c r="K234">
        <v>76</v>
      </c>
      <c r="L234">
        <v>52</v>
      </c>
      <c r="M234">
        <v>36</v>
      </c>
      <c r="N234">
        <f t="shared" si="9"/>
        <v>27.099999999999998</v>
      </c>
      <c r="O234" cm="1">
        <f t="array" ref="O234">SUM(_xlfn.XLOOKUP(E234:H234, $U$13:$U$17, $T$13:$T$17))</f>
        <v>24</v>
      </c>
      <c r="P234">
        <f t="shared" si="10"/>
        <v>6</v>
      </c>
      <c r="Q234" s="1">
        <f t="shared" si="11"/>
        <v>1</v>
      </c>
    </row>
    <row r="235" spans="1:17" x14ac:dyDescent="0.25">
      <c r="A235" s="1" t="s">
        <v>341</v>
      </c>
      <c r="B235" s="1" t="s">
        <v>177</v>
      </c>
      <c r="C235">
        <v>4</v>
      </c>
      <c r="D235">
        <v>6</v>
      </c>
      <c r="E235">
        <v>4</v>
      </c>
      <c r="F235">
        <v>5</v>
      </c>
      <c r="G235">
        <v>5</v>
      </c>
      <c r="H235">
        <v>2</v>
      </c>
      <c r="I235">
        <v>48</v>
      </c>
      <c r="J235">
        <v>9</v>
      </c>
      <c r="K235">
        <v>45</v>
      </c>
      <c r="L235">
        <v>10</v>
      </c>
      <c r="M235">
        <v>3</v>
      </c>
      <c r="N235">
        <f t="shared" si="9"/>
        <v>11.5</v>
      </c>
      <c r="O235" cm="1">
        <f t="array" ref="O235">SUM(_xlfn.XLOOKUP(E235:H235, $U$13:$U$17, $T$13:$T$17))</f>
        <v>22</v>
      </c>
      <c r="P235">
        <f t="shared" si="10"/>
        <v>6</v>
      </c>
      <c r="Q235" s="1">
        <f t="shared" si="11"/>
        <v>1</v>
      </c>
    </row>
    <row r="236" spans="1:17" x14ac:dyDescent="0.25">
      <c r="A236" s="1" t="s">
        <v>342</v>
      </c>
      <c r="B236" s="1" t="s">
        <v>343</v>
      </c>
      <c r="C236">
        <v>2</v>
      </c>
      <c r="D236">
        <v>5</v>
      </c>
      <c r="E236">
        <v>2</v>
      </c>
      <c r="F236">
        <v>4</v>
      </c>
      <c r="G236">
        <v>4</v>
      </c>
      <c r="H236">
        <v>4</v>
      </c>
      <c r="I236">
        <v>46</v>
      </c>
      <c r="J236">
        <v>58</v>
      </c>
      <c r="K236">
        <v>72</v>
      </c>
      <c r="L236">
        <v>83</v>
      </c>
      <c r="M236">
        <v>48</v>
      </c>
      <c r="N236">
        <f t="shared" si="9"/>
        <v>30.7</v>
      </c>
      <c r="O236" cm="1">
        <f t="array" ref="O236">SUM(_xlfn.XLOOKUP(E236:H236, $U$13:$U$17, $T$13:$T$17))</f>
        <v>18</v>
      </c>
      <c r="P236">
        <f t="shared" si="10"/>
        <v>2</v>
      </c>
      <c r="Q236" s="1">
        <f t="shared" si="11"/>
        <v>0</v>
      </c>
    </row>
    <row r="237" spans="1:17" x14ac:dyDescent="0.25">
      <c r="A237" s="1" t="s">
        <v>344</v>
      </c>
      <c r="B237" s="1" t="s">
        <v>345</v>
      </c>
      <c r="C237">
        <v>7</v>
      </c>
      <c r="D237">
        <v>3</v>
      </c>
      <c r="E237">
        <v>3</v>
      </c>
      <c r="F237">
        <v>3</v>
      </c>
      <c r="G237">
        <v>3</v>
      </c>
      <c r="H237">
        <v>6</v>
      </c>
      <c r="I237">
        <v>72</v>
      </c>
      <c r="J237">
        <v>40</v>
      </c>
      <c r="K237">
        <v>54</v>
      </c>
      <c r="L237">
        <v>44</v>
      </c>
      <c r="M237">
        <v>78</v>
      </c>
      <c r="N237">
        <f t="shared" si="9"/>
        <v>28.8</v>
      </c>
      <c r="O237" cm="1">
        <f t="array" ref="O237">SUM(_xlfn.XLOOKUP(E237:H237, $U$13:$U$17, $T$13:$T$17))</f>
        <v>22</v>
      </c>
      <c r="P237">
        <f t="shared" si="10"/>
        <v>7</v>
      </c>
      <c r="Q237" s="1">
        <f t="shared" si="11"/>
        <v>1</v>
      </c>
    </row>
    <row r="238" spans="1:17" x14ac:dyDescent="0.25">
      <c r="A238" s="1" t="s">
        <v>346</v>
      </c>
      <c r="B238" s="1" t="s">
        <v>347</v>
      </c>
      <c r="C238">
        <v>4</v>
      </c>
      <c r="D238">
        <v>4</v>
      </c>
      <c r="E238">
        <v>5</v>
      </c>
      <c r="F238">
        <v>2</v>
      </c>
      <c r="G238">
        <v>3</v>
      </c>
      <c r="H238">
        <v>5</v>
      </c>
      <c r="I238">
        <v>80</v>
      </c>
      <c r="J238">
        <v>63</v>
      </c>
      <c r="K238">
        <v>36</v>
      </c>
      <c r="L238">
        <v>13</v>
      </c>
      <c r="M238">
        <v>38</v>
      </c>
      <c r="N238">
        <f t="shared" si="9"/>
        <v>23.000000000000004</v>
      </c>
      <c r="O238" cm="1">
        <f t="array" ref="O238">SUM(_xlfn.XLOOKUP(E238:H238, $U$13:$U$17, $T$13:$T$17))</f>
        <v>20</v>
      </c>
      <c r="P238">
        <f t="shared" si="10"/>
        <v>4</v>
      </c>
      <c r="Q238" s="1">
        <f t="shared" si="11"/>
        <v>1</v>
      </c>
    </row>
    <row r="239" spans="1:17" x14ac:dyDescent="0.25">
      <c r="A239" s="1" t="s">
        <v>348</v>
      </c>
      <c r="B239" s="1" t="s">
        <v>210</v>
      </c>
      <c r="C239">
        <v>7</v>
      </c>
      <c r="D239">
        <v>5</v>
      </c>
      <c r="E239">
        <v>3</v>
      </c>
      <c r="F239">
        <v>2</v>
      </c>
      <c r="G239">
        <v>5</v>
      </c>
      <c r="H239">
        <v>3</v>
      </c>
      <c r="I239">
        <v>89</v>
      </c>
      <c r="J239">
        <v>97</v>
      </c>
      <c r="K239">
        <v>66</v>
      </c>
      <c r="L239">
        <v>5</v>
      </c>
      <c r="M239">
        <v>68</v>
      </c>
      <c r="N239">
        <f t="shared" si="9"/>
        <v>32.5</v>
      </c>
      <c r="O239" cm="1">
        <f t="array" ref="O239">SUM(_xlfn.XLOOKUP(E239:H239, $U$13:$U$17, $T$13:$T$17))</f>
        <v>16</v>
      </c>
      <c r="P239">
        <f t="shared" si="10"/>
        <v>7</v>
      </c>
      <c r="Q239" s="1">
        <f t="shared" si="11"/>
        <v>0</v>
      </c>
    </row>
    <row r="240" spans="1:17" x14ac:dyDescent="0.25">
      <c r="A240" s="1" t="s">
        <v>349</v>
      </c>
      <c r="B240" s="1" t="s">
        <v>350</v>
      </c>
      <c r="C240">
        <v>8</v>
      </c>
      <c r="D240">
        <v>3</v>
      </c>
      <c r="E240">
        <v>5</v>
      </c>
      <c r="F240">
        <v>3</v>
      </c>
      <c r="G240">
        <v>6</v>
      </c>
      <c r="H240">
        <v>6</v>
      </c>
      <c r="I240">
        <v>98</v>
      </c>
      <c r="J240">
        <v>27</v>
      </c>
      <c r="K240">
        <v>75</v>
      </c>
      <c r="L240">
        <v>69</v>
      </c>
      <c r="M240">
        <v>29</v>
      </c>
      <c r="N240">
        <f t="shared" si="9"/>
        <v>29.799999999999997</v>
      </c>
      <c r="O240" cm="1">
        <f t="array" ref="O240">SUM(_xlfn.XLOOKUP(E240:H240, $U$13:$U$17, $T$13:$T$17))</f>
        <v>32</v>
      </c>
      <c r="P240">
        <f t="shared" si="10"/>
        <v>8</v>
      </c>
      <c r="Q240" s="1">
        <f t="shared" si="11"/>
        <v>1</v>
      </c>
    </row>
    <row r="241" spans="1:17" x14ac:dyDescent="0.25">
      <c r="A241" s="1" t="s">
        <v>351</v>
      </c>
      <c r="B241" s="1" t="s">
        <v>45</v>
      </c>
      <c r="C241">
        <v>2</v>
      </c>
      <c r="D241">
        <v>2</v>
      </c>
      <c r="E241">
        <v>3</v>
      </c>
      <c r="F241">
        <v>4</v>
      </c>
      <c r="G241">
        <v>2</v>
      </c>
      <c r="H241">
        <v>6</v>
      </c>
      <c r="I241">
        <v>43</v>
      </c>
      <c r="J241">
        <v>45</v>
      </c>
      <c r="K241">
        <v>16</v>
      </c>
      <c r="L241">
        <v>56</v>
      </c>
      <c r="M241">
        <v>7</v>
      </c>
      <c r="N241">
        <f t="shared" si="9"/>
        <v>16.7</v>
      </c>
      <c r="O241" cm="1">
        <f t="array" ref="O241">SUM(_xlfn.XLOOKUP(E241:H241, $U$13:$U$17, $T$13:$T$17))</f>
        <v>20</v>
      </c>
      <c r="P241">
        <f t="shared" si="10"/>
        <v>2</v>
      </c>
      <c r="Q241" s="1">
        <f t="shared" si="11"/>
        <v>1</v>
      </c>
    </row>
    <row r="242" spans="1:17" x14ac:dyDescent="0.25">
      <c r="A242" s="1" t="s">
        <v>352</v>
      </c>
      <c r="B242" s="1" t="s">
        <v>193</v>
      </c>
      <c r="C242">
        <v>7</v>
      </c>
      <c r="D242">
        <v>6</v>
      </c>
      <c r="E242">
        <v>6</v>
      </c>
      <c r="F242">
        <v>2</v>
      </c>
      <c r="G242">
        <v>3</v>
      </c>
      <c r="H242">
        <v>6</v>
      </c>
      <c r="I242">
        <v>19</v>
      </c>
      <c r="J242">
        <v>5</v>
      </c>
      <c r="K242">
        <v>76</v>
      </c>
      <c r="L242">
        <v>74</v>
      </c>
      <c r="M242">
        <v>16</v>
      </c>
      <c r="N242">
        <f t="shared" si="9"/>
        <v>19</v>
      </c>
      <c r="O242" cm="1">
        <f t="array" ref="O242">SUM(_xlfn.XLOOKUP(E242:H242, $U$13:$U$17, $T$13:$T$17))</f>
        <v>24</v>
      </c>
      <c r="P242">
        <f t="shared" si="10"/>
        <v>9</v>
      </c>
      <c r="Q242" s="1">
        <f t="shared" si="11"/>
        <v>1</v>
      </c>
    </row>
    <row r="243" spans="1:17" x14ac:dyDescent="0.25">
      <c r="A243" s="1" t="s">
        <v>353</v>
      </c>
      <c r="B243" s="1" t="s">
        <v>86</v>
      </c>
      <c r="C243">
        <v>2</v>
      </c>
      <c r="D243">
        <v>3</v>
      </c>
      <c r="E243">
        <v>2</v>
      </c>
      <c r="F243">
        <v>5</v>
      </c>
      <c r="G243">
        <v>5</v>
      </c>
      <c r="H243">
        <v>4</v>
      </c>
      <c r="I243">
        <v>60</v>
      </c>
      <c r="J243">
        <v>48</v>
      </c>
      <c r="K243">
        <v>73</v>
      </c>
      <c r="L243">
        <v>93</v>
      </c>
      <c r="M243">
        <v>51</v>
      </c>
      <c r="N243">
        <f t="shared" si="9"/>
        <v>32.5</v>
      </c>
      <c r="O243" cm="1">
        <f t="array" ref="O243">SUM(_xlfn.XLOOKUP(E243:H243, $U$13:$U$17, $T$13:$T$17))</f>
        <v>22</v>
      </c>
      <c r="P243">
        <f t="shared" si="10"/>
        <v>2</v>
      </c>
      <c r="Q243" s="1">
        <f t="shared" si="11"/>
        <v>0</v>
      </c>
    </row>
    <row r="244" spans="1:17" x14ac:dyDescent="0.25">
      <c r="A244" s="1" t="s">
        <v>354</v>
      </c>
      <c r="B244" s="1" t="s">
        <v>355</v>
      </c>
      <c r="C244">
        <v>4</v>
      </c>
      <c r="D244">
        <v>6</v>
      </c>
      <c r="E244">
        <v>3</v>
      </c>
      <c r="F244">
        <v>6</v>
      </c>
      <c r="G244">
        <v>5</v>
      </c>
      <c r="H244">
        <v>6</v>
      </c>
      <c r="I244">
        <v>82</v>
      </c>
      <c r="J244">
        <v>21</v>
      </c>
      <c r="K244">
        <v>64</v>
      </c>
      <c r="L244">
        <v>61</v>
      </c>
      <c r="M244">
        <v>93</v>
      </c>
      <c r="N244">
        <f t="shared" si="9"/>
        <v>32.099999999999994</v>
      </c>
      <c r="O244" cm="1">
        <f t="array" ref="O244">SUM(_xlfn.XLOOKUP(E244:H244, $U$13:$U$17, $T$13:$T$17))</f>
        <v>32</v>
      </c>
      <c r="P244">
        <f t="shared" si="10"/>
        <v>6</v>
      </c>
      <c r="Q244" s="1">
        <f t="shared" si="11"/>
        <v>1</v>
      </c>
    </row>
    <row r="245" spans="1:17" x14ac:dyDescent="0.25">
      <c r="A245" s="1" t="s">
        <v>356</v>
      </c>
      <c r="B245" s="1" t="s">
        <v>357</v>
      </c>
      <c r="C245">
        <v>2</v>
      </c>
      <c r="D245">
        <v>4</v>
      </c>
      <c r="E245">
        <v>2</v>
      </c>
      <c r="F245">
        <v>4</v>
      </c>
      <c r="G245">
        <v>3</v>
      </c>
      <c r="H245">
        <v>4</v>
      </c>
      <c r="I245">
        <v>65</v>
      </c>
      <c r="J245">
        <v>50</v>
      </c>
      <c r="K245">
        <v>15</v>
      </c>
      <c r="L245">
        <v>67</v>
      </c>
      <c r="M245">
        <v>88</v>
      </c>
      <c r="N245">
        <f t="shared" si="9"/>
        <v>28.5</v>
      </c>
      <c r="O245" cm="1">
        <f t="array" ref="O245">SUM(_xlfn.XLOOKUP(E245:H245, $U$13:$U$17, $T$13:$T$17))</f>
        <v>16</v>
      </c>
      <c r="P245">
        <f t="shared" si="10"/>
        <v>2</v>
      </c>
      <c r="Q245" s="1">
        <f t="shared" si="11"/>
        <v>0</v>
      </c>
    </row>
    <row r="246" spans="1:17" x14ac:dyDescent="0.25">
      <c r="A246" s="1" t="s">
        <v>358</v>
      </c>
      <c r="B246" s="1" t="s">
        <v>174</v>
      </c>
      <c r="C246">
        <v>8</v>
      </c>
      <c r="D246">
        <v>3</v>
      </c>
      <c r="E246">
        <v>6</v>
      </c>
      <c r="F246">
        <v>3</v>
      </c>
      <c r="G246">
        <v>6</v>
      </c>
      <c r="H246">
        <v>3</v>
      </c>
      <c r="I246">
        <v>85</v>
      </c>
      <c r="J246">
        <v>68</v>
      </c>
      <c r="K246">
        <v>59</v>
      </c>
      <c r="L246">
        <v>5</v>
      </c>
      <c r="M246">
        <v>29</v>
      </c>
      <c r="N246">
        <f t="shared" si="9"/>
        <v>24.6</v>
      </c>
      <c r="O246" cm="1">
        <f t="array" ref="O246">SUM(_xlfn.XLOOKUP(E246:H246, $U$13:$U$17, $T$13:$T$17))</f>
        <v>28</v>
      </c>
      <c r="P246">
        <f t="shared" si="10"/>
        <v>8</v>
      </c>
      <c r="Q246" s="1">
        <f t="shared" si="11"/>
        <v>1</v>
      </c>
    </row>
    <row r="247" spans="1:17" x14ac:dyDescent="0.25">
      <c r="A247" s="1" t="s">
        <v>359</v>
      </c>
      <c r="B247" s="1" t="s">
        <v>360</v>
      </c>
      <c r="C247">
        <v>7</v>
      </c>
      <c r="D247">
        <v>6</v>
      </c>
      <c r="E247">
        <v>2</v>
      </c>
      <c r="F247">
        <v>3</v>
      </c>
      <c r="G247">
        <v>2</v>
      </c>
      <c r="H247">
        <v>2</v>
      </c>
      <c r="I247">
        <v>91</v>
      </c>
      <c r="J247">
        <v>65</v>
      </c>
      <c r="K247">
        <v>12</v>
      </c>
      <c r="L247">
        <v>78</v>
      </c>
      <c r="M247">
        <v>87</v>
      </c>
      <c r="N247">
        <f t="shared" si="9"/>
        <v>33.299999999999997</v>
      </c>
      <c r="O247" cm="1">
        <f t="array" ref="O247">SUM(_xlfn.XLOOKUP(E247:H247, $U$13:$U$17, $T$13:$T$17))</f>
        <v>4</v>
      </c>
      <c r="P247">
        <f t="shared" si="10"/>
        <v>9</v>
      </c>
      <c r="Q247" s="1">
        <f t="shared" si="11"/>
        <v>0</v>
      </c>
    </row>
    <row r="248" spans="1:17" x14ac:dyDescent="0.25">
      <c r="A248" s="1" t="s">
        <v>361</v>
      </c>
      <c r="B248" s="1" t="s">
        <v>362</v>
      </c>
      <c r="C248">
        <v>2</v>
      </c>
      <c r="D248">
        <v>6</v>
      </c>
      <c r="E248">
        <v>6</v>
      </c>
      <c r="F248">
        <v>6</v>
      </c>
      <c r="G248">
        <v>2</v>
      </c>
      <c r="H248">
        <v>3</v>
      </c>
      <c r="I248">
        <v>65</v>
      </c>
      <c r="J248">
        <v>28</v>
      </c>
      <c r="K248">
        <v>80</v>
      </c>
      <c r="L248">
        <v>55</v>
      </c>
      <c r="M248">
        <v>60</v>
      </c>
      <c r="N248">
        <f t="shared" si="9"/>
        <v>28.8</v>
      </c>
      <c r="O248" cm="1">
        <f t="array" ref="O248">SUM(_xlfn.XLOOKUP(E248:H248, $U$13:$U$17, $T$13:$T$17))</f>
        <v>24</v>
      </c>
      <c r="P248">
        <f t="shared" si="10"/>
        <v>4</v>
      </c>
      <c r="Q248" s="1">
        <f t="shared" si="11"/>
        <v>0</v>
      </c>
    </row>
    <row r="249" spans="1:17" x14ac:dyDescent="0.25">
      <c r="A249" s="1" t="s">
        <v>363</v>
      </c>
      <c r="B249" s="1" t="s">
        <v>139</v>
      </c>
      <c r="C249">
        <v>4</v>
      </c>
      <c r="D249">
        <v>4</v>
      </c>
      <c r="E249">
        <v>2</v>
      </c>
      <c r="F249">
        <v>3</v>
      </c>
      <c r="G249">
        <v>3</v>
      </c>
      <c r="H249">
        <v>5</v>
      </c>
      <c r="I249">
        <v>14</v>
      </c>
      <c r="J249">
        <v>4</v>
      </c>
      <c r="K249">
        <v>93</v>
      </c>
      <c r="L249">
        <v>36</v>
      </c>
      <c r="M249">
        <v>26</v>
      </c>
      <c r="N249">
        <f t="shared" si="9"/>
        <v>17.3</v>
      </c>
      <c r="O249" cm="1">
        <f t="array" ref="O249">SUM(_xlfn.XLOOKUP(E249:H249, $U$13:$U$17, $T$13:$T$17))</f>
        <v>16</v>
      </c>
      <c r="P249">
        <f t="shared" si="10"/>
        <v>4</v>
      </c>
      <c r="Q249" s="1">
        <f t="shared" si="11"/>
        <v>1</v>
      </c>
    </row>
    <row r="250" spans="1:17" x14ac:dyDescent="0.25">
      <c r="A250" s="1" t="s">
        <v>364</v>
      </c>
      <c r="B250" s="1" t="s">
        <v>203</v>
      </c>
      <c r="C250">
        <v>0</v>
      </c>
      <c r="D250">
        <v>6</v>
      </c>
      <c r="E250">
        <v>2</v>
      </c>
      <c r="F250">
        <v>6</v>
      </c>
      <c r="G250">
        <v>5</v>
      </c>
      <c r="H250">
        <v>6</v>
      </c>
      <c r="I250">
        <v>15</v>
      </c>
      <c r="J250">
        <v>42</v>
      </c>
      <c r="K250">
        <v>90</v>
      </c>
      <c r="L250">
        <v>14</v>
      </c>
      <c r="M250">
        <v>88</v>
      </c>
      <c r="N250">
        <f t="shared" si="9"/>
        <v>24.9</v>
      </c>
      <c r="O250" cm="1">
        <f t="array" ref="O250">SUM(_xlfn.XLOOKUP(E250:H250, $U$13:$U$17, $T$13:$T$17))</f>
        <v>28</v>
      </c>
      <c r="P250">
        <f t="shared" si="10"/>
        <v>2</v>
      </c>
      <c r="Q250" s="1">
        <f t="shared" si="11"/>
        <v>1</v>
      </c>
    </row>
    <row r="251" spans="1:17" x14ac:dyDescent="0.25">
      <c r="A251" s="1" t="s">
        <v>365</v>
      </c>
      <c r="B251" s="1" t="s">
        <v>16</v>
      </c>
      <c r="C251">
        <v>8</v>
      </c>
      <c r="D251">
        <v>5</v>
      </c>
      <c r="E251">
        <v>4</v>
      </c>
      <c r="F251">
        <v>4</v>
      </c>
      <c r="G251">
        <v>4</v>
      </c>
      <c r="H251">
        <v>3</v>
      </c>
      <c r="I251">
        <v>39</v>
      </c>
      <c r="J251">
        <v>45</v>
      </c>
      <c r="K251">
        <v>68</v>
      </c>
      <c r="L251">
        <v>26</v>
      </c>
      <c r="M251">
        <v>30</v>
      </c>
      <c r="N251">
        <f t="shared" si="9"/>
        <v>20.8</v>
      </c>
      <c r="O251" cm="1">
        <f t="array" ref="O251">SUM(_xlfn.XLOOKUP(E251:H251, $U$13:$U$17, $T$13:$T$17))</f>
        <v>22</v>
      </c>
      <c r="P251">
        <f t="shared" si="10"/>
        <v>8</v>
      </c>
      <c r="Q251" s="1">
        <f t="shared" si="11"/>
        <v>1</v>
      </c>
    </row>
    <row r="252" spans="1:17" x14ac:dyDescent="0.25">
      <c r="A252" s="1" t="s">
        <v>366</v>
      </c>
      <c r="B252" s="1" t="s">
        <v>367</v>
      </c>
      <c r="C252">
        <v>3</v>
      </c>
      <c r="D252">
        <v>6</v>
      </c>
      <c r="E252">
        <v>3</v>
      </c>
      <c r="F252">
        <v>4</v>
      </c>
      <c r="G252">
        <v>3</v>
      </c>
      <c r="H252">
        <v>5</v>
      </c>
      <c r="I252">
        <v>86</v>
      </c>
      <c r="J252">
        <v>46</v>
      </c>
      <c r="K252">
        <v>9</v>
      </c>
      <c r="L252">
        <v>68</v>
      </c>
      <c r="M252">
        <v>39</v>
      </c>
      <c r="N252">
        <f t="shared" si="9"/>
        <v>24.799999999999997</v>
      </c>
      <c r="O252" cm="1">
        <f t="array" ref="O252">SUM(_xlfn.XLOOKUP(E252:H252, $U$13:$U$17, $T$13:$T$17))</f>
        <v>22</v>
      </c>
      <c r="P252">
        <f t="shared" si="10"/>
        <v>5</v>
      </c>
      <c r="Q252" s="1">
        <f t="shared" si="11"/>
        <v>1</v>
      </c>
    </row>
    <row r="253" spans="1:17" x14ac:dyDescent="0.25">
      <c r="A253" s="1" t="s">
        <v>368</v>
      </c>
      <c r="B253" s="1" t="s">
        <v>369</v>
      </c>
      <c r="C253">
        <v>7</v>
      </c>
      <c r="D253">
        <v>4</v>
      </c>
      <c r="E253">
        <v>6</v>
      </c>
      <c r="F253">
        <v>6</v>
      </c>
      <c r="G253">
        <v>6</v>
      </c>
      <c r="H253">
        <v>2</v>
      </c>
      <c r="I253">
        <v>17</v>
      </c>
      <c r="J253">
        <v>16</v>
      </c>
      <c r="K253">
        <v>12</v>
      </c>
      <c r="L253">
        <v>54</v>
      </c>
      <c r="M253">
        <v>91</v>
      </c>
      <c r="N253">
        <f t="shared" si="9"/>
        <v>19</v>
      </c>
      <c r="O253" cm="1">
        <f t="array" ref="O253">SUM(_xlfn.XLOOKUP(E253:H253, $U$13:$U$17, $T$13:$T$17))</f>
        <v>30</v>
      </c>
      <c r="P253">
        <f t="shared" si="10"/>
        <v>7</v>
      </c>
      <c r="Q253" s="1">
        <f t="shared" si="11"/>
        <v>1</v>
      </c>
    </row>
    <row r="254" spans="1:17" x14ac:dyDescent="0.25">
      <c r="A254" s="1" t="s">
        <v>370</v>
      </c>
      <c r="B254" s="1" t="s">
        <v>371</v>
      </c>
      <c r="C254">
        <v>4</v>
      </c>
      <c r="D254">
        <v>2</v>
      </c>
      <c r="E254">
        <v>4</v>
      </c>
      <c r="F254">
        <v>3</v>
      </c>
      <c r="G254">
        <v>5</v>
      </c>
      <c r="H254">
        <v>2</v>
      </c>
      <c r="I254">
        <v>68</v>
      </c>
      <c r="J254">
        <v>87</v>
      </c>
      <c r="K254">
        <v>48</v>
      </c>
      <c r="L254">
        <v>54</v>
      </c>
      <c r="M254">
        <v>39</v>
      </c>
      <c r="N254">
        <f t="shared" si="9"/>
        <v>29.6</v>
      </c>
      <c r="O254" cm="1">
        <f t="array" ref="O254">SUM(_xlfn.XLOOKUP(E254:H254, $U$13:$U$17, $T$13:$T$17))</f>
        <v>18</v>
      </c>
      <c r="P254">
        <f t="shared" si="10"/>
        <v>4</v>
      </c>
      <c r="Q254" s="1">
        <f t="shared" si="11"/>
        <v>0</v>
      </c>
    </row>
    <row r="255" spans="1:17" x14ac:dyDescent="0.25">
      <c r="A255" s="1" t="s">
        <v>372</v>
      </c>
      <c r="B255" s="1" t="s">
        <v>180</v>
      </c>
      <c r="C255">
        <v>8</v>
      </c>
      <c r="D255">
        <v>3</v>
      </c>
      <c r="E255">
        <v>5</v>
      </c>
      <c r="F255">
        <v>2</v>
      </c>
      <c r="G255">
        <v>5</v>
      </c>
      <c r="H255">
        <v>3</v>
      </c>
      <c r="I255">
        <v>99</v>
      </c>
      <c r="J255">
        <v>90</v>
      </c>
      <c r="K255">
        <v>59</v>
      </c>
      <c r="L255">
        <v>78</v>
      </c>
      <c r="M255">
        <v>93</v>
      </c>
      <c r="N255">
        <f t="shared" si="9"/>
        <v>41.899999999999991</v>
      </c>
      <c r="O255" cm="1">
        <f t="array" ref="O255">SUM(_xlfn.XLOOKUP(E255:H255, $U$13:$U$17, $T$13:$T$17))</f>
        <v>20</v>
      </c>
      <c r="P255">
        <f t="shared" si="10"/>
        <v>8</v>
      </c>
      <c r="Q255" s="1">
        <f t="shared" si="11"/>
        <v>0</v>
      </c>
    </row>
    <row r="256" spans="1:17" x14ac:dyDescent="0.25">
      <c r="A256" s="1" t="s">
        <v>373</v>
      </c>
      <c r="B256" s="1" t="s">
        <v>357</v>
      </c>
      <c r="C256">
        <v>1</v>
      </c>
      <c r="D256">
        <v>6</v>
      </c>
      <c r="E256">
        <v>6</v>
      </c>
      <c r="F256">
        <v>5</v>
      </c>
      <c r="G256">
        <v>3</v>
      </c>
      <c r="H256">
        <v>6</v>
      </c>
      <c r="I256">
        <v>58</v>
      </c>
      <c r="J256">
        <v>93</v>
      </c>
      <c r="K256">
        <v>93</v>
      </c>
      <c r="L256">
        <v>82</v>
      </c>
      <c r="M256">
        <v>17</v>
      </c>
      <c r="N256">
        <f t="shared" si="9"/>
        <v>34.300000000000004</v>
      </c>
      <c r="O256" cm="1">
        <f t="array" ref="O256">SUM(_xlfn.XLOOKUP(E256:H256, $U$13:$U$17, $T$13:$T$17))</f>
        <v>32</v>
      </c>
      <c r="P256">
        <f t="shared" si="10"/>
        <v>3</v>
      </c>
      <c r="Q256" s="1">
        <f t="shared" si="11"/>
        <v>1</v>
      </c>
    </row>
    <row r="257" spans="1:17" x14ac:dyDescent="0.25">
      <c r="A257" s="1" t="s">
        <v>374</v>
      </c>
      <c r="B257" s="1" t="s">
        <v>327</v>
      </c>
      <c r="C257">
        <v>6</v>
      </c>
      <c r="D257">
        <v>4</v>
      </c>
      <c r="E257">
        <v>5</v>
      </c>
      <c r="F257">
        <v>3</v>
      </c>
      <c r="G257">
        <v>2</v>
      </c>
      <c r="H257">
        <v>2</v>
      </c>
      <c r="I257">
        <v>38</v>
      </c>
      <c r="J257">
        <v>13</v>
      </c>
      <c r="K257">
        <v>62</v>
      </c>
      <c r="L257">
        <v>22</v>
      </c>
      <c r="M257">
        <v>14</v>
      </c>
      <c r="N257">
        <f t="shared" si="9"/>
        <v>14.9</v>
      </c>
      <c r="O257" cm="1">
        <f t="array" ref="O257">SUM(_xlfn.XLOOKUP(E257:H257, $U$13:$U$17, $T$13:$T$17))</f>
        <v>12</v>
      </c>
      <c r="P257">
        <f t="shared" si="10"/>
        <v>6</v>
      </c>
      <c r="Q257" s="1">
        <f t="shared" si="11"/>
        <v>1</v>
      </c>
    </row>
    <row r="258" spans="1:17" x14ac:dyDescent="0.25">
      <c r="A258" s="1" t="s">
        <v>375</v>
      </c>
      <c r="B258" s="1" t="s">
        <v>205</v>
      </c>
      <c r="C258">
        <v>6</v>
      </c>
      <c r="D258">
        <v>6</v>
      </c>
      <c r="E258">
        <v>3</v>
      </c>
      <c r="F258">
        <v>6</v>
      </c>
      <c r="G258">
        <v>6</v>
      </c>
      <c r="H258">
        <v>2</v>
      </c>
      <c r="I258">
        <v>1</v>
      </c>
      <c r="J258">
        <v>34</v>
      </c>
      <c r="K258">
        <v>76</v>
      </c>
      <c r="L258">
        <v>39</v>
      </c>
      <c r="M258">
        <v>56</v>
      </c>
      <c r="N258">
        <f t="shared" ref="N258:N321" si="12">I258/10 + J258/10 + K258/10 + L258/10 + M258/10</f>
        <v>20.6</v>
      </c>
      <c r="O258" cm="1">
        <f t="array" ref="O258">SUM(_xlfn.XLOOKUP(E258:H258, $U$13:$U$17, $T$13:$T$17))</f>
        <v>24</v>
      </c>
      <c r="P258">
        <f t="shared" ref="P258:P321" si="13">IF(D258=6,C258+2,C258)</f>
        <v>8</v>
      </c>
      <c r="Q258" s="1">
        <f t="shared" ref="Q258:Q321" si="14">IF((O258+P258)&gt;N258, 1, 0)</f>
        <v>1</v>
      </c>
    </row>
    <row r="259" spans="1:17" x14ac:dyDescent="0.25">
      <c r="A259" s="1" t="s">
        <v>376</v>
      </c>
      <c r="B259" s="1" t="s">
        <v>38</v>
      </c>
      <c r="C259">
        <v>3</v>
      </c>
      <c r="D259">
        <v>5</v>
      </c>
      <c r="E259">
        <v>3</v>
      </c>
      <c r="F259">
        <v>6</v>
      </c>
      <c r="G259">
        <v>2</v>
      </c>
      <c r="H259">
        <v>4</v>
      </c>
      <c r="I259">
        <v>91</v>
      </c>
      <c r="J259">
        <v>99</v>
      </c>
      <c r="K259">
        <v>61</v>
      </c>
      <c r="L259">
        <v>2</v>
      </c>
      <c r="M259">
        <v>52</v>
      </c>
      <c r="N259">
        <f t="shared" si="12"/>
        <v>30.5</v>
      </c>
      <c r="O259" cm="1">
        <f t="array" ref="O259">SUM(_xlfn.XLOOKUP(E259:H259, $U$13:$U$17, $T$13:$T$17))</f>
        <v>20</v>
      </c>
      <c r="P259">
        <f t="shared" si="13"/>
        <v>3</v>
      </c>
      <c r="Q259" s="1">
        <f t="shared" si="14"/>
        <v>0</v>
      </c>
    </row>
    <row r="260" spans="1:17" x14ac:dyDescent="0.25">
      <c r="A260" s="1" t="s">
        <v>377</v>
      </c>
      <c r="B260" s="1" t="s">
        <v>180</v>
      </c>
      <c r="C260">
        <v>3</v>
      </c>
      <c r="D260">
        <v>4</v>
      </c>
      <c r="E260">
        <v>6</v>
      </c>
      <c r="F260">
        <v>2</v>
      </c>
      <c r="G260">
        <v>2</v>
      </c>
      <c r="H260">
        <v>4</v>
      </c>
      <c r="I260">
        <v>2</v>
      </c>
      <c r="J260">
        <v>85</v>
      </c>
      <c r="K260">
        <v>51</v>
      </c>
      <c r="L260">
        <v>87</v>
      </c>
      <c r="M260">
        <v>27</v>
      </c>
      <c r="N260">
        <f t="shared" si="12"/>
        <v>25.2</v>
      </c>
      <c r="O260" cm="1">
        <f t="array" ref="O260">SUM(_xlfn.XLOOKUP(E260:H260, $U$13:$U$17, $T$13:$T$17))</f>
        <v>16</v>
      </c>
      <c r="P260">
        <f t="shared" si="13"/>
        <v>3</v>
      </c>
      <c r="Q260" s="1">
        <f t="shared" si="14"/>
        <v>0</v>
      </c>
    </row>
    <row r="261" spans="1:17" x14ac:dyDescent="0.25">
      <c r="A261" s="1" t="s">
        <v>378</v>
      </c>
      <c r="B261" s="1" t="s">
        <v>30</v>
      </c>
      <c r="C261">
        <v>6</v>
      </c>
      <c r="D261">
        <v>3</v>
      </c>
      <c r="E261">
        <v>3</v>
      </c>
      <c r="F261">
        <v>6</v>
      </c>
      <c r="G261">
        <v>6</v>
      </c>
      <c r="H261">
        <v>3</v>
      </c>
      <c r="I261">
        <v>78</v>
      </c>
      <c r="J261">
        <v>57</v>
      </c>
      <c r="K261">
        <v>69</v>
      </c>
      <c r="L261">
        <v>18</v>
      </c>
      <c r="M261">
        <v>87</v>
      </c>
      <c r="N261">
        <f t="shared" si="12"/>
        <v>30.9</v>
      </c>
      <c r="O261" cm="1">
        <f t="array" ref="O261">SUM(_xlfn.XLOOKUP(E261:H261, $U$13:$U$17, $T$13:$T$17))</f>
        <v>28</v>
      </c>
      <c r="P261">
        <f t="shared" si="13"/>
        <v>6</v>
      </c>
      <c r="Q261" s="1">
        <f t="shared" si="14"/>
        <v>1</v>
      </c>
    </row>
    <row r="262" spans="1:17" x14ac:dyDescent="0.25">
      <c r="A262" s="1" t="s">
        <v>379</v>
      </c>
      <c r="B262" s="1" t="s">
        <v>180</v>
      </c>
      <c r="C262">
        <v>3</v>
      </c>
      <c r="D262">
        <v>5</v>
      </c>
      <c r="E262">
        <v>4</v>
      </c>
      <c r="F262">
        <v>5</v>
      </c>
      <c r="G262">
        <v>6</v>
      </c>
      <c r="H262">
        <v>4</v>
      </c>
      <c r="I262">
        <v>64</v>
      </c>
      <c r="J262">
        <v>35</v>
      </c>
      <c r="K262">
        <v>42</v>
      </c>
      <c r="L262">
        <v>54</v>
      </c>
      <c r="M262">
        <v>15</v>
      </c>
      <c r="N262">
        <f t="shared" si="12"/>
        <v>21</v>
      </c>
      <c r="O262" cm="1">
        <f t="array" ref="O262">SUM(_xlfn.XLOOKUP(E262:H262, $U$13:$U$17, $T$13:$T$17))</f>
        <v>30</v>
      </c>
      <c r="P262">
        <f t="shared" si="13"/>
        <v>3</v>
      </c>
      <c r="Q262" s="1">
        <f t="shared" si="14"/>
        <v>1</v>
      </c>
    </row>
    <row r="263" spans="1:17" x14ac:dyDescent="0.25">
      <c r="A263" s="1" t="s">
        <v>380</v>
      </c>
      <c r="B263" s="1" t="s">
        <v>381</v>
      </c>
      <c r="C263">
        <v>3</v>
      </c>
      <c r="D263">
        <v>2</v>
      </c>
      <c r="E263">
        <v>2</v>
      </c>
      <c r="F263">
        <v>4</v>
      </c>
      <c r="G263">
        <v>3</v>
      </c>
      <c r="H263">
        <v>5</v>
      </c>
      <c r="I263">
        <v>40</v>
      </c>
      <c r="J263">
        <v>28</v>
      </c>
      <c r="K263">
        <v>88</v>
      </c>
      <c r="L263">
        <v>11</v>
      </c>
      <c r="M263">
        <v>9</v>
      </c>
      <c r="N263">
        <f t="shared" si="12"/>
        <v>17.600000000000001</v>
      </c>
      <c r="O263" cm="1">
        <f t="array" ref="O263">SUM(_xlfn.XLOOKUP(E263:H263, $U$13:$U$17, $T$13:$T$17))</f>
        <v>18</v>
      </c>
      <c r="P263">
        <f t="shared" si="13"/>
        <v>3</v>
      </c>
      <c r="Q263" s="1">
        <f t="shared" si="14"/>
        <v>1</v>
      </c>
    </row>
    <row r="264" spans="1:17" x14ac:dyDescent="0.25">
      <c r="A264" s="1" t="s">
        <v>382</v>
      </c>
      <c r="B264" s="1" t="s">
        <v>45</v>
      </c>
      <c r="C264">
        <v>2</v>
      </c>
      <c r="D264">
        <v>5</v>
      </c>
      <c r="E264">
        <v>3</v>
      </c>
      <c r="F264">
        <v>4</v>
      </c>
      <c r="G264">
        <v>6</v>
      </c>
      <c r="H264">
        <v>3</v>
      </c>
      <c r="I264">
        <v>8</v>
      </c>
      <c r="J264">
        <v>46</v>
      </c>
      <c r="K264">
        <v>55</v>
      </c>
      <c r="L264">
        <v>39</v>
      </c>
      <c r="M264">
        <v>21</v>
      </c>
      <c r="N264">
        <f t="shared" si="12"/>
        <v>16.899999999999999</v>
      </c>
      <c r="O264" cm="1">
        <f t="array" ref="O264">SUM(_xlfn.XLOOKUP(E264:H264, $U$13:$U$17, $T$13:$T$17))</f>
        <v>24</v>
      </c>
      <c r="P264">
        <f t="shared" si="13"/>
        <v>2</v>
      </c>
      <c r="Q264" s="1">
        <f t="shared" si="14"/>
        <v>1</v>
      </c>
    </row>
    <row r="265" spans="1:17" x14ac:dyDescent="0.25">
      <c r="A265" s="1" t="s">
        <v>383</v>
      </c>
      <c r="B265" s="1" t="s">
        <v>384</v>
      </c>
      <c r="C265">
        <v>2</v>
      </c>
      <c r="D265">
        <v>5</v>
      </c>
      <c r="E265">
        <v>3</v>
      </c>
      <c r="F265">
        <v>6</v>
      </c>
      <c r="G265">
        <v>3</v>
      </c>
      <c r="H265">
        <v>3</v>
      </c>
      <c r="I265">
        <v>86</v>
      </c>
      <c r="J265">
        <v>36</v>
      </c>
      <c r="K265">
        <v>76</v>
      </c>
      <c r="L265">
        <v>91</v>
      </c>
      <c r="M265">
        <v>19</v>
      </c>
      <c r="N265">
        <f t="shared" si="12"/>
        <v>30.799999999999997</v>
      </c>
      <c r="O265" cm="1">
        <f t="array" ref="O265">SUM(_xlfn.XLOOKUP(E265:H265, $U$13:$U$17, $T$13:$T$17))</f>
        <v>22</v>
      </c>
      <c r="P265">
        <f t="shared" si="13"/>
        <v>2</v>
      </c>
      <c r="Q265" s="1">
        <f t="shared" si="14"/>
        <v>0</v>
      </c>
    </row>
    <row r="266" spans="1:17" x14ac:dyDescent="0.25">
      <c r="A266" s="1" t="s">
        <v>385</v>
      </c>
      <c r="B266" s="1" t="s">
        <v>288</v>
      </c>
      <c r="C266">
        <v>0</v>
      </c>
      <c r="D266">
        <v>4</v>
      </c>
      <c r="E266">
        <v>3</v>
      </c>
      <c r="F266">
        <v>5</v>
      </c>
      <c r="G266">
        <v>2</v>
      </c>
      <c r="H266">
        <v>6</v>
      </c>
      <c r="I266">
        <v>86</v>
      </c>
      <c r="J266">
        <v>76</v>
      </c>
      <c r="K266">
        <v>17</v>
      </c>
      <c r="L266">
        <v>68</v>
      </c>
      <c r="M266">
        <v>39</v>
      </c>
      <c r="N266">
        <f t="shared" si="12"/>
        <v>28.599999999999998</v>
      </c>
      <c r="O266" cm="1">
        <f t="array" ref="O266">SUM(_xlfn.XLOOKUP(E266:H266, $U$13:$U$17, $T$13:$T$17))</f>
        <v>22</v>
      </c>
      <c r="P266">
        <f t="shared" si="13"/>
        <v>0</v>
      </c>
      <c r="Q266" s="1">
        <f t="shared" si="14"/>
        <v>0</v>
      </c>
    </row>
    <row r="267" spans="1:17" x14ac:dyDescent="0.25">
      <c r="A267" s="1" t="s">
        <v>386</v>
      </c>
      <c r="B267" s="1" t="s">
        <v>311</v>
      </c>
      <c r="C267">
        <v>8</v>
      </c>
      <c r="D267">
        <v>4</v>
      </c>
      <c r="E267">
        <v>5</v>
      </c>
      <c r="F267">
        <v>5</v>
      </c>
      <c r="G267">
        <v>4</v>
      </c>
      <c r="H267">
        <v>5</v>
      </c>
      <c r="I267">
        <v>7</v>
      </c>
      <c r="J267">
        <v>8</v>
      </c>
      <c r="K267">
        <v>77</v>
      </c>
      <c r="L267">
        <v>77</v>
      </c>
      <c r="M267">
        <v>21</v>
      </c>
      <c r="N267">
        <f t="shared" si="12"/>
        <v>19</v>
      </c>
      <c r="O267" cm="1">
        <f t="array" ref="O267">SUM(_xlfn.XLOOKUP(E267:H267, $U$13:$U$17, $T$13:$T$17))</f>
        <v>30</v>
      </c>
      <c r="P267">
        <f t="shared" si="13"/>
        <v>8</v>
      </c>
      <c r="Q267" s="1">
        <f t="shared" si="14"/>
        <v>1</v>
      </c>
    </row>
    <row r="268" spans="1:17" x14ac:dyDescent="0.25">
      <c r="A268" s="1" t="s">
        <v>387</v>
      </c>
      <c r="B268" s="1" t="s">
        <v>388</v>
      </c>
      <c r="C268">
        <v>8</v>
      </c>
      <c r="D268">
        <v>2</v>
      </c>
      <c r="E268">
        <v>6</v>
      </c>
      <c r="F268">
        <v>4</v>
      </c>
      <c r="G268">
        <v>3</v>
      </c>
      <c r="H268">
        <v>2</v>
      </c>
      <c r="I268">
        <v>77</v>
      </c>
      <c r="J268">
        <v>98</v>
      </c>
      <c r="K268">
        <v>4</v>
      </c>
      <c r="L268">
        <v>85</v>
      </c>
      <c r="M268">
        <v>63</v>
      </c>
      <c r="N268">
        <f t="shared" si="12"/>
        <v>32.699999999999996</v>
      </c>
      <c r="O268" cm="1">
        <f t="array" ref="O268">SUM(_xlfn.XLOOKUP(E268:H268, $U$13:$U$17, $T$13:$T$17))</f>
        <v>20</v>
      </c>
      <c r="P268">
        <f t="shared" si="13"/>
        <v>8</v>
      </c>
      <c r="Q268" s="1">
        <f t="shared" si="14"/>
        <v>0</v>
      </c>
    </row>
    <row r="269" spans="1:17" x14ac:dyDescent="0.25">
      <c r="A269" s="1" t="s">
        <v>389</v>
      </c>
      <c r="B269" s="1" t="s">
        <v>324</v>
      </c>
      <c r="C269">
        <v>6</v>
      </c>
      <c r="D269">
        <v>4</v>
      </c>
      <c r="E269">
        <v>6</v>
      </c>
      <c r="F269">
        <v>3</v>
      </c>
      <c r="G269">
        <v>3</v>
      </c>
      <c r="H269">
        <v>3</v>
      </c>
      <c r="I269">
        <v>9</v>
      </c>
      <c r="J269">
        <v>15</v>
      </c>
      <c r="K269">
        <v>6</v>
      </c>
      <c r="L269">
        <v>65</v>
      </c>
      <c r="M269">
        <v>75</v>
      </c>
      <c r="N269">
        <f t="shared" si="12"/>
        <v>17</v>
      </c>
      <c r="O269" cm="1">
        <f t="array" ref="O269">SUM(_xlfn.XLOOKUP(E269:H269, $U$13:$U$17, $T$13:$T$17))</f>
        <v>22</v>
      </c>
      <c r="P269">
        <f t="shared" si="13"/>
        <v>6</v>
      </c>
      <c r="Q269" s="1">
        <f t="shared" si="14"/>
        <v>1</v>
      </c>
    </row>
    <row r="270" spans="1:17" x14ac:dyDescent="0.25">
      <c r="A270" s="1" t="s">
        <v>390</v>
      </c>
      <c r="B270" s="1" t="s">
        <v>391</v>
      </c>
      <c r="C270">
        <v>0</v>
      </c>
      <c r="D270">
        <v>5</v>
      </c>
      <c r="E270">
        <v>3</v>
      </c>
      <c r="F270">
        <v>3</v>
      </c>
      <c r="G270">
        <v>3</v>
      </c>
      <c r="H270">
        <v>5</v>
      </c>
      <c r="I270">
        <v>27</v>
      </c>
      <c r="J270">
        <v>30</v>
      </c>
      <c r="K270">
        <v>23</v>
      </c>
      <c r="L270">
        <v>16</v>
      </c>
      <c r="M270">
        <v>21</v>
      </c>
      <c r="N270">
        <f t="shared" si="12"/>
        <v>11.7</v>
      </c>
      <c r="O270" cm="1">
        <f t="array" ref="O270">SUM(_xlfn.XLOOKUP(E270:H270, $U$13:$U$17, $T$13:$T$17))</f>
        <v>20</v>
      </c>
      <c r="P270">
        <f t="shared" si="13"/>
        <v>0</v>
      </c>
      <c r="Q270" s="1">
        <f t="shared" si="14"/>
        <v>1</v>
      </c>
    </row>
    <row r="271" spans="1:17" x14ac:dyDescent="0.25">
      <c r="A271" s="1" t="s">
        <v>392</v>
      </c>
      <c r="B271" s="1" t="s">
        <v>16</v>
      </c>
      <c r="C271">
        <v>5</v>
      </c>
      <c r="D271">
        <v>2</v>
      </c>
      <c r="E271">
        <v>5</v>
      </c>
      <c r="F271">
        <v>5</v>
      </c>
      <c r="G271">
        <v>6</v>
      </c>
      <c r="H271">
        <v>5</v>
      </c>
      <c r="I271">
        <v>17</v>
      </c>
      <c r="J271">
        <v>23</v>
      </c>
      <c r="K271">
        <v>33</v>
      </c>
      <c r="L271">
        <v>16</v>
      </c>
      <c r="M271">
        <v>62</v>
      </c>
      <c r="N271">
        <f t="shared" si="12"/>
        <v>15.100000000000001</v>
      </c>
      <c r="O271" cm="1">
        <f t="array" ref="O271">SUM(_xlfn.XLOOKUP(E271:H271, $U$13:$U$17, $T$13:$T$17))</f>
        <v>34</v>
      </c>
      <c r="P271">
        <f t="shared" si="13"/>
        <v>5</v>
      </c>
      <c r="Q271" s="1">
        <f t="shared" si="14"/>
        <v>1</v>
      </c>
    </row>
    <row r="272" spans="1:17" x14ac:dyDescent="0.25">
      <c r="A272" s="1" t="s">
        <v>393</v>
      </c>
      <c r="B272" s="1" t="s">
        <v>251</v>
      </c>
      <c r="C272">
        <v>2</v>
      </c>
      <c r="D272">
        <v>5</v>
      </c>
      <c r="E272">
        <v>3</v>
      </c>
      <c r="F272">
        <v>6</v>
      </c>
      <c r="G272">
        <v>6</v>
      </c>
      <c r="H272">
        <v>2</v>
      </c>
      <c r="I272">
        <v>87</v>
      </c>
      <c r="J272">
        <v>23</v>
      </c>
      <c r="K272">
        <v>15</v>
      </c>
      <c r="L272">
        <v>44</v>
      </c>
      <c r="M272">
        <v>30</v>
      </c>
      <c r="N272">
        <f t="shared" si="12"/>
        <v>19.899999999999999</v>
      </c>
      <c r="O272" cm="1">
        <f t="array" ref="O272">SUM(_xlfn.XLOOKUP(E272:H272, $U$13:$U$17, $T$13:$T$17))</f>
        <v>24</v>
      </c>
      <c r="P272">
        <f t="shared" si="13"/>
        <v>2</v>
      </c>
      <c r="Q272" s="1">
        <f t="shared" si="14"/>
        <v>1</v>
      </c>
    </row>
    <row r="273" spans="1:17" x14ac:dyDescent="0.25">
      <c r="A273" s="1" t="s">
        <v>394</v>
      </c>
      <c r="B273" s="1" t="s">
        <v>395</v>
      </c>
      <c r="C273">
        <v>2</v>
      </c>
      <c r="D273">
        <v>6</v>
      </c>
      <c r="E273">
        <v>3</v>
      </c>
      <c r="F273">
        <v>3</v>
      </c>
      <c r="G273">
        <v>3</v>
      </c>
      <c r="H273">
        <v>6</v>
      </c>
      <c r="I273">
        <v>83</v>
      </c>
      <c r="J273">
        <v>27</v>
      </c>
      <c r="K273">
        <v>18</v>
      </c>
      <c r="L273">
        <v>41</v>
      </c>
      <c r="M273">
        <v>94</v>
      </c>
      <c r="N273">
        <f t="shared" si="12"/>
        <v>26.299999999999997</v>
      </c>
      <c r="O273" cm="1">
        <f t="array" ref="O273">SUM(_xlfn.XLOOKUP(E273:H273, $U$13:$U$17, $T$13:$T$17))</f>
        <v>22</v>
      </c>
      <c r="P273">
        <f t="shared" si="13"/>
        <v>4</v>
      </c>
      <c r="Q273" s="1">
        <f t="shared" si="14"/>
        <v>0</v>
      </c>
    </row>
    <row r="274" spans="1:17" x14ac:dyDescent="0.25">
      <c r="A274" s="1" t="s">
        <v>396</v>
      </c>
      <c r="B274" s="1" t="s">
        <v>397</v>
      </c>
      <c r="C274">
        <v>5</v>
      </c>
      <c r="D274">
        <v>5</v>
      </c>
      <c r="E274">
        <v>5</v>
      </c>
      <c r="F274">
        <v>2</v>
      </c>
      <c r="G274">
        <v>4</v>
      </c>
      <c r="H274">
        <v>5</v>
      </c>
      <c r="I274">
        <v>35</v>
      </c>
      <c r="J274">
        <v>16</v>
      </c>
      <c r="K274">
        <v>94</v>
      </c>
      <c r="L274">
        <v>87</v>
      </c>
      <c r="M274">
        <v>38</v>
      </c>
      <c r="N274">
        <f t="shared" si="12"/>
        <v>27</v>
      </c>
      <c r="O274" cm="1">
        <f t="array" ref="O274">SUM(_xlfn.XLOOKUP(E274:H274, $U$13:$U$17, $T$13:$T$17))</f>
        <v>22</v>
      </c>
      <c r="P274">
        <f t="shared" si="13"/>
        <v>5</v>
      </c>
      <c r="Q274" s="1">
        <f t="shared" si="14"/>
        <v>0</v>
      </c>
    </row>
    <row r="275" spans="1:17" x14ac:dyDescent="0.25">
      <c r="A275" s="1" t="s">
        <v>398</v>
      </c>
      <c r="B275" s="1" t="s">
        <v>399</v>
      </c>
      <c r="C275">
        <v>0</v>
      </c>
      <c r="D275">
        <v>5</v>
      </c>
      <c r="E275">
        <v>3</v>
      </c>
      <c r="F275">
        <v>3</v>
      </c>
      <c r="G275">
        <v>2</v>
      </c>
      <c r="H275">
        <v>2</v>
      </c>
      <c r="I275">
        <v>92</v>
      </c>
      <c r="J275">
        <v>79</v>
      </c>
      <c r="K275">
        <v>94</v>
      </c>
      <c r="L275">
        <v>42</v>
      </c>
      <c r="M275">
        <v>95</v>
      </c>
      <c r="N275">
        <f t="shared" si="12"/>
        <v>40.200000000000003</v>
      </c>
      <c r="O275" cm="1">
        <f t="array" ref="O275">SUM(_xlfn.XLOOKUP(E275:H275, $U$13:$U$17, $T$13:$T$17))</f>
        <v>8</v>
      </c>
      <c r="P275">
        <f t="shared" si="13"/>
        <v>0</v>
      </c>
      <c r="Q275" s="1">
        <f t="shared" si="14"/>
        <v>0</v>
      </c>
    </row>
    <row r="276" spans="1:17" x14ac:dyDescent="0.25">
      <c r="A276" s="1" t="s">
        <v>75</v>
      </c>
      <c r="B276" s="1" t="s">
        <v>76</v>
      </c>
      <c r="C276">
        <v>5</v>
      </c>
      <c r="D276">
        <v>3</v>
      </c>
      <c r="E276">
        <v>5</v>
      </c>
      <c r="F276">
        <v>3</v>
      </c>
      <c r="G276">
        <v>6</v>
      </c>
      <c r="H276">
        <v>6</v>
      </c>
      <c r="I276">
        <v>82</v>
      </c>
      <c r="J276">
        <v>7</v>
      </c>
      <c r="K276">
        <v>24</v>
      </c>
      <c r="L276">
        <v>80</v>
      </c>
      <c r="M276">
        <v>33</v>
      </c>
      <c r="N276">
        <f t="shared" si="12"/>
        <v>22.599999999999998</v>
      </c>
      <c r="O276" cm="1">
        <f t="array" ref="O276">SUM(_xlfn.XLOOKUP(E276:H276, $U$13:$U$17, $T$13:$T$17))</f>
        <v>32</v>
      </c>
      <c r="P276">
        <f t="shared" si="13"/>
        <v>5</v>
      </c>
      <c r="Q276" s="1">
        <f t="shared" si="14"/>
        <v>1</v>
      </c>
    </row>
    <row r="277" spans="1:17" x14ac:dyDescent="0.25">
      <c r="A277" s="1" t="s">
        <v>400</v>
      </c>
      <c r="B277" s="1" t="s">
        <v>101</v>
      </c>
      <c r="C277">
        <v>6</v>
      </c>
      <c r="D277">
        <v>4</v>
      </c>
      <c r="E277">
        <v>6</v>
      </c>
      <c r="F277">
        <v>6</v>
      </c>
      <c r="G277">
        <v>4</v>
      </c>
      <c r="H277">
        <v>4</v>
      </c>
      <c r="I277">
        <v>94</v>
      </c>
      <c r="J277">
        <v>44</v>
      </c>
      <c r="K277">
        <v>96</v>
      </c>
      <c r="L277">
        <v>9</v>
      </c>
      <c r="M277">
        <v>97</v>
      </c>
      <c r="N277">
        <f t="shared" si="12"/>
        <v>34</v>
      </c>
      <c r="O277" cm="1">
        <f t="array" ref="O277">SUM(_xlfn.XLOOKUP(E277:H277, $U$13:$U$17, $T$13:$T$17))</f>
        <v>32</v>
      </c>
      <c r="P277">
        <f t="shared" si="13"/>
        <v>6</v>
      </c>
      <c r="Q277" s="1">
        <f t="shared" si="14"/>
        <v>1</v>
      </c>
    </row>
    <row r="278" spans="1:17" x14ac:dyDescent="0.25">
      <c r="A278" s="1" t="s">
        <v>401</v>
      </c>
      <c r="B278" s="1" t="s">
        <v>402</v>
      </c>
      <c r="C278">
        <v>3</v>
      </c>
      <c r="D278">
        <v>5</v>
      </c>
      <c r="E278">
        <v>3</v>
      </c>
      <c r="F278">
        <v>6</v>
      </c>
      <c r="G278">
        <v>4</v>
      </c>
      <c r="H278">
        <v>2</v>
      </c>
      <c r="I278">
        <v>32</v>
      </c>
      <c r="J278">
        <v>50</v>
      </c>
      <c r="K278">
        <v>94</v>
      </c>
      <c r="L278">
        <v>52</v>
      </c>
      <c r="M278">
        <v>100</v>
      </c>
      <c r="N278">
        <f t="shared" si="12"/>
        <v>32.799999999999997</v>
      </c>
      <c r="O278" cm="1">
        <f t="array" ref="O278">SUM(_xlfn.XLOOKUP(E278:H278, $U$13:$U$17, $T$13:$T$17))</f>
        <v>20</v>
      </c>
      <c r="P278">
        <f t="shared" si="13"/>
        <v>3</v>
      </c>
      <c r="Q278" s="1">
        <f t="shared" si="14"/>
        <v>0</v>
      </c>
    </row>
    <row r="279" spans="1:17" x14ac:dyDescent="0.25">
      <c r="A279" s="1" t="s">
        <v>403</v>
      </c>
      <c r="B279" s="1" t="s">
        <v>64</v>
      </c>
      <c r="C279">
        <v>3</v>
      </c>
      <c r="D279">
        <v>2</v>
      </c>
      <c r="E279">
        <v>3</v>
      </c>
      <c r="F279">
        <v>5</v>
      </c>
      <c r="G279">
        <v>3</v>
      </c>
      <c r="H279">
        <v>6</v>
      </c>
      <c r="I279">
        <v>84</v>
      </c>
      <c r="J279">
        <v>53</v>
      </c>
      <c r="K279">
        <v>73</v>
      </c>
      <c r="L279">
        <v>7</v>
      </c>
      <c r="M279">
        <v>3</v>
      </c>
      <c r="N279">
        <f t="shared" si="12"/>
        <v>22</v>
      </c>
      <c r="O279" cm="1">
        <f t="array" ref="O279">SUM(_xlfn.XLOOKUP(E279:H279, $U$13:$U$17, $T$13:$T$17))</f>
        <v>26</v>
      </c>
      <c r="P279">
        <f t="shared" si="13"/>
        <v>3</v>
      </c>
      <c r="Q279" s="1">
        <f t="shared" si="14"/>
        <v>1</v>
      </c>
    </row>
    <row r="280" spans="1:17" x14ac:dyDescent="0.25">
      <c r="A280" s="1" t="s">
        <v>404</v>
      </c>
      <c r="B280" s="1" t="s">
        <v>397</v>
      </c>
      <c r="C280">
        <v>2</v>
      </c>
      <c r="D280">
        <v>2</v>
      </c>
      <c r="E280">
        <v>5</v>
      </c>
      <c r="F280">
        <v>5</v>
      </c>
      <c r="G280">
        <v>5</v>
      </c>
      <c r="H280">
        <v>4</v>
      </c>
      <c r="I280">
        <v>88</v>
      </c>
      <c r="J280">
        <v>37</v>
      </c>
      <c r="K280">
        <v>50</v>
      </c>
      <c r="L280">
        <v>19</v>
      </c>
      <c r="M280">
        <v>28</v>
      </c>
      <c r="N280">
        <f t="shared" si="12"/>
        <v>22.2</v>
      </c>
      <c r="O280" cm="1">
        <f t="array" ref="O280">SUM(_xlfn.XLOOKUP(E280:H280, $U$13:$U$17, $T$13:$T$17))</f>
        <v>30</v>
      </c>
      <c r="P280">
        <f t="shared" si="13"/>
        <v>2</v>
      </c>
      <c r="Q280" s="1">
        <f t="shared" si="14"/>
        <v>1</v>
      </c>
    </row>
    <row r="281" spans="1:17" x14ac:dyDescent="0.25">
      <c r="A281" s="1" t="s">
        <v>405</v>
      </c>
      <c r="B281" s="1" t="s">
        <v>197</v>
      </c>
      <c r="C281">
        <v>7</v>
      </c>
      <c r="D281">
        <v>2</v>
      </c>
      <c r="E281">
        <v>3</v>
      </c>
      <c r="F281">
        <v>5</v>
      </c>
      <c r="G281">
        <v>5</v>
      </c>
      <c r="H281">
        <v>2</v>
      </c>
      <c r="I281">
        <v>26</v>
      </c>
      <c r="J281">
        <v>30</v>
      </c>
      <c r="K281">
        <v>96</v>
      </c>
      <c r="L281">
        <v>59</v>
      </c>
      <c r="M281">
        <v>28</v>
      </c>
      <c r="N281">
        <f t="shared" si="12"/>
        <v>23.900000000000002</v>
      </c>
      <c r="O281" cm="1">
        <f t="array" ref="O281">SUM(_xlfn.XLOOKUP(E281:H281, $U$13:$U$17, $T$13:$T$17))</f>
        <v>20</v>
      </c>
      <c r="P281">
        <f t="shared" si="13"/>
        <v>7</v>
      </c>
      <c r="Q281" s="1">
        <f t="shared" si="14"/>
        <v>1</v>
      </c>
    </row>
    <row r="282" spans="1:17" x14ac:dyDescent="0.25">
      <c r="A282" s="1" t="s">
        <v>406</v>
      </c>
      <c r="B282" s="1" t="s">
        <v>38</v>
      </c>
      <c r="C282">
        <v>0</v>
      </c>
      <c r="D282">
        <v>5</v>
      </c>
      <c r="E282">
        <v>6</v>
      </c>
      <c r="F282">
        <v>2</v>
      </c>
      <c r="G282">
        <v>2</v>
      </c>
      <c r="H282">
        <v>3</v>
      </c>
      <c r="I282">
        <v>50</v>
      </c>
      <c r="J282">
        <v>5</v>
      </c>
      <c r="K282">
        <v>14</v>
      </c>
      <c r="L282">
        <v>44</v>
      </c>
      <c r="M282">
        <v>45</v>
      </c>
      <c r="N282">
        <f t="shared" si="12"/>
        <v>15.8</v>
      </c>
      <c r="O282" cm="1">
        <f t="array" ref="O282">SUM(_xlfn.XLOOKUP(E282:H282, $U$13:$U$17, $T$13:$T$17))</f>
        <v>14</v>
      </c>
      <c r="P282">
        <f t="shared" si="13"/>
        <v>0</v>
      </c>
      <c r="Q282" s="1">
        <f t="shared" si="14"/>
        <v>0</v>
      </c>
    </row>
    <row r="283" spans="1:17" x14ac:dyDescent="0.25">
      <c r="A283" s="1" t="s">
        <v>407</v>
      </c>
      <c r="B283" s="1" t="s">
        <v>395</v>
      </c>
      <c r="C283">
        <v>5</v>
      </c>
      <c r="D283">
        <v>5</v>
      </c>
      <c r="E283">
        <v>5</v>
      </c>
      <c r="F283">
        <v>4</v>
      </c>
      <c r="G283">
        <v>6</v>
      </c>
      <c r="H283">
        <v>5</v>
      </c>
      <c r="I283">
        <v>73</v>
      </c>
      <c r="J283">
        <v>49</v>
      </c>
      <c r="K283">
        <v>54</v>
      </c>
      <c r="L283">
        <v>67</v>
      </c>
      <c r="M283">
        <v>5</v>
      </c>
      <c r="N283">
        <f t="shared" si="12"/>
        <v>24.8</v>
      </c>
      <c r="O283" cm="1">
        <f t="array" ref="O283">SUM(_xlfn.XLOOKUP(E283:H283, $U$13:$U$17, $T$13:$T$17))</f>
        <v>32</v>
      </c>
      <c r="P283">
        <f t="shared" si="13"/>
        <v>5</v>
      </c>
      <c r="Q283" s="1">
        <f t="shared" si="14"/>
        <v>1</v>
      </c>
    </row>
    <row r="284" spans="1:17" x14ac:dyDescent="0.25">
      <c r="A284" s="1" t="s">
        <v>408</v>
      </c>
      <c r="B284" s="1" t="s">
        <v>316</v>
      </c>
      <c r="C284">
        <v>2</v>
      </c>
      <c r="D284">
        <v>3</v>
      </c>
      <c r="E284">
        <v>4</v>
      </c>
      <c r="F284">
        <v>2</v>
      </c>
      <c r="G284">
        <v>5</v>
      </c>
      <c r="H284">
        <v>6</v>
      </c>
      <c r="I284">
        <v>100</v>
      </c>
      <c r="J284">
        <v>13</v>
      </c>
      <c r="K284">
        <v>93</v>
      </c>
      <c r="L284">
        <v>32</v>
      </c>
      <c r="M284">
        <v>23</v>
      </c>
      <c r="N284">
        <f t="shared" si="12"/>
        <v>26.1</v>
      </c>
      <c r="O284" cm="1">
        <f t="array" ref="O284">SUM(_xlfn.XLOOKUP(E284:H284, $U$13:$U$17, $T$13:$T$17))</f>
        <v>24</v>
      </c>
      <c r="P284">
        <f t="shared" si="13"/>
        <v>2</v>
      </c>
      <c r="Q284" s="1">
        <f t="shared" si="14"/>
        <v>0</v>
      </c>
    </row>
    <row r="285" spans="1:17" x14ac:dyDescent="0.25">
      <c r="A285" s="1" t="s">
        <v>408</v>
      </c>
      <c r="B285" s="1" t="s">
        <v>409</v>
      </c>
      <c r="C285">
        <v>6</v>
      </c>
      <c r="D285">
        <v>4</v>
      </c>
      <c r="E285">
        <v>4</v>
      </c>
      <c r="F285">
        <v>3</v>
      </c>
      <c r="G285">
        <v>2</v>
      </c>
      <c r="H285">
        <v>5</v>
      </c>
      <c r="I285">
        <v>52</v>
      </c>
      <c r="J285">
        <v>46</v>
      </c>
      <c r="K285">
        <v>54</v>
      </c>
      <c r="L285">
        <v>22</v>
      </c>
      <c r="M285">
        <v>42</v>
      </c>
      <c r="N285">
        <f t="shared" si="12"/>
        <v>21.6</v>
      </c>
      <c r="O285" cm="1">
        <f t="array" ref="O285">SUM(_xlfn.XLOOKUP(E285:H285, $U$13:$U$17, $T$13:$T$17))</f>
        <v>18</v>
      </c>
      <c r="P285">
        <f t="shared" si="13"/>
        <v>6</v>
      </c>
      <c r="Q285" s="1">
        <f t="shared" si="14"/>
        <v>1</v>
      </c>
    </row>
    <row r="286" spans="1:17" x14ac:dyDescent="0.25">
      <c r="A286" s="1" t="s">
        <v>410</v>
      </c>
      <c r="B286" s="1" t="s">
        <v>70</v>
      </c>
      <c r="C286">
        <v>2</v>
      </c>
      <c r="D286">
        <v>5</v>
      </c>
      <c r="E286">
        <v>6</v>
      </c>
      <c r="F286">
        <v>4</v>
      </c>
      <c r="G286">
        <v>6</v>
      </c>
      <c r="H286">
        <v>3</v>
      </c>
      <c r="I286">
        <v>88</v>
      </c>
      <c r="J286">
        <v>14</v>
      </c>
      <c r="K286">
        <v>98</v>
      </c>
      <c r="L286">
        <v>46</v>
      </c>
      <c r="M286">
        <v>66</v>
      </c>
      <c r="N286">
        <f t="shared" si="12"/>
        <v>31.200000000000003</v>
      </c>
      <c r="O286" cm="1">
        <f t="array" ref="O286">SUM(_xlfn.XLOOKUP(E286:H286, $U$13:$U$17, $T$13:$T$17))</f>
        <v>30</v>
      </c>
      <c r="P286">
        <f t="shared" si="13"/>
        <v>2</v>
      </c>
      <c r="Q286" s="1">
        <f t="shared" si="14"/>
        <v>1</v>
      </c>
    </row>
    <row r="287" spans="1:17" x14ac:dyDescent="0.25">
      <c r="A287" s="1" t="s">
        <v>411</v>
      </c>
      <c r="B287" s="1" t="s">
        <v>412</v>
      </c>
      <c r="C287">
        <v>3</v>
      </c>
      <c r="D287">
        <v>2</v>
      </c>
      <c r="E287">
        <v>4</v>
      </c>
      <c r="F287">
        <v>2</v>
      </c>
      <c r="G287">
        <v>6</v>
      </c>
      <c r="H287">
        <v>6</v>
      </c>
      <c r="I287">
        <v>85</v>
      </c>
      <c r="J287">
        <v>91</v>
      </c>
      <c r="K287">
        <v>9</v>
      </c>
      <c r="L287">
        <v>9</v>
      </c>
      <c r="M287">
        <v>53</v>
      </c>
      <c r="N287">
        <f t="shared" si="12"/>
        <v>24.7</v>
      </c>
      <c r="O287" cm="1">
        <f t="array" ref="O287">SUM(_xlfn.XLOOKUP(E287:H287, $U$13:$U$17, $T$13:$T$17))</f>
        <v>26</v>
      </c>
      <c r="P287">
        <f t="shared" si="13"/>
        <v>3</v>
      </c>
      <c r="Q287" s="1">
        <f t="shared" si="14"/>
        <v>1</v>
      </c>
    </row>
    <row r="288" spans="1:17" x14ac:dyDescent="0.25">
      <c r="A288" s="1" t="s">
        <v>413</v>
      </c>
      <c r="B288" s="1" t="s">
        <v>414</v>
      </c>
      <c r="C288">
        <v>3</v>
      </c>
      <c r="D288">
        <v>4</v>
      </c>
      <c r="E288">
        <v>4</v>
      </c>
      <c r="F288">
        <v>4</v>
      </c>
      <c r="G288">
        <v>3</v>
      </c>
      <c r="H288">
        <v>3</v>
      </c>
      <c r="I288">
        <v>93</v>
      </c>
      <c r="J288">
        <v>12</v>
      </c>
      <c r="K288">
        <v>63</v>
      </c>
      <c r="L288">
        <v>3</v>
      </c>
      <c r="M288">
        <v>60</v>
      </c>
      <c r="N288">
        <f t="shared" si="12"/>
        <v>23.1</v>
      </c>
      <c r="O288" cm="1">
        <f t="array" ref="O288">SUM(_xlfn.XLOOKUP(E288:H288, $U$13:$U$17, $T$13:$T$17))</f>
        <v>20</v>
      </c>
      <c r="P288">
        <f t="shared" si="13"/>
        <v>3</v>
      </c>
      <c r="Q288" s="1">
        <f t="shared" si="14"/>
        <v>0</v>
      </c>
    </row>
    <row r="289" spans="1:17" x14ac:dyDescent="0.25">
      <c r="A289" s="1" t="s">
        <v>40</v>
      </c>
      <c r="B289" s="1" t="s">
        <v>43</v>
      </c>
      <c r="C289">
        <v>0</v>
      </c>
      <c r="D289">
        <v>6</v>
      </c>
      <c r="E289">
        <v>3</v>
      </c>
      <c r="F289">
        <v>5</v>
      </c>
      <c r="G289">
        <v>6</v>
      </c>
      <c r="H289">
        <v>3</v>
      </c>
      <c r="I289">
        <v>67</v>
      </c>
      <c r="J289">
        <v>66</v>
      </c>
      <c r="K289">
        <v>56</v>
      </c>
      <c r="L289">
        <v>41</v>
      </c>
      <c r="M289">
        <v>26</v>
      </c>
      <c r="N289">
        <f t="shared" si="12"/>
        <v>25.6</v>
      </c>
      <c r="O289" cm="1">
        <f t="array" ref="O289">SUM(_xlfn.XLOOKUP(E289:H289, $U$13:$U$17, $T$13:$T$17))</f>
        <v>26</v>
      </c>
      <c r="P289">
        <f t="shared" si="13"/>
        <v>2</v>
      </c>
      <c r="Q289" s="1">
        <f t="shared" si="14"/>
        <v>1</v>
      </c>
    </row>
    <row r="290" spans="1:17" x14ac:dyDescent="0.25">
      <c r="A290" s="1" t="s">
        <v>415</v>
      </c>
      <c r="B290" s="1" t="s">
        <v>416</v>
      </c>
      <c r="C290">
        <v>4</v>
      </c>
      <c r="D290">
        <v>5</v>
      </c>
      <c r="E290">
        <v>6</v>
      </c>
      <c r="F290">
        <v>5</v>
      </c>
      <c r="G290">
        <v>2</v>
      </c>
      <c r="H290">
        <v>4</v>
      </c>
      <c r="I290">
        <v>65</v>
      </c>
      <c r="J290">
        <v>75</v>
      </c>
      <c r="K290">
        <v>95</v>
      </c>
      <c r="L290">
        <v>100</v>
      </c>
      <c r="M290">
        <v>89</v>
      </c>
      <c r="N290">
        <f t="shared" si="12"/>
        <v>42.4</v>
      </c>
      <c r="O290" cm="1">
        <f t="array" ref="O290">SUM(_xlfn.XLOOKUP(E290:H290, $U$13:$U$17, $T$13:$T$17))</f>
        <v>24</v>
      </c>
      <c r="P290">
        <f t="shared" si="13"/>
        <v>4</v>
      </c>
      <c r="Q290" s="1">
        <f t="shared" si="14"/>
        <v>0</v>
      </c>
    </row>
    <row r="291" spans="1:17" x14ac:dyDescent="0.25">
      <c r="A291" s="1" t="s">
        <v>417</v>
      </c>
      <c r="B291" s="1" t="s">
        <v>110</v>
      </c>
      <c r="C291">
        <v>1</v>
      </c>
      <c r="D291">
        <v>3</v>
      </c>
      <c r="E291">
        <v>5</v>
      </c>
      <c r="F291">
        <v>2</v>
      </c>
      <c r="G291">
        <v>2</v>
      </c>
      <c r="H291">
        <v>5</v>
      </c>
      <c r="I291">
        <v>45</v>
      </c>
      <c r="J291">
        <v>30</v>
      </c>
      <c r="K291">
        <v>64</v>
      </c>
      <c r="L291">
        <v>95</v>
      </c>
      <c r="M291">
        <v>83</v>
      </c>
      <c r="N291">
        <f t="shared" si="12"/>
        <v>31.7</v>
      </c>
      <c r="O291" cm="1">
        <f t="array" ref="O291">SUM(_xlfn.XLOOKUP(E291:H291, $U$13:$U$17, $T$13:$T$17))</f>
        <v>16</v>
      </c>
      <c r="P291">
        <f t="shared" si="13"/>
        <v>1</v>
      </c>
      <c r="Q291" s="1">
        <f t="shared" si="14"/>
        <v>0</v>
      </c>
    </row>
    <row r="292" spans="1:17" x14ac:dyDescent="0.25">
      <c r="A292" s="1" t="s">
        <v>418</v>
      </c>
      <c r="B292" s="1" t="s">
        <v>171</v>
      </c>
      <c r="C292">
        <v>4</v>
      </c>
      <c r="D292">
        <v>6</v>
      </c>
      <c r="E292">
        <v>4</v>
      </c>
      <c r="F292">
        <v>2</v>
      </c>
      <c r="G292">
        <v>3</v>
      </c>
      <c r="H292">
        <v>5</v>
      </c>
      <c r="I292">
        <v>40</v>
      </c>
      <c r="J292">
        <v>80</v>
      </c>
      <c r="K292">
        <v>8</v>
      </c>
      <c r="L292">
        <v>99</v>
      </c>
      <c r="M292">
        <v>20</v>
      </c>
      <c r="N292">
        <f t="shared" si="12"/>
        <v>24.700000000000003</v>
      </c>
      <c r="O292" cm="1">
        <f t="array" ref="O292">SUM(_xlfn.XLOOKUP(E292:H292, $U$13:$U$17, $T$13:$T$17))</f>
        <v>18</v>
      </c>
      <c r="P292">
        <f t="shared" si="13"/>
        <v>6</v>
      </c>
      <c r="Q292" s="1">
        <f t="shared" si="14"/>
        <v>0</v>
      </c>
    </row>
    <row r="293" spans="1:17" x14ac:dyDescent="0.25">
      <c r="A293" s="1" t="s">
        <v>419</v>
      </c>
      <c r="B293" s="1" t="s">
        <v>260</v>
      </c>
      <c r="C293">
        <v>6</v>
      </c>
      <c r="D293">
        <v>3</v>
      </c>
      <c r="E293">
        <v>6</v>
      </c>
      <c r="F293">
        <v>2</v>
      </c>
      <c r="G293">
        <v>4</v>
      </c>
      <c r="H293">
        <v>6</v>
      </c>
      <c r="I293">
        <v>47</v>
      </c>
      <c r="J293">
        <v>54</v>
      </c>
      <c r="K293">
        <v>40</v>
      </c>
      <c r="L293">
        <v>83</v>
      </c>
      <c r="M293">
        <v>16</v>
      </c>
      <c r="N293">
        <f t="shared" si="12"/>
        <v>24.000000000000004</v>
      </c>
      <c r="O293" cm="1">
        <f t="array" ref="O293">SUM(_xlfn.XLOOKUP(E293:H293, $U$13:$U$17, $T$13:$T$17))</f>
        <v>26</v>
      </c>
      <c r="P293">
        <f t="shared" si="13"/>
        <v>6</v>
      </c>
      <c r="Q293" s="1">
        <f t="shared" si="14"/>
        <v>1</v>
      </c>
    </row>
    <row r="294" spans="1:17" x14ac:dyDescent="0.25">
      <c r="A294" s="1" t="s">
        <v>420</v>
      </c>
      <c r="B294" s="1" t="s">
        <v>188</v>
      </c>
      <c r="C294">
        <v>3</v>
      </c>
      <c r="D294">
        <v>2</v>
      </c>
      <c r="E294">
        <v>4</v>
      </c>
      <c r="F294">
        <v>5</v>
      </c>
      <c r="G294">
        <v>4</v>
      </c>
      <c r="H294">
        <v>6</v>
      </c>
      <c r="I294">
        <v>99</v>
      </c>
      <c r="J294">
        <v>60</v>
      </c>
      <c r="K294">
        <v>96</v>
      </c>
      <c r="L294">
        <v>89</v>
      </c>
      <c r="M294">
        <v>29</v>
      </c>
      <c r="N294">
        <f t="shared" si="12"/>
        <v>37.299999999999997</v>
      </c>
      <c r="O294" cm="1">
        <f t="array" ref="O294">SUM(_xlfn.XLOOKUP(E294:H294, $U$13:$U$17, $T$13:$T$17))</f>
        <v>30</v>
      </c>
      <c r="P294">
        <f t="shared" si="13"/>
        <v>3</v>
      </c>
      <c r="Q294" s="1">
        <f t="shared" si="14"/>
        <v>0</v>
      </c>
    </row>
    <row r="295" spans="1:17" x14ac:dyDescent="0.25">
      <c r="A295" s="1" t="s">
        <v>421</v>
      </c>
      <c r="B295" s="1" t="s">
        <v>249</v>
      </c>
      <c r="C295">
        <v>8</v>
      </c>
      <c r="D295">
        <v>2</v>
      </c>
      <c r="E295">
        <v>2</v>
      </c>
      <c r="F295">
        <v>4</v>
      </c>
      <c r="G295">
        <v>3</v>
      </c>
      <c r="H295">
        <v>5</v>
      </c>
      <c r="I295">
        <v>83</v>
      </c>
      <c r="J295">
        <v>29</v>
      </c>
      <c r="K295">
        <v>91</v>
      </c>
      <c r="L295">
        <v>26</v>
      </c>
      <c r="M295">
        <v>21</v>
      </c>
      <c r="N295">
        <f t="shared" si="12"/>
        <v>25.000000000000004</v>
      </c>
      <c r="O295" cm="1">
        <f t="array" ref="O295">SUM(_xlfn.XLOOKUP(E295:H295, $U$13:$U$17, $T$13:$T$17))</f>
        <v>18</v>
      </c>
      <c r="P295">
        <f t="shared" si="13"/>
        <v>8</v>
      </c>
      <c r="Q295" s="1">
        <f t="shared" si="14"/>
        <v>1</v>
      </c>
    </row>
    <row r="296" spans="1:17" x14ac:dyDescent="0.25">
      <c r="A296" s="1" t="s">
        <v>422</v>
      </c>
      <c r="B296" s="1" t="s">
        <v>340</v>
      </c>
      <c r="C296">
        <v>0</v>
      </c>
      <c r="D296">
        <v>4</v>
      </c>
      <c r="E296">
        <v>3</v>
      </c>
      <c r="F296">
        <v>6</v>
      </c>
      <c r="G296">
        <v>5</v>
      </c>
      <c r="H296">
        <v>5</v>
      </c>
      <c r="I296">
        <v>5</v>
      </c>
      <c r="J296">
        <v>26</v>
      </c>
      <c r="K296">
        <v>6</v>
      </c>
      <c r="L296">
        <v>82</v>
      </c>
      <c r="M296">
        <v>94</v>
      </c>
      <c r="N296">
        <f t="shared" si="12"/>
        <v>21.299999999999997</v>
      </c>
      <c r="O296" cm="1">
        <f t="array" ref="O296">SUM(_xlfn.XLOOKUP(E296:H296, $U$13:$U$17, $T$13:$T$17))</f>
        <v>30</v>
      </c>
      <c r="P296">
        <f t="shared" si="13"/>
        <v>0</v>
      </c>
      <c r="Q296" s="1">
        <f t="shared" si="14"/>
        <v>1</v>
      </c>
    </row>
    <row r="297" spans="1:17" x14ac:dyDescent="0.25">
      <c r="A297" s="1" t="s">
        <v>423</v>
      </c>
      <c r="B297" s="1" t="s">
        <v>76</v>
      </c>
      <c r="C297">
        <v>5</v>
      </c>
      <c r="D297">
        <v>3</v>
      </c>
      <c r="E297">
        <v>3</v>
      </c>
      <c r="F297">
        <v>3</v>
      </c>
      <c r="G297">
        <v>4</v>
      </c>
      <c r="H297">
        <v>3</v>
      </c>
      <c r="I297">
        <v>97</v>
      </c>
      <c r="J297">
        <v>83</v>
      </c>
      <c r="K297">
        <v>27</v>
      </c>
      <c r="L297">
        <v>61</v>
      </c>
      <c r="M297">
        <v>34</v>
      </c>
      <c r="N297">
        <f t="shared" si="12"/>
        <v>30.199999999999996</v>
      </c>
      <c r="O297" cm="1">
        <f t="array" ref="O297">SUM(_xlfn.XLOOKUP(E297:H297, $U$13:$U$17, $T$13:$T$17))</f>
        <v>18</v>
      </c>
      <c r="P297">
        <f t="shared" si="13"/>
        <v>5</v>
      </c>
      <c r="Q297" s="1">
        <f t="shared" si="14"/>
        <v>0</v>
      </c>
    </row>
    <row r="298" spans="1:17" x14ac:dyDescent="0.25">
      <c r="A298" s="1" t="s">
        <v>424</v>
      </c>
      <c r="B298" s="1" t="s">
        <v>425</v>
      </c>
      <c r="C298">
        <v>8</v>
      </c>
      <c r="D298">
        <v>5</v>
      </c>
      <c r="E298">
        <v>4</v>
      </c>
      <c r="F298">
        <v>6</v>
      </c>
      <c r="G298">
        <v>6</v>
      </c>
      <c r="H298">
        <v>5</v>
      </c>
      <c r="I298">
        <v>37</v>
      </c>
      <c r="J298">
        <v>52</v>
      </c>
      <c r="K298">
        <v>6</v>
      </c>
      <c r="L298">
        <v>34</v>
      </c>
      <c r="M298">
        <v>84</v>
      </c>
      <c r="N298">
        <f t="shared" si="12"/>
        <v>21.3</v>
      </c>
      <c r="O298" cm="1">
        <f t="array" ref="O298">SUM(_xlfn.XLOOKUP(E298:H298, $U$13:$U$17, $T$13:$T$17))</f>
        <v>34</v>
      </c>
      <c r="P298">
        <f t="shared" si="13"/>
        <v>8</v>
      </c>
      <c r="Q298" s="1">
        <f t="shared" si="14"/>
        <v>1</v>
      </c>
    </row>
    <row r="299" spans="1:17" x14ac:dyDescent="0.25">
      <c r="A299" s="1" t="s">
        <v>426</v>
      </c>
      <c r="B299" s="1" t="s">
        <v>427</v>
      </c>
      <c r="C299">
        <v>5</v>
      </c>
      <c r="D299">
        <v>2</v>
      </c>
      <c r="E299">
        <v>5</v>
      </c>
      <c r="F299">
        <v>3</v>
      </c>
      <c r="G299">
        <v>5</v>
      </c>
      <c r="H299">
        <v>5</v>
      </c>
      <c r="I299">
        <v>30</v>
      </c>
      <c r="J299">
        <v>42</v>
      </c>
      <c r="K299">
        <v>80</v>
      </c>
      <c r="L299">
        <v>74</v>
      </c>
      <c r="M299">
        <v>75</v>
      </c>
      <c r="N299">
        <f t="shared" si="12"/>
        <v>30.1</v>
      </c>
      <c r="O299" cm="1">
        <f t="array" ref="O299">SUM(_xlfn.XLOOKUP(E299:H299, $U$13:$U$17, $T$13:$T$17))</f>
        <v>28</v>
      </c>
      <c r="P299">
        <f t="shared" si="13"/>
        <v>5</v>
      </c>
      <c r="Q299" s="1">
        <f t="shared" si="14"/>
        <v>1</v>
      </c>
    </row>
    <row r="300" spans="1:17" x14ac:dyDescent="0.25">
      <c r="A300" s="1" t="s">
        <v>428</v>
      </c>
      <c r="B300" s="1" t="s">
        <v>429</v>
      </c>
      <c r="C300">
        <v>3</v>
      </c>
      <c r="D300">
        <v>2</v>
      </c>
      <c r="E300">
        <v>5</v>
      </c>
      <c r="F300">
        <v>5</v>
      </c>
      <c r="G300">
        <v>2</v>
      </c>
      <c r="H300">
        <v>2</v>
      </c>
      <c r="I300">
        <v>81</v>
      </c>
      <c r="J300">
        <v>88</v>
      </c>
      <c r="K300">
        <v>99</v>
      </c>
      <c r="L300">
        <v>75</v>
      </c>
      <c r="M300">
        <v>60</v>
      </c>
      <c r="N300">
        <f t="shared" si="12"/>
        <v>40.299999999999997</v>
      </c>
      <c r="O300" cm="1">
        <f t="array" ref="O300">SUM(_xlfn.XLOOKUP(E300:H300, $U$13:$U$17, $T$13:$T$17))</f>
        <v>16</v>
      </c>
      <c r="P300">
        <f t="shared" si="13"/>
        <v>3</v>
      </c>
      <c r="Q300" s="1">
        <f t="shared" si="14"/>
        <v>0</v>
      </c>
    </row>
    <row r="301" spans="1:17" x14ac:dyDescent="0.25">
      <c r="A301" s="1" t="s">
        <v>428</v>
      </c>
      <c r="B301" s="1" t="s">
        <v>430</v>
      </c>
      <c r="C301">
        <v>3</v>
      </c>
      <c r="D301">
        <v>6</v>
      </c>
      <c r="E301">
        <v>2</v>
      </c>
      <c r="F301">
        <v>5</v>
      </c>
      <c r="G301">
        <v>6</v>
      </c>
      <c r="H301">
        <v>4</v>
      </c>
      <c r="I301">
        <v>36</v>
      </c>
      <c r="J301">
        <v>63</v>
      </c>
      <c r="K301">
        <v>40</v>
      </c>
      <c r="L301">
        <v>82</v>
      </c>
      <c r="M301">
        <v>89</v>
      </c>
      <c r="N301">
        <f t="shared" si="12"/>
        <v>31</v>
      </c>
      <c r="O301" cm="1">
        <f t="array" ref="O301">SUM(_xlfn.XLOOKUP(E301:H301, $U$13:$U$17, $T$13:$T$17))</f>
        <v>24</v>
      </c>
      <c r="P301">
        <f t="shared" si="13"/>
        <v>5</v>
      </c>
      <c r="Q301" s="1">
        <f t="shared" si="14"/>
        <v>0</v>
      </c>
    </row>
    <row r="302" spans="1:17" x14ac:dyDescent="0.25">
      <c r="A302" s="1" t="s">
        <v>431</v>
      </c>
      <c r="B302" s="1" t="s">
        <v>242</v>
      </c>
      <c r="C302">
        <v>0</v>
      </c>
      <c r="D302">
        <v>6</v>
      </c>
      <c r="E302">
        <v>3</v>
      </c>
      <c r="F302">
        <v>2</v>
      </c>
      <c r="G302">
        <v>3</v>
      </c>
      <c r="H302">
        <v>5</v>
      </c>
      <c r="I302">
        <v>27</v>
      </c>
      <c r="J302">
        <v>62</v>
      </c>
      <c r="K302">
        <v>56</v>
      </c>
      <c r="L302">
        <v>66</v>
      </c>
      <c r="M302">
        <v>92</v>
      </c>
      <c r="N302">
        <f t="shared" si="12"/>
        <v>30.3</v>
      </c>
      <c r="O302" cm="1">
        <f t="array" ref="O302">SUM(_xlfn.XLOOKUP(E302:H302, $U$13:$U$17, $T$13:$T$17))</f>
        <v>16</v>
      </c>
      <c r="P302">
        <f t="shared" si="13"/>
        <v>2</v>
      </c>
      <c r="Q302" s="1">
        <f t="shared" si="14"/>
        <v>0</v>
      </c>
    </row>
    <row r="303" spans="1:17" x14ac:dyDescent="0.25">
      <c r="A303" s="1" t="s">
        <v>432</v>
      </c>
      <c r="B303" s="1" t="s">
        <v>429</v>
      </c>
      <c r="C303">
        <v>8</v>
      </c>
      <c r="D303">
        <v>5</v>
      </c>
      <c r="E303">
        <v>5</v>
      </c>
      <c r="F303">
        <v>5</v>
      </c>
      <c r="G303">
        <v>4</v>
      </c>
      <c r="H303">
        <v>6</v>
      </c>
      <c r="I303">
        <v>65</v>
      </c>
      <c r="J303">
        <v>57</v>
      </c>
      <c r="K303">
        <v>24</v>
      </c>
      <c r="L303">
        <v>97</v>
      </c>
      <c r="M303">
        <v>47</v>
      </c>
      <c r="N303">
        <f t="shared" si="12"/>
        <v>28.999999999999996</v>
      </c>
      <c r="O303" cm="1">
        <f t="array" ref="O303">SUM(_xlfn.XLOOKUP(E303:H303, $U$13:$U$17, $T$13:$T$17))</f>
        <v>32</v>
      </c>
      <c r="P303">
        <f t="shared" si="13"/>
        <v>8</v>
      </c>
      <c r="Q303" s="1">
        <f t="shared" si="14"/>
        <v>1</v>
      </c>
    </row>
    <row r="304" spans="1:17" x14ac:dyDescent="0.25">
      <c r="A304" s="1" t="s">
        <v>433</v>
      </c>
      <c r="B304" s="1" t="s">
        <v>434</v>
      </c>
      <c r="C304">
        <v>5</v>
      </c>
      <c r="D304">
        <v>2</v>
      </c>
      <c r="E304">
        <v>6</v>
      </c>
      <c r="F304">
        <v>4</v>
      </c>
      <c r="G304">
        <v>5</v>
      </c>
      <c r="H304">
        <v>6</v>
      </c>
      <c r="I304">
        <v>35</v>
      </c>
      <c r="J304">
        <v>77</v>
      </c>
      <c r="K304">
        <v>82</v>
      </c>
      <c r="L304">
        <v>42</v>
      </c>
      <c r="M304">
        <v>17</v>
      </c>
      <c r="N304">
        <f t="shared" si="12"/>
        <v>25.299999999999997</v>
      </c>
      <c r="O304" cm="1">
        <f t="array" ref="O304">SUM(_xlfn.XLOOKUP(E304:H304, $U$13:$U$17, $T$13:$T$17))</f>
        <v>34</v>
      </c>
      <c r="P304">
        <f t="shared" si="13"/>
        <v>5</v>
      </c>
      <c r="Q304" s="1">
        <f t="shared" si="14"/>
        <v>1</v>
      </c>
    </row>
    <row r="305" spans="1:17" x14ac:dyDescent="0.25">
      <c r="A305" s="1" t="s">
        <v>435</v>
      </c>
      <c r="B305" s="1" t="s">
        <v>436</v>
      </c>
      <c r="C305">
        <v>3</v>
      </c>
      <c r="D305">
        <v>5</v>
      </c>
      <c r="E305">
        <v>5</v>
      </c>
      <c r="F305">
        <v>2</v>
      </c>
      <c r="G305">
        <v>3</v>
      </c>
      <c r="H305">
        <v>6</v>
      </c>
      <c r="I305">
        <v>47</v>
      </c>
      <c r="J305">
        <v>52</v>
      </c>
      <c r="K305">
        <v>43</v>
      </c>
      <c r="L305">
        <v>47</v>
      </c>
      <c r="M305">
        <v>3</v>
      </c>
      <c r="N305">
        <f t="shared" si="12"/>
        <v>19.2</v>
      </c>
      <c r="O305" cm="1">
        <f t="array" ref="O305">SUM(_xlfn.XLOOKUP(E305:H305, $U$13:$U$17, $T$13:$T$17))</f>
        <v>22</v>
      </c>
      <c r="P305">
        <f t="shared" si="13"/>
        <v>3</v>
      </c>
      <c r="Q305" s="1">
        <f t="shared" si="14"/>
        <v>1</v>
      </c>
    </row>
    <row r="306" spans="1:17" x14ac:dyDescent="0.25">
      <c r="A306" s="1" t="s">
        <v>437</v>
      </c>
      <c r="B306" s="1" t="s">
        <v>438</v>
      </c>
      <c r="C306">
        <v>5</v>
      </c>
      <c r="D306">
        <v>2</v>
      </c>
      <c r="E306">
        <v>6</v>
      </c>
      <c r="F306">
        <v>3</v>
      </c>
      <c r="G306">
        <v>3</v>
      </c>
      <c r="H306">
        <v>5</v>
      </c>
      <c r="I306">
        <v>69</v>
      </c>
      <c r="J306">
        <v>15</v>
      </c>
      <c r="K306">
        <v>39</v>
      </c>
      <c r="L306">
        <v>69</v>
      </c>
      <c r="M306">
        <v>39</v>
      </c>
      <c r="N306">
        <f t="shared" si="12"/>
        <v>23.1</v>
      </c>
      <c r="O306" cm="1">
        <f t="array" ref="O306">SUM(_xlfn.XLOOKUP(E306:H306, $U$13:$U$17, $T$13:$T$17))</f>
        <v>26</v>
      </c>
      <c r="P306">
        <f t="shared" si="13"/>
        <v>5</v>
      </c>
      <c r="Q306" s="1">
        <f t="shared" si="14"/>
        <v>1</v>
      </c>
    </row>
    <row r="307" spans="1:17" x14ac:dyDescent="0.25">
      <c r="A307" s="1" t="s">
        <v>439</v>
      </c>
      <c r="B307" s="1" t="s">
        <v>395</v>
      </c>
      <c r="C307">
        <v>0</v>
      </c>
      <c r="D307">
        <v>3</v>
      </c>
      <c r="E307">
        <v>6</v>
      </c>
      <c r="F307">
        <v>4</v>
      </c>
      <c r="G307">
        <v>3</v>
      </c>
      <c r="H307">
        <v>6</v>
      </c>
      <c r="I307">
        <v>35</v>
      </c>
      <c r="J307">
        <v>41</v>
      </c>
      <c r="K307">
        <v>92</v>
      </c>
      <c r="L307">
        <v>96</v>
      </c>
      <c r="M307">
        <v>19</v>
      </c>
      <c r="N307">
        <f t="shared" si="12"/>
        <v>28.299999999999997</v>
      </c>
      <c r="O307" cm="1">
        <f t="array" ref="O307">SUM(_xlfn.XLOOKUP(E307:H307, $U$13:$U$17, $T$13:$T$17))</f>
        <v>30</v>
      </c>
      <c r="P307">
        <f t="shared" si="13"/>
        <v>0</v>
      </c>
      <c r="Q307" s="1">
        <f t="shared" si="14"/>
        <v>1</v>
      </c>
    </row>
    <row r="308" spans="1:17" x14ac:dyDescent="0.25">
      <c r="A308" s="1" t="s">
        <v>440</v>
      </c>
      <c r="B308" s="1" t="s">
        <v>251</v>
      </c>
      <c r="C308">
        <v>1</v>
      </c>
      <c r="D308">
        <v>6</v>
      </c>
      <c r="E308">
        <v>6</v>
      </c>
      <c r="F308">
        <v>5</v>
      </c>
      <c r="G308">
        <v>3</v>
      </c>
      <c r="H308">
        <v>6</v>
      </c>
      <c r="I308">
        <v>8</v>
      </c>
      <c r="J308">
        <v>17</v>
      </c>
      <c r="K308">
        <v>37</v>
      </c>
      <c r="L308">
        <v>10</v>
      </c>
      <c r="M308">
        <v>56</v>
      </c>
      <c r="N308">
        <f t="shared" si="12"/>
        <v>12.8</v>
      </c>
      <c r="O308" cm="1">
        <f t="array" ref="O308">SUM(_xlfn.XLOOKUP(E308:H308, $U$13:$U$17, $T$13:$T$17))</f>
        <v>32</v>
      </c>
      <c r="P308">
        <f t="shared" si="13"/>
        <v>3</v>
      </c>
      <c r="Q308" s="1">
        <f t="shared" si="14"/>
        <v>1</v>
      </c>
    </row>
    <row r="309" spans="1:17" x14ac:dyDescent="0.25">
      <c r="A309" s="1" t="s">
        <v>441</v>
      </c>
      <c r="B309" s="1" t="s">
        <v>177</v>
      </c>
      <c r="C309">
        <v>2</v>
      </c>
      <c r="D309">
        <v>5</v>
      </c>
      <c r="E309">
        <v>6</v>
      </c>
      <c r="F309">
        <v>2</v>
      </c>
      <c r="G309">
        <v>5</v>
      </c>
      <c r="H309">
        <v>3</v>
      </c>
      <c r="I309">
        <v>44</v>
      </c>
      <c r="J309">
        <v>32</v>
      </c>
      <c r="K309">
        <v>4</v>
      </c>
      <c r="L309">
        <v>95</v>
      </c>
      <c r="M309">
        <v>55</v>
      </c>
      <c r="N309">
        <f t="shared" si="12"/>
        <v>23</v>
      </c>
      <c r="O309" cm="1">
        <f t="array" ref="O309">SUM(_xlfn.XLOOKUP(E309:H309, $U$13:$U$17, $T$13:$T$17))</f>
        <v>22</v>
      </c>
      <c r="P309">
        <f t="shared" si="13"/>
        <v>2</v>
      </c>
      <c r="Q309" s="1">
        <f t="shared" si="14"/>
        <v>1</v>
      </c>
    </row>
    <row r="310" spans="1:17" x14ac:dyDescent="0.25">
      <c r="A310" s="1" t="s">
        <v>442</v>
      </c>
      <c r="B310" s="1" t="s">
        <v>70</v>
      </c>
      <c r="C310">
        <v>0</v>
      </c>
      <c r="D310">
        <v>6</v>
      </c>
      <c r="E310">
        <v>4</v>
      </c>
      <c r="F310">
        <v>2</v>
      </c>
      <c r="G310">
        <v>4</v>
      </c>
      <c r="H310">
        <v>5</v>
      </c>
      <c r="I310">
        <v>72</v>
      </c>
      <c r="J310">
        <v>100</v>
      </c>
      <c r="K310">
        <v>96</v>
      </c>
      <c r="L310">
        <v>5</v>
      </c>
      <c r="M310">
        <v>41</v>
      </c>
      <c r="N310">
        <f t="shared" si="12"/>
        <v>31.4</v>
      </c>
      <c r="O310" cm="1">
        <f t="array" ref="O310">SUM(_xlfn.XLOOKUP(E310:H310, $U$13:$U$17, $T$13:$T$17))</f>
        <v>20</v>
      </c>
      <c r="P310">
        <f t="shared" si="13"/>
        <v>2</v>
      </c>
      <c r="Q310" s="1">
        <f t="shared" si="14"/>
        <v>0</v>
      </c>
    </row>
    <row r="311" spans="1:17" x14ac:dyDescent="0.25">
      <c r="A311" s="1" t="s">
        <v>443</v>
      </c>
      <c r="B311" s="1" t="s">
        <v>357</v>
      </c>
      <c r="C311">
        <v>2</v>
      </c>
      <c r="D311">
        <v>6</v>
      </c>
      <c r="E311">
        <v>6</v>
      </c>
      <c r="F311">
        <v>4</v>
      </c>
      <c r="G311">
        <v>6</v>
      </c>
      <c r="H311">
        <v>2</v>
      </c>
      <c r="I311">
        <v>68</v>
      </c>
      <c r="J311">
        <v>15</v>
      </c>
      <c r="K311">
        <v>53</v>
      </c>
      <c r="L311">
        <v>47</v>
      </c>
      <c r="M311">
        <v>8</v>
      </c>
      <c r="N311">
        <f t="shared" si="12"/>
        <v>19.100000000000001</v>
      </c>
      <c r="O311" cm="1">
        <f t="array" ref="O311">SUM(_xlfn.XLOOKUP(E311:H311, $U$13:$U$17, $T$13:$T$17))</f>
        <v>26</v>
      </c>
      <c r="P311">
        <f t="shared" si="13"/>
        <v>4</v>
      </c>
      <c r="Q311" s="1">
        <f t="shared" si="14"/>
        <v>1</v>
      </c>
    </row>
    <row r="312" spans="1:17" x14ac:dyDescent="0.25">
      <c r="A312" s="1" t="s">
        <v>444</v>
      </c>
      <c r="B312" s="1" t="s">
        <v>445</v>
      </c>
      <c r="C312">
        <v>0</v>
      </c>
      <c r="D312">
        <v>3</v>
      </c>
      <c r="E312">
        <v>5</v>
      </c>
      <c r="F312">
        <v>2</v>
      </c>
      <c r="G312">
        <v>3</v>
      </c>
      <c r="H312">
        <v>6</v>
      </c>
      <c r="I312">
        <v>33</v>
      </c>
      <c r="J312">
        <v>86</v>
      </c>
      <c r="K312">
        <v>90</v>
      </c>
      <c r="L312">
        <v>78</v>
      </c>
      <c r="M312">
        <v>15</v>
      </c>
      <c r="N312">
        <f t="shared" si="12"/>
        <v>30.2</v>
      </c>
      <c r="O312" cm="1">
        <f t="array" ref="O312">SUM(_xlfn.XLOOKUP(E312:H312, $U$13:$U$17, $T$13:$T$17))</f>
        <v>22</v>
      </c>
      <c r="P312">
        <f t="shared" si="13"/>
        <v>0</v>
      </c>
      <c r="Q312" s="1">
        <f t="shared" si="14"/>
        <v>0</v>
      </c>
    </row>
    <row r="313" spans="1:17" x14ac:dyDescent="0.25">
      <c r="A313" s="1" t="s">
        <v>446</v>
      </c>
      <c r="B313" s="1" t="s">
        <v>30</v>
      </c>
      <c r="C313">
        <v>3</v>
      </c>
      <c r="D313">
        <v>2</v>
      </c>
      <c r="E313">
        <v>5</v>
      </c>
      <c r="F313">
        <v>3</v>
      </c>
      <c r="G313">
        <v>3</v>
      </c>
      <c r="H313">
        <v>4</v>
      </c>
      <c r="I313">
        <v>95</v>
      </c>
      <c r="J313">
        <v>25</v>
      </c>
      <c r="K313">
        <v>48</v>
      </c>
      <c r="L313">
        <v>27</v>
      </c>
      <c r="M313">
        <v>23</v>
      </c>
      <c r="N313">
        <f t="shared" si="12"/>
        <v>21.8</v>
      </c>
      <c r="O313" cm="1">
        <f t="array" ref="O313">SUM(_xlfn.XLOOKUP(E313:H313, $U$13:$U$17, $T$13:$T$17))</f>
        <v>22</v>
      </c>
      <c r="P313">
        <f t="shared" si="13"/>
        <v>3</v>
      </c>
      <c r="Q313" s="1">
        <f t="shared" si="14"/>
        <v>1</v>
      </c>
    </row>
    <row r="314" spans="1:17" x14ac:dyDescent="0.25">
      <c r="A314" s="1" t="s">
        <v>400</v>
      </c>
      <c r="B314" s="1" t="s">
        <v>409</v>
      </c>
      <c r="C314">
        <v>0</v>
      </c>
      <c r="D314">
        <v>4</v>
      </c>
      <c r="E314">
        <v>5</v>
      </c>
      <c r="F314">
        <v>6</v>
      </c>
      <c r="G314">
        <v>3</v>
      </c>
      <c r="H314">
        <v>5</v>
      </c>
      <c r="I314">
        <v>66</v>
      </c>
      <c r="J314">
        <v>31</v>
      </c>
      <c r="K314">
        <v>5</v>
      </c>
      <c r="L314">
        <v>9</v>
      </c>
      <c r="M314">
        <v>38</v>
      </c>
      <c r="N314">
        <f t="shared" si="12"/>
        <v>14.899999999999999</v>
      </c>
      <c r="O314" cm="1">
        <f t="array" ref="O314">SUM(_xlfn.XLOOKUP(E314:H314, $U$13:$U$17, $T$13:$T$17))</f>
        <v>30</v>
      </c>
      <c r="P314">
        <f t="shared" si="13"/>
        <v>0</v>
      </c>
      <c r="Q314" s="1">
        <f t="shared" si="14"/>
        <v>1</v>
      </c>
    </row>
    <row r="315" spans="1:17" x14ac:dyDescent="0.25">
      <c r="A315" s="1" t="s">
        <v>447</v>
      </c>
      <c r="B315" s="1" t="s">
        <v>448</v>
      </c>
      <c r="C315">
        <v>0</v>
      </c>
      <c r="D315">
        <v>4</v>
      </c>
      <c r="E315">
        <v>4</v>
      </c>
      <c r="F315">
        <v>5</v>
      </c>
      <c r="G315">
        <v>4</v>
      </c>
      <c r="H315">
        <v>3</v>
      </c>
      <c r="I315">
        <v>82</v>
      </c>
      <c r="J315">
        <v>31</v>
      </c>
      <c r="K315">
        <v>77</v>
      </c>
      <c r="L315">
        <v>49</v>
      </c>
      <c r="M315">
        <v>81</v>
      </c>
      <c r="N315">
        <f t="shared" si="12"/>
        <v>32</v>
      </c>
      <c r="O315" cm="1">
        <f t="array" ref="O315">SUM(_xlfn.XLOOKUP(E315:H315, $U$13:$U$17, $T$13:$T$17))</f>
        <v>24</v>
      </c>
      <c r="P315">
        <f t="shared" si="13"/>
        <v>0</v>
      </c>
      <c r="Q315" s="1">
        <f t="shared" si="14"/>
        <v>0</v>
      </c>
    </row>
    <row r="316" spans="1:17" x14ac:dyDescent="0.25">
      <c r="A316" s="1" t="s">
        <v>449</v>
      </c>
      <c r="B316" s="1" t="s">
        <v>34</v>
      </c>
      <c r="C316">
        <v>5</v>
      </c>
      <c r="D316">
        <v>2</v>
      </c>
      <c r="E316">
        <v>3</v>
      </c>
      <c r="F316">
        <v>2</v>
      </c>
      <c r="G316">
        <v>4</v>
      </c>
      <c r="H316">
        <v>3</v>
      </c>
      <c r="I316">
        <v>53</v>
      </c>
      <c r="J316">
        <v>95</v>
      </c>
      <c r="K316">
        <v>23</v>
      </c>
      <c r="L316">
        <v>16</v>
      </c>
      <c r="M316">
        <v>90</v>
      </c>
      <c r="N316">
        <f t="shared" si="12"/>
        <v>27.700000000000003</v>
      </c>
      <c r="O316" cm="1">
        <f t="array" ref="O316">SUM(_xlfn.XLOOKUP(E316:H316, $U$13:$U$17, $T$13:$T$17))</f>
        <v>14</v>
      </c>
      <c r="P316">
        <f t="shared" si="13"/>
        <v>5</v>
      </c>
      <c r="Q316" s="1">
        <f t="shared" si="14"/>
        <v>0</v>
      </c>
    </row>
    <row r="317" spans="1:17" x14ac:dyDescent="0.25">
      <c r="A317" s="1" t="s">
        <v>450</v>
      </c>
      <c r="B317" s="1" t="s">
        <v>395</v>
      </c>
      <c r="C317">
        <v>7</v>
      </c>
      <c r="D317">
        <v>2</v>
      </c>
      <c r="E317">
        <v>4</v>
      </c>
      <c r="F317">
        <v>3</v>
      </c>
      <c r="G317">
        <v>4</v>
      </c>
      <c r="H317">
        <v>2</v>
      </c>
      <c r="I317">
        <v>58</v>
      </c>
      <c r="J317">
        <v>56</v>
      </c>
      <c r="K317">
        <v>47</v>
      </c>
      <c r="L317">
        <v>61</v>
      </c>
      <c r="M317">
        <v>69</v>
      </c>
      <c r="N317">
        <f t="shared" si="12"/>
        <v>29.099999999999994</v>
      </c>
      <c r="O317" cm="1">
        <f t="array" ref="O317">SUM(_xlfn.XLOOKUP(E317:H317, $U$13:$U$17, $T$13:$T$17))</f>
        <v>16</v>
      </c>
      <c r="P317">
        <f t="shared" si="13"/>
        <v>7</v>
      </c>
      <c r="Q317" s="1">
        <f t="shared" si="14"/>
        <v>0</v>
      </c>
    </row>
    <row r="318" spans="1:17" x14ac:dyDescent="0.25">
      <c r="A318" s="1" t="s">
        <v>163</v>
      </c>
      <c r="B318" s="1" t="s">
        <v>164</v>
      </c>
      <c r="C318">
        <v>6</v>
      </c>
      <c r="D318">
        <v>6</v>
      </c>
      <c r="E318">
        <v>4</v>
      </c>
      <c r="F318">
        <v>3</v>
      </c>
      <c r="G318">
        <v>2</v>
      </c>
      <c r="H318">
        <v>3</v>
      </c>
      <c r="I318">
        <v>88</v>
      </c>
      <c r="J318">
        <v>10</v>
      </c>
      <c r="K318">
        <v>92</v>
      </c>
      <c r="L318">
        <v>82</v>
      </c>
      <c r="M318">
        <v>2</v>
      </c>
      <c r="N318">
        <f t="shared" si="12"/>
        <v>27.4</v>
      </c>
      <c r="O318" cm="1">
        <f t="array" ref="O318">SUM(_xlfn.XLOOKUP(E318:H318, $U$13:$U$17, $T$13:$T$17))</f>
        <v>14</v>
      </c>
      <c r="P318">
        <f t="shared" si="13"/>
        <v>8</v>
      </c>
      <c r="Q318" s="1">
        <f t="shared" si="14"/>
        <v>0</v>
      </c>
    </row>
    <row r="319" spans="1:17" x14ac:dyDescent="0.25">
      <c r="A319" s="1" t="s">
        <v>451</v>
      </c>
      <c r="B319" s="1" t="s">
        <v>23</v>
      </c>
      <c r="C319">
        <v>6</v>
      </c>
      <c r="D319">
        <v>4</v>
      </c>
      <c r="E319">
        <v>2</v>
      </c>
      <c r="F319">
        <v>3</v>
      </c>
      <c r="G319">
        <v>5</v>
      </c>
      <c r="H319">
        <v>4</v>
      </c>
      <c r="I319">
        <v>50</v>
      </c>
      <c r="J319">
        <v>3</v>
      </c>
      <c r="K319">
        <v>27</v>
      </c>
      <c r="L319">
        <v>70</v>
      </c>
      <c r="M319">
        <v>25</v>
      </c>
      <c r="N319">
        <f t="shared" si="12"/>
        <v>17.5</v>
      </c>
      <c r="O319" cm="1">
        <f t="array" ref="O319">SUM(_xlfn.XLOOKUP(E319:H319, $U$13:$U$17, $T$13:$T$17))</f>
        <v>18</v>
      </c>
      <c r="P319">
        <f t="shared" si="13"/>
        <v>6</v>
      </c>
      <c r="Q319" s="1">
        <f t="shared" si="14"/>
        <v>1</v>
      </c>
    </row>
    <row r="320" spans="1:17" x14ac:dyDescent="0.25">
      <c r="A320" s="1" t="s">
        <v>283</v>
      </c>
      <c r="B320" s="1" t="s">
        <v>452</v>
      </c>
      <c r="C320">
        <v>8</v>
      </c>
      <c r="D320">
        <v>2</v>
      </c>
      <c r="E320">
        <v>5</v>
      </c>
      <c r="F320">
        <v>3</v>
      </c>
      <c r="G320">
        <v>2</v>
      </c>
      <c r="H320">
        <v>3</v>
      </c>
      <c r="I320">
        <v>93</v>
      </c>
      <c r="J320">
        <v>98</v>
      </c>
      <c r="K320">
        <v>43</v>
      </c>
      <c r="L320">
        <v>97</v>
      </c>
      <c r="M320">
        <v>90</v>
      </c>
      <c r="N320">
        <f t="shared" si="12"/>
        <v>42.1</v>
      </c>
      <c r="O320" cm="1">
        <f t="array" ref="O320">SUM(_xlfn.XLOOKUP(E320:H320, $U$13:$U$17, $T$13:$T$17))</f>
        <v>16</v>
      </c>
      <c r="P320">
        <f t="shared" si="13"/>
        <v>8</v>
      </c>
      <c r="Q320" s="1">
        <f t="shared" si="14"/>
        <v>0</v>
      </c>
    </row>
    <row r="321" spans="1:17" x14ac:dyDescent="0.25">
      <c r="A321" s="1" t="s">
        <v>453</v>
      </c>
      <c r="B321" s="1" t="s">
        <v>130</v>
      </c>
      <c r="C321">
        <v>6</v>
      </c>
      <c r="D321">
        <v>4</v>
      </c>
      <c r="E321">
        <v>4</v>
      </c>
      <c r="F321">
        <v>5</v>
      </c>
      <c r="G321">
        <v>2</v>
      </c>
      <c r="H321">
        <v>4</v>
      </c>
      <c r="I321">
        <v>41</v>
      </c>
      <c r="J321">
        <v>62</v>
      </c>
      <c r="K321">
        <v>60</v>
      </c>
      <c r="L321">
        <v>18</v>
      </c>
      <c r="M321">
        <v>83</v>
      </c>
      <c r="N321">
        <f t="shared" si="12"/>
        <v>26.400000000000002</v>
      </c>
      <c r="O321" cm="1">
        <f t="array" ref="O321">SUM(_xlfn.XLOOKUP(E321:H321, $U$13:$U$17, $T$13:$T$17))</f>
        <v>20</v>
      </c>
      <c r="P321">
        <f t="shared" si="13"/>
        <v>6</v>
      </c>
      <c r="Q321" s="1">
        <f t="shared" si="14"/>
        <v>0</v>
      </c>
    </row>
    <row r="322" spans="1:17" x14ac:dyDescent="0.25">
      <c r="A322" s="1" t="s">
        <v>454</v>
      </c>
      <c r="B322" s="1" t="s">
        <v>369</v>
      </c>
      <c r="C322">
        <v>3</v>
      </c>
      <c r="D322">
        <v>2</v>
      </c>
      <c r="E322">
        <v>3</v>
      </c>
      <c r="F322">
        <v>4</v>
      </c>
      <c r="G322">
        <v>2</v>
      </c>
      <c r="H322">
        <v>4</v>
      </c>
      <c r="I322">
        <v>90</v>
      </c>
      <c r="J322">
        <v>26</v>
      </c>
      <c r="K322">
        <v>50</v>
      </c>
      <c r="L322">
        <v>74</v>
      </c>
      <c r="M322">
        <v>53</v>
      </c>
      <c r="N322">
        <f t="shared" ref="N322:N385" si="15">I322/10 + J322/10 + K322/10 + L322/10 + M322/10</f>
        <v>29.3</v>
      </c>
      <c r="O322" cm="1">
        <f t="array" ref="O322">SUM(_xlfn.XLOOKUP(E322:H322, $U$13:$U$17, $T$13:$T$17))</f>
        <v>16</v>
      </c>
      <c r="P322">
        <f t="shared" ref="P322:P385" si="16">IF(D322=6,C322+2,C322)</f>
        <v>3</v>
      </c>
      <c r="Q322" s="1">
        <f t="shared" ref="Q322:Q385" si="17">IF((O322+P322)&gt;N322, 1, 0)</f>
        <v>0</v>
      </c>
    </row>
    <row r="323" spans="1:17" x14ac:dyDescent="0.25">
      <c r="A323" s="1" t="s">
        <v>455</v>
      </c>
      <c r="B323" s="1" t="s">
        <v>369</v>
      </c>
      <c r="C323">
        <v>4</v>
      </c>
      <c r="D323">
        <v>4</v>
      </c>
      <c r="E323">
        <v>3</v>
      </c>
      <c r="F323">
        <v>2</v>
      </c>
      <c r="G323">
        <v>3</v>
      </c>
      <c r="H323">
        <v>2</v>
      </c>
      <c r="I323">
        <v>31</v>
      </c>
      <c r="J323">
        <v>59</v>
      </c>
      <c r="K323">
        <v>7</v>
      </c>
      <c r="L323">
        <v>38</v>
      </c>
      <c r="M323">
        <v>24</v>
      </c>
      <c r="N323">
        <f t="shared" si="15"/>
        <v>15.9</v>
      </c>
      <c r="O323" cm="1">
        <f t="array" ref="O323">SUM(_xlfn.XLOOKUP(E323:H323, $U$13:$U$17, $T$13:$T$17))</f>
        <v>8</v>
      </c>
      <c r="P323">
        <f t="shared" si="16"/>
        <v>4</v>
      </c>
      <c r="Q323" s="1">
        <f t="shared" si="17"/>
        <v>0</v>
      </c>
    </row>
    <row r="324" spans="1:17" x14ac:dyDescent="0.25">
      <c r="A324" s="1" t="s">
        <v>456</v>
      </c>
      <c r="B324" s="1" t="s">
        <v>159</v>
      </c>
      <c r="C324">
        <v>6</v>
      </c>
      <c r="D324">
        <v>6</v>
      </c>
      <c r="E324">
        <v>6</v>
      </c>
      <c r="F324">
        <v>2</v>
      </c>
      <c r="G324">
        <v>3</v>
      </c>
      <c r="H324">
        <v>2</v>
      </c>
      <c r="I324">
        <v>56</v>
      </c>
      <c r="J324">
        <v>34</v>
      </c>
      <c r="K324">
        <v>52</v>
      </c>
      <c r="L324">
        <v>30</v>
      </c>
      <c r="M324">
        <v>94</v>
      </c>
      <c r="N324">
        <f t="shared" si="15"/>
        <v>26.6</v>
      </c>
      <c r="O324" cm="1">
        <f t="array" ref="O324">SUM(_xlfn.XLOOKUP(E324:H324, $U$13:$U$17, $T$13:$T$17))</f>
        <v>14</v>
      </c>
      <c r="P324">
        <f t="shared" si="16"/>
        <v>8</v>
      </c>
      <c r="Q324" s="1">
        <f t="shared" si="17"/>
        <v>0</v>
      </c>
    </row>
    <row r="325" spans="1:17" x14ac:dyDescent="0.25">
      <c r="A325" s="1" t="s">
        <v>457</v>
      </c>
      <c r="B325" s="1" t="s">
        <v>409</v>
      </c>
      <c r="C325">
        <v>0</v>
      </c>
      <c r="D325">
        <v>3</v>
      </c>
      <c r="E325">
        <v>6</v>
      </c>
      <c r="F325">
        <v>4</v>
      </c>
      <c r="G325">
        <v>6</v>
      </c>
      <c r="H325">
        <v>3</v>
      </c>
      <c r="I325">
        <v>13</v>
      </c>
      <c r="J325">
        <v>42</v>
      </c>
      <c r="K325">
        <v>23</v>
      </c>
      <c r="L325">
        <v>14</v>
      </c>
      <c r="M325">
        <v>73</v>
      </c>
      <c r="N325">
        <f t="shared" si="15"/>
        <v>16.5</v>
      </c>
      <c r="O325" cm="1">
        <f t="array" ref="O325">SUM(_xlfn.XLOOKUP(E325:H325, $U$13:$U$17, $T$13:$T$17))</f>
        <v>30</v>
      </c>
      <c r="P325">
        <f t="shared" si="16"/>
        <v>0</v>
      </c>
      <c r="Q325" s="1">
        <f t="shared" si="17"/>
        <v>1</v>
      </c>
    </row>
    <row r="326" spans="1:17" x14ac:dyDescent="0.25">
      <c r="A326" s="1" t="s">
        <v>458</v>
      </c>
      <c r="B326" s="1" t="s">
        <v>74</v>
      </c>
      <c r="C326">
        <v>2</v>
      </c>
      <c r="D326">
        <v>3</v>
      </c>
      <c r="E326">
        <v>6</v>
      </c>
      <c r="F326">
        <v>6</v>
      </c>
      <c r="G326">
        <v>4</v>
      </c>
      <c r="H326">
        <v>4</v>
      </c>
      <c r="I326">
        <v>61</v>
      </c>
      <c r="J326">
        <v>3</v>
      </c>
      <c r="K326">
        <v>88</v>
      </c>
      <c r="L326">
        <v>72</v>
      </c>
      <c r="M326">
        <v>84</v>
      </c>
      <c r="N326">
        <f t="shared" si="15"/>
        <v>30.799999999999997</v>
      </c>
      <c r="O326" cm="1">
        <f t="array" ref="O326">SUM(_xlfn.XLOOKUP(E326:H326, $U$13:$U$17, $T$13:$T$17))</f>
        <v>32</v>
      </c>
      <c r="P326">
        <f t="shared" si="16"/>
        <v>2</v>
      </c>
      <c r="Q326" s="1">
        <f t="shared" si="17"/>
        <v>1</v>
      </c>
    </row>
    <row r="327" spans="1:17" x14ac:dyDescent="0.25">
      <c r="A327" s="1" t="s">
        <v>459</v>
      </c>
      <c r="B327" s="1" t="s">
        <v>130</v>
      </c>
      <c r="C327">
        <v>6</v>
      </c>
      <c r="D327">
        <v>4</v>
      </c>
      <c r="E327">
        <v>4</v>
      </c>
      <c r="F327">
        <v>2</v>
      </c>
      <c r="G327">
        <v>4</v>
      </c>
      <c r="H327">
        <v>2</v>
      </c>
      <c r="I327">
        <v>30</v>
      </c>
      <c r="J327">
        <v>28</v>
      </c>
      <c r="K327">
        <v>30</v>
      </c>
      <c r="L327">
        <v>66</v>
      </c>
      <c r="M327">
        <v>98</v>
      </c>
      <c r="N327">
        <f t="shared" si="15"/>
        <v>25.200000000000003</v>
      </c>
      <c r="O327" cm="1">
        <f t="array" ref="O327">SUM(_xlfn.XLOOKUP(E327:H327, $U$13:$U$17, $T$13:$T$17))</f>
        <v>12</v>
      </c>
      <c r="P327">
        <f t="shared" si="16"/>
        <v>6</v>
      </c>
      <c r="Q327" s="1">
        <f t="shared" si="17"/>
        <v>0</v>
      </c>
    </row>
    <row r="328" spans="1:17" x14ac:dyDescent="0.25">
      <c r="A328" s="1" t="s">
        <v>460</v>
      </c>
      <c r="B328" s="1" t="s">
        <v>130</v>
      </c>
      <c r="C328">
        <v>4</v>
      </c>
      <c r="D328">
        <v>4</v>
      </c>
      <c r="E328">
        <v>4</v>
      </c>
      <c r="F328">
        <v>6</v>
      </c>
      <c r="G328">
        <v>6</v>
      </c>
      <c r="H328">
        <v>2</v>
      </c>
      <c r="I328">
        <v>80</v>
      </c>
      <c r="J328">
        <v>75</v>
      </c>
      <c r="K328">
        <v>57</v>
      </c>
      <c r="L328">
        <v>43</v>
      </c>
      <c r="M328">
        <v>92</v>
      </c>
      <c r="N328">
        <f t="shared" si="15"/>
        <v>34.700000000000003</v>
      </c>
      <c r="O328" cm="1">
        <f t="array" ref="O328">SUM(_xlfn.XLOOKUP(E328:H328, $U$13:$U$17, $T$13:$T$17))</f>
        <v>26</v>
      </c>
      <c r="P328">
        <f t="shared" si="16"/>
        <v>4</v>
      </c>
      <c r="Q328" s="1">
        <f t="shared" si="17"/>
        <v>0</v>
      </c>
    </row>
    <row r="329" spans="1:17" x14ac:dyDescent="0.25">
      <c r="A329" s="1" t="s">
        <v>461</v>
      </c>
      <c r="B329" s="1" t="s">
        <v>28</v>
      </c>
      <c r="C329">
        <v>2</v>
      </c>
      <c r="D329">
        <v>4</v>
      </c>
      <c r="E329">
        <v>5</v>
      </c>
      <c r="F329">
        <v>2</v>
      </c>
      <c r="G329">
        <v>5</v>
      </c>
      <c r="H329">
        <v>2</v>
      </c>
      <c r="I329">
        <v>26</v>
      </c>
      <c r="J329">
        <v>69</v>
      </c>
      <c r="K329">
        <v>46</v>
      </c>
      <c r="L329">
        <v>57</v>
      </c>
      <c r="M329">
        <v>91</v>
      </c>
      <c r="N329">
        <f t="shared" si="15"/>
        <v>28.9</v>
      </c>
      <c r="O329" cm="1">
        <f t="array" ref="O329">SUM(_xlfn.XLOOKUP(E329:H329, $U$13:$U$17, $T$13:$T$17))</f>
        <v>16</v>
      </c>
      <c r="P329">
        <f t="shared" si="16"/>
        <v>2</v>
      </c>
      <c r="Q329" s="1">
        <f t="shared" si="17"/>
        <v>0</v>
      </c>
    </row>
    <row r="330" spans="1:17" x14ac:dyDescent="0.25">
      <c r="A330" s="1" t="s">
        <v>462</v>
      </c>
      <c r="B330" s="1" t="s">
        <v>463</v>
      </c>
      <c r="C330">
        <v>4</v>
      </c>
      <c r="D330">
        <v>3</v>
      </c>
      <c r="E330">
        <v>5</v>
      </c>
      <c r="F330">
        <v>5</v>
      </c>
      <c r="G330">
        <v>3</v>
      </c>
      <c r="H330">
        <v>3</v>
      </c>
      <c r="I330">
        <v>5</v>
      </c>
      <c r="J330">
        <v>44</v>
      </c>
      <c r="K330">
        <v>37</v>
      </c>
      <c r="L330">
        <v>5</v>
      </c>
      <c r="M330">
        <v>62</v>
      </c>
      <c r="N330">
        <f t="shared" si="15"/>
        <v>15.3</v>
      </c>
      <c r="O330" cm="1">
        <f t="array" ref="O330">SUM(_xlfn.XLOOKUP(E330:H330, $U$13:$U$17, $T$13:$T$17))</f>
        <v>24</v>
      </c>
      <c r="P330">
        <f t="shared" si="16"/>
        <v>4</v>
      </c>
      <c r="Q330" s="1">
        <f t="shared" si="17"/>
        <v>1</v>
      </c>
    </row>
    <row r="331" spans="1:17" x14ac:dyDescent="0.25">
      <c r="A331" s="1" t="s">
        <v>464</v>
      </c>
      <c r="B331" s="1" t="s">
        <v>445</v>
      </c>
      <c r="C331">
        <v>6</v>
      </c>
      <c r="D331">
        <v>3</v>
      </c>
      <c r="E331">
        <v>5</v>
      </c>
      <c r="F331">
        <v>5</v>
      </c>
      <c r="G331">
        <v>2</v>
      </c>
      <c r="H331">
        <v>6</v>
      </c>
      <c r="I331">
        <v>56</v>
      </c>
      <c r="J331">
        <v>90</v>
      </c>
      <c r="K331">
        <v>35</v>
      </c>
      <c r="L331">
        <v>68</v>
      </c>
      <c r="M331">
        <v>48</v>
      </c>
      <c r="N331">
        <f t="shared" si="15"/>
        <v>29.700000000000003</v>
      </c>
      <c r="O331" cm="1">
        <f t="array" ref="O331">SUM(_xlfn.XLOOKUP(E331:H331, $U$13:$U$17, $T$13:$T$17))</f>
        <v>26</v>
      </c>
      <c r="P331">
        <f t="shared" si="16"/>
        <v>6</v>
      </c>
      <c r="Q331" s="1">
        <f t="shared" si="17"/>
        <v>1</v>
      </c>
    </row>
    <row r="332" spans="1:17" x14ac:dyDescent="0.25">
      <c r="A332" s="1" t="s">
        <v>465</v>
      </c>
      <c r="B332" s="1" t="s">
        <v>239</v>
      </c>
      <c r="C332">
        <v>4</v>
      </c>
      <c r="D332">
        <v>3</v>
      </c>
      <c r="E332">
        <v>6</v>
      </c>
      <c r="F332">
        <v>2</v>
      </c>
      <c r="G332">
        <v>3</v>
      </c>
      <c r="H332">
        <v>3</v>
      </c>
      <c r="I332">
        <v>7</v>
      </c>
      <c r="J332">
        <v>15</v>
      </c>
      <c r="K332">
        <v>62</v>
      </c>
      <c r="L332">
        <v>9</v>
      </c>
      <c r="M332">
        <v>43</v>
      </c>
      <c r="N332">
        <f t="shared" si="15"/>
        <v>13.600000000000001</v>
      </c>
      <c r="O332" cm="1">
        <f t="array" ref="O332">SUM(_xlfn.XLOOKUP(E332:H332, $U$13:$U$17, $T$13:$T$17))</f>
        <v>18</v>
      </c>
      <c r="P332">
        <f t="shared" si="16"/>
        <v>4</v>
      </c>
      <c r="Q332" s="1">
        <f t="shared" si="17"/>
        <v>1</v>
      </c>
    </row>
    <row r="333" spans="1:17" x14ac:dyDescent="0.25">
      <c r="A333" s="1" t="s">
        <v>466</v>
      </c>
      <c r="B333" s="1" t="s">
        <v>16</v>
      </c>
      <c r="C333">
        <v>3</v>
      </c>
      <c r="D333">
        <v>6</v>
      </c>
      <c r="E333">
        <v>6</v>
      </c>
      <c r="F333">
        <v>6</v>
      </c>
      <c r="G333">
        <v>4</v>
      </c>
      <c r="H333">
        <v>5</v>
      </c>
      <c r="I333">
        <v>27</v>
      </c>
      <c r="J333">
        <v>73</v>
      </c>
      <c r="K333">
        <v>63</v>
      </c>
      <c r="L333">
        <v>14</v>
      </c>
      <c r="M333">
        <v>72</v>
      </c>
      <c r="N333">
        <f t="shared" si="15"/>
        <v>24.9</v>
      </c>
      <c r="O333" cm="1">
        <f t="array" ref="O333">SUM(_xlfn.XLOOKUP(E333:H333, $U$13:$U$17, $T$13:$T$17))</f>
        <v>34</v>
      </c>
      <c r="P333">
        <f t="shared" si="16"/>
        <v>5</v>
      </c>
      <c r="Q333" s="1">
        <f t="shared" si="17"/>
        <v>1</v>
      </c>
    </row>
    <row r="334" spans="1:17" x14ac:dyDescent="0.25">
      <c r="A334" s="1" t="s">
        <v>467</v>
      </c>
      <c r="B334" s="1" t="s">
        <v>395</v>
      </c>
      <c r="C334">
        <v>1</v>
      </c>
      <c r="D334">
        <v>6</v>
      </c>
      <c r="E334">
        <v>5</v>
      </c>
      <c r="F334">
        <v>2</v>
      </c>
      <c r="G334">
        <v>2</v>
      </c>
      <c r="H334">
        <v>3</v>
      </c>
      <c r="I334">
        <v>70</v>
      </c>
      <c r="J334">
        <v>59</v>
      </c>
      <c r="K334">
        <v>15</v>
      </c>
      <c r="L334">
        <v>13</v>
      </c>
      <c r="M334">
        <v>66</v>
      </c>
      <c r="N334">
        <f t="shared" si="15"/>
        <v>22.3</v>
      </c>
      <c r="O334" cm="1">
        <f t="array" ref="O334">SUM(_xlfn.XLOOKUP(E334:H334, $U$13:$U$17, $T$13:$T$17))</f>
        <v>12</v>
      </c>
      <c r="P334">
        <f t="shared" si="16"/>
        <v>3</v>
      </c>
      <c r="Q334" s="1">
        <f t="shared" si="17"/>
        <v>0</v>
      </c>
    </row>
    <row r="335" spans="1:17" x14ac:dyDescent="0.25">
      <c r="A335" s="1" t="s">
        <v>468</v>
      </c>
      <c r="B335" s="1" t="s">
        <v>164</v>
      </c>
      <c r="C335">
        <v>5</v>
      </c>
      <c r="D335">
        <v>3</v>
      </c>
      <c r="E335">
        <v>5</v>
      </c>
      <c r="F335">
        <v>3</v>
      </c>
      <c r="G335">
        <v>5</v>
      </c>
      <c r="H335">
        <v>3</v>
      </c>
      <c r="I335">
        <v>52</v>
      </c>
      <c r="J335">
        <v>65</v>
      </c>
      <c r="K335">
        <v>48</v>
      </c>
      <c r="L335">
        <v>58</v>
      </c>
      <c r="M335">
        <v>48</v>
      </c>
      <c r="N335">
        <f t="shared" si="15"/>
        <v>27.1</v>
      </c>
      <c r="O335" cm="1">
        <f t="array" ref="O335">SUM(_xlfn.XLOOKUP(E335:H335, $U$13:$U$17, $T$13:$T$17))</f>
        <v>24</v>
      </c>
      <c r="P335">
        <f t="shared" si="16"/>
        <v>5</v>
      </c>
      <c r="Q335" s="1">
        <f t="shared" si="17"/>
        <v>1</v>
      </c>
    </row>
    <row r="336" spans="1:17" x14ac:dyDescent="0.25">
      <c r="A336" s="1" t="s">
        <v>469</v>
      </c>
      <c r="B336" s="1" t="s">
        <v>130</v>
      </c>
      <c r="C336">
        <v>5</v>
      </c>
      <c r="D336">
        <v>2</v>
      </c>
      <c r="E336">
        <v>2</v>
      </c>
      <c r="F336">
        <v>2</v>
      </c>
      <c r="G336">
        <v>4</v>
      </c>
      <c r="H336">
        <v>2</v>
      </c>
      <c r="I336">
        <v>27</v>
      </c>
      <c r="J336">
        <v>64</v>
      </c>
      <c r="K336">
        <v>22</v>
      </c>
      <c r="L336">
        <v>32</v>
      </c>
      <c r="M336">
        <v>91</v>
      </c>
      <c r="N336">
        <f t="shared" si="15"/>
        <v>23.6</v>
      </c>
      <c r="O336" cm="1">
        <f t="array" ref="O336">SUM(_xlfn.XLOOKUP(E336:H336, $U$13:$U$17, $T$13:$T$17))</f>
        <v>6</v>
      </c>
      <c r="P336">
        <f t="shared" si="16"/>
        <v>5</v>
      </c>
      <c r="Q336" s="1">
        <f t="shared" si="17"/>
        <v>0</v>
      </c>
    </row>
    <row r="337" spans="1:17" x14ac:dyDescent="0.25">
      <c r="A337" s="1" t="s">
        <v>470</v>
      </c>
      <c r="B337" s="1" t="s">
        <v>32</v>
      </c>
      <c r="C337">
        <v>1</v>
      </c>
      <c r="D337">
        <v>3</v>
      </c>
      <c r="E337">
        <v>3</v>
      </c>
      <c r="F337">
        <v>2</v>
      </c>
      <c r="G337">
        <v>5</v>
      </c>
      <c r="H337">
        <v>2</v>
      </c>
      <c r="I337">
        <v>84</v>
      </c>
      <c r="J337">
        <v>92</v>
      </c>
      <c r="K337">
        <v>92</v>
      </c>
      <c r="L337">
        <v>81</v>
      </c>
      <c r="M337">
        <v>68</v>
      </c>
      <c r="N337">
        <f t="shared" si="15"/>
        <v>41.699999999999996</v>
      </c>
      <c r="O337" cm="1">
        <f t="array" ref="O337">SUM(_xlfn.XLOOKUP(E337:H337, $U$13:$U$17, $T$13:$T$17))</f>
        <v>12</v>
      </c>
      <c r="P337">
        <f t="shared" si="16"/>
        <v>1</v>
      </c>
      <c r="Q337" s="1">
        <f t="shared" si="17"/>
        <v>0</v>
      </c>
    </row>
    <row r="338" spans="1:17" x14ac:dyDescent="0.25">
      <c r="A338" s="1" t="s">
        <v>471</v>
      </c>
      <c r="B338" s="1" t="s">
        <v>340</v>
      </c>
      <c r="C338">
        <v>4</v>
      </c>
      <c r="D338">
        <v>5</v>
      </c>
      <c r="E338">
        <v>4</v>
      </c>
      <c r="F338">
        <v>4</v>
      </c>
      <c r="G338">
        <v>2</v>
      </c>
      <c r="H338">
        <v>6</v>
      </c>
      <c r="I338">
        <v>75</v>
      </c>
      <c r="J338">
        <v>22</v>
      </c>
      <c r="K338">
        <v>91</v>
      </c>
      <c r="L338">
        <v>31</v>
      </c>
      <c r="M338">
        <v>93</v>
      </c>
      <c r="N338">
        <f t="shared" si="15"/>
        <v>31.2</v>
      </c>
      <c r="O338" cm="1">
        <f t="array" ref="O338">SUM(_xlfn.XLOOKUP(E338:H338, $U$13:$U$17, $T$13:$T$17))</f>
        <v>22</v>
      </c>
      <c r="P338">
        <f t="shared" si="16"/>
        <v>4</v>
      </c>
      <c r="Q338" s="1">
        <f t="shared" si="17"/>
        <v>0</v>
      </c>
    </row>
    <row r="339" spans="1:17" x14ac:dyDescent="0.25">
      <c r="A339" s="1" t="s">
        <v>472</v>
      </c>
      <c r="B339" s="1" t="s">
        <v>70</v>
      </c>
      <c r="C339">
        <v>2</v>
      </c>
      <c r="D339">
        <v>4</v>
      </c>
      <c r="E339">
        <v>4</v>
      </c>
      <c r="F339">
        <v>6</v>
      </c>
      <c r="G339">
        <v>5</v>
      </c>
      <c r="H339">
        <v>4</v>
      </c>
      <c r="I339">
        <v>35</v>
      </c>
      <c r="J339">
        <v>77</v>
      </c>
      <c r="K339">
        <v>81</v>
      </c>
      <c r="L339">
        <v>17</v>
      </c>
      <c r="M339">
        <v>27</v>
      </c>
      <c r="N339">
        <f t="shared" si="15"/>
        <v>23.699999999999996</v>
      </c>
      <c r="O339" cm="1">
        <f t="array" ref="O339">SUM(_xlfn.XLOOKUP(E339:H339, $U$13:$U$17, $T$13:$T$17))</f>
        <v>30</v>
      </c>
      <c r="P339">
        <f t="shared" si="16"/>
        <v>2</v>
      </c>
      <c r="Q339" s="1">
        <f t="shared" si="17"/>
        <v>1</v>
      </c>
    </row>
    <row r="340" spans="1:17" x14ac:dyDescent="0.25">
      <c r="A340" s="1" t="s">
        <v>473</v>
      </c>
      <c r="B340" s="1" t="s">
        <v>55</v>
      </c>
      <c r="C340">
        <v>7</v>
      </c>
      <c r="D340">
        <v>5</v>
      </c>
      <c r="E340">
        <v>4</v>
      </c>
      <c r="F340">
        <v>3</v>
      </c>
      <c r="G340">
        <v>3</v>
      </c>
      <c r="H340">
        <v>2</v>
      </c>
      <c r="I340">
        <v>2</v>
      </c>
      <c r="J340">
        <v>88</v>
      </c>
      <c r="K340">
        <v>61</v>
      </c>
      <c r="L340">
        <v>2</v>
      </c>
      <c r="M340">
        <v>49</v>
      </c>
      <c r="N340">
        <f t="shared" si="15"/>
        <v>20.2</v>
      </c>
      <c r="O340" cm="1">
        <f t="array" ref="O340">SUM(_xlfn.XLOOKUP(E340:H340, $U$13:$U$17, $T$13:$T$17))</f>
        <v>14</v>
      </c>
      <c r="P340">
        <f t="shared" si="16"/>
        <v>7</v>
      </c>
      <c r="Q340" s="1">
        <f t="shared" si="17"/>
        <v>1</v>
      </c>
    </row>
    <row r="341" spans="1:17" x14ac:dyDescent="0.25">
      <c r="A341" s="1" t="s">
        <v>474</v>
      </c>
      <c r="B341" s="1" t="s">
        <v>197</v>
      </c>
      <c r="C341">
        <v>7</v>
      </c>
      <c r="D341">
        <v>6</v>
      </c>
      <c r="E341">
        <v>5</v>
      </c>
      <c r="F341">
        <v>3</v>
      </c>
      <c r="G341">
        <v>3</v>
      </c>
      <c r="H341">
        <v>3</v>
      </c>
      <c r="I341">
        <v>71</v>
      </c>
      <c r="J341">
        <v>55</v>
      </c>
      <c r="K341">
        <v>33</v>
      </c>
      <c r="L341">
        <v>97</v>
      </c>
      <c r="M341">
        <v>73</v>
      </c>
      <c r="N341">
        <f t="shared" si="15"/>
        <v>32.9</v>
      </c>
      <c r="O341" cm="1">
        <f t="array" ref="O341">SUM(_xlfn.XLOOKUP(E341:H341, $U$13:$U$17, $T$13:$T$17))</f>
        <v>20</v>
      </c>
      <c r="P341">
        <f t="shared" si="16"/>
        <v>9</v>
      </c>
      <c r="Q341" s="1">
        <f t="shared" si="17"/>
        <v>0</v>
      </c>
    </row>
    <row r="342" spans="1:17" x14ac:dyDescent="0.25">
      <c r="A342" s="1" t="s">
        <v>475</v>
      </c>
      <c r="B342" s="1" t="s">
        <v>232</v>
      </c>
      <c r="C342">
        <v>5</v>
      </c>
      <c r="D342">
        <v>5</v>
      </c>
      <c r="E342">
        <v>6</v>
      </c>
      <c r="F342">
        <v>4</v>
      </c>
      <c r="G342">
        <v>5</v>
      </c>
      <c r="H342">
        <v>5</v>
      </c>
      <c r="I342">
        <v>53</v>
      </c>
      <c r="J342">
        <v>97</v>
      </c>
      <c r="K342">
        <v>28</v>
      </c>
      <c r="L342">
        <v>88</v>
      </c>
      <c r="M342">
        <v>87</v>
      </c>
      <c r="N342">
        <f t="shared" si="15"/>
        <v>35.299999999999997</v>
      </c>
      <c r="O342" cm="1">
        <f t="array" ref="O342">SUM(_xlfn.XLOOKUP(E342:H342, $U$13:$U$17, $T$13:$T$17))</f>
        <v>32</v>
      </c>
      <c r="P342">
        <f t="shared" si="16"/>
        <v>5</v>
      </c>
      <c r="Q342" s="1">
        <f t="shared" si="17"/>
        <v>1</v>
      </c>
    </row>
    <row r="343" spans="1:17" x14ac:dyDescent="0.25">
      <c r="A343" s="1" t="s">
        <v>476</v>
      </c>
      <c r="B343" s="1" t="s">
        <v>477</v>
      </c>
      <c r="C343">
        <v>0</v>
      </c>
      <c r="D343">
        <v>5</v>
      </c>
      <c r="E343">
        <v>5</v>
      </c>
      <c r="F343">
        <v>3</v>
      </c>
      <c r="G343">
        <v>4</v>
      </c>
      <c r="H343">
        <v>4</v>
      </c>
      <c r="I343">
        <v>73</v>
      </c>
      <c r="J343">
        <v>67</v>
      </c>
      <c r="K343">
        <v>18</v>
      </c>
      <c r="L343">
        <v>84</v>
      </c>
      <c r="M343">
        <v>75</v>
      </c>
      <c r="N343">
        <f t="shared" si="15"/>
        <v>31.700000000000003</v>
      </c>
      <c r="O343" cm="1">
        <f t="array" ref="O343">SUM(_xlfn.XLOOKUP(E343:H343, $U$13:$U$17, $T$13:$T$17))</f>
        <v>24</v>
      </c>
      <c r="P343">
        <f t="shared" si="16"/>
        <v>0</v>
      </c>
      <c r="Q343" s="1">
        <f t="shared" si="17"/>
        <v>0</v>
      </c>
    </row>
    <row r="344" spans="1:17" x14ac:dyDescent="0.25">
      <c r="A344" s="1" t="s">
        <v>478</v>
      </c>
      <c r="B344" s="1" t="s">
        <v>101</v>
      </c>
      <c r="C344">
        <v>3</v>
      </c>
      <c r="D344">
        <v>6</v>
      </c>
      <c r="E344">
        <v>2</v>
      </c>
      <c r="F344">
        <v>2</v>
      </c>
      <c r="G344">
        <v>5</v>
      </c>
      <c r="H344">
        <v>2</v>
      </c>
      <c r="I344">
        <v>97</v>
      </c>
      <c r="J344">
        <v>40</v>
      </c>
      <c r="K344">
        <v>41</v>
      </c>
      <c r="L344">
        <v>46</v>
      </c>
      <c r="M344">
        <v>59</v>
      </c>
      <c r="N344">
        <f t="shared" si="15"/>
        <v>28.299999999999997</v>
      </c>
      <c r="O344" cm="1">
        <f t="array" ref="O344">SUM(_xlfn.XLOOKUP(E344:H344, $U$13:$U$17, $T$13:$T$17))</f>
        <v>8</v>
      </c>
      <c r="P344">
        <f t="shared" si="16"/>
        <v>5</v>
      </c>
      <c r="Q344" s="1">
        <f t="shared" si="17"/>
        <v>0</v>
      </c>
    </row>
    <row r="345" spans="1:17" x14ac:dyDescent="0.25">
      <c r="A345" s="1" t="s">
        <v>479</v>
      </c>
      <c r="B345" s="1" t="s">
        <v>30</v>
      </c>
      <c r="C345">
        <v>7</v>
      </c>
      <c r="D345">
        <v>4</v>
      </c>
      <c r="E345">
        <v>4</v>
      </c>
      <c r="F345">
        <v>6</v>
      </c>
      <c r="G345">
        <v>5</v>
      </c>
      <c r="H345">
        <v>5</v>
      </c>
      <c r="I345">
        <v>10</v>
      </c>
      <c r="J345">
        <v>32</v>
      </c>
      <c r="K345">
        <v>73</v>
      </c>
      <c r="L345">
        <v>96</v>
      </c>
      <c r="M345">
        <v>29</v>
      </c>
      <c r="N345">
        <f t="shared" si="15"/>
        <v>24</v>
      </c>
      <c r="O345" cm="1">
        <f t="array" ref="O345">SUM(_xlfn.XLOOKUP(E345:H345, $U$13:$U$17, $T$13:$T$17))</f>
        <v>32</v>
      </c>
      <c r="P345">
        <f t="shared" si="16"/>
        <v>7</v>
      </c>
      <c r="Q345" s="1">
        <f t="shared" si="17"/>
        <v>1</v>
      </c>
    </row>
    <row r="346" spans="1:17" x14ac:dyDescent="0.25">
      <c r="A346" s="1" t="s">
        <v>480</v>
      </c>
      <c r="B346" s="1" t="s">
        <v>477</v>
      </c>
      <c r="C346">
        <v>3</v>
      </c>
      <c r="D346">
        <v>2</v>
      </c>
      <c r="E346">
        <v>5</v>
      </c>
      <c r="F346">
        <v>5</v>
      </c>
      <c r="G346">
        <v>4</v>
      </c>
      <c r="H346">
        <v>5</v>
      </c>
      <c r="I346">
        <v>91</v>
      </c>
      <c r="J346">
        <v>53</v>
      </c>
      <c r="K346">
        <v>13</v>
      </c>
      <c r="L346">
        <v>58</v>
      </c>
      <c r="M346">
        <v>75</v>
      </c>
      <c r="N346">
        <f t="shared" si="15"/>
        <v>29</v>
      </c>
      <c r="O346" cm="1">
        <f t="array" ref="O346">SUM(_xlfn.XLOOKUP(E346:H346, $U$13:$U$17, $T$13:$T$17))</f>
        <v>30</v>
      </c>
      <c r="P346">
        <f t="shared" si="16"/>
        <v>3</v>
      </c>
      <c r="Q346" s="1">
        <f t="shared" si="17"/>
        <v>1</v>
      </c>
    </row>
    <row r="347" spans="1:17" x14ac:dyDescent="0.25">
      <c r="A347" s="1" t="s">
        <v>481</v>
      </c>
      <c r="B347" s="1" t="s">
        <v>61</v>
      </c>
      <c r="C347">
        <v>5</v>
      </c>
      <c r="D347">
        <v>4</v>
      </c>
      <c r="E347">
        <v>6</v>
      </c>
      <c r="F347">
        <v>5</v>
      </c>
      <c r="G347">
        <v>2</v>
      </c>
      <c r="H347">
        <v>3</v>
      </c>
      <c r="I347">
        <v>21</v>
      </c>
      <c r="J347">
        <v>48</v>
      </c>
      <c r="K347">
        <v>45</v>
      </c>
      <c r="L347">
        <v>1</v>
      </c>
      <c r="M347">
        <v>51</v>
      </c>
      <c r="N347">
        <f t="shared" si="15"/>
        <v>16.600000000000001</v>
      </c>
      <c r="O347" cm="1">
        <f t="array" ref="O347">SUM(_xlfn.XLOOKUP(E347:H347, $U$13:$U$17, $T$13:$T$17))</f>
        <v>22</v>
      </c>
      <c r="P347">
        <f t="shared" si="16"/>
        <v>5</v>
      </c>
      <c r="Q347" s="1">
        <f t="shared" si="17"/>
        <v>1</v>
      </c>
    </row>
    <row r="348" spans="1:17" x14ac:dyDescent="0.25">
      <c r="A348" s="1" t="s">
        <v>482</v>
      </c>
      <c r="B348" s="1" t="s">
        <v>311</v>
      </c>
      <c r="C348">
        <v>2</v>
      </c>
      <c r="D348">
        <v>2</v>
      </c>
      <c r="E348">
        <v>5</v>
      </c>
      <c r="F348">
        <v>2</v>
      </c>
      <c r="G348">
        <v>4</v>
      </c>
      <c r="H348">
        <v>4</v>
      </c>
      <c r="I348">
        <v>83</v>
      </c>
      <c r="J348">
        <v>28</v>
      </c>
      <c r="K348">
        <v>43</v>
      </c>
      <c r="L348">
        <v>19</v>
      </c>
      <c r="M348">
        <v>83</v>
      </c>
      <c r="N348">
        <f t="shared" si="15"/>
        <v>25.6</v>
      </c>
      <c r="O348" cm="1">
        <f t="array" ref="O348">SUM(_xlfn.XLOOKUP(E348:H348, $U$13:$U$17, $T$13:$T$17))</f>
        <v>20</v>
      </c>
      <c r="P348">
        <f t="shared" si="16"/>
        <v>2</v>
      </c>
      <c r="Q348" s="1">
        <f t="shared" si="17"/>
        <v>0</v>
      </c>
    </row>
    <row r="349" spans="1:17" x14ac:dyDescent="0.25">
      <c r="A349" s="1" t="s">
        <v>483</v>
      </c>
      <c r="B349" s="1" t="s">
        <v>133</v>
      </c>
      <c r="C349">
        <v>2</v>
      </c>
      <c r="D349">
        <v>4</v>
      </c>
      <c r="E349">
        <v>4</v>
      </c>
      <c r="F349">
        <v>3</v>
      </c>
      <c r="G349">
        <v>3</v>
      </c>
      <c r="H349">
        <v>6</v>
      </c>
      <c r="I349">
        <v>97</v>
      </c>
      <c r="J349">
        <v>80</v>
      </c>
      <c r="K349">
        <v>54</v>
      </c>
      <c r="L349">
        <v>78</v>
      </c>
      <c r="M349">
        <v>43</v>
      </c>
      <c r="N349">
        <f t="shared" si="15"/>
        <v>35.200000000000003</v>
      </c>
      <c r="O349" cm="1">
        <f t="array" ref="O349">SUM(_xlfn.XLOOKUP(E349:H349, $U$13:$U$17, $T$13:$T$17))</f>
        <v>24</v>
      </c>
      <c r="P349">
        <f t="shared" si="16"/>
        <v>2</v>
      </c>
      <c r="Q349" s="1">
        <f t="shared" si="17"/>
        <v>0</v>
      </c>
    </row>
    <row r="350" spans="1:17" x14ac:dyDescent="0.25">
      <c r="A350" s="1" t="s">
        <v>484</v>
      </c>
      <c r="B350" s="1" t="s">
        <v>101</v>
      </c>
      <c r="C350">
        <v>2</v>
      </c>
      <c r="D350">
        <v>5</v>
      </c>
      <c r="E350">
        <v>2</v>
      </c>
      <c r="F350">
        <v>3</v>
      </c>
      <c r="G350">
        <v>5</v>
      </c>
      <c r="H350">
        <v>2</v>
      </c>
      <c r="I350">
        <v>26</v>
      </c>
      <c r="J350">
        <v>31</v>
      </c>
      <c r="K350">
        <v>88</v>
      </c>
      <c r="L350">
        <v>98</v>
      </c>
      <c r="M350">
        <v>45</v>
      </c>
      <c r="N350">
        <f t="shared" si="15"/>
        <v>28.8</v>
      </c>
      <c r="O350" cm="1">
        <f t="array" ref="O350">SUM(_xlfn.XLOOKUP(E350:H350, $U$13:$U$17, $T$13:$T$17))</f>
        <v>12</v>
      </c>
      <c r="P350">
        <f t="shared" si="16"/>
        <v>2</v>
      </c>
      <c r="Q350" s="1">
        <f t="shared" si="17"/>
        <v>0</v>
      </c>
    </row>
    <row r="351" spans="1:17" x14ac:dyDescent="0.25">
      <c r="A351" s="1" t="s">
        <v>485</v>
      </c>
      <c r="B351" s="1" t="s">
        <v>58</v>
      </c>
      <c r="C351">
        <v>7</v>
      </c>
      <c r="D351">
        <v>6</v>
      </c>
      <c r="E351">
        <v>4</v>
      </c>
      <c r="F351">
        <v>5</v>
      </c>
      <c r="G351">
        <v>4</v>
      </c>
      <c r="H351">
        <v>3</v>
      </c>
      <c r="I351">
        <v>17</v>
      </c>
      <c r="J351">
        <v>54</v>
      </c>
      <c r="K351">
        <v>78</v>
      </c>
      <c r="L351">
        <v>68</v>
      </c>
      <c r="M351">
        <v>41</v>
      </c>
      <c r="N351">
        <f t="shared" si="15"/>
        <v>25.799999999999997</v>
      </c>
      <c r="O351" cm="1">
        <f t="array" ref="O351">SUM(_xlfn.XLOOKUP(E351:H351, $U$13:$U$17, $T$13:$T$17))</f>
        <v>24</v>
      </c>
      <c r="P351">
        <f t="shared" si="16"/>
        <v>9</v>
      </c>
      <c r="Q351" s="1">
        <f t="shared" si="17"/>
        <v>1</v>
      </c>
    </row>
    <row r="352" spans="1:17" x14ac:dyDescent="0.25">
      <c r="A352" s="1" t="s">
        <v>486</v>
      </c>
      <c r="B352" s="1" t="s">
        <v>70</v>
      </c>
      <c r="C352">
        <v>0</v>
      </c>
      <c r="D352">
        <v>2</v>
      </c>
      <c r="E352">
        <v>5</v>
      </c>
      <c r="F352">
        <v>3</v>
      </c>
      <c r="G352">
        <v>6</v>
      </c>
      <c r="H352">
        <v>6</v>
      </c>
      <c r="I352">
        <v>5</v>
      </c>
      <c r="J352">
        <v>93</v>
      </c>
      <c r="K352">
        <v>4</v>
      </c>
      <c r="L352">
        <v>59</v>
      </c>
      <c r="M352">
        <v>71</v>
      </c>
      <c r="N352">
        <f t="shared" si="15"/>
        <v>23.200000000000003</v>
      </c>
      <c r="O352" cm="1">
        <f t="array" ref="O352">SUM(_xlfn.XLOOKUP(E352:H352, $U$13:$U$17, $T$13:$T$17))</f>
        <v>32</v>
      </c>
      <c r="P352">
        <f t="shared" si="16"/>
        <v>0</v>
      </c>
      <c r="Q352" s="1">
        <f t="shared" si="17"/>
        <v>1</v>
      </c>
    </row>
    <row r="353" spans="1:17" x14ac:dyDescent="0.25">
      <c r="A353" s="1" t="s">
        <v>487</v>
      </c>
      <c r="B353" s="1" t="s">
        <v>76</v>
      </c>
      <c r="C353">
        <v>3</v>
      </c>
      <c r="D353">
        <v>5</v>
      </c>
      <c r="E353">
        <v>3</v>
      </c>
      <c r="F353">
        <v>3</v>
      </c>
      <c r="G353">
        <v>6</v>
      </c>
      <c r="H353">
        <v>4</v>
      </c>
      <c r="I353">
        <v>78</v>
      </c>
      <c r="J353">
        <v>80</v>
      </c>
      <c r="K353">
        <v>56</v>
      </c>
      <c r="L353">
        <v>31</v>
      </c>
      <c r="M353">
        <v>81</v>
      </c>
      <c r="N353">
        <f t="shared" si="15"/>
        <v>32.6</v>
      </c>
      <c r="O353" cm="1">
        <f t="array" ref="O353">SUM(_xlfn.XLOOKUP(E353:H353, $U$13:$U$17, $T$13:$T$17))</f>
        <v>24</v>
      </c>
      <c r="P353">
        <f t="shared" si="16"/>
        <v>3</v>
      </c>
      <c r="Q353" s="1">
        <f t="shared" si="17"/>
        <v>0</v>
      </c>
    </row>
    <row r="354" spans="1:17" x14ac:dyDescent="0.25">
      <c r="A354" s="1" t="s">
        <v>488</v>
      </c>
      <c r="B354" s="1" t="s">
        <v>489</v>
      </c>
      <c r="C354">
        <v>6</v>
      </c>
      <c r="D354">
        <v>6</v>
      </c>
      <c r="E354">
        <v>6</v>
      </c>
      <c r="F354">
        <v>4</v>
      </c>
      <c r="G354">
        <v>6</v>
      </c>
      <c r="H354">
        <v>4</v>
      </c>
      <c r="I354">
        <v>64</v>
      </c>
      <c r="J354">
        <v>18</v>
      </c>
      <c r="K354">
        <v>23</v>
      </c>
      <c r="L354">
        <v>81</v>
      </c>
      <c r="M354">
        <v>18</v>
      </c>
      <c r="N354">
        <f t="shared" si="15"/>
        <v>20.400000000000002</v>
      </c>
      <c r="O354" cm="1">
        <f t="array" ref="O354">SUM(_xlfn.XLOOKUP(E354:H354, $U$13:$U$17, $T$13:$T$17))</f>
        <v>32</v>
      </c>
      <c r="P354">
        <f t="shared" si="16"/>
        <v>8</v>
      </c>
      <c r="Q354" s="1">
        <f t="shared" si="17"/>
        <v>1</v>
      </c>
    </row>
    <row r="355" spans="1:17" x14ac:dyDescent="0.25">
      <c r="A355" s="1" t="s">
        <v>490</v>
      </c>
      <c r="B355" s="1" t="s">
        <v>38</v>
      </c>
      <c r="C355">
        <v>2</v>
      </c>
      <c r="D355">
        <v>4</v>
      </c>
      <c r="E355">
        <v>3</v>
      </c>
      <c r="F355">
        <v>5</v>
      </c>
      <c r="G355">
        <v>2</v>
      </c>
      <c r="H355">
        <v>3</v>
      </c>
      <c r="I355">
        <v>96</v>
      </c>
      <c r="J355">
        <v>32</v>
      </c>
      <c r="K355">
        <v>73</v>
      </c>
      <c r="L355">
        <v>7</v>
      </c>
      <c r="M355">
        <v>74</v>
      </c>
      <c r="N355">
        <f t="shared" si="15"/>
        <v>28.200000000000003</v>
      </c>
      <c r="O355" cm="1">
        <f t="array" ref="O355">SUM(_xlfn.XLOOKUP(E355:H355, $U$13:$U$17, $T$13:$T$17))</f>
        <v>16</v>
      </c>
      <c r="P355">
        <f t="shared" si="16"/>
        <v>2</v>
      </c>
      <c r="Q355" s="1">
        <f t="shared" si="17"/>
        <v>0</v>
      </c>
    </row>
    <row r="356" spans="1:17" x14ac:dyDescent="0.25">
      <c r="A356" s="1" t="s">
        <v>491</v>
      </c>
      <c r="B356" s="1" t="s">
        <v>340</v>
      </c>
      <c r="C356">
        <v>6</v>
      </c>
      <c r="D356">
        <v>6</v>
      </c>
      <c r="E356">
        <v>5</v>
      </c>
      <c r="F356">
        <v>5</v>
      </c>
      <c r="G356">
        <v>3</v>
      </c>
      <c r="H356">
        <v>6</v>
      </c>
      <c r="I356">
        <v>85</v>
      </c>
      <c r="J356">
        <v>35</v>
      </c>
      <c r="K356">
        <v>70</v>
      </c>
      <c r="L356">
        <v>99</v>
      </c>
      <c r="M356">
        <v>85</v>
      </c>
      <c r="N356">
        <f t="shared" si="15"/>
        <v>37.4</v>
      </c>
      <c r="O356" cm="1">
        <f t="array" ref="O356">SUM(_xlfn.XLOOKUP(E356:H356, $U$13:$U$17, $T$13:$T$17))</f>
        <v>30</v>
      </c>
      <c r="P356">
        <f t="shared" si="16"/>
        <v>8</v>
      </c>
      <c r="Q356" s="1">
        <f t="shared" si="17"/>
        <v>1</v>
      </c>
    </row>
    <row r="357" spans="1:17" x14ac:dyDescent="0.25">
      <c r="A357" s="1" t="s">
        <v>492</v>
      </c>
      <c r="B357" s="1" t="s">
        <v>90</v>
      </c>
      <c r="C357">
        <v>4</v>
      </c>
      <c r="D357">
        <v>2</v>
      </c>
      <c r="E357">
        <v>4</v>
      </c>
      <c r="F357">
        <v>5</v>
      </c>
      <c r="G357">
        <v>4</v>
      </c>
      <c r="H357">
        <v>2</v>
      </c>
      <c r="I357">
        <v>17</v>
      </c>
      <c r="J357">
        <v>17</v>
      </c>
      <c r="K357">
        <v>92</v>
      </c>
      <c r="L357">
        <v>6</v>
      </c>
      <c r="M357">
        <v>64</v>
      </c>
      <c r="N357">
        <f t="shared" si="15"/>
        <v>19.600000000000001</v>
      </c>
      <c r="O357" cm="1">
        <f t="array" ref="O357">SUM(_xlfn.XLOOKUP(E357:H357, $U$13:$U$17, $T$13:$T$17))</f>
        <v>20</v>
      </c>
      <c r="P357">
        <f t="shared" si="16"/>
        <v>4</v>
      </c>
      <c r="Q357" s="1">
        <f t="shared" si="17"/>
        <v>1</v>
      </c>
    </row>
    <row r="358" spans="1:17" x14ac:dyDescent="0.25">
      <c r="A358" s="1" t="s">
        <v>493</v>
      </c>
      <c r="B358" s="1" t="s">
        <v>180</v>
      </c>
      <c r="C358">
        <v>4</v>
      </c>
      <c r="D358">
        <v>2</v>
      </c>
      <c r="E358">
        <v>4</v>
      </c>
      <c r="F358">
        <v>2</v>
      </c>
      <c r="G358">
        <v>5</v>
      </c>
      <c r="H358">
        <v>4</v>
      </c>
      <c r="I358">
        <v>62</v>
      </c>
      <c r="J358">
        <v>3</v>
      </c>
      <c r="K358">
        <v>84</v>
      </c>
      <c r="L358">
        <v>48</v>
      </c>
      <c r="M358">
        <v>94</v>
      </c>
      <c r="N358">
        <f t="shared" si="15"/>
        <v>29.1</v>
      </c>
      <c r="O358" cm="1">
        <f t="array" ref="O358">SUM(_xlfn.XLOOKUP(E358:H358, $U$13:$U$17, $T$13:$T$17))</f>
        <v>20</v>
      </c>
      <c r="P358">
        <f t="shared" si="16"/>
        <v>4</v>
      </c>
      <c r="Q358" s="1">
        <f t="shared" si="17"/>
        <v>0</v>
      </c>
    </row>
    <row r="359" spans="1:17" x14ac:dyDescent="0.25">
      <c r="A359" s="1" t="s">
        <v>494</v>
      </c>
      <c r="B359" s="1" t="s">
        <v>495</v>
      </c>
      <c r="C359">
        <v>4</v>
      </c>
      <c r="D359">
        <v>5</v>
      </c>
      <c r="E359">
        <v>5</v>
      </c>
      <c r="F359">
        <v>6</v>
      </c>
      <c r="G359">
        <v>2</v>
      </c>
      <c r="H359">
        <v>3</v>
      </c>
      <c r="I359">
        <v>35</v>
      </c>
      <c r="J359">
        <v>49</v>
      </c>
      <c r="K359">
        <v>59</v>
      </c>
      <c r="L359">
        <v>44</v>
      </c>
      <c r="M359">
        <v>68</v>
      </c>
      <c r="N359">
        <f t="shared" si="15"/>
        <v>25.500000000000004</v>
      </c>
      <c r="O359" cm="1">
        <f t="array" ref="O359">SUM(_xlfn.XLOOKUP(E359:H359, $U$13:$U$17, $T$13:$T$17))</f>
        <v>22</v>
      </c>
      <c r="P359">
        <f t="shared" si="16"/>
        <v>4</v>
      </c>
      <c r="Q359" s="1">
        <f t="shared" si="17"/>
        <v>1</v>
      </c>
    </row>
    <row r="360" spans="1:17" x14ac:dyDescent="0.25">
      <c r="A360" s="1" t="s">
        <v>496</v>
      </c>
      <c r="B360" s="1" t="s">
        <v>369</v>
      </c>
      <c r="C360">
        <v>7</v>
      </c>
      <c r="D360">
        <v>3</v>
      </c>
      <c r="E360">
        <v>6</v>
      </c>
      <c r="F360">
        <v>2</v>
      </c>
      <c r="G360">
        <v>6</v>
      </c>
      <c r="H360">
        <v>5</v>
      </c>
      <c r="I360">
        <v>20</v>
      </c>
      <c r="J360">
        <v>58</v>
      </c>
      <c r="K360">
        <v>93</v>
      </c>
      <c r="L360">
        <v>53</v>
      </c>
      <c r="M360">
        <v>35</v>
      </c>
      <c r="N360">
        <f t="shared" si="15"/>
        <v>25.900000000000002</v>
      </c>
      <c r="O360" cm="1">
        <f t="array" ref="O360">SUM(_xlfn.XLOOKUP(E360:H360, $U$13:$U$17, $T$13:$T$17))</f>
        <v>28</v>
      </c>
      <c r="P360">
        <f t="shared" si="16"/>
        <v>7</v>
      </c>
      <c r="Q360" s="1">
        <f t="shared" si="17"/>
        <v>1</v>
      </c>
    </row>
    <row r="361" spans="1:17" x14ac:dyDescent="0.25">
      <c r="A361" s="1" t="s">
        <v>497</v>
      </c>
      <c r="B361" s="1" t="s">
        <v>498</v>
      </c>
      <c r="C361">
        <v>5</v>
      </c>
      <c r="D361">
        <v>6</v>
      </c>
      <c r="E361">
        <v>2</v>
      </c>
      <c r="F361">
        <v>3</v>
      </c>
      <c r="G361">
        <v>4</v>
      </c>
      <c r="H361">
        <v>3</v>
      </c>
      <c r="I361">
        <v>2</v>
      </c>
      <c r="J361">
        <v>97</v>
      </c>
      <c r="K361">
        <v>14</v>
      </c>
      <c r="L361">
        <v>81</v>
      </c>
      <c r="M361">
        <v>38</v>
      </c>
      <c r="N361">
        <f t="shared" si="15"/>
        <v>23.2</v>
      </c>
      <c r="O361" cm="1">
        <f t="array" ref="O361">SUM(_xlfn.XLOOKUP(E361:H361, $U$13:$U$17, $T$13:$T$17))</f>
        <v>14</v>
      </c>
      <c r="P361">
        <f t="shared" si="16"/>
        <v>7</v>
      </c>
      <c r="Q361" s="1">
        <f t="shared" si="17"/>
        <v>0</v>
      </c>
    </row>
    <row r="362" spans="1:17" x14ac:dyDescent="0.25">
      <c r="A362" s="1" t="s">
        <v>499</v>
      </c>
      <c r="B362" s="1" t="s">
        <v>498</v>
      </c>
      <c r="C362">
        <v>4</v>
      </c>
      <c r="D362">
        <v>6</v>
      </c>
      <c r="E362">
        <v>2</v>
      </c>
      <c r="F362">
        <v>6</v>
      </c>
      <c r="G362">
        <v>4</v>
      </c>
      <c r="H362">
        <v>5</v>
      </c>
      <c r="I362">
        <v>98</v>
      </c>
      <c r="J362">
        <v>42</v>
      </c>
      <c r="K362">
        <v>49</v>
      </c>
      <c r="L362">
        <v>83</v>
      </c>
      <c r="M362">
        <v>32</v>
      </c>
      <c r="N362">
        <f t="shared" si="15"/>
        <v>30.4</v>
      </c>
      <c r="O362" cm="1">
        <f t="array" ref="O362">SUM(_xlfn.XLOOKUP(E362:H362, $U$13:$U$17, $T$13:$T$17))</f>
        <v>24</v>
      </c>
      <c r="P362">
        <f t="shared" si="16"/>
        <v>6</v>
      </c>
      <c r="Q362" s="1">
        <f t="shared" si="17"/>
        <v>0</v>
      </c>
    </row>
    <row r="363" spans="1:17" x14ac:dyDescent="0.25">
      <c r="A363" s="1" t="s">
        <v>500</v>
      </c>
      <c r="B363" s="1" t="s">
        <v>121</v>
      </c>
      <c r="C363">
        <v>7</v>
      </c>
      <c r="D363">
        <v>5</v>
      </c>
      <c r="E363">
        <v>5</v>
      </c>
      <c r="F363">
        <v>4</v>
      </c>
      <c r="G363">
        <v>5</v>
      </c>
      <c r="H363">
        <v>6</v>
      </c>
      <c r="I363">
        <v>97</v>
      </c>
      <c r="J363">
        <v>45</v>
      </c>
      <c r="K363">
        <v>42</v>
      </c>
      <c r="L363">
        <v>25</v>
      </c>
      <c r="M363">
        <v>51</v>
      </c>
      <c r="N363">
        <f t="shared" si="15"/>
        <v>26</v>
      </c>
      <c r="O363" cm="1">
        <f t="array" ref="O363">SUM(_xlfn.XLOOKUP(E363:H363, $U$13:$U$17, $T$13:$T$17))</f>
        <v>32</v>
      </c>
      <c r="P363">
        <f t="shared" si="16"/>
        <v>7</v>
      </c>
      <c r="Q363" s="1">
        <f t="shared" si="17"/>
        <v>1</v>
      </c>
    </row>
    <row r="364" spans="1:17" x14ac:dyDescent="0.25">
      <c r="A364" s="1" t="s">
        <v>501</v>
      </c>
      <c r="B364" s="1" t="s">
        <v>18</v>
      </c>
      <c r="C364">
        <v>8</v>
      </c>
      <c r="D364">
        <v>3</v>
      </c>
      <c r="E364">
        <v>2</v>
      </c>
      <c r="F364">
        <v>2</v>
      </c>
      <c r="G364">
        <v>4</v>
      </c>
      <c r="H364">
        <v>2</v>
      </c>
      <c r="I364">
        <v>54</v>
      </c>
      <c r="J364">
        <v>48</v>
      </c>
      <c r="K364">
        <v>35</v>
      </c>
      <c r="L364">
        <v>28</v>
      </c>
      <c r="M364">
        <v>35</v>
      </c>
      <c r="N364">
        <f t="shared" si="15"/>
        <v>20</v>
      </c>
      <c r="O364" cm="1">
        <f t="array" ref="O364">SUM(_xlfn.XLOOKUP(E364:H364, $U$13:$U$17, $T$13:$T$17))</f>
        <v>6</v>
      </c>
      <c r="P364">
        <f t="shared" si="16"/>
        <v>8</v>
      </c>
      <c r="Q364" s="1">
        <f t="shared" si="17"/>
        <v>0</v>
      </c>
    </row>
    <row r="365" spans="1:17" x14ac:dyDescent="0.25">
      <c r="A365" s="1" t="s">
        <v>502</v>
      </c>
      <c r="B365" s="1" t="s">
        <v>503</v>
      </c>
      <c r="C365">
        <v>5</v>
      </c>
      <c r="D365">
        <v>2</v>
      </c>
      <c r="E365">
        <v>6</v>
      </c>
      <c r="F365">
        <v>3</v>
      </c>
      <c r="G365">
        <v>2</v>
      </c>
      <c r="H365">
        <v>5</v>
      </c>
      <c r="I365">
        <v>35</v>
      </c>
      <c r="J365">
        <v>56</v>
      </c>
      <c r="K365">
        <v>6</v>
      </c>
      <c r="L365">
        <v>84</v>
      </c>
      <c r="M365">
        <v>54</v>
      </c>
      <c r="N365">
        <f t="shared" si="15"/>
        <v>23.5</v>
      </c>
      <c r="O365" cm="1">
        <f t="array" ref="O365">SUM(_xlfn.XLOOKUP(E365:H365, $U$13:$U$17, $T$13:$T$17))</f>
        <v>22</v>
      </c>
      <c r="P365">
        <f t="shared" si="16"/>
        <v>5</v>
      </c>
      <c r="Q365" s="1">
        <f t="shared" si="17"/>
        <v>1</v>
      </c>
    </row>
    <row r="366" spans="1:17" x14ac:dyDescent="0.25">
      <c r="A366" s="1" t="s">
        <v>504</v>
      </c>
      <c r="B366" s="1" t="s">
        <v>367</v>
      </c>
      <c r="C366">
        <v>0</v>
      </c>
      <c r="D366">
        <v>2</v>
      </c>
      <c r="E366">
        <v>5</v>
      </c>
      <c r="F366">
        <v>6</v>
      </c>
      <c r="G366">
        <v>6</v>
      </c>
      <c r="H366">
        <v>3</v>
      </c>
      <c r="I366">
        <v>36</v>
      </c>
      <c r="J366">
        <v>94</v>
      </c>
      <c r="K366">
        <v>52</v>
      </c>
      <c r="L366">
        <v>50</v>
      </c>
      <c r="M366">
        <v>57</v>
      </c>
      <c r="N366">
        <f t="shared" si="15"/>
        <v>28.9</v>
      </c>
      <c r="O366" cm="1">
        <f t="array" ref="O366">SUM(_xlfn.XLOOKUP(E366:H366, $U$13:$U$17, $T$13:$T$17))</f>
        <v>32</v>
      </c>
      <c r="P366">
        <f t="shared" si="16"/>
        <v>0</v>
      </c>
      <c r="Q366" s="1">
        <f t="shared" si="17"/>
        <v>1</v>
      </c>
    </row>
    <row r="367" spans="1:17" x14ac:dyDescent="0.25">
      <c r="A367" s="1" t="s">
        <v>505</v>
      </c>
      <c r="B367" s="1" t="s">
        <v>506</v>
      </c>
      <c r="C367">
        <v>2</v>
      </c>
      <c r="D367">
        <v>3</v>
      </c>
      <c r="E367">
        <v>2</v>
      </c>
      <c r="F367">
        <v>2</v>
      </c>
      <c r="G367">
        <v>5</v>
      </c>
      <c r="H367">
        <v>6</v>
      </c>
      <c r="I367">
        <v>100</v>
      </c>
      <c r="J367">
        <v>48</v>
      </c>
      <c r="K367">
        <v>88</v>
      </c>
      <c r="L367">
        <v>48</v>
      </c>
      <c r="M367">
        <v>8</v>
      </c>
      <c r="N367">
        <f t="shared" si="15"/>
        <v>29.200000000000003</v>
      </c>
      <c r="O367" cm="1">
        <f t="array" ref="O367">SUM(_xlfn.XLOOKUP(E367:H367, $U$13:$U$17, $T$13:$T$17))</f>
        <v>18</v>
      </c>
      <c r="P367">
        <f t="shared" si="16"/>
        <v>2</v>
      </c>
      <c r="Q367" s="1">
        <f t="shared" si="17"/>
        <v>0</v>
      </c>
    </row>
    <row r="368" spans="1:17" x14ac:dyDescent="0.25">
      <c r="A368" s="1" t="s">
        <v>507</v>
      </c>
      <c r="B368" s="1" t="s">
        <v>508</v>
      </c>
      <c r="C368">
        <v>1</v>
      </c>
      <c r="D368">
        <v>3</v>
      </c>
      <c r="E368">
        <v>4</v>
      </c>
      <c r="F368">
        <v>3</v>
      </c>
      <c r="G368">
        <v>5</v>
      </c>
      <c r="H368">
        <v>6</v>
      </c>
      <c r="I368">
        <v>89</v>
      </c>
      <c r="J368">
        <v>70</v>
      </c>
      <c r="K368">
        <v>58</v>
      </c>
      <c r="L368">
        <v>39</v>
      </c>
      <c r="M368">
        <v>43</v>
      </c>
      <c r="N368">
        <f t="shared" si="15"/>
        <v>29.9</v>
      </c>
      <c r="O368" cm="1">
        <f t="array" ref="O368">SUM(_xlfn.XLOOKUP(E368:H368, $U$13:$U$17, $T$13:$T$17))</f>
        <v>28</v>
      </c>
      <c r="P368">
        <f t="shared" si="16"/>
        <v>1</v>
      </c>
      <c r="Q368" s="1">
        <f t="shared" si="17"/>
        <v>0</v>
      </c>
    </row>
    <row r="369" spans="1:17" x14ac:dyDescent="0.25">
      <c r="A369" s="1" t="s">
        <v>509</v>
      </c>
      <c r="B369" s="1" t="s">
        <v>188</v>
      </c>
      <c r="C369">
        <v>0</v>
      </c>
      <c r="D369">
        <v>6</v>
      </c>
      <c r="E369">
        <v>2</v>
      </c>
      <c r="F369">
        <v>2</v>
      </c>
      <c r="G369">
        <v>6</v>
      </c>
      <c r="H369">
        <v>2</v>
      </c>
      <c r="I369">
        <v>21</v>
      </c>
      <c r="J369">
        <v>80</v>
      </c>
      <c r="K369">
        <v>59</v>
      </c>
      <c r="L369">
        <v>35</v>
      </c>
      <c r="M369">
        <v>12</v>
      </c>
      <c r="N369">
        <f t="shared" si="15"/>
        <v>20.7</v>
      </c>
      <c r="O369" cm="1">
        <f t="array" ref="O369">SUM(_xlfn.XLOOKUP(E369:H369, $U$13:$U$17, $T$13:$T$17))</f>
        <v>10</v>
      </c>
      <c r="P369">
        <f t="shared" si="16"/>
        <v>2</v>
      </c>
      <c r="Q369" s="1">
        <f t="shared" si="17"/>
        <v>0</v>
      </c>
    </row>
    <row r="370" spans="1:17" x14ac:dyDescent="0.25">
      <c r="A370" s="1" t="s">
        <v>510</v>
      </c>
      <c r="B370" s="1" t="s">
        <v>188</v>
      </c>
      <c r="C370">
        <v>1</v>
      </c>
      <c r="D370">
        <v>3</v>
      </c>
      <c r="E370">
        <v>2</v>
      </c>
      <c r="F370">
        <v>5</v>
      </c>
      <c r="G370">
        <v>4</v>
      </c>
      <c r="H370">
        <v>4</v>
      </c>
      <c r="I370">
        <v>38</v>
      </c>
      <c r="J370">
        <v>5</v>
      </c>
      <c r="K370">
        <v>69</v>
      </c>
      <c r="L370">
        <v>94</v>
      </c>
      <c r="M370">
        <v>25</v>
      </c>
      <c r="N370">
        <f t="shared" si="15"/>
        <v>23.1</v>
      </c>
      <c r="O370" cm="1">
        <f t="array" ref="O370">SUM(_xlfn.XLOOKUP(E370:H370, $U$13:$U$17, $T$13:$T$17))</f>
        <v>20</v>
      </c>
      <c r="P370">
        <f t="shared" si="16"/>
        <v>1</v>
      </c>
      <c r="Q370" s="1">
        <f t="shared" si="17"/>
        <v>0</v>
      </c>
    </row>
    <row r="371" spans="1:17" x14ac:dyDescent="0.25">
      <c r="A371" s="1" t="s">
        <v>511</v>
      </c>
      <c r="B371" s="1" t="s">
        <v>311</v>
      </c>
      <c r="C371">
        <v>8</v>
      </c>
      <c r="D371">
        <v>4</v>
      </c>
      <c r="E371">
        <v>5</v>
      </c>
      <c r="F371">
        <v>4</v>
      </c>
      <c r="G371">
        <v>5</v>
      </c>
      <c r="H371">
        <v>3</v>
      </c>
      <c r="I371">
        <v>24</v>
      </c>
      <c r="J371">
        <v>47</v>
      </c>
      <c r="K371">
        <v>99</v>
      </c>
      <c r="L371">
        <v>64</v>
      </c>
      <c r="M371">
        <v>11</v>
      </c>
      <c r="N371">
        <f t="shared" si="15"/>
        <v>24.5</v>
      </c>
      <c r="O371" cm="1">
        <f t="array" ref="O371">SUM(_xlfn.XLOOKUP(E371:H371, $U$13:$U$17, $T$13:$T$17))</f>
        <v>26</v>
      </c>
      <c r="P371">
        <f t="shared" si="16"/>
        <v>8</v>
      </c>
      <c r="Q371" s="1">
        <f t="shared" si="17"/>
        <v>1</v>
      </c>
    </row>
    <row r="372" spans="1:17" x14ac:dyDescent="0.25">
      <c r="A372" s="1" t="s">
        <v>512</v>
      </c>
      <c r="B372" s="1" t="s">
        <v>311</v>
      </c>
      <c r="C372">
        <v>3</v>
      </c>
      <c r="D372">
        <v>5</v>
      </c>
      <c r="E372">
        <v>2</v>
      </c>
      <c r="F372">
        <v>4</v>
      </c>
      <c r="G372">
        <v>5</v>
      </c>
      <c r="H372">
        <v>4</v>
      </c>
      <c r="I372">
        <v>48</v>
      </c>
      <c r="J372">
        <v>100</v>
      </c>
      <c r="K372">
        <v>7</v>
      </c>
      <c r="L372">
        <v>64</v>
      </c>
      <c r="M372">
        <v>74</v>
      </c>
      <c r="N372">
        <f t="shared" si="15"/>
        <v>29.299999999999997</v>
      </c>
      <c r="O372" cm="1">
        <f t="array" ref="O372">SUM(_xlfn.XLOOKUP(E372:H372, $U$13:$U$17, $T$13:$T$17))</f>
        <v>20</v>
      </c>
      <c r="P372">
        <f t="shared" si="16"/>
        <v>3</v>
      </c>
      <c r="Q372" s="1">
        <f t="shared" si="17"/>
        <v>0</v>
      </c>
    </row>
    <row r="373" spans="1:17" x14ac:dyDescent="0.25">
      <c r="A373" s="1" t="s">
        <v>308</v>
      </c>
      <c r="B373" s="1" t="s">
        <v>30</v>
      </c>
      <c r="C373">
        <v>8</v>
      </c>
      <c r="D373">
        <v>3</v>
      </c>
      <c r="E373">
        <v>5</v>
      </c>
      <c r="F373">
        <v>2</v>
      </c>
      <c r="G373">
        <v>4</v>
      </c>
      <c r="H373">
        <v>6</v>
      </c>
      <c r="I373">
        <v>46</v>
      </c>
      <c r="J373">
        <v>88</v>
      </c>
      <c r="K373">
        <v>1</v>
      </c>
      <c r="L373">
        <v>49</v>
      </c>
      <c r="M373">
        <v>84</v>
      </c>
      <c r="N373">
        <f t="shared" si="15"/>
        <v>26.799999999999997</v>
      </c>
      <c r="O373" cm="1">
        <f t="array" ref="O373">SUM(_xlfn.XLOOKUP(E373:H373, $U$13:$U$17, $T$13:$T$17))</f>
        <v>24</v>
      </c>
      <c r="P373">
        <f t="shared" si="16"/>
        <v>8</v>
      </c>
      <c r="Q373" s="1">
        <f t="shared" si="17"/>
        <v>1</v>
      </c>
    </row>
    <row r="374" spans="1:17" x14ac:dyDescent="0.25">
      <c r="A374" s="1" t="s">
        <v>69</v>
      </c>
      <c r="B374" s="1" t="s">
        <v>70</v>
      </c>
      <c r="C374">
        <v>3</v>
      </c>
      <c r="D374">
        <v>5</v>
      </c>
      <c r="E374">
        <v>4</v>
      </c>
      <c r="F374">
        <v>4</v>
      </c>
      <c r="G374">
        <v>6</v>
      </c>
      <c r="H374">
        <v>4</v>
      </c>
      <c r="I374">
        <v>77</v>
      </c>
      <c r="J374">
        <v>80</v>
      </c>
      <c r="K374">
        <v>44</v>
      </c>
      <c r="L374">
        <v>96</v>
      </c>
      <c r="M374">
        <v>10</v>
      </c>
      <c r="N374">
        <f t="shared" si="15"/>
        <v>30.700000000000003</v>
      </c>
      <c r="O374" cm="1">
        <f t="array" ref="O374">SUM(_xlfn.XLOOKUP(E374:H374, $U$13:$U$17, $T$13:$T$17))</f>
        <v>28</v>
      </c>
      <c r="P374">
        <f t="shared" si="16"/>
        <v>3</v>
      </c>
      <c r="Q374" s="1">
        <f t="shared" si="17"/>
        <v>1</v>
      </c>
    </row>
    <row r="375" spans="1:17" x14ac:dyDescent="0.25">
      <c r="A375" s="1" t="s">
        <v>513</v>
      </c>
      <c r="B375" s="1" t="s">
        <v>48</v>
      </c>
      <c r="C375">
        <v>8</v>
      </c>
      <c r="D375">
        <v>3</v>
      </c>
      <c r="E375">
        <v>5</v>
      </c>
      <c r="F375">
        <v>3</v>
      </c>
      <c r="G375">
        <v>5</v>
      </c>
      <c r="H375">
        <v>3</v>
      </c>
      <c r="I375">
        <v>28</v>
      </c>
      <c r="J375">
        <v>5</v>
      </c>
      <c r="K375">
        <v>29</v>
      </c>
      <c r="L375">
        <v>7</v>
      </c>
      <c r="M375">
        <v>19</v>
      </c>
      <c r="N375">
        <f t="shared" si="15"/>
        <v>8.7999999999999989</v>
      </c>
      <c r="O375" cm="1">
        <f t="array" ref="O375">SUM(_xlfn.XLOOKUP(E375:H375, $U$13:$U$17, $T$13:$T$17))</f>
        <v>24</v>
      </c>
      <c r="P375">
        <f t="shared" si="16"/>
        <v>8</v>
      </c>
      <c r="Q375" s="1">
        <f t="shared" si="17"/>
        <v>1</v>
      </c>
    </row>
    <row r="376" spans="1:17" x14ac:dyDescent="0.25">
      <c r="A376" s="1" t="s">
        <v>514</v>
      </c>
      <c r="B376" s="1" t="s">
        <v>38</v>
      </c>
      <c r="C376">
        <v>0</v>
      </c>
      <c r="D376">
        <v>5</v>
      </c>
      <c r="E376">
        <v>5</v>
      </c>
      <c r="F376">
        <v>4</v>
      </c>
      <c r="G376">
        <v>5</v>
      </c>
      <c r="H376">
        <v>5</v>
      </c>
      <c r="I376">
        <v>100</v>
      </c>
      <c r="J376">
        <v>100</v>
      </c>
      <c r="K376">
        <v>68</v>
      </c>
      <c r="L376">
        <v>69</v>
      </c>
      <c r="M376">
        <v>46</v>
      </c>
      <c r="N376">
        <f t="shared" si="15"/>
        <v>38.300000000000004</v>
      </c>
      <c r="O376" cm="1">
        <f t="array" ref="O376">SUM(_xlfn.XLOOKUP(E376:H376, $U$13:$U$17, $T$13:$T$17))</f>
        <v>30</v>
      </c>
      <c r="P376">
        <f t="shared" si="16"/>
        <v>0</v>
      </c>
      <c r="Q376" s="1">
        <f t="shared" si="17"/>
        <v>0</v>
      </c>
    </row>
    <row r="377" spans="1:17" x14ac:dyDescent="0.25">
      <c r="A377" s="1" t="s">
        <v>411</v>
      </c>
      <c r="B377" s="1" t="s">
        <v>515</v>
      </c>
      <c r="C377">
        <v>0</v>
      </c>
      <c r="D377">
        <v>6</v>
      </c>
      <c r="E377">
        <v>6</v>
      </c>
      <c r="F377">
        <v>3</v>
      </c>
      <c r="G377">
        <v>4</v>
      </c>
      <c r="H377">
        <v>3</v>
      </c>
      <c r="I377">
        <v>86</v>
      </c>
      <c r="J377">
        <v>20</v>
      </c>
      <c r="K377">
        <v>40</v>
      </c>
      <c r="L377">
        <v>37</v>
      </c>
      <c r="M377">
        <v>24</v>
      </c>
      <c r="N377">
        <f t="shared" si="15"/>
        <v>20.7</v>
      </c>
      <c r="O377" cm="1">
        <f t="array" ref="O377">SUM(_xlfn.XLOOKUP(E377:H377, $U$13:$U$17, $T$13:$T$17))</f>
        <v>24</v>
      </c>
      <c r="P377">
        <f t="shared" si="16"/>
        <v>2</v>
      </c>
      <c r="Q377" s="1">
        <f t="shared" si="17"/>
        <v>1</v>
      </c>
    </row>
    <row r="378" spans="1:17" x14ac:dyDescent="0.25">
      <c r="A378" s="1" t="s">
        <v>516</v>
      </c>
      <c r="B378" s="1" t="s">
        <v>16</v>
      </c>
      <c r="C378">
        <v>8</v>
      </c>
      <c r="D378">
        <v>2</v>
      </c>
      <c r="E378">
        <v>4</v>
      </c>
      <c r="F378">
        <v>3</v>
      </c>
      <c r="G378">
        <v>2</v>
      </c>
      <c r="H378">
        <v>4</v>
      </c>
      <c r="I378">
        <v>37</v>
      </c>
      <c r="J378">
        <v>45</v>
      </c>
      <c r="K378">
        <v>53</v>
      </c>
      <c r="L378">
        <v>100</v>
      </c>
      <c r="M378">
        <v>63</v>
      </c>
      <c r="N378">
        <f t="shared" si="15"/>
        <v>29.8</v>
      </c>
      <c r="O378" cm="1">
        <f t="array" ref="O378">SUM(_xlfn.XLOOKUP(E378:H378, $U$13:$U$17, $T$13:$T$17))</f>
        <v>16</v>
      </c>
      <c r="P378">
        <f t="shared" si="16"/>
        <v>8</v>
      </c>
      <c r="Q378" s="1">
        <f t="shared" si="17"/>
        <v>0</v>
      </c>
    </row>
    <row r="379" spans="1:17" x14ac:dyDescent="0.25">
      <c r="A379" s="1" t="s">
        <v>517</v>
      </c>
      <c r="B379" s="1" t="s">
        <v>518</v>
      </c>
      <c r="C379">
        <v>5</v>
      </c>
      <c r="D379">
        <v>2</v>
      </c>
      <c r="E379">
        <v>4</v>
      </c>
      <c r="F379">
        <v>5</v>
      </c>
      <c r="G379">
        <v>2</v>
      </c>
      <c r="H379">
        <v>4</v>
      </c>
      <c r="I379">
        <v>63</v>
      </c>
      <c r="J379">
        <v>100</v>
      </c>
      <c r="K379">
        <v>26</v>
      </c>
      <c r="L379">
        <v>46</v>
      </c>
      <c r="M379">
        <v>85</v>
      </c>
      <c r="N379">
        <f t="shared" si="15"/>
        <v>32</v>
      </c>
      <c r="O379" cm="1">
        <f t="array" ref="O379">SUM(_xlfn.XLOOKUP(E379:H379, $U$13:$U$17, $T$13:$T$17))</f>
        <v>20</v>
      </c>
      <c r="P379">
        <f t="shared" si="16"/>
        <v>5</v>
      </c>
      <c r="Q379" s="1">
        <f t="shared" si="17"/>
        <v>0</v>
      </c>
    </row>
    <row r="380" spans="1:17" x14ac:dyDescent="0.25">
      <c r="A380" s="1" t="s">
        <v>519</v>
      </c>
      <c r="B380" s="1" t="s">
        <v>520</v>
      </c>
      <c r="C380">
        <v>3</v>
      </c>
      <c r="D380">
        <v>3</v>
      </c>
      <c r="E380">
        <v>3</v>
      </c>
      <c r="F380">
        <v>6</v>
      </c>
      <c r="G380">
        <v>3</v>
      </c>
      <c r="H380">
        <v>2</v>
      </c>
      <c r="I380">
        <v>62</v>
      </c>
      <c r="J380">
        <v>92</v>
      </c>
      <c r="K380">
        <v>75</v>
      </c>
      <c r="L380">
        <v>30</v>
      </c>
      <c r="M380">
        <v>86</v>
      </c>
      <c r="N380">
        <f t="shared" si="15"/>
        <v>34.5</v>
      </c>
      <c r="O380" cm="1">
        <f t="array" ref="O380">SUM(_xlfn.XLOOKUP(E380:H380, $U$13:$U$17, $T$13:$T$17))</f>
        <v>18</v>
      </c>
      <c r="P380">
        <f t="shared" si="16"/>
        <v>3</v>
      </c>
      <c r="Q380" s="1">
        <f t="shared" si="17"/>
        <v>0</v>
      </c>
    </row>
    <row r="381" spans="1:17" x14ac:dyDescent="0.25">
      <c r="A381" s="1" t="s">
        <v>521</v>
      </c>
      <c r="B381" s="1" t="s">
        <v>43</v>
      </c>
      <c r="C381">
        <v>6</v>
      </c>
      <c r="D381">
        <v>4</v>
      </c>
      <c r="E381">
        <v>2</v>
      </c>
      <c r="F381">
        <v>4</v>
      </c>
      <c r="G381">
        <v>4</v>
      </c>
      <c r="H381">
        <v>6</v>
      </c>
      <c r="I381">
        <v>16</v>
      </c>
      <c r="J381">
        <v>19</v>
      </c>
      <c r="K381">
        <v>66</v>
      </c>
      <c r="L381">
        <v>96</v>
      </c>
      <c r="M381">
        <v>61</v>
      </c>
      <c r="N381">
        <f t="shared" si="15"/>
        <v>25.799999999999997</v>
      </c>
      <c r="O381" cm="1">
        <f t="array" ref="O381">SUM(_xlfn.XLOOKUP(E381:H381, $U$13:$U$17, $T$13:$T$17))</f>
        <v>22</v>
      </c>
      <c r="P381">
        <f t="shared" si="16"/>
        <v>6</v>
      </c>
      <c r="Q381" s="1">
        <f t="shared" si="17"/>
        <v>1</v>
      </c>
    </row>
    <row r="382" spans="1:17" x14ac:dyDescent="0.25">
      <c r="A382" s="1" t="s">
        <v>237</v>
      </c>
      <c r="B382" s="1" t="s">
        <v>166</v>
      </c>
      <c r="C382">
        <v>4</v>
      </c>
      <c r="D382">
        <v>5</v>
      </c>
      <c r="E382">
        <v>4</v>
      </c>
      <c r="F382">
        <v>4</v>
      </c>
      <c r="G382">
        <v>2</v>
      </c>
      <c r="H382">
        <v>2</v>
      </c>
      <c r="I382">
        <v>71</v>
      </c>
      <c r="J382">
        <v>99</v>
      </c>
      <c r="K382">
        <v>56</v>
      </c>
      <c r="L382">
        <v>2</v>
      </c>
      <c r="M382">
        <v>43</v>
      </c>
      <c r="N382">
        <f t="shared" si="15"/>
        <v>27.1</v>
      </c>
      <c r="O382" cm="1">
        <f t="array" ref="O382">SUM(_xlfn.XLOOKUP(E382:H382, $U$13:$U$17, $T$13:$T$17))</f>
        <v>12</v>
      </c>
      <c r="P382">
        <f t="shared" si="16"/>
        <v>4</v>
      </c>
      <c r="Q382" s="1">
        <f t="shared" si="17"/>
        <v>0</v>
      </c>
    </row>
    <row r="383" spans="1:17" x14ac:dyDescent="0.25">
      <c r="A383" s="1" t="s">
        <v>522</v>
      </c>
      <c r="B383" s="1" t="s">
        <v>288</v>
      </c>
      <c r="C383">
        <v>8</v>
      </c>
      <c r="D383">
        <v>2</v>
      </c>
      <c r="E383">
        <v>6</v>
      </c>
      <c r="F383">
        <v>2</v>
      </c>
      <c r="G383">
        <v>6</v>
      </c>
      <c r="H383">
        <v>5</v>
      </c>
      <c r="I383">
        <v>62</v>
      </c>
      <c r="J383">
        <v>49</v>
      </c>
      <c r="K383">
        <v>45</v>
      </c>
      <c r="L383">
        <v>42</v>
      </c>
      <c r="M383">
        <v>53</v>
      </c>
      <c r="N383">
        <f t="shared" si="15"/>
        <v>25.1</v>
      </c>
      <c r="O383" cm="1">
        <f t="array" ref="O383">SUM(_xlfn.XLOOKUP(E383:H383, $U$13:$U$17, $T$13:$T$17))</f>
        <v>28</v>
      </c>
      <c r="P383">
        <f t="shared" si="16"/>
        <v>8</v>
      </c>
      <c r="Q383" s="1">
        <f t="shared" si="17"/>
        <v>1</v>
      </c>
    </row>
    <row r="384" spans="1:17" x14ac:dyDescent="0.25">
      <c r="A384" s="1" t="s">
        <v>523</v>
      </c>
      <c r="B384" s="1" t="s">
        <v>279</v>
      </c>
      <c r="C384">
        <v>2</v>
      </c>
      <c r="D384">
        <v>3</v>
      </c>
      <c r="E384">
        <v>2</v>
      </c>
      <c r="F384">
        <v>5</v>
      </c>
      <c r="G384">
        <v>5</v>
      </c>
      <c r="H384">
        <v>2</v>
      </c>
      <c r="I384">
        <v>44</v>
      </c>
      <c r="J384">
        <v>30</v>
      </c>
      <c r="K384">
        <v>61</v>
      </c>
      <c r="L384">
        <v>13</v>
      </c>
      <c r="M384">
        <v>30</v>
      </c>
      <c r="N384">
        <f t="shared" si="15"/>
        <v>17.8</v>
      </c>
      <c r="O384" cm="1">
        <f t="array" ref="O384">SUM(_xlfn.XLOOKUP(E384:H384, $U$13:$U$17, $T$13:$T$17))</f>
        <v>16</v>
      </c>
      <c r="P384">
        <f t="shared" si="16"/>
        <v>2</v>
      </c>
      <c r="Q384" s="1">
        <f t="shared" si="17"/>
        <v>1</v>
      </c>
    </row>
    <row r="385" spans="1:17" x14ac:dyDescent="0.25">
      <c r="A385" s="1" t="s">
        <v>524</v>
      </c>
      <c r="B385" s="1" t="s">
        <v>99</v>
      </c>
      <c r="C385">
        <v>5</v>
      </c>
      <c r="D385">
        <v>6</v>
      </c>
      <c r="E385">
        <v>5</v>
      </c>
      <c r="F385">
        <v>3</v>
      </c>
      <c r="G385">
        <v>2</v>
      </c>
      <c r="H385">
        <v>4</v>
      </c>
      <c r="I385">
        <v>55</v>
      </c>
      <c r="J385">
        <v>18</v>
      </c>
      <c r="K385">
        <v>46</v>
      </c>
      <c r="L385">
        <v>82</v>
      </c>
      <c r="M385">
        <v>71</v>
      </c>
      <c r="N385">
        <f t="shared" si="15"/>
        <v>27.199999999999996</v>
      </c>
      <c r="O385" cm="1">
        <f t="array" ref="O385">SUM(_xlfn.XLOOKUP(E385:H385, $U$13:$U$17, $T$13:$T$17))</f>
        <v>18</v>
      </c>
      <c r="P385">
        <f t="shared" si="16"/>
        <v>7</v>
      </c>
      <c r="Q385" s="1">
        <f t="shared" si="17"/>
        <v>0</v>
      </c>
    </row>
    <row r="386" spans="1:17" x14ac:dyDescent="0.25">
      <c r="A386" s="1" t="s">
        <v>525</v>
      </c>
      <c r="B386" s="1" t="s">
        <v>526</v>
      </c>
      <c r="C386">
        <v>5</v>
      </c>
      <c r="D386">
        <v>2</v>
      </c>
      <c r="E386">
        <v>5</v>
      </c>
      <c r="F386">
        <v>6</v>
      </c>
      <c r="G386">
        <v>3</v>
      </c>
      <c r="H386">
        <v>3</v>
      </c>
      <c r="I386">
        <v>23</v>
      </c>
      <c r="J386">
        <v>10</v>
      </c>
      <c r="K386">
        <v>99</v>
      </c>
      <c r="L386">
        <v>23</v>
      </c>
      <c r="M386">
        <v>4</v>
      </c>
      <c r="N386">
        <f t="shared" ref="N386:N449" si="18">I386/10 + J386/10 + K386/10 + L386/10 + M386/10</f>
        <v>15.9</v>
      </c>
      <c r="O386" cm="1">
        <f t="array" ref="O386">SUM(_xlfn.XLOOKUP(E386:H386, $U$13:$U$17, $T$13:$T$17))</f>
        <v>26</v>
      </c>
      <c r="P386">
        <f t="shared" ref="P386:P449" si="19">IF(D386=6,C386+2,C386)</f>
        <v>5</v>
      </c>
      <c r="Q386" s="1">
        <f t="shared" ref="Q386:Q449" si="20">IF((O386+P386)&gt;N386, 1, 0)</f>
        <v>1</v>
      </c>
    </row>
    <row r="387" spans="1:17" x14ac:dyDescent="0.25">
      <c r="A387" s="1" t="s">
        <v>527</v>
      </c>
      <c r="B387" s="1" t="s">
        <v>340</v>
      </c>
      <c r="C387">
        <v>5</v>
      </c>
      <c r="D387">
        <v>4</v>
      </c>
      <c r="E387">
        <v>3</v>
      </c>
      <c r="F387">
        <v>5</v>
      </c>
      <c r="G387">
        <v>6</v>
      </c>
      <c r="H387">
        <v>2</v>
      </c>
      <c r="I387">
        <v>72</v>
      </c>
      <c r="J387">
        <v>22</v>
      </c>
      <c r="K387">
        <v>90</v>
      </c>
      <c r="L387">
        <v>8</v>
      </c>
      <c r="M387">
        <v>61</v>
      </c>
      <c r="N387">
        <f t="shared" si="18"/>
        <v>25.299999999999997</v>
      </c>
      <c r="O387" cm="1">
        <f t="array" ref="O387">SUM(_xlfn.XLOOKUP(E387:H387, $U$13:$U$17, $T$13:$T$17))</f>
        <v>22</v>
      </c>
      <c r="P387">
        <f t="shared" si="19"/>
        <v>5</v>
      </c>
      <c r="Q387" s="1">
        <f t="shared" si="20"/>
        <v>1</v>
      </c>
    </row>
    <row r="388" spans="1:17" x14ac:dyDescent="0.25">
      <c r="A388" s="1" t="s">
        <v>528</v>
      </c>
      <c r="B388" s="1" t="s">
        <v>126</v>
      </c>
      <c r="C388">
        <v>3</v>
      </c>
      <c r="D388">
        <v>3</v>
      </c>
      <c r="E388">
        <v>6</v>
      </c>
      <c r="F388">
        <v>2</v>
      </c>
      <c r="G388">
        <v>4</v>
      </c>
      <c r="H388">
        <v>6</v>
      </c>
      <c r="I388">
        <v>95</v>
      </c>
      <c r="J388">
        <v>18</v>
      </c>
      <c r="K388">
        <v>32</v>
      </c>
      <c r="L388">
        <v>67</v>
      </c>
      <c r="M388">
        <v>36</v>
      </c>
      <c r="N388">
        <f t="shared" si="18"/>
        <v>24.8</v>
      </c>
      <c r="O388" cm="1">
        <f t="array" ref="O388">SUM(_xlfn.XLOOKUP(E388:H388, $U$13:$U$17, $T$13:$T$17))</f>
        <v>26</v>
      </c>
      <c r="P388">
        <f t="shared" si="19"/>
        <v>3</v>
      </c>
      <c r="Q388" s="1">
        <f t="shared" si="20"/>
        <v>1</v>
      </c>
    </row>
    <row r="389" spans="1:17" x14ac:dyDescent="0.25">
      <c r="A389" s="1" t="s">
        <v>529</v>
      </c>
      <c r="B389" s="1" t="s">
        <v>530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3</v>
      </c>
      <c r="I389">
        <v>99</v>
      </c>
      <c r="J389">
        <v>47</v>
      </c>
      <c r="K389">
        <v>3</v>
      </c>
      <c r="L389">
        <v>6</v>
      </c>
      <c r="M389">
        <v>59</v>
      </c>
      <c r="N389">
        <f t="shared" si="18"/>
        <v>21.400000000000002</v>
      </c>
      <c r="O389" cm="1">
        <f t="array" ref="O389">SUM(_xlfn.XLOOKUP(E389:H389, $U$13:$U$17, $T$13:$T$17))</f>
        <v>28</v>
      </c>
      <c r="P389">
        <f t="shared" si="19"/>
        <v>5</v>
      </c>
      <c r="Q389" s="1">
        <f t="shared" si="20"/>
        <v>1</v>
      </c>
    </row>
    <row r="390" spans="1:17" x14ac:dyDescent="0.25">
      <c r="A390" s="1" t="s">
        <v>531</v>
      </c>
      <c r="B390" s="1" t="s">
        <v>532</v>
      </c>
      <c r="C390">
        <v>5</v>
      </c>
      <c r="D390">
        <v>5</v>
      </c>
      <c r="E390">
        <v>3</v>
      </c>
      <c r="F390">
        <v>4</v>
      </c>
      <c r="G390">
        <v>5</v>
      </c>
      <c r="H390">
        <v>2</v>
      </c>
      <c r="I390">
        <v>97</v>
      </c>
      <c r="J390">
        <v>87</v>
      </c>
      <c r="K390">
        <v>7</v>
      </c>
      <c r="L390">
        <v>93</v>
      </c>
      <c r="M390">
        <v>19</v>
      </c>
      <c r="N390">
        <f t="shared" si="18"/>
        <v>30.299999999999997</v>
      </c>
      <c r="O390" cm="1">
        <f t="array" ref="O390">SUM(_xlfn.XLOOKUP(E390:H390, $U$13:$U$17, $T$13:$T$17))</f>
        <v>18</v>
      </c>
      <c r="P390">
        <f t="shared" si="19"/>
        <v>5</v>
      </c>
      <c r="Q390" s="1">
        <f t="shared" si="20"/>
        <v>0</v>
      </c>
    </row>
    <row r="391" spans="1:17" x14ac:dyDescent="0.25">
      <c r="A391" s="1" t="s">
        <v>533</v>
      </c>
      <c r="B391" s="1" t="s">
        <v>45</v>
      </c>
      <c r="C391">
        <v>3</v>
      </c>
      <c r="D391">
        <v>6</v>
      </c>
      <c r="E391">
        <v>6</v>
      </c>
      <c r="F391">
        <v>6</v>
      </c>
      <c r="G391">
        <v>2</v>
      </c>
      <c r="H391">
        <v>5</v>
      </c>
      <c r="I391">
        <v>57</v>
      </c>
      <c r="J391">
        <v>44</v>
      </c>
      <c r="K391">
        <v>90</v>
      </c>
      <c r="L391">
        <v>33</v>
      </c>
      <c r="M391">
        <v>78</v>
      </c>
      <c r="N391">
        <f t="shared" si="18"/>
        <v>30.200000000000003</v>
      </c>
      <c r="O391" cm="1">
        <f t="array" ref="O391">SUM(_xlfn.XLOOKUP(E391:H391, $U$13:$U$17, $T$13:$T$17))</f>
        <v>28</v>
      </c>
      <c r="P391">
        <f t="shared" si="19"/>
        <v>5</v>
      </c>
      <c r="Q391" s="1">
        <f t="shared" si="20"/>
        <v>1</v>
      </c>
    </row>
    <row r="392" spans="1:17" x14ac:dyDescent="0.25">
      <c r="A392" s="1" t="s">
        <v>534</v>
      </c>
      <c r="B392" s="1" t="s">
        <v>90</v>
      </c>
      <c r="C392">
        <v>2</v>
      </c>
      <c r="D392">
        <v>4</v>
      </c>
      <c r="E392">
        <v>5</v>
      </c>
      <c r="F392">
        <v>3</v>
      </c>
      <c r="G392">
        <v>2</v>
      </c>
      <c r="H392">
        <v>2</v>
      </c>
      <c r="I392">
        <v>35</v>
      </c>
      <c r="J392">
        <v>82</v>
      </c>
      <c r="K392">
        <v>52</v>
      </c>
      <c r="L392">
        <v>15</v>
      </c>
      <c r="M392">
        <v>51</v>
      </c>
      <c r="N392">
        <f t="shared" si="18"/>
        <v>23.5</v>
      </c>
      <c r="O392" cm="1">
        <f t="array" ref="O392">SUM(_xlfn.XLOOKUP(E392:H392, $U$13:$U$17, $T$13:$T$17))</f>
        <v>12</v>
      </c>
      <c r="P392">
        <f t="shared" si="19"/>
        <v>2</v>
      </c>
      <c r="Q392" s="1">
        <f t="shared" si="20"/>
        <v>0</v>
      </c>
    </row>
    <row r="393" spans="1:17" x14ac:dyDescent="0.25">
      <c r="A393" s="1" t="s">
        <v>535</v>
      </c>
      <c r="B393" s="1" t="s">
        <v>536</v>
      </c>
      <c r="C393">
        <v>1</v>
      </c>
      <c r="D393">
        <v>5</v>
      </c>
      <c r="E393">
        <v>5</v>
      </c>
      <c r="F393">
        <v>6</v>
      </c>
      <c r="G393">
        <v>4</v>
      </c>
      <c r="H393">
        <v>6</v>
      </c>
      <c r="I393">
        <v>19</v>
      </c>
      <c r="J393">
        <v>32</v>
      </c>
      <c r="K393">
        <v>74</v>
      </c>
      <c r="L393">
        <v>31</v>
      </c>
      <c r="M393">
        <v>58</v>
      </c>
      <c r="N393">
        <f t="shared" si="18"/>
        <v>21.4</v>
      </c>
      <c r="O393" cm="1">
        <f t="array" ref="O393">SUM(_xlfn.XLOOKUP(E393:H393, $U$13:$U$17, $T$13:$T$17))</f>
        <v>34</v>
      </c>
      <c r="P393">
        <f t="shared" si="19"/>
        <v>1</v>
      </c>
      <c r="Q393" s="1">
        <f t="shared" si="20"/>
        <v>1</v>
      </c>
    </row>
    <row r="394" spans="1:17" x14ac:dyDescent="0.25">
      <c r="A394" s="1" t="s">
        <v>537</v>
      </c>
      <c r="B394" s="1" t="s">
        <v>538</v>
      </c>
      <c r="C394">
        <v>0</v>
      </c>
      <c r="D394">
        <v>5</v>
      </c>
      <c r="E394">
        <v>2</v>
      </c>
      <c r="F394">
        <v>2</v>
      </c>
      <c r="G394">
        <v>5</v>
      </c>
      <c r="H394">
        <v>3</v>
      </c>
      <c r="I394">
        <v>45</v>
      </c>
      <c r="J394">
        <v>52</v>
      </c>
      <c r="K394">
        <v>32</v>
      </c>
      <c r="L394">
        <v>42</v>
      </c>
      <c r="M394">
        <v>33</v>
      </c>
      <c r="N394">
        <f t="shared" si="18"/>
        <v>20.399999999999999</v>
      </c>
      <c r="O394" cm="1">
        <f t="array" ref="O394">SUM(_xlfn.XLOOKUP(E394:H394, $U$13:$U$17, $T$13:$T$17))</f>
        <v>12</v>
      </c>
      <c r="P394">
        <f t="shared" si="19"/>
        <v>0</v>
      </c>
      <c r="Q394" s="1">
        <f t="shared" si="20"/>
        <v>0</v>
      </c>
    </row>
    <row r="395" spans="1:17" x14ac:dyDescent="0.25">
      <c r="A395" s="1" t="s">
        <v>539</v>
      </c>
      <c r="B395" s="1" t="s">
        <v>540</v>
      </c>
      <c r="C395">
        <v>8</v>
      </c>
      <c r="D395">
        <v>5</v>
      </c>
      <c r="E395">
        <v>6</v>
      </c>
      <c r="F395">
        <v>2</v>
      </c>
      <c r="G395">
        <v>4</v>
      </c>
      <c r="H395">
        <v>3</v>
      </c>
      <c r="I395">
        <v>78</v>
      </c>
      <c r="J395">
        <v>38</v>
      </c>
      <c r="K395">
        <v>62</v>
      </c>
      <c r="L395">
        <v>45</v>
      </c>
      <c r="M395">
        <v>55</v>
      </c>
      <c r="N395">
        <f t="shared" si="18"/>
        <v>27.8</v>
      </c>
      <c r="O395" cm="1">
        <f t="array" ref="O395">SUM(_xlfn.XLOOKUP(E395:H395, $U$13:$U$17, $T$13:$T$17))</f>
        <v>20</v>
      </c>
      <c r="P395">
        <f t="shared" si="19"/>
        <v>8</v>
      </c>
      <c r="Q395" s="1">
        <f t="shared" si="20"/>
        <v>1</v>
      </c>
    </row>
    <row r="396" spans="1:17" x14ac:dyDescent="0.25">
      <c r="A396" s="1" t="s">
        <v>541</v>
      </c>
      <c r="B396" s="1" t="s">
        <v>503</v>
      </c>
      <c r="C396">
        <v>6</v>
      </c>
      <c r="D396">
        <v>4</v>
      </c>
      <c r="E396">
        <v>2</v>
      </c>
      <c r="F396">
        <v>6</v>
      </c>
      <c r="G396">
        <v>2</v>
      </c>
      <c r="H396">
        <v>6</v>
      </c>
      <c r="I396">
        <v>20</v>
      </c>
      <c r="J396">
        <v>92</v>
      </c>
      <c r="K396">
        <v>44</v>
      </c>
      <c r="L396">
        <v>89</v>
      </c>
      <c r="M396">
        <v>79</v>
      </c>
      <c r="N396">
        <f t="shared" si="18"/>
        <v>32.4</v>
      </c>
      <c r="O396" cm="1">
        <f t="array" ref="O396">SUM(_xlfn.XLOOKUP(E396:H396, $U$13:$U$17, $T$13:$T$17))</f>
        <v>20</v>
      </c>
      <c r="P396">
        <f t="shared" si="19"/>
        <v>6</v>
      </c>
      <c r="Q396" s="1">
        <f t="shared" si="20"/>
        <v>0</v>
      </c>
    </row>
    <row r="397" spans="1:17" x14ac:dyDescent="0.25">
      <c r="A397" s="1" t="s">
        <v>542</v>
      </c>
      <c r="B397" s="1" t="s">
        <v>117</v>
      </c>
      <c r="C397">
        <v>4</v>
      </c>
      <c r="D397">
        <v>2</v>
      </c>
      <c r="E397">
        <v>2</v>
      </c>
      <c r="F397">
        <v>4</v>
      </c>
      <c r="G397">
        <v>3</v>
      </c>
      <c r="H397">
        <v>3</v>
      </c>
      <c r="I397">
        <v>36</v>
      </c>
      <c r="J397">
        <v>79</v>
      </c>
      <c r="K397">
        <v>62</v>
      </c>
      <c r="L397">
        <v>8</v>
      </c>
      <c r="M397">
        <v>47</v>
      </c>
      <c r="N397">
        <f t="shared" si="18"/>
        <v>23.2</v>
      </c>
      <c r="O397" cm="1">
        <f t="array" ref="O397">SUM(_xlfn.XLOOKUP(E397:H397, $U$13:$U$17, $T$13:$T$17))</f>
        <v>14</v>
      </c>
      <c r="P397">
        <f t="shared" si="19"/>
        <v>4</v>
      </c>
      <c r="Q397" s="1">
        <f t="shared" si="20"/>
        <v>0</v>
      </c>
    </row>
    <row r="398" spans="1:17" x14ac:dyDescent="0.25">
      <c r="A398" s="1" t="s">
        <v>543</v>
      </c>
      <c r="B398" s="1" t="s">
        <v>41</v>
      </c>
      <c r="C398">
        <v>0</v>
      </c>
      <c r="D398">
        <v>2</v>
      </c>
      <c r="E398">
        <v>2</v>
      </c>
      <c r="F398">
        <v>4</v>
      </c>
      <c r="G398">
        <v>2</v>
      </c>
      <c r="H398">
        <v>4</v>
      </c>
      <c r="I398">
        <v>24</v>
      </c>
      <c r="J398">
        <v>81</v>
      </c>
      <c r="K398">
        <v>74</v>
      </c>
      <c r="L398">
        <v>4</v>
      </c>
      <c r="M398">
        <v>92</v>
      </c>
      <c r="N398">
        <f t="shared" si="18"/>
        <v>27.499999999999996</v>
      </c>
      <c r="O398" cm="1">
        <f t="array" ref="O398">SUM(_xlfn.XLOOKUP(E398:H398, $U$13:$U$17, $T$13:$T$17))</f>
        <v>12</v>
      </c>
      <c r="P398">
        <f t="shared" si="19"/>
        <v>0</v>
      </c>
      <c r="Q398" s="1">
        <f t="shared" si="20"/>
        <v>0</v>
      </c>
    </row>
    <row r="399" spans="1:17" x14ac:dyDescent="0.25">
      <c r="A399" s="1" t="s">
        <v>544</v>
      </c>
      <c r="B399" s="1" t="s">
        <v>324</v>
      </c>
      <c r="C399">
        <v>3</v>
      </c>
      <c r="D399">
        <v>3</v>
      </c>
      <c r="E399">
        <v>5</v>
      </c>
      <c r="F399">
        <v>6</v>
      </c>
      <c r="G399">
        <v>4</v>
      </c>
      <c r="H399">
        <v>3</v>
      </c>
      <c r="I399">
        <v>68</v>
      </c>
      <c r="J399">
        <v>76</v>
      </c>
      <c r="K399">
        <v>21</v>
      </c>
      <c r="L399">
        <v>59</v>
      </c>
      <c r="M399">
        <v>66</v>
      </c>
      <c r="N399">
        <f t="shared" si="18"/>
        <v>29</v>
      </c>
      <c r="O399" cm="1">
        <f t="array" ref="O399">SUM(_xlfn.XLOOKUP(E399:H399, $U$13:$U$17, $T$13:$T$17))</f>
        <v>28</v>
      </c>
      <c r="P399">
        <f t="shared" si="19"/>
        <v>3</v>
      </c>
      <c r="Q399" s="1">
        <f t="shared" si="20"/>
        <v>1</v>
      </c>
    </row>
    <row r="400" spans="1:17" x14ac:dyDescent="0.25">
      <c r="A400" s="1" t="s">
        <v>545</v>
      </c>
      <c r="B400" s="1" t="s">
        <v>253</v>
      </c>
      <c r="C400">
        <v>4</v>
      </c>
      <c r="D400">
        <v>3</v>
      </c>
      <c r="E400">
        <v>2</v>
      </c>
      <c r="F400">
        <v>4</v>
      </c>
      <c r="G400">
        <v>4</v>
      </c>
      <c r="H400">
        <v>5</v>
      </c>
      <c r="I400">
        <v>70</v>
      </c>
      <c r="J400">
        <v>34</v>
      </c>
      <c r="K400">
        <v>18</v>
      </c>
      <c r="L400">
        <v>27</v>
      </c>
      <c r="M400">
        <v>70</v>
      </c>
      <c r="N400">
        <f t="shared" si="18"/>
        <v>21.900000000000002</v>
      </c>
      <c r="O400" cm="1">
        <f t="array" ref="O400">SUM(_xlfn.XLOOKUP(E400:H400, $U$13:$U$17, $T$13:$T$17))</f>
        <v>20</v>
      </c>
      <c r="P400">
        <f t="shared" si="19"/>
        <v>4</v>
      </c>
      <c r="Q400" s="1">
        <f t="shared" si="20"/>
        <v>1</v>
      </c>
    </row>
    <row r="401" spans="1:17" x14ac:dyDescent="0.25">
      <c r="A401" s="1" t="s">
        <v>546</v>
      </c>
      <c r="B401" s="1" t="s">
        <v>249</v>
      </c>
      <c r="C401">
        <v>2</v>
      </c>
      <c r="D401">
        <v>4</v>
      </c>
      <c r="E401">
        <v>2</v>
      </c>
      <c r="F401">
        <v>4</v>
      </c>
      <c r="G401">
        <v>5</v>
      </c>
      <c r="H401">
        <v>2</v>
      </c>
      <c r="I401">
        <v>9</v>
      </c>
      <c r="J401">
        <v>76</v>
      </c>
      <c r="K401">
        <v>35</v>
      </c>
      <c r="L401">
        <v>83</v>
      </c>
      <c r="M401">
        <v>13</v>
      </c>
      <c r="N401">
        <f t="shared" si="18"/>
        <v>21.6</v>
      </c>
      <c r="O401" cm="1">
        <f t="array" ref="O401">SUM(_xlfn.XLOOKUP(E401:H401, $U$13:$U$17, $T$13:$T$17))</f>
        <v>14</v>
      </c>
      <c r="P401">
        <f t="shared" si="19"/>
        <v>2</v>
      </c>
      <c r="Q401" s="1">
        <f t="shared" si="20"/>
        <v>0</v>
      </c>
    </row>
    <row r="402" spans="1:17" x14ac:dyDescent="0.25">
      <c r="A402" s="1" t="s">
        <v>547</v>
      </c>
      <c r="B402" s="1" t="s">
        <v>526</v>
      </c>
      <c r="C402">
        <v>6</v>
      </c>
      <c r="D402">
        <v>2</v>
      </c>
      <c r="E402">
        <v>4</v>
      </c>
      <c r="F402">
        <v>2</v>
      </c>
      <c r="G402">
        <v>3</v>
      </c>
      <c r="H402">
        <v>2</v>
      </c>
      <c r="I402">
        <v>63</v>
      </c>
      <c r="J402">
        <v>31</v>
      </c>
      <c r="K402">
        <v>2</v>
      </c>
      <c r="L402">
        <v>74</v>
      </c>
      <c r="M402">
        <v>15</v>
      </c>
      <c r="N402">
        <f t="shared" si="18"/>
        <v>18.5</v>
      </c>
      <c r="O402" cm="1">
        <f t="array" ref="O402">SUM(_xlfn.XLOOKUP(E402:H402, $U$13:$U$17, $T$13:$T$17))</f>
        <v>10</v>
      </c>
      <c r="P402">
        <f t="shared" si="19"/>
        <v>6</v>
      </c>
      <c r="Q402" s="1">
        <f t="shared" si="20"/>
        <v>0</v>
      </c>
    </row>
    <row r="403" spans="1:17" x14ac:dyDescent="0.25">
      <c r="A403" s="1" t="s">
        <v>548</v>
      </c>
      <c r="B403" s="1" t="s">
        <v>126</v>
      </c>
      <c r="C403">
        <v>4</v>
      </c>
      <c r="D403">
        <v>6</v>
      </c>
      <c r="E403">
        <v>3</v>
      </c>
      <c r="F403">
        <v>5</v>
      </c>
      <c r="G403">
        <v>4</v>
      </c>
      <c r="H403">
        <v>4</v>
      </c>
      <c r="I403">
        <v>15</v>
      </c>
      <c r="J403">
        <v>57</v>
      </c>
      <c r="K403">
        <v>64</v>
      </c>
      <c r="L403">
        <v>60</v>
      </c>
      <c r="M403">
        <v>60</v>
      </c>
      <c r="N403">
        <f t="shared" si="18"/>
        <v>25.6</v>
      </c>
      <c r="O403" cm="1">
        <f t="array" ref="O403">SUM(_xlfn.XLOOKUP(E403:H403, $U$13:$U$17, $T$13:$T$17))</f>
        <v>24</v>
      </c>
      <c r="P403">
        <f t="shared" si="19"/>
        <v>6</v>
      </c>
      <c r="Q403" s="1">
        <f t="shared" si="20"/>
        <v>1</v>
      </c>
    </row>
    <row r="404" spans="1:17" x14ac:dyDescent="0.25">
      <c r="A404" s="1" t="s">
        <v>549</v>
      </c>
      <c r="B404" s="1" t="s">
        <v>355</v>
      </c>
      <c r="C404">
        <v>6</v>
      </c>
      <c r="D404">
        <v>4</v>
      </c>
      <c r="E404">
        <v>4</v>
      </c>
      <c r="F404">
        <v>2</v>
      </c>
      <c r="G404">
        <v>2</v>
      </c>
      <c r="H404">
        <v>2</v>
      </c>
      <c r="I404">
        <v>26</v>
      </c>
      <c r="J404">
        <v>6</v>
      </c>
      <c r="K404">
        <v>12</v>
      </c>
      <c r="L404">
        <v>71</v>
      </c>
      <c r="M404">
        <v>85</v>
      </c>
      <c r="N404">
        <f t="shared" si="18"/>
        <v>20</v>
      </c>
      <c r="O404" cm="1">
        <f t="array" ref="O404">SUM(_xlfn.XLOOKUP(E404:H404, $U$13:$U$17, $T$13:$T$17))</f>
        <v>6</v>
      </c>
      <c r="P404">
        <f t="shared" si="19"/>
        <v>6</v>
      </c>
      <c r="Q404" s="1">
        <f t="shared" si="20"/>
        <v>0</v>
      </c>
    </row>
    <row r="405" spans="1:17" x14ac:dyDescent="0.25">
      <c r="A405" s="1" t="s">
        <v>550</v>
      </c>
      <c r="B405" s="1" t="s">
        <v>551</v>
      </c>
      <c r="C405">
        <v>5</v>
      </c>
      <c r="D405">
        <v>6</v>
      </c>
      <c r="E405">
        <v>2</v>
      </c>
      <c r="F405">
        <v>4</v>
      </c>
      <c r="G405">
        <v>4</v>
      </c>
      <c r="H405">
        <v>3</v>
      </c>
      <c r="I405">
        <v>3</v>
      </c>
      <c r="J405">
        <v>8</v>
      </c>
      <c r="K405">
        <v>22</v>
      </c>
      <c r="L405">
        <v>75</v>
      </c>
      <c r="M405">
        <v>52</v>
      </c>
      <c r="N405">
        <f t="shared" si="18"/>
        <v>16</v>
      </c>
      <c r="O405" cm="1">
        <f t="array" ref="O405">SUM(_xlfn.XLOOKUP(E405:H405, $U$13:$U$17, $T$13:$T$17))</f>
        <v>16</v>
      </c>
      <c r="P405">
        <f t="shared" si="19"/>
        <v>7</v>
      </c>
      <c r="Q405" s="1">
        <f t="shared" si="20"/>
        <v>1</v>
      </c>
    </row>
    <row r="406" spans="1:17" x14ac:dyDescent="0.25">
      <c r="A406" s="1" t="s">
        <v>552</v>
      </c>
      <c r="B406" s="1" t="s">
        <v>553</v>
      </c>
      <c r="C406">
        <v>0</v>
      </c>
      <c r="D406">
        <v>5</v>
      </c>
      <c r="E406">
        <v>2</v>
      </c>
      <c r="F406">
        <v>4</v>
      </c>
      <c r="G406">
        <v>4</v>
      </c>
      <c r="H406">
        <v>4</v>
      </c>
      <c r="I406">
        <v>68</v>
      </c>
      <c r="J406">
        <v>77</v>
      </c>
      <c r="K406">
        <v>39</v>
      </c>
      <c r="L406">
        <v>95</v>
      </c>
      <c r="M406">
        <v>42</v>
      </c>
      <c r="N406">
        <f t="shared" si="18"/>
        <v>32.1</v>
      </c>
      <c r="O406" cm="1">
        <f t="array" ref="O406">SUM(_xlfn.XLOOKUP(E406:H406, $U$13:$U$17, $T$13:$T$17))</f>
        <v>18</v>
      </c>
      <c r="P406">
        <f t="shared" si="19"/>
        <v>0</v>
      </c>
      <c r="Q406" s="1">
        <f t="shared" si="20"/>
        <v>0</v>
      </c>
    </row>
    <row r="407" spans="1:17" x14ac:dyDescent="0.25">
      <c r="A407" s="1" t="s">
        <v>554</v>
      </c>
      <c r="B407" s="1" t="s">
        <v>16</v>
      </c>
      <c r="C407">
        <v>4</v>
      </c>
      <c r="D407">
        <v>4</v>
      </c>
      <c r="E407">
        <v>3</v>
      </c>
      <c r="F407">
        <v>2</v>
      </c>
      <c r="G407">
        <v>5</v>
      </c>
      <c r="H407">
        <v>4</v>
      </c>
      <c r="I407">
        <v>65</v>
      </c>
      <c r="J407">
        <v>42</v>
      </c>
      <c r="K407">
        <v>95</v>
      </c>
      <c r="L407">
        <v>95</v>
      </c>
      <c r="M407">
        <v>95</v>
      </c>
      <c r="N407">
        <f t="shared" si="18"/>
        <v>39.200000000000003</v>
      </c>
      <c r="O407" cm="1">
        <f t="array" ref="O407">SUM(_xlfn.XLOOKUP(E407:H407, $U$13:$U$17, $T$13:$T$17))</f>
        <v>18</v>
      </c>
      <c r="P407">
        <f t="shared" si="19"/>
        <v>4</v>
      </c>
      <c r="Q407" s="1">
        <f t="shared" si="20"/>
        <v>0</v>
      </c>
    </row>
    <row r="408" spans="1:17" x14ac:dyDescent="0.25">
      <c r="A408" s="1" t="s">
        <v>555</v>
      </c>
      <c r="B408" s="1" t="s">
        <v>64</v>
      </c>
      <c r="C408">
        <v>6</v>
      </c>
      <c r="D408">
        <v>2</v>
      </c>
      <c r="E408">
        <v>2</v>
      </c>
      <c r="F408">
        <v>2</v>
      </c>
      <c r="G408">
        <v>2</v>
      </c>
      <c r="H408">
        <v>4</v>
      </c>
      <c r="I408">
        <v>32</v>
      </c>
      <c r="J408">
        <v>39</v>
      </c>
      <c r="K408">
        <v>61</v>
      </c>
      <c r="L408">
        <v>67</v>
      </c>
      <c r="M408">
        <v>14</v>
      </c>
      <c r="N408">
        <f t="shared" si="18"/>
        <v>21.299999999999997</v>
      </c>
      <c r="O408" cm="1">
        <f t="array" ref="O408">SUM(_xlfn.XLOOKUP(E408:H408, $U$13:$U$17, $T$13:$T$17))</f>
        <v>6</v>
      </c>
      <c r="P408">
        <f t="shared" si="19"/>
        <v>6</v>
      </c>
      <c r="Q408" s="1">
        <f t="shared" si="20"/>
        <v>0</v>
      </c>
    </row>
    <row r="409" spans="1:17" x14ac:dyDescent="0.25">
      <c r="A409" s="1" t="s">
        <v>466</v>
      </c>
      <c r="B409" s="1" t="s">
        <v>16</v>
      </c>
      <c r="C409">
        <v>8</v>
      </c>
      <c r="D409">
        <v>3</v>
      </c>
      <c r="E409">
        <v>5</v>
      </c>
      <c r="F409">
        <v>6</v>
      </c>
      <c r="G409">
        <v>3</v>
      </c>
      <c r="H409">
        <v>5</v>
      </c>
      <c r="I409">
        <v>7</v>
      </c>
      <c r="J409">
        <v>96</v>
      </c>
      <c r="K409">
        <v>85</v>
      </c>
      <c r="L409">
        <v>8</v>
      </c>
      <c r="M409">
        <v>46</v>
      </c>
      <c r="N409">
        <f t="shared" si="18"/>
        <v>24.199999999999996</v>
      </c>
      <c r="O409" cm="1">
        <f t="array" ref="O409">SUM(_xlfn.XLOOKUP(E409:H409, $U$13:$U$17, $T$13:$T$17))</f>
        <v>30</v>
      </c>
      <c r="P409">
        <f t="shared" si="19"/>
        <v>8</v>
      </c>
      <c r="Q409" s="1">
        <f t="shared" si="20"/>
        <v>1</v>
      </c>
    </row>
    <row r="410" spans="1:17" x14ac:dyDescent="0.25">
      <c r="A410" s="1" t="s">
        <v>556</v>
      </c>
      <c r="B410" s="1" t="s">
        <v>367</v>
      </c>
      <c r="C410">
        <v>7</v>
      </c>
      <c r="D410">
        <v>5</v>
      </c>
      <c r="E410">
        <v>5</v>
      </c>
      <c r="F410">
        <v>5</v>
      </c>
      <c r="G410">
        <v>2</v>
      </c>
      <c r="H410">
        <v>2</v>
      </c>
      <c r="I410">
        <v>35</v>
      </c>
      <c r="J410">
        <v>95</v>
      </c>
      <c r="K410">
        <v>11</v>
      </c>
      <c r="L410">
        <v>36</v>
      </c>
      <c r="M410">
        <v>19</v>
      </c>
      <c r="N410">
        <f t="shared" si="18"/>
        <v>19.599999999999998</v>
      </c>
      <c r="O410" cm="1">
        <f t="array" ref="O410">SUM(_xlfn.XLOOKUP(E410:H410, $U$13:$U$17, $T$13:$T$17))</f>
        <v>16</v>
      </c>
      <c r="P410">
        <f t="shared" si="19"/>
        <v>7</v>
      </c>
      <c r="Q410" s="1">
        <f t="shared" si="20"/>
        <v>1</v>
      </c>
    </row>
    <row r="411" spans="1:17" x14ac:dyDescent="0.25">
      <c r="A411" s="1" t="s">
        <v>557</v>
      </c>
      <c r="B411" s="1" t="s">
        <v>558</v>
      </c>
      <c r="C411">
        <v>1</v>
      </c>
      <c r="D411">
        <v>4</v>
      </c>
      <c r="E411">
        <v>4</v>
      </c>
      <c r="F411">
        <v>6</v>
      </c>
      <c r="G411">
        <v>3</v>
      </c>
      <c r="H411">
        <v>4</v>
      </c>
      <c r="I411">
        <v>73</v>
      </c>
      <c r="J411">
        <v>61</v>
      </c>
      <c r="K411">
        <v>49</v>
      </c>
      <c r="L411">
        <v>70</v>
      </c>
      <c r="M411">
        <v>52</v>
      </c>
      <c r="N411">
        <f t="shared" si="18"/>
        <v>30.499999999999996</v>
      </c>
      <c r="O411" cm="1">
        <f t="array" ref="O411">SUM(_xlfn.XLOOKUP(E411:H411, $U$13:$U$17, $T$13:$T$17))</f>
        <v>26</v>
      </c>
      <c r="P411">
        <f t="shared" si="19"/>
        <v>1</v>
      </c>
      <c r="Q411" s="1">
        <f t="shared" si="20"/>
        <v>0</v>
      </c>
    </row>
    <row r="412" spans="1:17" x14ac:dyDescent="0.25">
      <c r="A412" s="1" t="s">
        <v>559</v>
      </c>
      <c r="B412" s="1" t="s">
        <v>145</v>
      </c>
      <c r="C412">
        <v>8</v>
      </c>
      <c r="D412">
        <v>2</v>
      </c>
      <c r="E412">
        <v>5</v>
      </c>
      <c r="F412">
        <v>2</v>
      </c>
      <c r="G412">
        <v>2</v>
      </c>
      <c r="H412">
        <v>6</v>
      </c>
      <c r="I412">
        <v>52</v>
      </c>
      <c r="J412">
        <v>90</v>
      </c>
      <c r="K412">
        <v>95</v>
      </c>
      <c r="L412">
        <v>83</v>
      </c>
      <c r="M412">
        <v>23</v>
      </c>
      <c r="N412">
        <f t="shared" si="18"/>
        <v>34.299999999999997</v>
      </c>
      <c r="O412" cm="1">
        <f t="array" ref="O412">SUM(_xlfn.XLOOKUP(E412:H412, $U$13:$U$17, $T$13:$T$17))</f>
        <v>18</v>
      </c>
      <c r="P412">
        <f t="shared" si="19"/>
        <v>8</v>
      </c>
      <c r="Q412" s="1">
        <f t="shared" si="20"/>
        <v>0</v>
      </c>
    </row>
    <row r="413" spans="1:17" x14ac:dyDescent="0.25">
      <c r="A413" s="1" t="s">
        <v>418</v>
      </c>
      <c r="B413" s="1" t="s">
        <v>32</v>
      </c>
      <c r="C413">
        <v>8</v>
      </c>
      <c r="D413">
        <v>5</v>
      </c>
      <c r="E413">
        <v>6</v>
      </c>
      <c r="F413">
        <v>5</v>
      </c>
      <c r="G413">
        <v>6</v>
      </c>
      <c r="H413">
        <v>5</v>
      </c>
      <c r="I413">
        <v>5</v>
      </c>
      <c r="J413">
        <v>84</v>
      </c>
      <c r="K413">
        <v>88</v>
      </c>
      <c r="L413">
        <v>35</v>
      </c>
      <c r="M413">
        <v>40</v>
      </c>
      <c r="N413">
        <f t="shared" si="18"/>
        <v>25.200000000000003</v>
      </c>
      <c r="O413" cm="1">
        <f t="array" ref="O413">SUM(_xlfn.XLOOKUP(E413:H413, $U$13:$U$17, $T$13:$T$17))</f>
        <v>36</v>
      </c>
      <c r="P413">
        <f t="shared" si="19"/>
        <v>8</v>
      </c>
      <c r="Q413" s="1">
        <f t="shared" si="20"/>
        <v>1</v>
      </c>
    </row>
    <row r="414" spans="1:17" x14ac:dyDescent="0.25">
      <c r="A414" s="1" t="s">
        <v>123</v>
      </c>
      <c r="B414" s="1" t="s">
        <v>273</v>
      </c>
      <c r="C414">
        <v>5</v>
      </c>
      <c r="D414">
        <v>4</v>
      </c>
      <c r="E414">
        <v>6</v>
      </c>
      <c r="F414">
        <v>2</v>
      </c>
      <c r="G414">
        <v>3</v>
      </c>
      <c r="H414">
        <v>4</v>
      </c>
      <c r="I414">
        <v>53</v>
      </c>
      <c r="J414">
        <v>57</v>
      </c>
      <c r="K414">
        <v>30</v>
      </c>
      <c r="L414">
        <v>7</v>
      </c>
      <c r="M414">
        <v>52</v>
      </c>
      <c r="N414">
        <f t="shared" si="18"/>
        <v>19.899999999999999</v>
      </c>
      <c r="O414" cm="1">
        <f t="array" ref="O414">SUM(_xlfn.XLOOKUP(E414:H414, $U$13:$U$17, $T$13:$T$17))</f>
        <v>20</v>
      </c>
      <c r="P414">
        <f t="shared" si="19"/>
        <v>5</v>
      </c>
      <c r="Q414" s="1">
        <f t="shared" si="20"/>
        <v>1</v>
      </c>
    </row>
    <row r="415" spans="1:17" x14ac:dyDescent="0.25">
      <c r="A415" s="1" t="s">
        <v>560</v>
      </c>
      <c r="B415" s="1" t="s">
        <v>145</v>
      </c>
      <c r="C415">
        <v>4</v>
      </c>
      <c r="D415">
        <v>2</v>
      </c>
      <c r="E415">
        <v>4</v>
      </c>
      <c r="F415">
        <v>5</v>
      </c>
      <c r="G415">
        <v>5</v>
      </c>
      <c r="H415">
        <v>4</v>
      </c>
      <c r="I415">
        <v>52</v>
      </c>
      <c r="J415">
        <v>73</v>
      </c>
      <c r="K415">
        <v>12</v>
      </c>
      <c r="L415">
        <v>3</v>
      </c>
      <c r="M415">
        <v>7</v>
      </c>
      <c r="N415">
        <f t="shared" si="18"/>
        <v>14.7</v>
      </c>
      <c r="O415" cm="1">
        <f t="array" ref="O415">SUM(_xlfn.XLOOKUP(E415:H415, $U$13:$U$17, $T$13:$T$17))</f>
        <v>28</v>
      </c>
      <c r="P415">
        <f t="shared" si="19"/>
        <v>4</v>
      </c>
      <c r="Q415" s="1">
        <f t="shared" si="20"/>
        <v>1</v>
      </c>
    </row>
    <row r="416" spans="1:17" x14ac:dyDescent="0.25">
      <c r="A416" s="1" t="s">
        <v>561</v>
      </c>
      <c r="B416" s="1" t="s">
        <v>133</v>
      </c>
      <c r="C416">
        <v>7</v>
      </c>
      <c r="D416">
        <v>4</v>
      </c>
      <c r="E416">
        <v>3</v>
      </c>
      <c r="F416">
        <v>2</v>
      </c>
      <c r="G416">
        <v>5</v>
      </c>
      <c r="H416">
        <v>5</v>
      </c>
      <c r="I416">
        <v>41</v>
      </c>
      <c r="J416">
        <v>23</v>
      </c>
      <c r="K416">
        <v>84</v>
      </c>
      <c r="L416">
        <v>93</v>
      </c>
      <c r="M416">
        <v>6</v>
      </c>
      <c r="N416">
        <f t="shared" si="18"/>
        <v>24.700000000000003</v>
      </c>
      <c r="O416" cm="1">
        <f t="array" ref="O416">SUM(_xlfn.XLOOKUP(E416:H416, $U$13:$U$17, $T$13:$T$17))</f>
        <v>20</v>
      </c>
      <c r="P416">
        <f t="shared" si="19"/>
        <v>7</v>
      </c>
      <c r="Q416" s="1">
        <f t="shared" si="20"/>
        <v>1</v>
      </c>
    </row>
    <row r="417" spans="1:17" x14ac:dyDescent="0.25">
      <c r="A417" s="1" t="s">
        <v>562</v>
      </c>
      <c r="B417" s="1" t="s">
        <v>369</v>
      </c>
      <c r="C417">
        <v>3</v>
      </c>
      <c r="D417">
        <v>3</v>
      </c>
      <c r="E417">
        <v>4</v>
      </c>
      <c r="F417">
        <v>4</v>
      </c>
      <c r="G417">
        <v>5</v>
      </c>
      <c r="H417">
        <v>5</v>
      </c>
      <c r="I417">
        <v>44</v>
      </c>
      <c r="J417">
        <v>90</v>
      </c>
      <c r="K417">
        <v>71</v>
      </c>
      <c r="L417">
        <v>41</v>
      </c>
      <c r="M417">
        <v>60</v>
      </c>
      <c r="N417">
        <f t="shared" si="18"/>
        <v>30.6</v>
      </c>
      <c r="O417" cm="1">
        <f t="array" ref="O417">SUM(_xlfn.XLOOKUP(E417:H417, $U$13:$U$17, $T$13:$T$17))</f>
        <v>28</v>
      </c>
      <c r="P417">
        <f t="shared" si="19"/>
        <v>3</v>
      </c>
      <c r="Q417" s="1">
        <f t="shared" si="20"/>
        <v>1</v>
      </c>
    </row>
    <row r="418" spans="1:17" x14ac:dyDescent="0.25">
      <c r="A418" s="1" t="s">
        <v>563</v>
      </c>
      <c r="B418" s="1" t="s">
        <v>101</v>
      </c>
      <c r="C418">
        <v>0</v>
      </c>
      <c r="D418">
        <v>5</v>
      </c>
      <c r="E418">
        <v>2</v>
      </c>
      <c r="F418">
        <v>4</v>
      </c>
      <c r="G418">
        <v>2</v>
      </c>
      <c r="H418">
        <v>6</v>
      </c>
      <c r="I418">
        <v>27</v>
      </c>
      <c r="J418">
        <v>56</v>
      </c>
      <c r="K418">
        <v>54</v>
      </c>
      <c r="L418">
        <v>99</v>
      </c>
      <c r="M418">
        <v>27</v>
      </c>
      <c r="N418">
        <f t="shared" si="18"/>
        <v>26.3</v>
      </c>
      <c r="O418" cm="1">
        <f t="array" ref="O418">SUM(_xlfn.XLOOKUP(E418:H418, $U$13:$U$17, $T$13:$T$17))</f>
        <v>16</v>
      </c>
      <c r="P418">
        <f t="shared" si="19"/>
        <v>0</v>
      </c>
      <c r="Q418" s="1">
        <f t="shared" si="20"/>
        <v>0</v>
      </c>
    </row>
    <row r="419" spans="1:17" x14ac:dyDescent="0.25">
      <c r="A419" s="1" t="s">
        <v>564</v>
      </c>
      <c r="B419" s="1" t="s">
        <v>145</v>
      </c>
      <c r="C419">
        <v>6</v>
      </c>
      <c r="D419">
        <v>4</v>
      </c>
      <c r="E419">
        <v>5</v>
      </c>
      <c r="F419">
        <v>6</v>
      </c>
      <c r="G419">
        <v>2</v>
      </c>
      <c r="H419">
        <v>5</v>
      </c>
      <c r="I419">
        <v>56</v>
      </c>
      <c r="J419">
        <v>47</v>
      </c>
      <c r="K419">
        <v>34</v>
      </c>
      <c r="L419">
        <v>65</v>
      </c>
      <c r="M419">
        <v>87</v>
      </c>
      <c r="N419">
        <f t="shared" si="18"/>
        <v>28.900000000000002</v>
      </c>
      <c r="O419" cm="1">
        <f t="array" ref="O419">SUM(_xlfn.XLOOKUP(E419:H419, $U$13:$U$17, $T$13:$T$17))</f>
        <v>26</v>
      </c>
      <c r="P419">
        <f t="shared" si="19"/>
        <v>6</v>
      </c>
      <c r="Q419" s="1">
        <f t="shared" si="20"/>
        <v>1</v>
      </c>
    </row>
    <row r="420" spans="1:17" x14ac:dyDescent="0.25">
      <c r="A420" s="1" t="s">
        <v>565</v>
      </c>
      <c r="B420" s="1" t="s">
        <v>302</v>
      </c>
      <c r="C420">
        <v>3</v>
      </c>
      <c r="D420">
        <v>5</v>
      </c>
      <c r="E420">
        <v>6</v>
      </c>
      <c r="F420">
        <v>4</v>
      </c>
      <c r="G420">
        <v>6</v>
      </c>
      <c r="H420">
        <v>6</v>
      </c>
      <c r="I420">
        <v>79</v>
      </c>
      <c r="J420">
        <v>52</v>
      </c>
      <c r="K420">
        <v>11</v>
      </c>
      <c r="L420">
        <v>9</v>
      </c>
      <c r="M420">
        <v>83</v>
      </c>
      <c r="N420">
        <f t="shared" si="18"/>
        <v>23.400000000000002</v>
      </c>
      <c r="O420" cm="1">
        <f t="array" ref="O420">SUM(_xlfn.XLOOKUP(E420:H420, $U$13:$U$17, $T$13:$T$17))</f>
        <v>36</v>
      </c>
      <c r="P420">
        <f t="shared" si="19"/>
        <v>3</v>
      </c>
      <c r="Q420" s="1">
        <f t="shared" si="20"/>
        <v>1</v>
      </c>
    </row>
    <row r="421" spans="1:17" x14ac:dyDescent="0.25">
      <c r="A421" s="1" t="s">
        <v>566</v>
      </c>
      <c r="B421" s="1" t="s">
        <v>174</v>
      </c>
      <c r="C421">
        <v>6</v>
      </c>
      <c r="D421">
        <v>5</v>
      </c>
      <c r="E421">
        <v>5</v>
      </c>
      <c r="F421">
        <v>5</v>
      </c>
      <c r="G421">
        <v>4</v>
      </c>
      <c r="H421">
        <v>4</v>
      </c>
      <c r="I421">
        <v>34</v>
      </c>
      <c r="J421">
        <v>15</v>
      </c>
      <c r="K421">
        <v>40</v>
      </c>
      <c r="L421">
        <v>85</v>
      </c>
      <c r="M421">
        <v>52</v>
      </c>
      <c r="N421">
        <f t="shared" si="18"/>
        <v>22.599999999999998</v>
      </c>
      <c r="O421" cm="1">
        <f t="array" ref="O421">SUM(_xlfn.XLOOKUP(E421:H421, $U$13:$U$17, $T$13:$T$17))</f>
        <v>28</v>
      </c>
      <c r="P421">
        <f t="shared" si="19"/>
        <v>6</v>
      </c>
      <c r="Q421" s="1">
        <f t="shared" si="20"/>
        <v>1</v>
      </c>
    </row>
    <row r="422" spans="1:17" x14ac:dyDescent="0.25">
      <c r="A422" s="1" t="s">
        <v>567</v>
      </c>
      <c r="B422" s="1" t="s">
        <v>568</v>
      </c>
      <c r="C422">
        <v>1</v>
      </c>
      <c r="D422">
        <v>3</v>
      </c>
      <c r="E422">
        <v>4</v>
      </c>
      <c r="F422">
        <v>6</v>
      </c>
      <c r="G422">
        <v>6</v>
      </c>
      <c r="H422">
        <v>3</v>
      </c>
      <c r="I422">
        <v>52</v>
      </c>
      <c r="J422">
        <v>36</v>
      </c>
      <c r="K422">
        <v>41</v>
      </c>
      <c r="L422">
        <v>96</v>
      </c>
      <c r="M422">
        <v>66</v>
      </c>
      <c r="N422">
        <f t="shared" si="18"/>
        <v>29.1</v>
      </c>
      <c r="O422" cm="1">
        <f t="array" ref="O422">SUM(_xlfn.XLOOKUP(E422:H422, $U$13:$U$17, $T$13:$T$17))</f>
        <v>30</v>
      </c>
      <c r="P422">
        <f t="shared" si="19"/>
        <v>1</v>
      </c>
      <c r="Q422" s="1">
        <f t="shared" si="20"/>
        <v>1</v>
      </c>
    </row>
    <row r="423" spans="1:17" x14ac:dyDescent="0.25">
      <c r="A423" s="1" t="s">
        <v>569</v>
      </c>
      <c r="B423" s="1" t="s">
        <v>222</v>
      </c>
      <c r="C423">
        <v>5</v>
      </c>
      <c r="D423">
        <v>4</v>
      </c>
      <c r="E423">
        <v>6</v>
      </c>
      <c r="F423">
        <v>5</v>
      </c>
      <c r="G423">
        <v>5</v>
      </c>
      <c r="H423">
        <v>3</v>
      </c>
      <c r="I423">
        <v>41</v>
      </c>
      <c r="J423">
        <v>35</v>
      </c>
      <c r="K423">
        <v>54</v>
      </c>
      <c r="L423">
        <v>14</v>
      </c>
      <c r="M423">
        <v>29</v>
      </c>
      <c r="N423">
        <f t="shared" si="18"/>
        <v>17.3</v>
      </c>
      <c r="O423" cm="1">
        <f t="array" ref="O423">SUM(_xlfn.XLOOKUP(E423:H423, $U$13:$U$17, $T$13:$T$17))</f>
        <v>30</v>
      </c>
      <c r="P423">
        <f t="shared" si="19"/>
        <v>5</v>
      </c>
      <c r="Q423" s="1">
        <f t="shared" si="20"/>
        <v>1</v>
      </c>
    </row>
    <row r="424" spans="1:17" x14ac:dyDescent="0.25">
      <c r="A424" s="1" t="s">
        <v>570</v>
      </c>
      <c r="B424" s="1" t="s">
        <v>571</v>
      </c>
      <c r="C424">
        <v>5</v>
      </c>
      <c r="D424">
        <v>3</v>
      </c>
      <c r="E424">
        <v>5</v>
      </c>
      <c r="F424">
        <v>5</v>
      </c>
      <c r="G424">
        <v>3</v>
      </c>
      <c r="H424">
        <v>2</v>
      </c>
      <c r="I424">
        <v>25</v>
      </c>
      <c r="J424">
        <v>24</v>
      </c>
      <c r="K424">
        <v>28</v>
      </c>
      <c r="L424">
        <v>21</v>
      </c>
      <c r="M424">
        <v>24</v>
      </c>
      <c r="N424">
        <f t="shared" si="18"/>
        <v>12.200000000000001</v>
      </c>
      <c r="O424" cm="1">
        <f t="array" ref="O424">SUM(_xlfn.XLOOKUP(E424:H424, $U$13:$U$17, $T$13:$T$17))</f>
        <v>20</v>
      </c>
      <c r="P424">
        <f t="shared" si="19"/>
        <v>5</v>
      </c>
      <c r="Q424" s="1">
        <f t="shared" si="20"/>
        <v>1</v>
      </c>
    </row>
    <row r="425" spans="1:17" x14ac:dyDescent="0.25">
      <c r="A425" s="1" t="s">
        <v>572</v>
      </c>
      <c r="B425" s="1" t="s">
        <v>177</v>
      </c>
      <c r="C425">
        <v>3</v>
      </c>
      <c r="D425">
        <v>4</v>
      </c>
      <c r="E425">
        <v>2</v>
      </c>
      <c r="F425">
        <v>5</v>
      </c>
      <c r="G425">
        <v>2</v>
      </c>
      <c r="H425">
        <v>6</v>
      </c>
      <c r="I425">
        <v>80</v>
      </c>
      <c r="J425">
        <v>86</v>
      </c>
      <c r="K425">
        <v>29</v>
      </c>
      <c r="L425">
        <v>32</v>
      </c>
      <c r="M425">
        <v>85</v>
      </c>
      <c r="N425">
        <f t="shared" si="18"/>
        <v>31.2</v>
      </c>
      <c r="O425" cm="1">
        <f t="array" ref="O425">SUM(_xlfn.XLOOKUP(E425:H425, $U$13:$U$17, $T$13:$T$17))</f>
        <v>18</v>
      </c>
      <c r="P425">
        <f t="shared" si="19"/>
        <v>3</v>
      </c>
      <c r="Q425" s="1">
        <f t="shared" si="20"/>
        <v>0</v>
      </c>
    </row>
    <row r="426" spans="1:17" x14ac:dyDescent="0.25">
      <c r="A426" s="1" t="s">
        <v>573</v>
      </c>
      <c r="B426" s="1" t="s">
        <v>526</v>
      </c>
      <c r="C426">
        <v>4</v>
      </c>
      <c r="D426">
        <v>3</v>
      </c>
      <c r="E426">
        <v>5</v>
      </c>
      <c r="F426">
        <v>6</v>
      </c>
      <c r="G426">
        <v>3</v>
      </c>
      <c r="H426">
        <v>4</v>
      </c>
      <c r="I426">
        <v>68</v>
      </c>
      <c r="J426">
        <v>19</v>
      </c>
      <c r="K426">
        <v>94</v>
      </c>
      <c r="L426">
        <v>92</v>
      </c>
      <c r="M426">
        <v>62</v>
      </c>
      <c r="N426">
        <f t="shared" si="18"/>
        <v>33.5</v>
      </c>
      <c r="O426" cm="1">
        <f t="array" ref="O426">SUM(_xlfn.XLOOKUP(E426:H426, $U$13:$U$17, $T$13:$T$17))</f>
        <v>28</v>
      </c>
      <c r="P426">
        <f t="shared" si="19"/>
        <v>4</v>
      </c>
      <c r="Q426" s="1">
        <f t="shared" si="20"/>
        <v>0</v>
      </c>
    </row>
    <row r="427" spans="1:17" x14ac:dyDescent="0.25">
      <c r="A427" s="1" t="s">
        <v>574</v>
      </c>
      <c r="B427" s="1" t="s">
        <v>575</v>
      </c>
      <c r="C427">
        <v>4</v>
      </c>
      <c r="D427">
        <v>2</v>
      </c>
      <c r="E427">
        <v>5</v>
      </c>
      <c r="F427">
        <v>2</v>
      </c>
      <c r="G427">
        <v>5</v>
      </c>
      <c r="H427">
        <v>4</v>
      </c>
      <c r="I427">
        <v>74</v>
      </c>
      <c r="J427">
        <v>85</v>
      </c>
      <c r="K427">
        <v>21</v>
      </c>
      <c r="L427">
        <v>33</v>
      </c>
      <c r="M427">
        <v>9</v>
      </c>
      <c r="N427">
        <f t="shared" si="18"/>
        <v>22.2</v>
      </c>
      <c r="O427" cm="1">
        <f t="array" ref="O427">SUM(_xlfn.XLOOKUP(E427:H427, $U$13:$U$17, $T$13:$T$17))</f>
        <v>22</v>
      </c>
      <c r="P427">
        <f t="shared" si="19"/>
        <v>4</v>
      </c>
      <c r="Q427" s="1">
        <f t="shared" si="20"/>
        <v>1</v>
      </c>
    </row>
    <row r="428" spans="1:17" x14ac:dyDescent="0.25">
      <c r="A428" s="1" t="s">
        <v>403</v>
      </c>
      <c r="B428" s="1" t="s">
        <v>64</v>
      </c>
      <c r="C428">
        <v>0</v>
      </c>
      <c r="D428">
        <v>2</v>
      </c>
      <c r="E428">
        <v>3</v>
      </c>
      <c r="F428">
        <v>5</v>
      </c>
      <c r="G428">
        <v>4</v>
      </c>
      <c r="H428">
        <v>6</v>
      </c>
      <c r="I428">
        <v>40</v>
      </c>
      <c r="J428">
        <v>46</v>
      </c>
      <c r="K428">
        <v>1</v>
      </c>
      <c r="L428">
        <v>98</v>
      </c>
      <c r="M428">
        <v>39</v>
      </c>
      <c r="N428">
        <f t="shared" si="18"/>
        <v>22.4</v>
      </c>
      <c r="O428" cm="1">
        <f t="array" ref="O428">SUM(_xlfn.XLOOKUP(E428:H428, $U$13:$U$17, $T$13:$T$17))</f>
        <v>28</v>
      </c>
      <c r="P428">
        <f t="shared" si="19"/>
        <v>0</v>
      </c>
      <c r="Q428" s="1">
        <f t="shared" si="20"/>
        <v>1</v>
      </c>
    </row>
    <row r="429" spans="1:17" x14ac:dyDescent="0.25">
      <c r="A429" s="1" t="s">
        <v>576</v>
      </c>
      <c r="B429" s="1" t="s">
        <v>430</v>
      </c>
      <c r="C429">
        <v>7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1</v>
      </c>
      <c r="J429">
        <v>25</v>
      </c>
      <c r="K429">
        <v>33</v>
      </c>
      <c r="L429">
        <v>91</v>
      </c>
      <c r="M429">
        <v>60</v>
      </c>
      <c r="N429">
        <f t="shared" si="18"/>
        <v>21</v>
      </c>
      <c r="O429" cm="1">
        <f t="array" ref="O429">SUM(_xlfn.XLOOKUP(E429:H429, $U$13:$U$17, $T$13:$T$17))</f>
        <v>0</v>
      </c>
      <c r="P429">
        <f t="shared" si="19"/>
        <v>7</v>
      </c>
      <c r="Q429" s="1">
        <f t="shared" si="20"/>
        <v>0</v>
      </c>
    </row>
    <row r="430" spans="1:17" x14ac:dyDescent="0.25">
      <c r="A430" s="1" t="s">
        <v>577</v>
      </c>
      <c r="B430" s="1" t="s">
        <v>360</v>
      </c>
      <c r="C430">
        <v>3</v>
      </c>
      <c r="D430">
        <v>3</v>
      </c>
      <c r="E430">
        <v>6</v>
      </c>
      <c r="F430">
        <v>4</v>
      </c>
      <c r="G430">
        <v>4</v>
      </c>
      <c r="H430">
        <v>3</v>
      </c>
      <c r="I430">
        <v>87</v>
      </c>
      <c r="J430">
        <v>50</v>
      </c>
      <c r="K430">
        <v>61</v>
      </c>
      <c r="L430">
        <v>48</v>
      </c>
      <c r="M430">
        <v>86</v>
      </c>
      <c r="N430">
        <f t="shared" si="18"/>
        <v>33.199999999999996</v>
      </c>
      <c r="O430" cm="1">
        <f t="array" ref="O430">SUM(_xlfn.XLOOKUP(E430:H430, $U$13:$U$17, $T$13:$T$17))</f>
        <v>26</v>
      </c>
      <c r="P430">
        <f t="shared" si="19"/>
        <v>3</v>
      </c>
      <c r="Q430" s="1">
        <f t="shared" si="20"/>
        <v>0</v>
      </c>
    </row>
    <row r="431" spans="1:17" x14ac:dyDescent="0.25">
      <c r="A431" s="1" t="s">
        <v>578</v>
      </c>
      <c r="B431" s="1" t="s">
        <v>579</v>
      </c>
      <c r="C431">
        <v>5</v>
      </c>
      <c r="D431">
        <v>6</v>
      </c>
      <c r="E431">
        <v>4</v>
      </c>
      <c r="F431">
        <v>2</v>
      </c>
      <c r="G431">
        <v>4</v>
      </c>
      <c r="H431">
        <v>3</v>
      </c>
      <c r="I431">
        <v>100</v>
      </c>
      <c r="J431">
        <v>74</v>
      </c>
      <c r="K431">
        <v>76</v>
      </c>
      <c r="L431">
        <v>47</v>
      </c>
      <c r="M431">
        <v>29</v>
      </c>
      <c r="N431">
        <f t="shared" si="18"/>
        <v>32.6</v>
      </c>
      <c r="O431" cm="1">
        <f t="array" ref="O431">SUM(_xlfn.XLOOKUP(E431:H431, $U$13:$U$17, $T$13:$T$17))</f>
        <v>16</v>
      </c>
      <c r="P431">
        <f t="shared" si="19"/>
        <v>7</v>
      </c>
      <c r="Q431" s="1">
        <f t="shared" si="20"/>
        <v>0</v>
      </c>
    </row>
    <row r="432" spans="1:17" x14ac:dyDescent="0.25">
      <c r="A432" s="1" t="s">
        <v>580</v>
      </c>
      <c r="B432" s="1" t="s">
        <v>14</v>
      </c>
      <c r="C432">
        <v>1</v>
      </c>
      <c r="D432">
        <v>6</v>
      </c>
      <c r="E432">
        <v>5</v>
      </c>
      <c r="F432">
        <v>2</v>
      </c>
      <c r="G432">
        <v>5</v>
      </c>
      <c r="H432">
        <v>5</v>
      </c>
      <c r="I432">
        <v>59</v>
      </c>
      <c r="J432">
        <v>30</v>
      </c>
      <c r="K432">
        <v>96</v>
      </c>
      <c r="L432">
        <v>53</v>
      </c>
      <c r="M432">
        <v>87</v>
      </c>
      <c r="N432">
        <f t="shared" si="18"/>
        <v>32.5</v>
      </c>
      <c r="O432" cm="1">
        <f t="array" ref="O432">SUM(_xlfn.XLOOKUP(E432:H432, $U$13:$U$17, $T$13:$T$17))</f>
        <v>24</v>
      </c>
      <c r="P432">
        <f t="shared" si="19"/>
        <v>3</v>
      </c>
      <c r="Q432" s="1">
        <f t="shared" si="20"/>
        <v>0</v>
      </c>
    </row>
    <row r="433" spans="1:17" x14ac:dyDescent="0.25">
      <c r="A433" s="1" t="s">
        <v>581</v>
      </c>
      <c r="B433" s="1" t="s">
        <v>70</v>
      </c>
      <c r="C433">
        <v>6</v>
      </c>
      <c r="D433">
        <v>2</v>
      </c>
      <c r="E433">
        <v>6</v>
      </c>
      <c r="F433">
        <v>4</v>
      </c>
      <c r="G433">
        <v>4</v>
      </c>
      <c r="H433">
        <v>6</v>
      </c>
      <c r="I433">
        <v>51</v>
      </c>
      <c r="J433">
        <v>98</v>
      </c>
      <c r="K433">
        <v>20</v>
      </c>
      <c r="L433">
        <v>37</v>
      </c>
      <c r="M433">
        <v>54</v>
      </c>
      <c r="N433">
        <f t="shared" si="18"/>
        <v>26</v>
      </c>
      <c r="O433" cm="1">
        <f t="array" ref="O433">SUM(_xlfn.XLOOKUP(E433:H433, $U$13:$U$17, $T$13:$T$17))</f>
        <v>32</v>
      </c>
      <c r="P433">
        <f t="shared" si="19"/>
        <v>6</v>
      </c>
      <c r="Q433" s="1">
        <f t="shared" si="20"/>
        <v>1</v>
      </c>
    </row>
    <row r="434" spans="1:17" x14ac:dyDescent="0.25">
      <c r="A434" s="1" t="s">
        <v>380</v>
      </c>
      <c r="B434" s="1" t="s">
        <v>126</v>
      </c>
      <c r="C434">
        <v>7</v>
      </c>
      <c r="D434">
        <v>6</v>
      </c>
      <c r="E434">
        <v>2</v>
      </c>
      <c r="F434">
        <v>6</v>
      </c>
      <c r="G434">
        <v>2</v>
      </c>
      <c r="H434">
        <v>6</v>
      </c>
      <c r="I434">
        <v>75</v>
      </c>
      <c r="J434">
        <v>60</v>
      </c>
      <c r="K434">
        <v>80</v>
      </c>
      <c r="L434">
        <v>86</v>
      </c>
      <c r="M434">
        <v>91</v>
      </c>
      <c r="N434">
        <f t="shared" si="18"/>
        <v>39.200000000000003</v>
      </c>
      <c r="O434" cm="1">
        <f t="array" ref="O434">SUM(_xlfn.XLOOKUP(E434:H434, $U$13:$U$17, $T$13:$T$17))</f>
        <v>20</v>
      </c>
      <c r="P434">
        <f t="shared" si="19"/>
        <v>9</v>
      </c>
      <c r="Q434" s="1">
        <f t="shared" si="20"/>
        <v>0</v>
      </c>
    </row>
    <row r="435" spans="1:17" x14ac:dyDescent="0.25">
      <c r="A435" s="1" t="s">
        <v>582</v>
      </c>
      <c r="B435" s="1" t="s">
        <v>367</v>
      </c>
      <c r="C435">
        <v>5</v>
      </c>
      <c r="D435">
        <v>3</v>
      </c>
      <c r="E435">
        <v>2</v>
      </c>
      <c r="F435">
        <v>6</v>
      </c>
      <c r="G435">
        <v>2</v>
      </c>
      <c r="H435">
        <v>2</v>
      </c>
      <c r="I435">
        <v>28</v>
      </c>
      <c r="J435">
        <v>28</v>
      </c>
      <c r="K435">
        <v>14</v>
      </c>
      <c r="L435">
        <v>52</v>
      </c>
      <c r="M435">
        <v>35</v>
      </c>
      <c r="N435">
        <f t="shared" si="18"/>
        <v>15.7</v>
      </c>
      <c r="O435" cm="1">
        <f t="array" ref="O435">SUM(_xlfn.XLOOKUP(E435:H435, $U$13:$U$17, $T$13:$T$17))</f>
        <v>10</v>
      </c>
      <c r="P435">
        <f t="shared" si="19"/>
        <v>5</v>
      </c>
      <c r="Q435" s="1">
        <f t="shared" si="20"/>
        <v>0</v>
      </c>
    </row>
    <row r="436" spans="1:17" x14ac:dyDescent="0.25">
      <c r="A436" s="1" t="s">
        <v>583</v>
      </c>
      <c r="B436" s="1" t="s">
        <v>133</v>
      </c>
      <c r="C436">
        <v>8</v>
      </c>
      <c r="D436">
        <v>3</v>
      </c>
      <c r="E436">
        <v>5</v>
      </c>
      <c r="F436">
        <v>5</v>
      </c>
      <c r="G436">
        <v>5</v>
      </c>
      <c r="H436">
        <v>6</v>
      </c>
      <c r="I436">
        <v>63</v>
      </c>
      <c r="J436">
        <v>66</v>
      </c>
      <c r="K436">
        <v>71</v>
      </c>
      <c r="L436">
        <v>11</v>
      </c>
      <c r="M436">
        <v>57</v>
      </c>
      <c r="N436">
        <f t="shared" si="18"/>
        <v>26.8</v>
      </c>
      <c r="O436" cm="1">
        <f t="array" ref="O436">SUM(_xlfn.XLOOKUP(E436:H436, $U$13:$U$17, $T$13:$T$17))</f>
        <v>34</v>
      </c>
      <c r="P436">
        <f t="shared" si="19"/>
        <v>8</v>
      </c>
      <c r="Q436" s="1">
        <f t="shared" si="20"/>
        <v>1</v>
      </c>
    </row>
    <row r="437" spans="1:17" x14ac:dyDescent="0.25">
      <c r="A437" s="1" t="s">
        <v>584</v>
      </c>
      <c r="B437" s="1" t="s">
        <v>171</v>
      </c>
      <c r="C437">
        <v>5</v>
      </c>
      <c r="D437">
        <v>5</v>
      </c>
      <c r="E437">
        <v>5</v>
      </c>
      <c r="F437">
        <v>5</v>
      </c>
      <c r="G437">
        <v>2</v>
      </c>
      <c r="H437">
        <v>6</v>
      </c>
      <c r="I437">
        <v>45</v>
      </c>
      <c r="J437">
        <v>94</v>
      </c>
      <c r="K437">
        <v>45</v>
      </c>
      <c r="L437">
        <v>100</v>
      </c>
      <c r="M437">
        <v>98</v>
      </c>
      <c r="N437">
        <f t="shared" si="18"/>
        <v>38.200000000000003</v>
      </c>
      <c r="O437" cm="1">
        <f t="array" ref="O437">SUM(_xlfn.XLOOKUP(E437:H437, $U$13:$U$17, $T$13:$T$17))</f>
        <v>26</v>
      </c>
      <c r="P437">
        <f t="shared" si="19"/>
        <v>5</v>
      </c>
      <c r="Q437" s="1">
        <f t="shared" si="20"/>
        <v>0</v>
      </c>
    </row>
    <row r="438" spans="1:17" x14ac:dyDescent="0.25">
      <c r="A438" s="1" t="s">
        <v>585</v>
      </c>
      <c r="B438" s="1" t="s">
        <v>586</v>
      </c>
      <c r="C438">
        <v>6</v>
      </c>
      <c r="D438">
        <v>5</v>
      </c>
      <c r="E438">
        <v>4</v>
      </c>
      <c r="F438">
        <v>5</v>
      </c>
      <c r="G438">
        <v>6</v>
      </c>
      <c r="H438">
        <v>3</v>
      </c>
      <c r="I438">
        <v>90</v>
      </c>
      <c r="J438">
        <v>98</v>
      </c>
      <c r="K438">
        <v>10</v>
      </c>
      <c r="L438">
        <v>95</v>
      </c>
      <c r="M438">
        <v>63</v>
      </c>
      <c r="N438">
        <f t="shared" si="18"/>
        <v>35.6</v>
      </c>
      <c r="O438" cm="1">
        <f t="array" ref="O438">SUM(_xlfn.XLOOKUP(E438:H438, $U$13:$U$17, $T$13:$T$17))</f>
        <v>28</v>
      </c>
      <c r="P438">
        <f t="shared" si="19"/>
        <v>6</v>
      </c>
      <c r="Q438" s="1">
        <f t="shared" si="20"/>
        <v>0</v>
      </c>
    </row>
    <row r="439" spans="1:17" x14ac:dyDescent="0.25">
      <c r="A439" s="1" t="s">
        <v>587</v>
      </c>
      <c r="B439" s="1" t="s">
        <v>495</v>
      </c>
      <c r="C439">
        <v>7</v>
      </c>
      <c r="D439">
        <v>4</v>
      </c>
      <c r="E439">
        <v>6</v>
      </c>
      <c r="F439">
        <v>5</v>
      </c>
      <c r="G439">
        <v>4</v>
      </c>
      <c r="H439">
        <v>6</v>
      </c>
      <c r="I439">
        <v>3</v>
      </c>
      <c r="J439">
        <v>73</v>
      </c>
      <c r="K439">
        <v>19</v>
      </c>
      <c r="L439">
        <v>42</v>
      </c>
      <c r="M439">
        <v>88</v>
      </c>
      <c r="N439">
        <f t="shared" si="18"/>
        <v>22.5</v>
      </c>
      <c r="O439" cm="1">
        <f t="array" ref="O439">SUM(_xlfn.XLOOKUP(E439:H439, $U$13:$U$17, $T$13:$T$17))</f>
        <v>34</v>
      </c>
      <c r="P439">
        <f t="shared" si="19"/>
        <v>7</v>
      </c>
      <c r="Q439" s="1">
        <f t="shared" si="20"/>
        <v>1</v>
      </c>
    </row>
    <row r="440" spans="1:17" x14ac:dyDescent="0.25">
      <c r="A440" s="1" t="s">
        <v>588</v>
      </c>
      <c r="B440" s="1" t="s">
        <v>586</v>
      </c>
      <c r="C440">
        <v>0</v>
      </c>
      <c r="D440">
        <v>2</v>
      </c>
      <c r="E440">
        <v>3</v>
      </c>
      <c r="F440">
        <v>3</v>
      </c>
      <c r="G440">
        <v>5</v>
      </c>
      <c r="H440">
        <v>2</v>
      </c>
      <c r="I440">
        <v>82</v>
      </c>
      <c r="J440">
        <v>61</v>
      </c>
      <c r="K440">
        <v>59</v>
      </c>
      <c r="L440">
        <v>51</v>
      </c>
      <c r="M440">
        <v>71</v>
      </c>
      <c r="N440">
        <f t="shared" si="18"/>
        <v>32.4</v>
      </c>
      <c r="O440" cm="1">
        <f t="array" ref="O440">SUM(_xlfn.XLOOKUP(E440:H440, $U$13:$U$17, $T$13:$T$17))</f>
        <v>16</v>
      </c>
      <c r="P440">
        <f t="shared" si="19"/>
        <v>0</v>
      </c>
      <c r="Q440" s="1">
        <f t="shared" si="20"/>
        <v>0</v>
      </c>
    </row>
    <row r="441" spans="1:17" x14ac:dyDescent="0.25">
      <c r="A441" s="1" t="s">
        <v>235</v>
      </c>
      <c r="B441" s="1" t="s">
        <v>110</v>
      </c>
      <c r="C441">
        <v>0</v>
      </c>
      <c r="D441">
        <v>5</v>
      </c>
      <c r="E441">
        <v>6</v>
      </c>
      <c r="F441">
        <v>4</v>
      </c>
      <c r="G441">
        <v>2</v>
      </c>
      <c r="H441">
        <v>6</v>
      </c>
      <c r="I441">
        <v>8</v>
      </c>
      <c r="J441">
        <v>13</v>
      </c>
      <c r="K441">
        <v>38</v>
      </c>
      <c r="L441">
        <v>1</v>
      </c>
      <c r="M441">
        <v>39</v>
      </c>
      <c r="N441">
        <f t="shared" si="18"/>
        <v>9.9</v>
      </c>
      <c r="O441" cm="1">
        <f t="array" ref="O441">SUM(_xlfn.XLOOKUP(E441:H441, $U$13:$U$17, $T$13:$T$17))</f>
        <v>26</v>
      </c>
      <c r="P441">
        <f t="shared" si="19"/>
        <v>0</v>
      </c>
      <c r="Q441" s="1">
        <f t="shared" si="20"/>
        <v>1</v>
      </c>
    </row>
    <row r="442" spans="1:17" x14ac:dyDescent="0.25">
      <c r="A442" s="1" t="s">
        <v>589</v>
      </c>
      <c r="B442" s="1" t="s">
        <v>590</v>
      </c>
      <c r="C442">
        <v>4</v>
      </c>
      <c r="D442">
        <v>2</v>
      </c>
      <c r="E442">
        <v>4</v>
      </c>
      <c r="F442">
        <v>4</v>
      </c>
      <c r="G442">
        <v>4</v>
      </c>
      <c r="H442">
        <v>3</v>
      </c>
      <c r="I442">
        <v>25</v>
      </c>
      <c r="J442">
        <v>86</v>
      </c>
      <c r="K442">
        <v>7</v>
      </c>
      <c r="L442">
        <v>3</v>
      </c>
      <c r="M442">
        <v>94</v>
      </c>
      <c r="N442">
        <f t="shared" si="18"/>
        <v>21.5</v>
      </c>
      <c r="O442" cm="1">
        <f t="array" ref="O442">SUM(_xlfn.XLOOKUP(E442:H442, $U$13:$U$17, $T$13:$T$17))</f>
        <v>22</v>
      </c>
      <c r="P442">
        <f t="shared" si="19"/>
        <v>4</v>
      </c>
      <c r="Q442" s="1">
        <f t="shared" si="20"/>
        <v>1</v>
      </c>
    </row>
    <row r="443" spans="1:17" x14ac:dyDescent="0.25">
      <c r="A443" s="1" t="s">
        <v>591</v>
      </c>
      <c r="B443" s="1" t="s">
        <v>197</v>
      </c>
      <c r="C443">
        <v>6</v>
      </c>
      <c r="D443">
        <v>3</v>
      </c>
      <c r="E443">
        <v>3</v>
      </c>
      <c r="F443">
        <v>3</v>
      </c>
      <c r="G443">
        <v>2</v>
      </c>
      <c r="H443">
        <v>3</v>
      </c>
      <c r="I443">
        <v>53</v>
      </c>
      <c r="J443">
        <v>53</v>
      </c>
      <c r="K443">
        <v>15</v>
      </c>
      <c r="L443">
        <v>53</v>
      </c>
      <c r="M443">
        <v>80</v>
      </c>
      <c r="N443">
        <f t="shared" si="18"/>
        <v>25.4</v>
      </c>
      <c r="O443" cm="1">
        <f t="array" ref="O443">SUM(_xlfn.XLOOKUP(E443:H443, $U$13:$U$17, $T$13:$T$17))</f>
        <v>12</v>
      </c>
      <c r="P443">
        <f t="shared" si="19"/>
        <v>6</v>
      </c>
      <c r="Q443" s="1">
        <f t="shared" si="20"/>
        <v>0</v>
      </c>
    </row>
    <row r="444" spans="1:17" x14ac:dyDescent="0.25">
      <c r="A444" s="1" t="s">
        <v>592</v>
      </c>
      <c r="B444" s="1" t="s">
        <v>593</v>
      </c>
      <c r="C444">
        <v>3</v>
      </c>
      <c r="D444">
        <v>3</v>
      </c>
      <c r="E444">
        <v>4</v>
      </c>
      <c r="F444">
        <v>2</v>
      </c>
      <c r="G444">
        <v>6</v>
      </c>
      <c r="H444">
        <v>4</v>
      </c>
      <c r="I444">
        <v>22</v>
      </c>
      <c r="J444">
        <v>48</v>
      </c>
      <c r="K444">
        <v>26</v>
      </c>
      <c r="L444">
        <v>43</v>
      </c>
      <c r="M444">
        <v>10</v>
      </c>
      <c r="N444">
        <f t="shared" si="18"/>
        <v>14.899999999999999</v>
      </c>
      <c r="O444" cm="1">
        <f t="array" ref="O444">SUM(_xlfn.XLOOKUP(E444:H444, $U$13:$U$17, $T$13:$T$17))</f>
        <v>22</v>
      </c>
      <c r="P444">
        <f t="shared" si="19"/>
        <v>3</v>
      </c>
      <c r="Q444" s="1">
        <f t="shared" si="20"/>
        <v>1</v>
      </c>
    </row>
    <row r="445" spans="1:17" x14ac:dyDescent="0.25">
      <c r="A445" s="1" t="s">
        <v>594</v>
      </c>
      <c r="B445" s="1" t="s">
        <v>32</v>
      </c>
      <c r="C445">
        <v>3</v>
      </c>
      <c r="D445">
        <v>2</v>
      </c>
      <c r="E445">
        <v>4</v>
      </c>
      <c r="F445">
        <v>3</v>
      </c>
      <c r="G445">
        <v>2</v>
      </c>
      <c r="H445">
        <v>5</v>
      </c>
      <c r="I445">
        <v>90</v>
      </c>
      <c r="J445">
        <v>97</v>
      </c>
      <c r="K445">
        <v>7</v>
      </c>
      <c r="L445">
        <v>59</v>
      </c>
      <c r="M445">
        <v>100</v>
      </c>
      <c r="N445">
        <f t="shared" si="18"/>
        <v>35.299999999999997</v>
      </c>
      <c r="O445" cm="1">
        <f t="array" ref="O445">SUM(_xlfn.XLOOKUP(E445:H445, $U$13:$U$17, $T$13:$T$17))</f>
        <v>18</v>
      </c>
      <c r="P445">
        <f t="shared" si="19"/>
        <v>3</v>
      </c>
      <c r="Q445" s="1">
        <f t="shared" si="20"/>
        <v>0</v>
      </c>
    </row>
    <row r="446" spans="1:17" x14ac:dyDescent="0.25">
      <c r="A446" s="1" t="s">
        <v>595</v>
      </c>
      <c r="B446" s="1" t="s">
        <v>177</v>
      </c>
      <c r="C446">
        <v>4</v>
      </c>
      <c r="D446">
        <v>2</v>
      </c>
      <c r="E446">
        <v>4</v>
      </c>
      <c r="F446">
        <v>5</v>
      </c>
      <c r="G446">
        <v>4</v>
      </c>
      <c r="H446">
        <v>2</v>
      </c>
      <c r="I446">
        <v>9</v>
      </c>
      <c r="J446">
        <v>47</v>
      </c>
      <c r="K446">
        <v>56</v>
      </c>
      <c r="L446">
        <v>89</v>
      </c>
      <c r="M446">
        <v>55</v>
      </c>
      <c r="N446">
        <f t="shared" si="18"/>
        <v>25.6</v>
      </c>
      <c r="O446" cm="1">
        <f t="array" ref="O446">SUM(_xlfn.XLOOKUP(E446:H446, $U$13:$U$17, $T$13:$T$17))</f>
        <v>20</v>
      </c>
      <c r="P446">
        <f t="shared" si="19"/>
        <v>4</v>
      </c>
      <c r="Q446" s="1">
        <f t="shared" si="20"/>
        <v>0</v>
      </c>
    </row>
    <row r="447" spans="1:17" x14ac:dyDescent="0.25">
      <c r="A447" s="1" t="s">
        <v>596</v>
      </c>
      <c r="B447" s="1" t="s">
        <v>180</v>
      </c>
      <c r="C447">
        <v>4</v>
      </c>
      <c r="D447">
        <v>2</v>
      </c>
      <c r="E447">
        <v>2</v>
      </c>
      <c r="F447">
        <v>6</v>
      </c>
      <c r="G447">
        <v>4</v>
      </c>
      <c r="H447">
        <v>3</v>
      </c>
      <c r="I447">
        <v>47</v>
      </c>
      <c r="J447">
        <v>8</v>
      </c>
      <c r="K447">
        <v>77</v>
      </c>
      <c r="L447">
        <v>85</v>
      </c>
      <c r="M447">
        <v>10</v>
      </c>
      <c r="N447">
        <f t="shared" si="18"/>
        <v>22.7</v>
      </c>
      <c r="O447" cm="1">
        <f t="array" ref="O447">SUM(_xlfn.XLOOKUP(E447:H447, $U$13:$U$17, $T$13:$T$17))</f>
        <v>20</v>
      </c>
      <c r="P447">
        <f t="shared" si="19"/>
        <v>4</v>
      </c>
      <c r="Q447" s="1">
        <f t="shared" si="20"/>
        <v>1</v>
      </c>
    </row>
    <row r="448" spans="1:17" x14ac:dyDescent="0.25">
      <c r="A448" s="1" t="s">
        <v>597</v>
      </c>
      <c r="B448" s="1" t="s">
        <v>218</v>
      </c>
      <c r="C448">
        <v>4</v>
      </c>
      <c r="D448">
        <v>5</v>
      </c>
      <c r="E448">
        <v>4</v>
      </c>
      <c r="F448">
        <v>4</v>
      </c>
      <c r="G448">
        <v>5</v>
      </c>
      <c r="H448">
        <v>3</v>
      </c>
      <c r="I448">
        <v>59</v>
      </c>
      <c r="J448">
        <v>89</v>
      </c>
      <c r="K448">
        <v>32</v>
      </c>
      <c r="L448">
        <v>80</v>
      </c>
      <c r="M448">
        <v>38</v>
      </c>
      <c r="N448">
        <f t="shared" si="18"/>
        <v>29.8</v>
      </c>
      <c r="O448" cm="1">
        <f t="array" ref="O448">SUM(_xlfn.XLOOKUP(E448:H448, $U$13:$U$17, $T$13:$T$17))</f>
        <v>24</v>
      </c>
      <c r="P448">
        <f t="shared" si="19"/>
        <v>4</v>
      </c>
      <c r="Q448" s="1">
        <f t="shared" si="20"/>
        <v>0</v>
      </c>
    </row>
    <row r="449" spans="1:17" x14ac:dyDescent="0.25">
      <c r="A449" s="1" t="s">
        <v>598</v>
      </c>
      <c r="B449" s="1" t="s">
        <v>166</v>
      </c>
      <c r="C449">
        <v>8</v>
      </c>
      <c r="D449">
        <v>5</v>
      </c>
      <c r="E449">
        <v>5</v>
      </c>
      <c r="F449">
        <v>4</v>
      </c>
      <c r="G449">
        <v>6</v>
      </c>
      <c r="H449">
        <v>2</v>
      </c>
      <c r="I449">
        <v>60</v>
      </c>
      <c r="J449">
        <v>31</v>
      </c>
      <c r="K449">
        <v>86</v>
      </c>
      <c r="L449">
        <v>76</v>
      </c>
      <c r="M449">
        <v>64</v>
      </c>
      <c r="N449">
        <f t="shared" si="18"/>
        <v>31.699999999999996</v>
      </c>
      <c r="O449" cm="1">
        <f t="array" ref="O449">SUM(_xlfn.XLOOKUP(E449:H449, $U$13:$U$17, $T$13:$T$17))</f>
        <v>24</v>
      </c>
      <c r="P449">
        <f t="shared" si="19"/>
        <v>8</v>
      </c>
      <c r="Q449" s="1">
        <f t="shared" si="20"/>
        <v>1</v>
      </c>
    </row>
    <row r="450" spans="1:17" x14ac:dyDescent="0.25">
      <c r="A450" s="1" t="s">
        <v>599</v>
      </c>
      <c r="B450" s="1" t="s">
        <v>600</v>
      </c>
      <c r="C450">
        <v>3</v>
      </c>
      <c r="D450">
        <v>4</v>
      </c>
      <c r="E450">
        <v>3</v>
      </c>
      <c r="F450">
        <v>5</v>
      </c>
      <c r="G450">
        <v>5</v>
      </c>
      <c r="H450">
        <v>5</v>
      </c>
      <c r="I450">
        <v>53</v>
      </c>
      <c r="J450">
        <v>78</v>
      </c>
      <c r="K450">
        <v>73</v>
      </c>
      <c r="L450">
        <v>89</v>
      </c>
      <c r="M450">
        <v>32</v>
      </c>
      <c r="N450">
        <f t="shared" ref="N450:N513" si="21">I450/10 + J450/10 + K450/10 + L450/10 + M450/10</f>
        <v>32.5</v>
      </c>
      <c r="O450" cm="1">
        <f t="array" ref="O450">SUM(_xlfn.XLOOKUP(E450:H450, $U$13:$U$17, $T$13:$T$17))</f>
        <v>28</v>
      </c>
      <c r="P450">
        <f t="shared" ref="P450:P515" si="22">IF(D450=6,C450+2,C450)</f>
        <v>3</v>
      </c>
      <c r="Q450" s="1">
        <f t="shared" ref="Q450:Q513" si="23">IF((O450+P450)&gt;N450, 1, 0)</f>
        <v>0</v>
      </c>
    </row>
    <row r="451" spans="1:17" x14ac:dyDescent="0.25">
      <c r="A451" s="1" t="s">
        <v>601</v>
      </c>
      <c r="B451" s="1" t="s">
        <v>121</v>
      </c>
      <c r="C451">
        <v>0</v>
      </c>
      <c r="D451">
        <v>4</v>
      </c>
      <c r="E451">
        <v>2</v>
      </c>
      <c r="F451">
        <v>2</v>
      </c>
      <c r="G451">
        <v>2</v>
      </c>
      <c r="H451">
        <v>6</v>
      </c>
      <c r="I451">
        <v>88</v>
      </c>
      <c r="J451">
        <v>43</v>
      </c>
      <c r="K451">
        <v>91</v>
      </c>
      <c r="L451">
        <v>4</v>
      </c>
      <c r="M451">
        <v>78</v>
      </c>
      <c r="N451">
        <f t="shared" si="21"/>
        <v>30.400000000000002</v>
      </c>
      <c r="O451" cm="1">
        <f t="array" ref="O451">SUM(_xlfn.XLOOKUP(E451:H451, $U$13:$U$17, $T$13:$T$17))</f>
        <v>10</v>
      </c>
      <c r="P451">
        <f t="shared" si="22"/>
        <v>0</v>
      </c>
      <c r="Q451" s="1">
        <f t="shared" si="23"/>
        <v>0</v>
      </c>
    </row>
    <row r="452" spans="1:17" x14ac:dyDescent="0.25">
      <c r="A452" s="1" t="s">
        <v>602</v>
      </c>
      <c r="B452" s="1" t="s">
        <v>58</v>
      </c>
      <c r="C452">
        <v>1</v>
      </c>
      <c r="D452">
        <v>5</v>
      </c>
      <c r="E452">
        <v>4</v>
      </c>
      <c r="F452">
        <v>6</v>
      </c>
      <c r="G452">
        <v>4</v>
      </c>
      <c r="H452">
        <v>2</v>
      </c>
      <c r="I452">
        <v>4</v>
      </c>
      <c r="J452">
        <v>97</v>
      </c>
      <c r="K452">
        <v>75</v>
      </c>
      <c r="L452">
        <v>86</v>
      </c>
      <c r="M452">
        <v>10</v>
      </c>
      <c r="N452">
        <f t="shared" si="21"/>
        <v>27.200000000000003</v>
      </c>
      <c r="O452" cm="1">
        <f t="array" ref="O452">SUM(_xlfn.XLOOKUP(E452:H452, $U$13:$U$17, $T$13:$T$17))</f>
        <v>22</v>
      </c>
      <c r="P452">
        <f t="shared" si="22"/>
        <v>1</v>
      </c>
      <c r="Q452" s="1">
        <f t="shared" si="23"/>
        <v>0</v>
      </c>
    </row>
    <row r="453" spans="1:17" x14ac:dyDescent="0.25">
      <c r="A453" s="1" t="s">
        <v>603</v>
      </c>
      <c r="B453" s="1" t="s">
        <v>604</v>
      </c>
      <c r="C453">
        <v>7</v>
      </c>
      <c r="D453">
        <v>4</v>
      </c>
      <c r="E453">
        <v>3</v>
      </c>
      <c r="F453">
        <v>6</v>
      </c>
      <c r="G453">
        <v>3</v>
      </c>
      <c r="H453">
        <v>2</v>
      </c>
      <c r="I453">
        <v>28</v>
      </c>
      <c r="J453">
        <v>75</v>
      </c>
      <c r="K453">
        <v>15</v>
      </c>
      <c r="L453">
        <v>6</v>
      </c>
      <c r="M453">
        <v>33</v>
      </c>
      <c r="N453">
        <f t="shared" si="21"/>
        <v>15.7</v>
      </c>
      <c r="O453" cm="1">
        <f t="array" ref="O453">SUM(_xlfn.XLOOKUP(E453:H453, $U$13:$U$17, $T$13:$T$17))</f>
        <v>18</v>
      </c>
      <c r="P453">
        <f t="shared" si="22"/>
        <v>7</v>
      </c>
      <c r="Q453" s="1">
        <f t="shared" si="23"/>
        <v>1</v>
      </c>
    </row>
    <row r="454" spans="1:17" x14ac:dyDescent="0.25">
      <c r="A454" s="1" t="s">
        <v>605</v>
      </c>
      <c r="B454" s="1" t="s">
        <v>110</v>
      </c>
      <c r="C454">
        <v>4</v>
      </c>
      <c r="D454">
        <v>2</v>
      </c>
      <c r="E454">
        <v>4</v>
      </c>
      <c r="F454">
        <v>6</v>
      </c>
      <c r="G454">
        <v>5</v>
      </c>
      <c r="H454">
        <v>5</v>
      </c>
      <c r="I454">
        <v>29</v>
      </c>
      <c r="J454">
        <v>92</v>
      </c>
      <c r="K454">
        <v>99</v>
      </c>
      <c r="L454">
        <v>79</v>
      </c>
      <c r="M454">
        <v>8</v>
      </c>
      <c r="N454">
        <f t="shared" si="21"/>
        <v>30.7</v>
      </c>
      <c r="O454" cm="1">
        <f t="array" ref="O454">SUM(_xlfn.XLOOKUP(E454:H454, $U$13:$U$17, $T$13:$T$17))</f>
        <v>32</v>
      </c>
      <c r="P454">
        <f t="shared" si="22"/>
        <v>4</v>
      </c>
      <c r="Q454" s="1">
        <f t="shared" si="23"/>
        <v>1</v>
      </c>
    </row>
    <row r="455" spans="1:17" x14ac:dyDescent="0.25">
      <c r="A455" s="1" t="s">
        <v>606</v>
      </c>
      <c r="B455" s="1" t="s">
        <v>242</v>
      </c>
      <c r="C455">
        <v>2</v>
      </c>
      <c r="D455">
        <v>5</v>
      </c>
      <c r="E455">
        <v>3</v>
      </c>
      <c r="F455">
        <v>2</v>
      </c>
      <c r="G455">
        <v>3</v>
      </c>
      <c r="H455">
        <v>6</v>
      </c>
      <c r="I455">
        <v>59</v>
      </c>
      <c r="J455">
        <v>29</v>
      </c>
      <c r="K455">
        <v>92</v>
      </c>
      <c r="L455">
        <v>96</v>
      </c>
      <c r="M455">
        <v>77</v>
      </c>
      <c r="N455">
        <f t="shared" si="21"/>
        <v>35.300000000000004</v>
      </c>
      <c r="O455" cm="1">
        <f t="array" ref="O455">SUM(_xlfn.XLOOKUP(E455:H455, $U$13:$U$17, $T$13:$T$17))</f>
        <v>18</v>
      </c>
      <c r="P455">
        <f t="shared" si="22"/>
        <v>2</v>
      </c>
      <c r="Q455" s="1">
        <f t="shared" si="23"/>
        <v>0</v>
      </c>
    </row>
    <row r="456" spans="1:17" x14ac:dyDescent="0.25">
      <c r="A456" s="1" t="s">
        <v>423</v>
      </c>
      <c r="B456" s="1" t="s">
        <v>76</v>
      </c>
      <c r="C456">
        <v>0</v>
      </c>
      <c r="D456">
        <v>6</v>
      </c>
      <c r="E456">
        <v>6</v>
      </c>
      <c r="F456">
        <v>5</v>
      </c>
      <c r="G456">
        <v>4</v>
      </c>
      <c r="H456">
        <v>3</v>
      </c>
      <c r="I456">
        <v>98</v>
      </c>
      <c r="J456">
        <v>79</v>
      </c>
      <c r="K456">
        <v>65</v>
      </c>
      <c r="L456">
        <v>41</v>
      </c>
      <c r="M456">
        <v>48</v>
      </c>
      <c r="N456">
        <f t="shared" si="21"/>
        <v>33.1</v>
      </c>
      <c r="O456" cm="1">
        <f t="array" ref="O456">SUM(_xlfn.XLOOKUP(E456:H456, $U$13:$U$17, $T$13:$T$17))</f>
        <v>28</v>
      </c>
      <c r="P456">
        <f t="shared" si="22"/>
        <v>2</v>
      </c>
      <c r="Q456" s="1">
        <f t="shared" si="23"/>
        <v>0</v>
      </c>
    </row>
    <row r="457" spans="1:17" x14ac:dyDescent="0.25">
      <c r="A457" s="1" t="s">
        <v>607</v>
      </c>
      <c r="B457" s="1" t="s">
        <v>608</v>
      </c>
      <c r="C457">
        <v>2</v>
      </c>
      <c r="D457">
        <v>2</v>
      </c>
      <c r="E457">
        <v>6</v>
      </c>
      <c r="F457">
        <v>5</v>
      </c>
      <c r="G457">
        <v>6</v>
      </c>
      <c r="H457">
        <v>3</v>
      </c>
      <c r="I457">
        <v>74</v>
      </c>
      <c r="J457">
        <v>25</v>
      </c>
      <c r="K457">
        <v>78</v>
      </c>
      <c r="L457">
        <v>6</v>
      </c>
      <c r="M457">
        <v>69</v>
      </c>
      <c r="N457">
        <f t="shared" si="21"/>
        <v>25.200000000000003</v>
      </c>
      <c r="O457" cm="1">
        <f t="array" ref="O457">SUM(_xlfn.XLOOKUP(E457:H457, $U$13:$U$17, $T$13:$T$17))</f>
        <v>32</v>
      </c>
      <c r="P457">
        <f t="shared" si="22"/>
        <v>2</v>
      </c>
      <c r="Q457" s="1">
        <f t="shared" si="23"/>
        <v>1</v>
      </c>
    </row>
    <row r="458" spans="1:17" x14ac:dyDescent="0.25">
      <c r="A458" s="1" t="s">
        <v>609</v>
      </c>
      <c r="B458" s="1" t="s">
        <v>242</v>
      </c>
      <c r="C458">
        <v>3</v>
      </c>
      <c r="D458">
        <v>2</v>
      </c>
      <c r="E458">
        <v>4</v>
      </c>
      <c r="F458">
        <v>5</v>
      </c>
      <c r="G458">
        <v>2</v>
      </c>
      <c r="H458">
        <v>5</v>
      </c>
      <c r="I458">
        <v>12</v>
      </c>
      <c r="J458">
        <v>96</v>
      </c>
      <c r="K458">
        <v>66</v>
      </c>
      <c r="L458">
        <v>17</v>
      </c>
      <c r="M458">
        <v>86</v>
      </c>
      <c r="N458">
        <f t="shared" si="21"/>
        <v>27.699999999999996</v>
      </c>
      <c r="O458" cm="1">
        <f t="array" ref="O458">SUM(_xlfn.XLOOKUP(E458:H458, $U$13:$U$17, $T$13:$T$17))</f>
        <v>22</v>
      </c>
      <c r="P458">
        <f t="shared" si="22"/>
        <v>3</v>
      </c>
      <c r="Q458" s="1">
        <f t="shared" si="23"/>
        <v>0</v>
      </c>
    </row>
    <row r="459" spans="1:17" x14ac:dyDescent="0.25">
      <c r="A459" s="1" t="s">
        <v>514</v>
      </c>
      <c r="B459" s="1" t="s">
        <v>316</v>
      </c>
      <c r="C459">
        <v>3</v>
      </c>
      <c r="D459">
        <v>5</v>
      </c>
      <c r="E459">
        <v>5</v>
      </c>
      <c r="F459">
        <v>3</v>
      </c>
      <c r="G459">
        <v>2</v>
      </c>
      <c r="H459">
        <v>2</v>
      </c>
      <c r="I459">
        <v>53</v>
      </c>
      <c r="J459">
        <v>89</v>
      </c>
      <c r="K459">
        <v>16</v>
      </c>
      <c r="L459">
        <v>27</v>
      </c>
      <c r="M459">
        <v>62</v>
      </c>
      <c r="N459">
        <f t="shared" si="21"/>
        <v>24.7</v>
      </c>
      <c r="O459" cm="1">
        <f t="array" ref="O459">SUM(_xlfn.XLOOKUP(E459:H459, $U$13:$U$17, $T$13:$T$17))</f>
        <v>12</v>
      </c>
      <c r="P459">
        <f t="shared" si="22"/>
        <v>3</v>
      </c>
      <c r="Q459" s="1">
        <f t="shared" si="23"/>
        <v>0</v>
      </c>
    </row>
    <row r="460" spans="1:17" x14ac:dyDescent="0.25">
      <c r="A460" s="1" t="s">
        <v>610</v>
      </c>
      <c r="B460" s="1" t="s">
        <v>395</v>
      </c>
      <c r="C460">
        <v>4</v>
      </c>
      <c r="D460">
        <v>3</v>
      </c>
      <c r="E460">
        <v>6</v>
      </c>
      <c r="F460">
        <v>4</v>
      </c>
      <c r="G460">
        <v>6</v>
      </c>
      <c r="H460">
        <v>6</v>
      </c>
      <c r="I460">
        <v>90</v>
      </c>
      <c r="J460">
        <v>31</v>
      </c>
      <c r="K460">
        <v>75</v>
      </c>
      <c r="L460">
        <v>1</v>
      </c>
      <c r="M460">
        <v>58</v>
      </c>
      <c r="N460">
        <f t="shared" si="21"/>
        <v>25.500000000000004</v>
      </c>
      <c r="O460" cm="1">
        <f t="array" ref="O460">SUM(_xlfn.XLOOKUP(E460:H460, $U$13:$U$17, $T$13:$T$17))</f>
        <v>36</v>
      </c>
      <c r="P460">
        <f t="shared" si="22"/>
        <v>4</v>
      </c>
      <c r="Q460" s="1">
        <f t="shared" si="23"/>
        <v>1</v>
      </c>
    </row>
    <row r="461" spans="1:17" x14ac:dyDescent="0.25">
      <c r="A461" s="1" t="s">
        <v>611</v>
      </c>
      <c r="B461" s="1" t="s">
        <v>395</v>
      </c>
      <c r="C461">
        <v>0</v>
      </c>
      <c r="D461">
        <v>3</v>
      </c>
      <c r="E461">
        <v>3</v>
      </c>
      <c r="F461">
        <v>4</v>
      </c>
      <c r="G461">
        <v>2</v>
      </c>
      <c r="H461">
        <v>4</v>
      </c>
      <c r="I461">
        <v>92</v>
      </c>
      <c r="J461">
        <v>47</v>
      </c>
      <c r="K461">
        <v>27</v>
      </c>
      <c r="L461">
        <v>40</v>
      </c>
      <c r="M461">
        <v>35</v>
      </c>
      <c r="N461">
        <f t="shared" si="21"/>
        <v>24.099999999999998</v>
      </c>
      <c r="O461" cm="1">
        <f t="array" ref="O461">SUM(_xlfn.XLOOKUP(E461:H461, $U$13:$U$17, $T$13:$T$17))</f>
        <v>16</v>
      </c>
      <c r="P461">
        <f t="shared" si="22"/>
        <v>0</v>
      </c>
      <c r="Q461" s="1">
        <f t="shared" si="23"/>
        <v>0</v>
      </c>
    </row>
    <row r="462" spans="1:17" x14ac:dyDescent="0.25">
      <c r="A462" s="1" t="s">
        <v>612</v>
      </c>
      <c r="B462" s="1" t="s">
        <v>164</v>
      </c>
      <c r="C462">
        <v>6</v>
      </c>
      <c r="D462">
        <v>4</v>
      </c>
      <c r="E462">
        <v>3</v>
      </c>
      <c r="F462">
        <v>2</v>
      </c>
      <c r="G462">
        <v>3</v>
      </c>
      <c r="H462">
        <v>5</v>
      </c>
      <c r="I462">
        <v>57</v>
      </c>
      <c r="J462">
        <v>67</v>
      </c>
      <c r="K462">
        <v>51</v>
      </c>
      <c r="L462">
        <v>92</v>
      </c>
      <c r="M462">
        <v>72</v>
      </c>
      <c r="N462">
        <f t="shared" si="21"/>
        <v>33.9</v>
      </c>
      <c r="O462" cm="1">
        <f t="array" ref="O462">SUM(_xlfn.XLOOKUP(E462:H462, $U$13:$U$17, $T$13:$T$17))</f>
        <v>16</v>
      </c>
      <c r="P462">
        <f t="shared" si="22"/>
        <v>6</v>
      </c>
      <c r="Q462" s="1">
        <f t="shared" si="23"/>
        <v>0</v>
      </c>
    </row>
    <row r="463" spans="1:17" x14ac:dyDescent="0.25">
      <c r="A463" s="1" t="s">
        <v>613</v>
      </c>
      <c r="B463" s="1" t="s">
        <v>412</v>
      </c>
      <c r="C463">
        <v>0</v>
      </c>
      <c r="D463">
        <v>6</v>
      </c>
      <c r="E463">
        <v>3</v>
      </c>
      <c r="F463">
        <v>6</v>
      </c>
      <c r="G463">
        <v>6</v>
      </c>
      <c r="H463">
        <v>4</v>
      </c>
      <c r="I463">
        <v>74</v>
      </c>
      <c r="J463">
        <v>60</v>
      </c>
      <c r="K463">
        <v>83</v>
      </c>
      <c r="L463">
        <v>39</v>
      </c>
      <c r="M463">
        <v>97</v>
      </c>
      <c r="N463">
        <f t="shared" si="21"/>
        <v>35.299999999999997</v>
      </c>
      <c r="O463" cm="1">
        <f t="array" ref="O463">SUM(_xlfn.XLOOKUP(E463:H463, $U$13:$U$17, $T$13:$T$17))</f>
        <v>30</v>
      </c>
      <c r="P463">
        <f t="shared" si="22"/>
        <v>2</v>
      </c>
      <c r="Q463" s="1">
        <f t="shared" si="23"/>
        <v>0</v>
      </c>
    </row>
    <row r="464" spans="1:17" x14ac:dyDescent="0.25">
      <c r="A464" s="1" t="s">
        <v>614</v>
      </c>
      <c r="B464" s="1" t="s">
        <v>615</v>
      </c>
      <c r="C464">
        <v>7</v>
      </c>
      <c r="D464">
        <v>6</v>
      </c>
      <c r="E464">
        <v>2</v>
      </c>
      <c r="F464">
        <v>3</v>
      </c>
      <c r="G464">
        <v>2</v>
      </c>
      <c r="H464">
        <v>3</v>
      </c>
      <c r="I464">
        <v>21</v>
      </c>
      <c r="J464">
        <v>16</v>
      </c>
      <c r="K464">
        <v>9</v>
      </c>
      <c r="L464">
        <v>49</v>
      </c>
      <c r="M464">
        <v>47</v>
      </c>
      <c r="N464">
        <f t="shared" si="21"/>
        <v>14.2</v>
      </c>
      <c r="O464" cm="1">
        <f t="array" ref="O464">SUM(_xlfn.XLOOKUP(E464:H464, $U$13:$U$17, $T$13:$T$17))</f>
        <v>8</v>
      </c>
      <c r="P464">
        <f t="shared" si="22"/>
        <v>9</v>
      </c>
      <c r="Q464" s="1">
        <f t="shared" si="23"/>
        <v>1</v>
      </c>
    </row>
    <row r="465" spans="1:17" x14ac:dyDescent="0.25">
      <c r="A465" s="1" t="s">
        <v>616</v>
      </c>
      <c r="B465" s="1" t="s">
        <v>249</v>
      </c>
      <c r="C465">
        <v>8</v>
      </c>
      <c r="D465">
        <v>3</v>
      </c>
      <c r="E465">
        <v>5</v>
      </c>
      <c r="F465">
        <v>6</v>
      </c>
      <c r="G465">
        <v>2</v>
      </c>
      <c r="H465">
        <v>4</v>
      </c>
      <c r="I465">
        <v>73</v>
      </c>
      <c r="J465">
        <v>70</v>
      </c>
      <c r="K465">
        <v>71</v>
      </c>
      <c r="L465">
        <v>84</v>
      </c>
      <c r="M465">
        <v>81</v>
      </c>
      <c r="N465">
        <f t="shared" si="21"/>
        <v>37.9</v>
      </c>
      <c r="O465" cm="1">
        <f t="array" ref="O465">SUM(_xlfn.XLOOKUP(E465:H465, $U$13:$U$17, $T$13:$T$17))</f>
        <v>24</v>
      </c>
      <c r="P465">
        <f t="shared" si="22"/>
        <v>8</v>
      </c>
      <c r="Q465" s="1">
        <f t="shared" si="23"/>
        <v>0</v>
      </c>
    </row>
    <row r="466" spans="1:17" x14ac:dyDescent="0.25">
      <c r="A466" s="1" t="s">
        <v>617</v>
      </c>
      <c r="B466" s="1" t="s">
        <v>397</v>
      </c>
      <c r="C466">
        <v>2</v>
      </c>
      <c r="D466">
        <v>4</v>
      </c>
      <c r="E466">
        <v>6</v>
      </c>
      <c r="F466">
        <v>4</v>
      </c>
      <c r="G466">
        <v>5</v>
      </c>
      <c r="H466">
        <v>2</v>
      </c>
      <c r="I466">
        <v>44</v>
      </c>
      <c r="J466">
        <v>8</v>
      </c>
      <c r="K466">
        <v>100</v>
      </c>
      <c r="L466">
        <v>54</v>
      </c>
      <c r="M466">
        <v>77</v>
      </c>
      <c r="N466">
        <f t="shared" si="21"/>
        <v>28.3</v>
      </c>
      <c r="O466" cm="1">
        <f t="array" ref="O466">SUM(_xlfn.XLOOKUP(E466:H466, $U$13:$U$17, $T$13:$T$17))</f>
        <v>24</v>
      </c>
      <c r="P466">
        <f t="shared" si="22"/>
        <v>2</v>
      </c>
      <c r="Q466" s="1">
        <f t="shared" si="23"/>
        <v>0</v>
      </c>
    </row>
    <row r="467" spans="1:17" x14ac:dyDescent="0.25">
      <c r="A467" s="1" t="s">
        <v>618</v>
      </c>
      <c r="B467" s="1" t="s">
        <v>180</v>
      </c>
      <c r="C467">
        <v>6</v>
      </c>
      <c r="D467">
        <v>3</v>
      </c>
      <c r="E467">
        <v>5</v>
      </c>
      <c r="F467">
        <v>4</v>
      </c>
      <c r="G467">
        <v>3</v>
      </c>
      <c r="H467">
        <v>2</v>
      </c>
      <c r="I467">
        <v>78</v>
      </c>
      <c r="J467">
        <v>17</v>
      </c>
      <c r="K467">
        <v>48</v>
      </c>
      <c r="L467">
        <v>42</v>
      </c>
      <c r="M467">
        <v>85</v>
      </c>
      <c r="N467">
        <f t="shared" si="21"/>
        <v>27</v>
      </c>
      <c r="O467" cm="1">
        <f t="array" ref="O467">SUM(_xlfn.XLOOKUP(E467:H467, $U$13:$U$17, $T$13:$T$17))</f>
        <v>18</v>
      </c>
      <c r="P467">
        <f t="shared" si="22"/>
        <v>6</v>
      </c>
      <c r="Q467" s="1">
        <f t="shared" si="23"/>
        <v>0</v>
      </c>
    </row>
    <row r="468" spans="1:17" x14ac:dyDescent="0.25">
      <c r="A468" s="1" t="s">
        <v>619</v>
      </c>
      <c r="B468" s="1" t="s">
        <v>620</v>
      </c>
      <c r="C468">
        <v>0</v>
      </c>
      <c r="D468">
        <v>3</v>
      </c>
      <c r="E468">
        <v>6</v>
      </c>
      <c r="F468">
        <v>2</v>
      </c>
      <c r="G468">
        <v>5</v>
      </c>
      <c r="H468">
        <v>2</v>
      </c>
      <c r="I468">
        <v>72</v>
      </c>
      <c r="J468">
        <v>53</v>
      </c>
      <c r="K468">
        <v>43</v>
      </c>
      <c r="L468">
        <v>72</v>
      </c>
      <c r="M468">
        <v>52</v>
      </c>
      <c r="N468">
        <f t="shared" si="21"/>
        <v>29.2</v>
      </c>
      <c r="O468" cm="1">
        <f t="array" ref="O468">SUM(_xlfn.XLOOKUP(E468:H468, $U$13:$U$17, $T$13:$T$17))</f>
        <v>18</v>
      </c>
      <c r="P468">
        <f t="shared" si="22"/>
        <v>0</v>
      </c>
      <c r="Q468" s="1">
        <f t="shared" si="23"/>
        <v>0</v>
      </c>
    </row>
    <row r="469" spans="1:17" x14ac:dyDescent="0.25">
      <c r="A469" s="1" t="s">
        <v>621</v>
      </c>
      <c r="B469" s="1" t="s">
        <v>210</v>
      </c>
      <c r="C469">
        <v>7</v>
      </c>
      <c r="D469">
        <v>5</v>
      </c>
      <c r="E469">
        <v>6</v>
      </c>
      <c r="F469">
        <v>2</v>
      </c>
      <c r="G469">
        <v>5</v>
      </c>
      <c r="H469">
        <v>4</v>
      </c>
      <c r="I469">
        <v>15</v>
      </c>
      <c r="J469">
        <v>64</v>
      </c>
      <c r="K469">
        <v>20</v>
      </c>
      <c r="L469">
        <v>59</v>
      </c>
      <c r="M469">
        <v>52</v>
      </c>
      <c r="N469">
        <f t="shared" si="21"/>
        <v>21</v>
      </c>
      <c r="O469" cm="1">
        <f t="array" ref="O469">SUM(_xlfn.XLOOKUP(E469:H469, $U$13:$U$17, $T$13:$T$17))</f>
        <v>24</v>
      </c>
      <c r="P469">
        <f t="shared" si="22"/>
        <v>7</v>
      </c>
      <c r="Q469" s="1">
        <f t="shared" si="23"/>
        <v>1</v>
      </c>
    </row>
    <row r="470" spans="1:17" x14ac:dyDescent="0.25">
      <c r="A470" s="1" t="s">
        <v>622</v>
      </c>
      <c r="B470" s="1" t="s">
        <v>448</v>
      </c>
      <c r="C470">
        <v>1</v>
      </c>
      <c r="D470">
        <v>2</v>
      </c>
      <c r="E470">
        <v>3</v>
      </c>
      <c r="F470">
        <v>3</v>
      </c>
      <c r="G470">
        <v>2</v>
      </c>
      <c r="H470">
        <v>6</v>
      </c>
      <c r="I470">
        <v>35</v>
      </c>
      <c r="J470">
        <v>20</v>
      </c>
      <c r="K470">
        <v>46</v>
      </c>
      <c r="L470">
        <v>84</v>
      </c>
      <c r="M470">
        <v>11</v>
      </c>
      <c r="N470">
        <f t="shared" si="21"/>
        <v>19.600000000000001</v>
      </c>
      <c r="O470" cm="1">
        <f t="array" ref="O470">SUM(_xlfn.XLOOKUP(E470:H470, $U$13:$U$17, $T$13:$T$17))</f>
        <v>18</v>
      </c>
      <c r="P470">
        <f t="shared" si="22"/>
        <v>1</v>
      </c>
      <c r="Q470" s="1">
        <f t="shared" si="23"/>
        <v>0</v>
      </c>
    </row>
    <row r="471" spans="1:17" x14ac:dyDescent="0.25">
      <c r="A471" s="1" t="s">
        <v>623</v>
      </c>
      <c r="B471" s="1" t="s">
        <v>239</v>
      </c>
      <c r="C471">
        <v>0</v>
      </c>
      <c r="D471">
        <v>2</v>
      </c>
      <c r="E471">
        <v>2</v>
      </c>
      <c r="F471">
        <v>5</v>
      </c>
      <c r="G471">
        <v>6</v>
      </c>
      <c r="H471">
        <v>2</v>
      </c>
      <c r="I471">
        <v>87</v>
      </c>
      <c r="J471">
        <v>18</v>
      </c>
      <c r="K471">
        <v>93</v>
      </c>
      <c r="L471">
        <v>62</v>
      </c>
      <c r="M471">
        <v>95</v>
      </c>
      <c r="N471">
        <f t="shared" si="21"/>
        <v>35.5</v>
      </c>
      <c r="O471" cm="1">
        <f t="array" ref="O471">SUM(_xlfn.XLOOKUP(E471:H471, $U$13:$U$17, $T$13:$T$17))</f>
        <v>18</v>
      </c>
      <c r="P471">
        <f t="shared" si="22"/>
        <v>0</v>
      </c>
      <c r="Q471" s="1">
        <f t="shared" si="23"/>
        <v>0</v>
      </c>
    </row>
    <row r="472" spans="1:17" x14ac:dyDescent="0.25">
      <c r="A472" s="1" t="s">
        <v>624</v>
      </c>
      <c r="B472" s="1" t="s">
        <v>414</v>
      </c>
      <c r="C472">
        <v>6</v>
      </c>
      <c r="D472">
        <v>2</v>
      </c>
      <c r="E472">
        <v>4</v>
      </c>
      <c r="F472">
        <v>3</v>
      </c>
      <c r="G472">
        <v>3</v>
      </c>
      <c r="H472">
        <v>2</v>
      </c>
      <c r="I472">
        <v>72</v>
      </c>
      <c r="J472">
        <v>79</v>
      </c>
      <c r="K472">
        <v>98</v>
      </c>
      <c r="L472">
        <v>86</v>
      </c>
      <c r="M472">
        <v>31</v>
      </c>
      <c r="N472">
        <f t="shared" si="21"/>
        <v>36.6</v>
      </c>
      <c r="O472" cm="1">
        <f t="array" ref="O472">SUM(_xlfn.XLOOKUP(E472:H472, $U$13:$U$17, $T$13:$T$17))</f>
        <v>14</v>
      </c>
      <c r="P472">
        <f t="shared" si="22"/>
        <v>6</v>
      </c>
      <c r="Q472" s="1">
        <f t="shared" si="23"/>
        <v>0</v>
      </c>
    </row>
    <row r="473" spans="1:17" x14ac:dyDescent="0.25">
      <c r="A473" s="1" t="s">
        <v>625</v>
      </c>
      <c r="B473" s="1" t="s">
        <v>161</v>
      </c>
      <c r="C473">
        <v>3</v>
      </c>
      <c r="D473">
        <v>3</v>
      </c>
      <c r="E473">
        <v>3</v>
      </c>
      <c r="F473">
        <v>3</v>
      </c>
      <c r="G473">
        <v>5</v>
      </c>
      <c r="H473">
        <v>4</v>
      </c>
      <c r="I473">
        <v>71</v>
      </c>
      <c r="J473">
        <v>68</v>
      </c>
      <c r="K473">
        <v>38</v>
      </c>
      <c r="L473">
        <v>8</v>
      </c>
      <c r="M473">
        <v>98</v>
      </c>
      <c r="N473">
        <f t="shared" si="21"/>
        <v>28.3</v>
      </c>
      <c r="O473" cm="1">
        <f t="array" ref="O473">SUM(_xlfn.XLOOKUP(E473:H473, $U$13:$U$17, $T$13:$T$17))</f>
        <v>22</v>
      </c>
      <c r="P473">
        <f t="shared" si="22"/>
        <v>3</v>
      </c>
      <c r="Q473" s="1">
        <f t="shared" si="23"/>
        <v>0</v>
      </c>
    </row>
    <row r="474" spans="1:17" x14ac:dyDescent="0.25">
      <c r="A474" s="1" t="s">
        <v>626</v>
      </c>
      <c r="B474" s="1" t="s">
        <v>38</v>
      </c>
      <c r="C474">
        <v>8</v>
      </c>
      <c r="D474">
        <v>2</v>
      </c>
      <c r="E474">
        <v>2</v>
      </c>
      <c r="F474">
        <v>3</v>
      </c>
      <c r="G474">
        <v>4</v>
      </c>
      <c r="H474">
        <v>4</v>
      </c>
      <c r="I474">
        <v>96</v>
      </c>
      <c r="J474">
        <v>47</v>
      </c>
      <c r="K474">
        <v>90</v>
      </c>
      <c r="L474">
        <v>24</v>
      </c>
      <c r="M474">
        <v>96</v>
      </c>
      <c r="N474">
        <f t="shared" si="21"/>
        <v>35.299999999999997</v>
      </c>
      <c r="O474" cm="1">
        <f t="array" ref="O474">SUM(_xlfn.XLOOKUP(E474:H474, $U$13:$U$17, $T$13:$T$17))</f>
        <v>16</v>
      </c>
      <c r="P474">
        <f t="shared" si="22"/>
        <v>8</v>
      </c>
      <c r="Q474" s="1">
        <f t="shared" si="23"/>
        <v>0</v>
      </c>
    </row>
    <row r="475" spans="1:17" x14ac:dyDescent="0.25">
      <c r="A475" s="1" t="s">
        <v>627</v>
      </c>
      <c r="B475" s="1" t="s">
        <v>133</v>
      </c>
      <c r="C475">
        <v>3</v>
      </c>
      <c r="D475">
        <v>3</v>
      </c>
      <c r="E475">
        <v>3</v>
      </c>
      <c r="F475">
        <v>3</v>
      </c>
      <c r="G475">
        <v>4</v>
      </c>
      <c r="H475">
        <v>5</v>
      </c>
      <c r="I475">
        <v>18</v>
      </c>
      <c r="J475">
        <v>94</v>
      </c>
      <c r="K475">
        <v>29</v>
      </c>
      <c r="L475">
        <v>50</v>
      </c>
      <c r="M475">
        <v>54</v>
      </c>
      <c r="N475">
        <f t="shared" si="21"/>
        <v>24.5</v>
      </c>
      <c r="O475" cm="1">
        <f t="array" ref="O475">SUM(_xlfn.XLOOKUP(E475:H475, $U$13:$U$17, $T$13:$T$17))</f>
        <v>22</v>
      </c>
      <c r="P475">
        <f t="shared" si="22"/>
        <v>3</v>
      </c>
      <c r="Q475" s="1">
        <f t="shared" si="23"/>
        <v>1</v>
      </c>
    </row>
    <row r="476" spans="1:17" x14ac:dyDescent="0.25">
      <c r="A476" s="1" t="s">
        <v>628</v>
      </c>
      <c r="B476" s="1" t="s">
        <v>251</v>
      </c>
      <c r="C476">
        <v>0</v>
      </c>
      <c r="D476">
        <v>5</v>
      </c>
      <c r="E476">
        <v>5</v>
      </c>
      <c r="F476">
        <v>6</v>
      </c>
      <c r="G476">
        <v>2</v>
      </c>
      <c r="H476">
        <v>5</v>
      </c>
      <c r="I476">
        <v>47</v>
      </c>
      <c r="J476">
        <v>34</v>
      </c>
      <c r="K476">
        <v>86</v>
      </c>
      <c r="L476">
        <v>56</v>
      </c>
      <c r="M476">
        <v>39</v>
      </c>
      <c r="N476">
        <f t="shared" si="21"/>
        <v>26.199999999999996</v>
      </c>
      <c r="O476" cm="1">
        <f t="array" ref="O476">SUM(_xlfn.XLOOKUP(E476:H476, $U$13:$U$17, $T$13:$T$17))</f>
        <v>26</v>
      </c>
      <c r="P476">
        <f t="shared" si="22"/>
        <v>0</v>
      </c>
      <c r="Q476" s="1">
        <f t="shared" si="23"/>
        <v>0</v>
      </c>
    </row>
    <row r="477" spans="1:17" x14ac:dyDescent="0.25">
      <c r="A477" s="1" t="s">
        <v>629</v>
      </c>
      <c r="B477" s="1" t="s">
        <v>430</v>
      </c>
      <c r="C477">
        <v>7</v>
      </c>
      <c r="D477">
        <v>5</v>
      </c>
      <c r="E477">
        <v>5</v>
      </c>
      <c r="F477">
        <v>2</v>
      </c>
      <c r="G477">
        <v>6</v>
      </c>
      <c r="H477">
        <v>6</v>
      </c>
      <c r="I477">
        <v>6</v>
      </c>
      <c r="J477">
        <v>88</v>
      </c>
      <c r="K477">
        <v>24</v>
      </c>
      <c r="L477">
        <v>3</v>
      </c>
      <c r="M477">
        <v>43</v>
      </c>
      <c r="N477">
        <f t="shared" si="21"/>
        <v>16.400000000000002</v>
      </c>
      <c r="O477" cm="1">
        <f t="array" ref="O477">SUM(_xlfn.XLOOKUP(E477:H477, $U$13:$U$17, $T$13:$T$17))</f>
        <v>28</v>
      </c>
      <c r="P477">
        <f t="shared" si="22"/>
        <v>7</v>
      </c>
      <c r="Q477" s="1">
        <f t="shared" si="23"/>
        <v>1</v>
      </c>
    </row>
    <row r="478" spans="1:17" x14ac:dyDescent="0.25">
      <c r="A478" s="1" t="s">
        <v>630</v>
      </c>
      <c r="B478" s="1" t="s">
        <v>273</v>
      </c>
      <c r="C478">
        <v>8</v>
      </c>
      <c r="D478">
        <v>4</v>
      </c>
      <c r="E478">
        <v>3</v>
      </c>
      <c r="F478">
        <v>6</v>
      </c>
      <c r="G478">
        <v>2</v>
      </c>
      <c r="H478">
        <v>6</v>
      </c>
      <c r="I478">
        <v>87</v>
      </c>
      <c r="J478">
        <v>54</v>
      </c>
      <c r="K478">
        <v>69</v>
      </c>
      <c r="L478">
        <v>96</v>
      </c>
      <c r="M478">
        <v>7</v>
      </c>
      <c r="N478">
        <f t="shared" si="21"/>
        <v>31.3</v>
      </c>
      <c r="O478" cm="1">
        <f t="array" ref="O478">SUM(_xlfn.XLOOKUP(E478:H478, $U$13:$U$17, $T$13:$T$17))</f>
        <v>24</v>
      </c>
      <c r="P478">
        <f t="shared" si="22"/>
        <v>8</v>
      </c>
      <c r="Q478" s="1">
        <f t="shared" si="23"/>
        <v>1</v>
      </c>
    </row>
    <row r="479" spans="1:17" x14ac:dyDescent="0.25">
      <c r="A479" s="1" t="s">
        <v>631</v>
      </c>
      <c r="B479" s="1" t="s">
        <v>288</v>
      </c>
      <c r="C479">
        <v>8</v>
      </c>
      <c r="D479">
        <v>3</v>
      </c>
      <c r="E479">
        <v>2</v>
      </c>
      <c r="F479">
        <v>4</v>
      </c>
      <c r="G479">
        <v>6</v>
      </c>
      <c r="H479">
        <v>6</v>
      </c>
      <c r="I479">
        <v>99</v>
      </c>
      <c r="J479">
        <v>51</v>
      </c>
      <c r="K479">
        <v>25</v>
      </c>
      <c r="L479">
        <v>89</v>
      </c>
      <c r="M479">
        <v>73</v>
      </c>
      <c r="N479">
        <f t="shared" si="21"/>
        <v>33.699999999999996</v>
      </c>
      <c r="O479" cm="1">
        <f t="array" ref="O479">SUM(_xlfn.XLOOKUP(E479:H479, $U$13:$U$17, $T$13:$T$17))</f>
        <v>26</v>
      </c>
      <c r="P479">
        <f t="shared" si="22"/>
        <v>8</v>
      </c>
      <c r="Q479" s="1">
        <f t="shared" si="23"/>
        <v>1</v>
      </c>
    </row>
    <row r="480" spans="1:17" x14ac:dyDescent="0.25">
      <c r="A480" s="1" t="s">
        <v>632</v>
      </c>
      <c r="B480" s="1" t="s">
        <v>633</v>
      </c>
      <c r="C480">
        <v>0</v>
      </c>
      <c r="D480">
        <v>4</v>
      </c>
      <c r="E480">
        <v>6</v>
      </c>
      <c r="F480">
        <v>5</v>
      </c>
      <c r="G480">
        <v>2</v>
      </c>
      <c r="H480">
        <v>4</v>
      </c>
      <c r="I480">
        <v>72</v>
      </c>
      <c r="J480">
        <v>33</v>
      </c>
      <c r="K480">
        <v>40</v>
      </c>
      <c r="L480">
        <v>62</v>
      </c>
      <c r="M480">
        <v>19</v>
      </c>
      <c r="N480">
        <f t="shared" si="21"/>
        <v>22.599999999999998</v>
      </c>
      <c r="O480" cm="1">
        <f t="array" ref="O480">SUM(_xlfn.XLOOKUP(E480:H480, $U$13:$U$17, $T$13:$T$17))</f>
        <v>24</v>
      </c>
      <c r="P480">
        <f t="shared" si="22"/>
        <v>0</v>
      </c>
      <c r="Q480" s="1">
        <f t="shared" si="23"/>
        <v>1</v>
      </c>
    </row>
    <row r="481" spans="1:17" x14ac:dyDescent="0.25">
      <c r="A481" s="1" t="s">
        <v>634</v>
      </c>
      <c r="B481" s="1" t="s">
        <v>635</v>
      </c>
      <c r="C481">
        <v>0</v>
      </c>
      <c r="D481">
        <v>4</v>
      </c>
      <c r="E481">
        <v>2</v>
      </c>
      <c r="F481">
        <v>6</v>
      </c>
      <c r="G481">
        <v>2</v>
      </c>
      <c r="H481">
        <v>5</v>
      </c>
      <c r="I481">
        <v>57</v>
      </c>
      <c r="J481">
        <v>88</v>
      </c>
      <c r="K481">
        <v>53</v>
      </c>
      <c r="L481">
        <v>42</v>
      </c>
      <c r="M481">
        <v>49</v>
      </c>
      <c r="N481">
        <f t="shared" si="21"/>
        <v>28.9</v>
      </c>
      <c r="O481" cm="1">
        <f t="array" ref="O481">SUM(_xlfn.XLOOKUP(E481:H481, $U$13:$U$17, $T$13:$T$17))</f>
        <v>18</v>
      </c>
      <c r="P481">
        <f t="shared" si="22"/>
        <v>0</v>
      </c>
      <c r="Q481" s="1">
        <f t="shared" si="23"/>
        <v>0</v>
      </c>
    </row>
    <row r="482" spans="1:17" x14ac:dyDescent="0.25">
      <c r="A482" s="1" t="s">
        <v>636</v>
      </c>
      <c r="B482" s="1" t="s">
        <v>340</v>
      </c>
      <c r="C482">
        <v>1</v>
      </c>
      <c r="D482">
        <v>4</v>
      </c>
      <c r="E482">
        <v>2</v>
      </c>
      <c r="F482">
        <v>2</v>
      </c>
      <c r="G482">
        <v>4</v>
      </c>
      <c r="H482">
        <v>2</v>
      </c>
      <c r="I482">
        <v>68</v>
      </c>
      <c r="J482">
        <v>81</v>
      </c>
      <c r="K482">
        <v>24</v>
      </c>
      <c r="L482">
        <v>15</v>
      </c>
      <c r="M482">
        <v>48</v>
      </c>
      <c r="N482">
        <f t="shared" si="21"/>
        <v>23.599999999999998</v>
      </c>
      <c r="O482" cm="1">
        <f t="array" ref="O482">SUM(_xlfn.XLOOKUP(E482:H482, $U$13:$U$17, $T$13:$T$17))</f>
        <v>6</v>
      </c>
      <c r="P482">
        <f t="shared" si="22"/>
        <v>1</v>
      </c>
      <c r="Q482" s="1">
        <f t="shared" si="23"/>
        <v>0</v>
      </c>
    </row>
    <row r="483" spans="1:17" x14ac:dyDescent="0.25">
      <c r="A483" s="1" t="s">
        <v>637</v>
      </c>
      <c r="B483" s="1" t="s">
        <v>86</v>
      </c>
      <c r="C483">
        <v>6</v>
      </c>
      <c r="D483">
        <v>4</v>
      </c>
      <c r="E483">
        <v>3</v>
      </c>
      <c r="F483">
        <v>2</v>
      </c>
      <c r="G483">
        <v>3</v>
      </c>
      <c r="H483">
        <v>3</v>
      </c>
      <c r="I483">
        <v>43</v>
      </c>
      <c r="J483">
        <v>36</v>
      </c>
      <c r="K483">
        <v>9</v>
      </c>
      <c r="L483">
        <v>88</v>
      </c>
      <c r="M483">
        <v>44</v>
      </c>
      <c r="N483">
        <f t="shared" si="21"/>
        <v>22</v>
      </c>
      <c r="O483" cm="1">
        <f t="array" ref="O483">SUM(_xlfn.XLOOKUP(E483:H483, $U$13:$U$17, $T$13:$T$17))</f>
        <v>12</v>
      </c>
      <c r="P483">
        <f t="shared" si="22"/>
        <v>6</v>
      </c>
      <c r="Q483" s="1">
        <f t="shared" si="23"/>
        <v>0</v>
      </c>
    </row>
    <row r="484" spans="1:17" x14ac:dyDescent="0.25">
      <c r="A484" s="1" t="s">
        <v>638</v>
      </c>
      <c r="B484" s="1" t="s">
        <v>395</v>
      </c>
      <c r="C484">
        <v>2</v>
      </c>
      <c r="D484">
        <v>6</v>
      </c>
      <c r="E484">
        <v>2</v>
      </c>
      <c r="F484">
        <v>2</v>
      </c>
      <c r="G484">
        <v>3</v>
      </c>
      <c r="H484">
        <v>3</v>
      </c>
      <c r="I484">
        <v>69</v>
      </c>
      <c r="J484">
        <v>17</v>
      </c>
      <c r="K484">
        <v>84</v>
      </c>
      <c r="L484">
        <v>87</v>
      </c>
      <c r="M484">
        <v>56</v>
      </c>
      <c r="N484">
        <f t="shared" si="21"/>
        <v>31.299999999999997</v>
      </c>
      <c r="O484" cm="1">
        <f t="array" ref="O484">SUM(_xlfn.XLOOKUP(E484:H484, $U$13:$U$17, $T$13:$T$17))</f>
        <v>8</v>
      </c>
      <c r="P484">
        <f t="shared" si="22"/>
        <v>4</v>
      </c>
      <c r="Q484" s="1">
        <f t="shared" si="23"/>
        <v>0</v>
      </c>
    </row>
    <row r="485" spans="1:17" x14ac:dyDescent="0.25">
      <c r="A485" s="1" t="s">
        <v>639</v>
      </c>
      <c r="B485" s="1" t="s">
        <v>34</v>
      </c>
      <c r="C485">
        <v>0</v>
      </c>
      <c r="D485">
        <v>6</v>
      </c>
      <c r="E485">
        <v>6</v>
      </c>
      <c r="F485">
        <v>3</v>
      </c>
      <c r="G485">
        <v>2</v>
      </c>
      <c r="H485">
        <v>5</v>
      </c>
      <c r="I485">
        <v>25</v>
      </c>
      <c r="J485">
        <v>23</v>
      </c>
      <c r="K485">
        <v>92</v>
      </c>
      <c r="L485">
        <v>37</v>
      </c>
      <c r="M485">
        <v>40</v>
      </c>
      <c r="N485">
        <f t="shared" si="21"/>
        <v>21.7</v>
      </c>
      <c r="O485" cm="1">
        <f t="array" ref="O485">SUM(_xlfn.XLOOKUP(E485:H485, $U$13:$U$17, $T$13:$T$17))</f>
        <v>22</v>
      </c>
      <c r="P485">
        <f t="shared" si="22"/>
        <v>2</v>
      </c>
      <c r="Q485" s="1">
        <f t="shared" si="23"/>
        <v>1</v>
      </c>
    </row>
    <row r="486" spans="1:17" x14ac:dyDescent="0.25">
      <c r="A486" s="1" t="s">
        <v>640</v>
      </c>
      <c r="B486" s="1" t="s">
        <v>249</v>
      </c>
      <c r="C486">
        <v>8</v>
      </c>
      <c r="D486">
        <v>4</v>
      </c>
      <c r="E486">
        <v>6</v>
      </c>
      <c r="F486">
        <v>4</v>
      </c>
      <c r="G486">
        <v>3</v>
      </c>
      <c r="H486">
        <v>2</v>
      </c>
      <c r="I486">
        <v>12</v>
      </c>
      <c r="J486">
        <v>56</v>
      </c>
      <c r="K486">
        <v>75</v>
      </c>
      <c r="L486">
        <v>76</v>
      </c>
      <c r="M486">
        <v>41</v>
      </c>
      <c r="N486">
        <f t="shared" si="21"/>
        <v>26</v>
      </c>
      <c r="O486" cm="1">
        <f t="array" ref="O486">SUM(_xlfn.XLOOKUP(E486:H486, $U$13:$U$17, $T$13:$T$17))</f>
        <v>20</v>
      </c>
      <c r="P486">
        <f t="shared" si="22"/>
        <v>8</v>
      </c>
      <c r="Q486" s="1">
        <f t="shared" si="23"/>
        <v>1</v>
      </c>
    </row>
    <row r="487" spans="1:17" x14ac:dyDescent="0.25">
      <c r="A487" s="1" t="s">
        <v>641</v>
      </c>
      <c r="B487" s="1" t="s">
        <v>222</v>
      </c>
      <c r="C487">
        <v>5</v>
      </c>
      <c r="D487">
        <v>2</v>
      </c>
      <c r="E487">
        <v>5</v>
      </c>
      <c r="F487">
        <v>6</v>
      </c>
      <c r="G487">
        <v>2</v>
      </c>
      <c r="H487">
        <v>5</v>
      </c>
      <c r="I487">
        <v>39</v>
      </c>
      <c r="J487">
        <v>77</v>
      </c>
      <c r="K487">
        <v>37</v>
      </c>
      <c r="L487">
        <v>72</v>
      </c>
      <c r="M487">
        <v>32</v>
      </c>
      <c r="N487">
        <f t="shared" si="21"/>
        <v>25.7</v>
      </c>
      <c r="O487" cm="1">
        <f t="array" ref="O487">SUM(_xlfn.XLOOKUP(E487:H487, $U$13:$U$17, $T$13:$T$17))</f>
        <v>26</v>
      </c>
      <c r="P487">
        <f t="shared" si="22"/>
        <v>5</v>
      </c>
      <c r="Q487" s="1">
        <f t="shared" si="23"/>
        <v>1</v>
      </c>
    </row>
    <row r="488" spans="1:17" x14ac:dyDescent="0.25">
      <c r="A488" s="1" t="s">
        <v>642</v>
      </c>
      <c r="B488" s="1" t="s">
        <v>43</v>
      </c>
      <c r="C488">
        <v>1</v>
      </c>
      <c r="D488">
        <v>3</v>
      </c>
      <c r="E488">
        <v>5</v>
      </c>
      <c r="F488">
        <v>6</v>
      </c>
      <c r="G488">
        <v>2</v>
      </c>
      <c r="H488">
        <v>5</v>
      </c>
      <c r="I488">
        <v>53</v>
      </c>
      <c r="J488">
        <v>25</v>
      </c>
      <c r="K488">
        <v>62</v>
      </c>
      <c r="L488">
        <v>74</v>
      </c>
      <c r="M488">
        <v>81</v>
      </c>
      <c r="N488">
        <f t="shared" si="21"/>
        <v>29.5</v>
      </c>
      <c r="O488" cm="1">
        <f t="array" ref="O488">SUM(_xlfn.XLOOKUP(E488:H488, $U$13:$U$17, $T$13:$T$17))</f>
        <v>26</v>
      </c>
      <c r="P488">
        <f t="shared" si="22"/>
        <v>1</v>
      </c>
      <c r="Q488" s="1">
        <f t="shared" si="23"/>
        <v>0</v>
      </c>
    </row>
    <row r="489" spans="1:17" x14ac:dyDescent="0.25">
      <c r="A489" s="1" t="s">
        <v>643</v>
      </c>
      <c r="B489" s="1" t="s">
        <v>72</v>
      </c>
      <c r="C489">
        <v>7</v>
      </c>
      <c r="D489">
        <v>6</v>
      </c>
      <c r="E489">
        <v>3</v>
      </c>
      <c r="F489">
        <v>6</v>
      </c>
      <c r="G489">
        <v>4</v>
      </c>
      <c r="H489">
        <v>2</v>
      </c>
      <c r="I489">
        <v>11</v>
      </c>
      <c r="J489">
        <v>8</v>
      </c>
      <c r="K489">
        <v>29</v>
      </c>
      <c r="L489">
        <v>7</v>
      </c>
      <c r="M489">
        <v>38</v>
      </c>
      <c r="N489">
        <f t="shared" si="21"/>
        <v>9.3000000000000007</v>
      </c>
      <c r="O489" cm="1">
        <f t="array" ref="O489">SUM(_xlfn.XLOOKUP(E489:H489, $U$13:$U$17, $T$13:$T$17))</f>
        <v>20</v>
      </c>
      <c r="P489">
        <f t="shared" si="22"/>
        <v>9</v>
      </c>
      <c r="Q489" s="1">
        <f t="shared" si="23"/>
        <v>1</v>
      </c>
    </row>
    <row r="490" spans="1:17" x14ac:dyDescent="0.25">
      <c r="A490" s="1" t="s">
        <v>644</v>
      </c>
      <c r="B490" s="1" t="s">
        <v>145</v>
      </c>
      <c r="C490">
        <v>3</v>
      </c>
      <c r="D490">
        <v>4</v>
      </c>
      <c r="E490">
        <v>6</v>
      </c>
      <c r="F490">
        <v>4</v>
      </c>
      <c r="G490">
        <v>6</v>
      </c>
      <c r="H490">
        <v>2</v>
      </c>
      <c r="I490">
        <v>62</v>
      </c>
      <c r="J490">
        <v>31</v>
      </c>
      <c r="K490">
        <v>64</v>
      </c>
      <c r="L490">
        <v>1</v>
      </c>
      <c r="M490">
        <v>25</v>
      </c>
      <c r="N490">
        <f t="shared" si="21"/>
        <v>18.3</v>
      </c>
      <c r="O490" cm="1">
        <f t="array" ref="O490">SUM(_xlfn.XLOOKUP(E490:H490, $U$13:$U$17, $T$13:$T$17))</f>
        <v>26</v>
      </c>
      <c r="P490">
        <f t="shared" si="22"/>
        <v>3</v>
      </c>
      <c r="Q490" s="1">
        <f t="shared" si="23"/>
        <v>1</v>
      </c>
    </row>
    <row r="491" spans="1:17" x14ac:dyDescent="0.25">
      <c r="A491" s="1" t="s">
        <v>645</v>
      </c>
      <c r="B491" s="1" t="s">
        <v>646</v>
      </c>
      <c r="C491">
        <v>4</v>
      </c>
      <c r="D491">
        <v>4</v>
      </c>
      <c r="E491">
        <v>6</v>
      </c>
      <c r="F491">
        <v>3</v>
      </c>
      <c r="G491">
        <v>2</v>
      </c>
      <c r="H491">
        <v>3</v>
      </c>
      <c r="I491">
        <v>24</v>
      </c>
      <c r="J491">
        <v>33</v>
      </c>
      <c r="K491">
        <v>90</v>
      </c>
      <c r="L491">
        <v>28</v>
      </c>
      <c r="M491">
        <v>23</v>
      </c>
      <c r="N491">
        <f t="shared" si="21"/>
        <v>19.8</v>
      </c>
      <c r="O491" cm="1">
        <f t="array" ref="O491">SUM(_xlfn.XLOOKUP(E491:H491, $U$13:$U$17, $T$13:$T$17))</f>
        <v>18</v>
      </c>
      <c r="P491">
        <f t="shared" si="22"/>
        <v>4</v>
      </c>
      <c r="Q491" s="1">
        <f t="shared" si="23"/>
        <v>1</v>
      </c>
    </row>
    <row r="492" spans="1:17" x14ac:dyDescent="0.25">
      <c r="A492" s="1" t="s">
        <v>647</v>
      </c>
      <c r="B492" s="1" t="s">
        <v>32</v>
      </c>
      <c r="C492">
        <v>5</v>
      </c>
      <c r="D492">
        <v>6</v>
      </c>
      <c r="E492">
        <v>5</v>
      </c>
      <c r="F492">
        <v>6</v>
      </c>
      <c r="G492">
        <v>5</v>
      </c>
      <c r="H492">
        <v>4</v>
      </c>
      <c r="I492">
        <v>92</v>
      </c>
      <c r="J492">
        <v>67</v>
      </c>
      <c r="K492">
        <v>92</v>
      </c>
      <c r="L492">
        <v>79</v>
      </c>
      <c r="M492">
        <v>81</v>
      </c>
      <c r="N492">
        <f t="shared" si="21"/>
        <v>41.1</v>
      </c>
      <c r="O492" cm="1">
        <f t="array" ref="O492">SUM(_xlfn.XLOOKUP(E492:H492, $U$13:$U$17, $T$13:$T$17))</f>
        <v>32</v>
      </c>
      <c r="P492">
        <f t="shared" si="22"/>
        <v>7</v>
      </c>
      <c r="Q492" s="1">
        <f t="shared" si="23"/>
        <v>0</v>
      </c>
    </row>
    <row r="493" spans="1:17" x14ac:dyDescent="0.25">
      <c r="A493" s="1" t="s">
        <v>648</v>
      </c>
      <c r="B493" s="1" t="s">
        <v>649</v>
      </c>
      <c r="C493">
        <v>5</v>
      </c>
      <c r="D493">
        <v>3</v>
      </c>
      <c r="E493">
        <v>4</v>
      </c>
      <c r="F493">
        <v>2</v>
      </c>
      <c r="G493">
        <v>6</v>
      </c>
      <c r="H493">
        <v>6</v>
      </c>
      <c r="I493">
        <v>21</v>
      </c>
      <c r="J493">
        <v>40</v>
      </c>
      <c r="K493">
        <v>18</v>
      </c>
      <c r="L493">
        <v>81</v>
      </c>
      <c r="M493">
        <v>88</v>
      </c>
      <c r="N493">
        <f t="shared" si="21"/>
        <v>24.8</v>
      </c>
      <c r="O493" cm="1">
        <f t="array" ref="O493">SUM(_xlfn.XLOOKUP(E493:H493, $U$13:$U$17, $T$13:$T$17))</f>
        <v>26</v>
      </c>
      <c r="P493">
        <f t="shared" si="22"/>
        <v>5</v>
      </c>
      <c r="Q493" s="1">
        <f t="shared" si="23"/>
        <v>1</v>
      </c>
    </row>
    <row r="494" spans="1:17" x14ac:dyDescent="0.25">
      <c r="A494" s="1" t="s">
        <v>650</v>
      </c>
      <c r="B494" s="1" t="s">
        <v>651</v>
      </c>
      <c r="C494">
        <v>6</v>
      </c>
      <c r="D494">
        <v>2</v>
      </c>
      <c r="E494">
        <v>3</v>
      </c>
      <c r="F494">
        <v>6</v>
      </c>
      <c r="G494">
        <v>5</v>
      </c>
      <c r="H494">
        <v>4</v>
      </c>
      <c r="I494">
        <v>78</v>
      </c>
      <c r="J494">
        <v>1</v>
      </c>
      <c r="K494">
        <v>9</v>
      </c>
      <c r="L494">
        <v>33</v>
      </c>
      <c r="M494">
        <v>81</v>
      </c>
      <c r="N494">
        <f t="shared" si="21"/>
        <v>20.199999999999996</v>
      </c>
      <c r="O494" cm="1">
        <f t="array" ref="O494">SUM(_xlfn.XLOOKUP(E494:H494, $U$13:$U$17, $T$13:$T$17))</f>
        <v>28</v>
      </c>
      <c r="P494">
        <f t="shared" si="22"/>
        <v>6</v>
      </c>
      <c r="Q494" s="1">
        <f t="shared" si="23"/>
        <v>1</v>
      </c>
    </row>
    <row r="495" spans="1:17" x14ac:dyDescent="0.25">
      <c r="A495" s="1" t="s">
        <v>652</v>
      </c>
      <c r="B495" s="1" t="s">
        <v>239</v>
      </c>
      <c r="C495">
        <v>8</v>
      </c>
      <c r="D495">
        <v>2</v>
      </c>
      <c r="E495">
        <v>3</v>
      </c>
      <c r="F495">
        <v>4</v>
      </c>
      <c r="G495">
        <v>5</v>
      </c>
      <c r="H495">
        <v>4</v>
      </c>
      <c r="I495">
        <v>65</v>
      </c>
      <c r="J495">
        <v>19</v>
      </c>
      <c r="K495">
        <v>19</v>
      </c>
      <c r="L495">
        <v>8</v>
      </c>
      <c r="M495">
        <v>20</v>
      </c>
      <c r="N495">
        <f t="shared" si="21"/>
        <v>13.100000000000001</v>
      </c>
      <c r="O495" cm="1">
        <f t="array" ref="O495">SUM(_xlfn.XLOOKUP(E495:H495, $U$13:$U$17, $T$13:$T$17))</f>
        <v>24</v>
      </c>
      <c r="P495">
        <f t="shared" si="22"/>
        <v>8</v>
      </c>
      <c r="Q495" s="1">
        <f t="shared" si="23"/>
        <v>1</v>
      </c>
    </row>
    <row r="496" spans="1:17" x14ac:dyDescent="0.25">
      <c r="A496" s="1" t="s">
        <v>653</v>
      </c>
      <c r="B496" s="1" t="s">
        <v>340</v>
      </c>
      <c r="C496">
        <v>2</v>
      </c>
      <c r="D496">
        <v>2</v>
      </c>
      <c r="E496">
        <v>2</v>
      </c>
      <c r="F496">
        <v>5</v>
      </c>
      <c r="G496">
        <v>5</v>
      </c>
      <c r="H496">
        <v>4</v>
      </c>
      <c r="I496">
        <v>60</v>
      </c>
      <c r="J496">
        <v>79</v>
      </c>
      <c r="K496">
        <v>51</v>
      </c>
      <c r="L496">
        <v>40</v>
      </c>
      <c r="M496">
        <v>16</v>
      </c>
      <c r="N496">
        <f t="shared" si="21"/>
        <v>24.6</v>
      </c>
      <c r="O496" cm="1">
        <f t="array" ref="O496">SUM(_xlfn.XLOOKUP(E496:H496, $U$13:$U$17, $T$13:$T$17))</f>
        <v>22</v>
      </c>
      <c r="P496">
        <f t="shared" si="22"/>
        <v>2</v>
      </c>
      <c r="Q496" s="1">
        <f t="shared" si="23"/>
        <v>0</v>
      </c>
    </row>
    <row r="497" spans="1:17" x14ac:dyDescent="0.25">
      <c r="A497" s="1" t="s">
        <v>654</v>
      </c>
      <c r="B497" s="1" t="s">
        <v>340</v>
      </c>
      <c r="C497">
        <v>5</v>
      </c>
      <c r="D497">
        <v>2</v>
      </c>
      <c r="E497">
        <v>3</v>
      </c>
      <c r="F497">
        <v>3</v>
      </c>
      <c r="G497">
        <v>6</v>
      </c>
      <c r="H497">
        <v>3</v>
      </c>
      <c r="I497">
        <v>79</v>
      </c>
      <c r="J497">
        <v>21</v>
      </c>
      <c r="K497">
        <v>41</v>
      </c>
      <c r="L497">
        <v>39</v>
      </c>
      <c r="M497">
        <v>74</v>
      </c>
      <c r="N497">
        <f t="shared" si="21"/>
        <v>25.4</v>
      </c>
      <c r="O497" cm="1">
        <f t="array" ref="O497">SUM(_xlfn.XLOOKUP(E497:H497, $U$13:$U$17, $T$13:$T$17))</f>
        <v>22</v>
      </c>
      <c r="P497">
        <f t="shared" si="22"/>
        <v>5</v>
      </c>
      <c r="Q497" s="1">
        <f t="shared" si="23"/>
        <v>1</v>
      </c>
    </row>
    <row r="498" spans="1:17" x14ac:dyDescent="0.25">
      <c r="A498" s="1" t="s">
        <v>655</v>
      </c>
      <c r="B498" s="1" t="s">
        <v>38</v>
      </c>
      <c r="C498">
        <v>7</v>
      </c>
      <c r="D498">
        <v>2</v>
      </c>
      <c r="E498">
        <v>6</v>
      </c>
      <c r="F498">
        <v>6</v>
      </c>
      <c r="G498">
        <v>6</v>
      </c>
      <c r="H498">
        <v>5</v>
      </c>
      <c r="I498">
        <v>27</v>
      </c>
      <c r="J498">
        <v>93</v>
      </c>
      <c r="K498">
        <v>10</v>
      </c>
      <c r="L498">
        <v>43</v>
      </c>
      <c r="M498">
        <v>28</v>
      </c>
      <c r="N498">
        <f t="shared" si="21"/>
        <v>20.100000000000001</v>
      </c>
      <c r="O498" cm="1">
        <f t="array" ref="O498">SUM(_xlfn.XLOOKUP(E498:H498, $U$13:$U$17, $T$13:$T$17))</f>
        <v>38</v>
      </c>
      <c r="P498">
        <f t="shared" si="22"/>
        <v>7</v>
      </c>
      <c r="Q498" s="1">
        <f t="shared" si="23"/>
        <v>1</v>
      </c>
    </row>
    <row r="499" spans="1:17" x14ac:dyDescent="0.25">
      <c r="A499" s="1" t="s">
        <v>656</v>
      </c>
      <c r="B499" s="1" t="s">
        <v>119</v>
      </c>
      <c r="C499">
        <v>5</v>
      </c>
      <c r="D499">
        <v>4</v>
      </c>
      <c r="E499">
        <v>6</v>
      </c>
      <c r="F499">
        <v>5</v>
      </c>
      <c r="G499">
        <v>4</v>
      </c>
      <c r="H499">
        <v>4</v>
      </c>
      <c r="I499">
        <v>44</v>
      </c>
      <c r="J499">
        <v>95</v>
      </c>
      <c r="K499">
        <v>15</v>
      </c>
      <c r="L499">
        <v>66</v>
      </c>
      <c r="M499">
        <v>82</v>
      </c>
      <c r="N499">
        <f t="shared" si="21"/>
        <v>30.2</v>
      </c>
      <c r="O499" cm="1">
        <f t="array" ref="O499">SUM(_xlfn.XLOOKUP(E499:H499, $U$13:$U$17, $T$13:$T$17))</f>
        <v>30</v>
      </c>
      <c r="P499">
        <f t="shared" si="22"/>
        <v>5</v>
      </c>
      <c r="Q499" s="1">
        <f t="shared" si="23"/>
        <v>1</v>
      </c>
    </row>
    <row r="500" spans="1:17" x14ac:dyDescent="0.25">
      <c r="A500" s="1" t="s">
        <v>657</v>
      </c>
      <c r="B500" s="1" t="s">
        <v>340</v>
      </c>
      <c r="C500">
        <v>0</v>
      </c>
      <c r="D500">
        <v>6</v>
      </c>
      <c r="E500">
        <v>6</v>
      </c>
      <c r="F500">
        <v>2</v>
      </c>
      <c r="G500">
        <v>4</v>
      </c>
      <c r="H500">
        <v>3</v>
      </c>
      <c r="I500">
        <v>15</v>
      </c>
      <c r="J500">
        <v>15</v>
      </c>
      <c r="K500">
        <v>58</v>
      </c>
      <c r="L500">
        <v>15</v>
      </c>
      <c r="M500">
        <v>87</v>
      </c>
      <c r="N500">
        <f t="shared" si="21"/>
        <v>19</v>
      </c>
      <c r="O500" cm="1">
        <f t="array" ref="O500">SUM(_xlfn.XLOOKUP(E500:H500, $U$13:$U$17, $T$13:$T$17))</f>
        <v>20</v>
      </c>
      <c r="P500">
        <f t="shared" si="22"/>
        <v>2</v>
      </c>
      <c r="Q500" s="1">
        <f t="shared" si="23"/>
        <v>1</v>
      </c>
    </row>
    <row r="501" spans="1:17" x14ac:dyDescent="0.25">
      <c r="A501" s="1" t="s">
        <v>658</v>
      </c>
      <c r="B501" s="1" t="s">
        <v>16</v>
      </c>
      <c r="C501">
        <v>4</v>
      </c>
      <c r="D501">
        <v>6</v>
      </c>
      <c r="E501">
        <v>6</v>
      </c>
      <c r="F501">
        <v>3</v>
      </c>
      <c r="G501">
        <v>6</v>
      </c>
      <c r="H501">
        <v>2</v>
      </c>
      <c r="I501">
        <v>69</v>
      </c>
      <c r="J501">
        <v>78</v>
      </c>
      <c r="K501">
        <v>32</v>
      </c>
      <c r="L501">
        <v>73</v>
      </c>
      <c r="M501">
        <v>93</v>
      </c>
      <c r="N501">
        <f t="shared" si="21"/>
        <v>34.5</v>
      </c>
      <c r="O501" cm="1">
        <f t="array" ref="O501">SUM(_xlfn.XLOOKUP(E501:H501, $U$13:$U$17, $T$13:$T$17))</f>
        <v>24</v>
      </c>
      <c r="P501">
        <f t="shared" si="22"/>
        <v>6</v>
      </c>
      <c r="Q501" s="1">
        <f t="shared" si="23"/>
        <v>0</v>
      </c>
    </row>
    <row r="502" spans="1:17" x14ac:dyDescent="0.25">
      <c r="A502" s="1" t="s">
        <v>659</v>
      </c>
      <c r="B502" s="1" t="s">
        <v>660</v>
      </c>
      <c r="C502">
        <v>7</v>
      </c>
      <c r="D502">
        <v>3</v>
      </c>
      <c r="E502">
        <v>4</v>
      </c>
      <c r="F502">
        <v>6</v>
      </c>
      <c r="G502">
        <v>3</v>
      </c>
      <c r="H502">
        <v>6</v>
      </c>
      <c r="I502">
        <v>14</v>
      </c>
      <c r="J502">
        <v>42</v>
      </c>
      <c r="K502">
        <v>40</v>
      </c>
      <c r="L502">
        <v>48</v>
      </c>
      <c r="M502">
        <v>35</v>
      </c>
      <c r="N502">
        <f t="shared" si="21"/>
        <v>17.899999999999999</v>
      </c>
      <c r="O502" cm="1">
        <f t="array" ref="O502">SUM(_xlfn.XLOOKUP(E502:H502, $U$13:$U$17, $T$13:$T$17))</f>
        <v>30</v>
      </c>
      <c r="P502">
        <f t="shared" si="22"/>
        <v>7</v>
      </c>
      <c r="Q502" s="1">
        <f t="shared" si="23"/>
        <v>1</v>
      </c>
    </row>
    <row r="503" spans="1:17" x14ac:dyDescent="0.25">
      <c r="A503" s="1" t="s">
        <v>661</v>
      </c>
      <c r="B503" s="1" t="s">
        <v>83</v>
      </c>
      <c r="C503">
        <v>5</v>
      </c>
      <c r="D503">
        <v>2</v>
      </c>
      <c r="E503">
        <v>5</v>
      </c>
      <c r="F503">
        <v>6</v>
      </c>
      <c r="G503">
        <v>3</v>
      </c>
      <c r="H503">
        <v>3</v>
      </c>
      <c r="I503">
        <v>90</v>
      </c>
      <c r="J503">
        <v>70</v>
      </c>
      <c r="K503">
        <v>84</v>
      </c>
      <c r="L503">
        <v>62</v>
      </c>
      <c r="M503">
        <v>20</v>
      </c>
      <c r="N503">
        <f t="shared" si="21"/>
        <v>32.599999999999994</v>
      </c>
      <c r="O503" cm="1">
        <f t="array" ref="O503">SUM(_xlfn.XLOOKUP(E503:H503, $U$13:$U$17, $T$13:$T$17))</f>
        <v>26</v>
      </c>
      <c r="P503">
        <f t="shared" si="22"/>
        <v>5</v>
      </c>
      <c r="Q503" s="1">
        <f t="shared" si="23"/>
        <v>0</v>
      </c>
    </row>
    <row r="504" spans="1:17" x14ac:dyDescent="0.25">
      <c r="A504" s="1" t="s">
        <v>662</v>
      </c>
      <c r="B504" s="1" t="s">
        <v>355</v>
      </c>
      <c r="C504">
        <v>1</v>
      </c>
      <c r="D504">
        <v>6</v>
      </c>
      <c r="E504">
        <v>4</v>
      </c>
      <c r="F504">
        <v>3</v>
      </c>
      <c r="G504">
        <v>3</v>
      </c>
      <c r="H504">
        <v>6</v>
      </c>
      <c r="I504">
        <v>79</v>
      </c>
      <c r="J504">
        <v>71</v>
      </c>
      <c r="K504">
        <v>89</v>
      </c>
      <c r="L504">
        <v>26</v>
      </c>
      <c r="M504">
        <v>96</v>
      </c>
      <c r="N504">
        <f t="shared" si="21"/>
        <v>36.1</v>
      </c>
      <c r="O504" cm="1">
        <f t="array" ref="O504">SUM(_xlfn.XLOOKUP(E504:H504, $U$13:$U$17, $T$13:$T$17))</f>
        <v>24</v>
      </c>
      <c r="P504">
        <f t="shared" si="22"/>
        <v>3</v>
      </c>
      <c r="Q504" s="1">
        <f t="shared" si="23"/>
        <v>0</v>
      </c>
    </row>
    <row r="505" spans="1:17" x14ac:dyDescent="0.25">
      <c r="A505" s="1" t="s">
        <v>663</v>
      </c>
      <c r="B505" s="1" t="s">
        <v>369</v>
      </c>
      <c r="C505">
        <v>5</v>
      </c>
      <c r="D505">
        <v>5</v>
      </c>
      <c r="E505">
        <v>6</v>
      </c>
      <c r="F505">
        <v>3</v>
      </c>
      <c r="G505">
        <v>4</v>
      </c>
      <c r="H505">
        <v>2</v>
      </c>
      <c r="I505">
        <v>45</v>
      </c>
      <c r="J505">
        <v>46</v>
      </c>
      <c r="K505">
        <v>47</v>
      </c>
      <c r="L505">
        <v>70</v>
      </c>
      <c r="M505">
        <v>56</v>
      </c>
      <c r="N505">
        <f t="shared" si="21"/>
        <v>26.4</v>
      </c>
      <c r="O505" cm="1">
        <f t="array" ref="O505">SUM(_xlfn.XLOOKUP(E505:H505, $U$13:$U$17, $T$13:$T$17))</f>
        <v>20</v>
      </c>
      <c r="P505">
        <f t="shared" si="22"/>
        <v>5</v>
      </c>
      <c r="Q505" s="1">
        <f t="shared" si="23"/>
        <v>0</v>
      </c>
    </row>
    <row r="506" spans="1:17" x14ac:dyDescent="0.25">
      <c r="A506" s="1" t="s">
        <v>235</v>
      </c>
      <c r="B506" s="1" t="s">
        <v>311</v>
      </c>
      <c r="C506">
        <v>6</v>
      </c>
      <c r="D506">
        <v>5</v>
      </c>
      <c r="E506">
        <v>6</v>
      </c>
      <c r="F506">
        <v>6</v>
      </c>
      <c r="G506">
        <v>5</v>
      </c>
      <c r="H506">
        <v>3</v>
      </c>
      <c r="I506">
        <v>100</v>
      </c>
      <c r="J506">
        <v>44</v>
      </c>
      <c r="K506">
        <v>54</v>
      </c>
      <c r="L506">
        <v>75</v>
      </c>
      <c r="M506">
        <v>64</v>
      </c>
      <c r="N506">
        <f t="shared" si="21"/>
        <v>33.700000000000003</v>
      </c>
      <c r="O506" cm="1">
        <f t="array" ref="O506">SUM(_xlfn.XLOOKUP(E506:H506, $U$13:$U$17, $T$13:$T$17))</f>
        <v>32</v>
      </c>
      <c r="P506">
        <f t="shared" si="22"/>
        <v>6</v>
      </c>
      <c r="Q506" s="1">
        <f t="shared" si="23"/>
        <v>1</v>
      </c>
    </row>
    <row r="507" spans="1:17" x14ac:dyDescent="0.25">
      <c r="A507" s="1" t="s">
        <v>211</v>
      </c>
      <c r="B507" s="1" t="s">
        <v>78</v>
      </c>
      <c r="C507">
        <v>5</v>
      </c>
      <c r="D507">
        <v>6</v>
      </c>
      <c r="E507">
        <v>5</v>
      </c>
      <c r="F507">
        <v>2</v>
      </c>
      <c r="G507">
        <v>2</v>
      </c>
      <c r="H507">
        <v>2</v>
      </c>
      <c r="I507">
        <v>74</v>
      </c>
      <c r="J507">
        <v>70</v>
      </c>
      <c r="K507">
        <v>43</v>
      </c>
      <c r="L507">
        <v>43</v>
      </c>
      <c r="M507">
        <v>37</v>
      </c>
      <c r="N507">
        <f t="shared" si="21"/>
        <v>26.7</v>
      </c>
      <c r="O507" cm="1">
        <f t="array" ref="O507">SUM(_xlfn.XLOOKUP(E507:H507, $U$13:$U$17, $T$13:$T$17))</f>
        <v>8</v>
      </c>
      <c r="P507">
        <f t="shared" si="22"/>
        <v>7</v>
      </c>
      <c r="Q507" s="1">
        <f t="shared" si="23"/>
        <v>0</v>
      </c>
    </row>
    <row r="508" spans="1:17" x14ac:dyDescent="0.25">
      <c r="A508" s="1" t="s">
        <v>664</v>
      </c>
      <c r="B508" s="1" t="s">
        <v>665</v>
      </c>
      <c r="C508">
        <v>8</v>
      </c>
      <c r="D508">
        <v>3</v>
      </c>
      <c r="E508">
        <v>3</v>
      </c>
      <c r="F508">
        <v>4</v>
      </c>
      <c r="G508">
        <v>5</v>
      </c>
      <c r="H508">
        <v>5</v>
      </c>
      <c r="I508">
        <v>78</v>
      </c>
      <c r="J508">
        <v>45</v>
      </c>
      <c r="K508">
        <v>23</v>
      </c>
      <c r="L508">
        <v>91</v>
      </c>
      <c r="M508">
        <v>58</v>
      </c>
      <c r="N508">
        <f t="shared" si="21"/>
        <v>29.500000000000004</v>
      </c>
      <c r="O508" cm="1">
        <f t="array" ref="O508">SUM(_xlfn.XLOOKUP(E508:H508, $U$13:$U$17, $T$13:$T$17))</f>
        <v>26</v>
      </c>
      <c r="P508">
        <f t="shared" si="22"/>
        <v>8</v>
      </c>
      <c r="Q508" s="1">
        <f t="shared" si="23"/>
        <v>1</v>
      </c>
    </row>
    <row r="509" spans="1:17" x14ac:dyDescent="0.25">
      <c r="A509" s="1" t="s">
        <v>666</v>
      </c>
      <c r="B509" s="1" t="s">
        <v>34</v>
      </c>
      <c r="C509">
        <v>4</v>
      </c>
      <c r="D509">
        <v>5</v>
      </c>
      <c r="E509">
        <v>3</v>
      </c>
      <c r="F509">
        <v>6</v>
      </c>
      <c r="G509">
        <v>6</v>
      </c>
      <c r="H509">
        <v>3</v>
      </c>
      <c r="I509">
        <v>23</v>
      </c>
      <c r="J509">
        <v>16</v>
      </c>
      <c r="K509">
        <v>85</v>
      </c>
      <c r="L509">
        <v>82</v>
      </c>
      <c r="M509">
        <v>75</v>
      </c>
      <c r="N509">
        <f t="shared" si="21"/>
        <v>28.1</v>
      </c>
      <c r="O509" cm="1">
        <f t="array" ref="O509">SUM(_xlfn.XLOOKUP(E509:H509, $U$13:$U$17, $T$13:$T$17))</f>
        <v>28</v>
      </c>
      <c r="P509">
        <f t="shared" si="22"/>
        <v>4</v>
      </c>
      <c r="Q509" s="1">
        <f t="shared" si="23"/>
        <v>1</v>
      </c>
    </row>
    <row r="510" spans="1:17" x14ac:dyDescent="0.25">
      <c r="A510" s="1" t="s">
        <v>667</v>
      </c>
      <c r="B510" s="1" t="s">
        <v>203</v>
      </c>
      <c r="C510">
        <v>1</v>
      </c>
      <c r="D510">
        <v>2</v>
      </c>
      <c r="E510">
        <v>5</v>
      </c>
      <c r="F510">
        <v>2</v>
      </c>
      <c r="G510">
        <v>6</v>
      </c>
      <c r="H510">
        <v>6</v>
      </c>
      <c r="I510">
        <v>62</v>
      </c>
      <c r="J510">
        <v>89</v>
      </c>
      <c r="K510">
        <v>20</v>
      </c>
      <c r="L510">
        <v>56</v>
      </c>
      <c r="M510">
        <v>80</v>
      </c>
      <c r="N510">
        <f t="shared" si="21"/>
        <v>30.700000000000003</v>
      </c>
      <c r="O510" cm="1">
        <f t="array" ref="O510">SUM(_xlfn.XLOOKUP(E510:H510, $U$13:$U$17, $T$13:$T$17))</f>
        <v>28</v>
      </c>
      <c r="P510">
        <f t="shared" si="22"/>
        <v>1</v>
      </c>
      <c r="Q510" s="1">
        <f t="shared" si="23"/>
        <v>0</v>
      </c>
    </row>
    <row r="511" spans="1:17" x14ac:dyDescent="0.25">
      <c r="A511" s="1" t="s">
        <v>668</v>
      </c>
      <c r="B511" s="1" t="s">
        <v>83</v>
      </c>
      <c r="C511">
        <v>6</v>
      </c>
      <c r="D511">
        <v>6</v>
      </c>
      <c r="E511">
        <v>5</v>
      </c>
      <c r="F511">
        <v>6</v>
      </c>
      <c r="G511">
        <v>2</v>
      </c>
      <c r="H511">
        <v>4</v>
      </c>
      <c r="I511">
        <v>22</v>
      </c>
      <c r="J511">
        <v>29</v>
      </c>
      <c r="K511">
        <v>31</v>
      </c>
      <c r="L511">
        <v>9</v>
      </c>
      <c r="M511">
        <v>56</v>
      </c>
      <c r="N511">
        <f t="shared" si="21"/>
        <v>14.7</v>
      </c>
      <c r="O511" cm="1">
        <f t="array" ref="O511">SUM(_xlfn.XLOOKUP(E511:H511, $U$13:$U$17, $T$13:$T$17))</f>
        <v>24</v>
      </c>
      <c r="P511">
        <f t="shared" si="22"/>
        <v>8</v>
      </c>
      <c r="Q511" s="1">
        <f t="shared" si="23"/>
        <v>1</v>
      </c>
    </row>
    <row r="512" spans="1:17" x14ac:dyDescent="0.25">
      <c r="A512" s="1" t="s">
        <v>669</v>
      </c>
      <c r="B512" s="1" t="s">
        <v>540</v>
      </c>
      <c r="C512">
        <v>8</v>
      </c>
      <c r="D512">
        <v>3</v>
      </c>
      <c r="E512">
        <v>4</v>
      </c>
      <c r="F512">
        <v>5</v>
      </c>
      <c r="G512">
        <v>2</v>
      </c>
      <c r="H512">
        <v>4</v>
      </c>
      <c r="I512">
        <v>30</v>
      </c>
      <c r="J512">
        <v>10</v>
      </c>
      <c r="K512">
        <v>78</v>
      </c>
      <c r="L512">
        <v>57</v>
      </c>
      <c r="M512">
        <v>67</v>
      </c>
      <c r="N512">
        <f t="shared" si="21"/>
        <v>24.2</v>
      </c>
      <c r="O512" cm="1">
        <f t="array" ref="O512">SUM(_xlfn.XLOOKUP(E512:H512, $U$13:$U$17, $T$13:$T$17))</f>
        <v>20</v>
      </c>
      <c r="P512">
        <f t="shared" si="22"/>
        <v>8</v>
      </c>
      <c r="Q512" s="1">
        <f t="shared" si="23"/>
        <v>1</v>
      </c>
    </row>
    <row r="513" spans="1:17" x14ac:dyDescent="0.25">
      <c r="A513" s="1" t="s">
        <v>670</v>
      </c>
      <c r="B513" s="1" t="s">
        <v>302</v>
      </c>
      <c r="C513">
        <v>7</v>
      </c>
      <c r="D513">
        <v>6</v>
      </c>
      <c r="E513">
        <v>4</v>
      </c>
      <c r="F513">
        <v>6</v>
      </c>
      <c r="G513">
        <v>2</v>
      </c>
      <c r="H513">
        <v>2</v>
      </c>
      <c r="I513">
        <v>29</v>
      </c>
      <c r="J513">
        <v>64</v>
      </c>
      <c r="K513">
        <v>39</v>
      </c>
      <c r="L513">
        <v>62</v>
      </c>
      <c r="M513">
        <v>1</v>
      </c>
      <c r="N513">
        <f t="shared" si="21"/>
        <v>19.500000000000004</v>
      </c>
      <c r="O513" cm="1">
        <f t="array" ref="O513">SUM(_xlfn.XLOOKUP(E513:H513, $U$13:$U$17, $T$13:$T$17))</f>
        <v>16</v>
      </c>
      <c r="P513">
        <f t="shared" si="22"/>
        <v>9</v>
      </c>
      <c r="Q513" s="1">
        <f t="shared" si="23"/>
        <v>1</v>
      </c>
    </row>
    <row r="514" spans="1:17" x14ac:dyDescent="0.25">
      <c r="A514" s="1" t="s">
        <v>671</v>
      </c>
      <c r="B514" s="1" t="s">
        <v>101</v>
      </c>
      <c r="C514">
        <v>3</v>
      </c>
      <c r="D514">
        <v>2</v>
      </c>
      <c r="E514">
        <v>2</v>
      </c>
      <c r="F514">
        <v>3</v>
      </c>
      <c r="G514">
        <v>5</v>
      </c>
      <c r="H514">
        <v>4</v>
      </c>
      <c r="I514">
        <v>32</v>
      </c>
      <c r="J514">
        <v>80</v>
      </c>
      <c r="K514">
        <v>47</v>
      </c>
      <c r="L514">
        <v>98</v>
      </c>
      <c r="M514">
        <v>30</v>
      </c>
      <c r="N514">
        <f t="shared" ref="N514:N515" si="24">I514/10 + J514/10 + K514/10 + L514/10 + M514/10</f>
        <v>28.7</v>
      </c>
      <c r="O514" cm="1">
        <f t="array" ref="O514">SUM(_xlfn.XLOOKUP(E514:H514, $U$13:$U$17, $T$13:$T$17))</f>
        <v>18</v>
      </c>
      <c r="P514">
        <f t="shared" si="22"/>
        <v>3</v>
      </c>
      <c r="Q514" s="1">
        <f t="shared" ref="Q514:Q577" si="25">IF((O514+P514)&gt;N514, 1, 0)</f>
        <v>0</v>
      </c>
    </row>
    <row r="515" spans="1:17" x14ac:dyDescent="0.25">
      <c r="A515" s="1" t="s">
        <v>269</v>
      </c>
      <c r="B515" s="1" t="s">
        <v>171</v>
      </c>
      <c r="C515">
        <v>3</v>
      </c>
      <c r="D515">
        <v>5</v>
      </c>
      <c r="E515">
        <v>2</v>
      </c>
      <c r="F515">
        <v>3</v>
      </c>
      <c r="G515">
        <v>2</v>
      </c>
      <c r="H515">
        <v>6</v>
      </c>
      <c r="I515">
        <v>81</v>
      </c>
      <c r="J515">
        <v>8</v>
      </c>
      <c r="K515">
        <v>48</v>
      </c>
      <c r="L515">
        <v>7</v>
      </c>
      <c r="M515">
        <v>21</v>
      </c>
      <c r="N515">
        <f t="shared" si="24"/>
        <v>16.5</v>
      </c>
      <c r="O515" cm="1">
        <f t="array" ref="O515">SUM(_xlfn.XLOOKUP(E515:H515, $U$13:$U$17, $T$13:$T$17))</f>
        <v>14</v>
      </c>
      <c r="P515">
        <f t="shared" si="22"/>
        <v>3</v>
      </c>
      <c r="Q515" s="1">
        <f t="shared" si="25"/>
        <v>1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9B087F-E9FC-4A15-A910-2496B099B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punkty_rekrutacyjne</vt:lpstr>
      <vt:lpstr>89_1</vt:lpstr>
      <vt:lpstr>89_2</vt:lpstr>
      <vt:lpstr>89_3</vt:lpstr>
      <vt:lpstr>89_4</vt:lpstr>
      <vt:lpstr>89_5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2015-06-05T18:17:20Z</dcterms:created>
  <dcterms:modified xsi:type="dcterms:W3CDTF">2026-09-19T17:39:00Z</dcterms:modified>
</cp:coreProperties>
</file>