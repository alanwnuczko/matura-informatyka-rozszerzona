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143F70BD-0B88-4385-B3DD-5E983ACAE585}" xr6:coauthVersionLast="47" xr6:coauthVersionMax="47" xr10:uidLastSave="{00000000-0000-0000-0000-000000000000}"/>
  <bookViews>
    <workbookView xWindow="-120" yWindow="-120" windowWidth="38640" windowHeight="21120" activeTab="5" xr2:uid="{F5DF3BD0-7892-45AE-8562-78193AE4EBC1}"/>
  </bookViews>
  <sheets>
    <sheet name="pogoda" sheetId="8" r:id="rId1"/>
    <sheet name="5_1" sheetId="1" r:id="rId2"/>
    <sheet name="5_2" sheetId="7" r:id="rId3"/>
    <sheet name="5_3" sheetId="9" r:id="rId4"/>
    <sheet name="5_4_a" sheetId="15" r:id="rId5"/>
    <sheet name="5_4_b_c" sheetId="16" r:id="rId6"/>
  </sheets>
  <definedNames>
    <definedName name="_xlnm._FilterDatabase" localSheetId="2" hidden="1">'5_2'!$F$1:$F$501</definedName>
    <definedName name="_xlnm._FilterDatabase" localSheetId="3" hidden="1">'5_3'!$A$1:$E$301</definedName>
    <definedName name="ExternalData_1" localSheetId="2" hidden="1">'5_2'!$A$1:$E$501</definedName>
    <definedName name="ExternalData_1" localSheetId="0" hidden="1">pogoda!$A$1:$E$501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6" l="1"/>
  <c r="G3" i="16"/>
  <c r="G4" i="16"/>
  <c r="G5" i="16"/>
  <c r="J10" i="16" s="1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D2" i="16"/>
  <c r="J5" i="16" s="1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J6" i="15"/>
  <c r="J7" i="15"/>
  <c r="J8" i="15"/>
  <c r="J9" i="15"/>
  <c r="J10" i="15"/>
  <c r="J11" i="15"/>
  <c r="D4" i="15"/>
  <c r="D5" i="15" s="1"/>
  <c r="D6" i="15" s="1"/>
  <c r="D7" i="15" s="1"/>
  <c r="D8" i="15" s="1"/>
  <c r="D9" i="15" s="1"/>
  <c r="D10" i="15" s="1"/>
  <c r="D11" i="15" s="1"/>
  <c r="D12" i="15" s="1"/>
  <c r="D13" i="15" s="1"/>
  <c r="D14" i="15" s="1"/>
  <c r="D15" i="15" s="1"/>
  <c r="D16" i="15" s="1"/>
  <c r="D17" i="15"/>
  <c r="D18" i="15"/>
  <c r="D19" i="15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/>
  <c r="D37" i="15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/>
  <c r="D51" i="15"/>
  <c r="D52" i="15" s="1"/>
  <c r="D53" i="15" s="1"/>
  <c r="D54" i="15" s="1"/>
  <c r="D55" i="15" s="1"/>
  <c r="D56" i="15" s="1"/>
  <c r="D57" i="15" s="1"/>
  <c r="D58" i="15" s="1"/>
  <c r="D59" i="15" s="1"/>
  <c r="D60" i="15" s="1"/>
  <c r="D61" i="15" s="1"/>
  <c r="D62" i="15" s="1"/>
  <c r="D63" i="15" s="1"/>
  <c r="D64" i="15"/>
  <c r="D65" i="15"/>
  <c r="D66" i="15"/>
  <c r="D67" i="15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/>
  <c r="D79" i="15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93" i="15"/>
  <c r="D94" i="15"/>
  <c r="D95" i="15" s="1"/>
  <c r="D96" i="15" s="1"/>
  <c r="D97" i="15" s="1"/>
  <c r="D98" i="15" s="1"/>
  <c r="D99" i="15" s="1"/>
  <c r="D100" i="15" s="1"/>
  <c r="D101" i="15" s="1"/>
  <c r="D102" i="15" s="1"/>
  <c r="D103" i="15" s="1"/>
  <c r="D104" i="15" s="1"/>
  <c r="D105" i="15" s="1"/>
  <c r="D106" i="15" s="1"/>
  <c r="D107" i="15"/>
  <c r="D108" i="15"/>
  <c r="D109" i="15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/>
  <c r="D122" i="15"/>
  <c r="D123" i="15"/>
  <c r="D124" i="15" s="1"/>
  <c r="D125" i="15" s="1"/>
  <c r="D126" i="15" s="1"/>
  <c r="D127" i="15" s="1"/>
  <c r="D128" i="15" s="1"/>
  <c r="D129" i="15" s="1"/>
  <c r="D130" i="15" s="1"/>
  <c r="D131" i="15" s="1"/>
  <c r="D132" i="15" s="1"/>
  <c r="D133" i="15" s="1"/>
  <c r="D134" i="15" s="1"/>
  <c r="D135" i="15" s="1"/>
  <c r="D136" i="15"/>
  <c r="D137" i="15"/>
  <c r="D138" i="15"/>
  <c r="D139" i="15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/>
  <c r="D152" i="15"/>
  <c r="D153" i="15"/>
  <c r="D154" i="15"/>
  <c r="D155" i="15" s="1"/>
  <c r="D156" i="15" s="1"/>
  <c r="D157" i="15" s="1"/>
  <c r="D158" i="15" s="1"/>
  <c r="D159" i="15" s="1"/>
  <c r="D160" i="15" s="1"/>
  <c r="D161" i="15" s="1"/>
  <c r="D162" i="15" s="1"/>
  <c r="D163" i="15" s="1"/>
  <c r="D164" i="15" s="1"/>
  <c r="D165" i="15"/>
  <c r="D166" i="15"/>
  <c r="D167" i="15" s="1"/>
  <c r="D168" i="15" s="1"/>
  <c r="D169" i="15" s="1"/>
  <c r="D170" i="15" s="1"/>
  <c r="D171" i="15" s="1"/>
  <c r="D172" i="15" s="1"/>
  <c r="D173" i="15" s="1"/>
  <c r="D174" i="15" s="1"/>
  <c r="D175" i="15" s="1"/>
  <c r="D176" i="15" s="1"/>
  <c r="D177" i="15" s="1"/>
  <c r="D178" i="15" s="1"/>
  <c r="D179" i="15"/>
  <c r="D180" i="15"/>
  <c r="D181" i="15"/>
  <c r="D182" i="15" s="1"/>
  <c r="D183" i="15" s="1"/>
  <c r="D184" i="15" s="1"/>
  <c r="D185" i="15" s="1"/>
  <c r="D186" i="15" s="1"/>
  <c r="D187" i="15" s="1"/>
  <c r="D188" i="15" s="1"/>
  <c r="D189" i="15" s="1"/>
  <c r="D190" i="15" s="1"/>
  <c r="D191" i="15" s="1"/>
  <c r="D192" i="15" s="1"/>
  <c r="D193" i="15"/>
  <c r="D194" i="15"/>
  <c r="D195" i="15"/>
  <c r="D196" i="15" s="1"/>
  <c r="D197" i="15" s="1"/>
  <c r="D198" i="15" s="1"/>
  <c r="D199" i="15" s="1"/>
  <c r="D200" i="15" s="1"/>
  <c r="D201" i="15" s="1"/>
  <c r="D202" i="15" s="1"/>
  <c r="D203" i="15" s="1"/>
  <c r="D204" i="15" s="1"/>
  <c r="D205" i="15" s="1"/>
  <c r="D206" i="15" s="1"/>
  <c r="D207" i="15" s="1"/>
  <c r="D208" i="15" s="1"/>
  <c r="D209" i="15" s="1"/>
  <c r="D210" i="15" s="1"/>
  <c r="D211" i="15" s="1"/>
  <c r="D212" i="15"/>
  <c r="D213" i="15"/>
  <c r="D214" i="15"/>
  <c r="D215" i="15" s="1"/>
  <c r="D216" i="15" s="1"/>
  <c r="D217" i="15" s="1"/>
  <c r="D218" i="15" s="1"/>
  <c r="D219" i="15" s="1"/>
  <c r="D220" i="15" s="1"/>
  <c r="D221" i="15" s="1"/>
  <c r="D222" i="15" s="1"/>
  <c r="D223" i="15" s="1"/>
  <c r="D224" i="15" s="1"/>
  <c r="D225" i="15" s="1"/>
  <c r="D226" i="15" s="1"/>
  <c r="D227" i="15"/>
  <c r="D228" i="15"/>
  <c r="D229" i="15"/>
  <c r="D230" i="15" s="1"/>
  <c r="D231" i="15" s="1"/>
  <c r="D232" i="15" s="1"/>
  <c r="D233" i="15" s="1"/>
  <c r="D234" i="15" s="1"/>
  <c r="D235" i="15" s="1"/>
  <c r="D236" i="15" s="1"/>
  <c r="D237" i="15" s="1"/>
  <c r="D238" i="15" s="1"/>
  <c r="D239" i="15" s="1"/>
  <c r="D240" i="15" s="1"/>
  <c r="D241" i="15"/>
  <c r="D242" i="15"/>
  <c r="D243" i="15"/>
  <c r="D244" i="15" s="1"/>
  <c r="D245" i="15" s="1"/>
  <c r="D246" i="15" s="1"/>
  <c r="D247" i="15" s="1"/>
  <c r="D248" i="15" s="1"/>
  <c r="D249" i="15" s="1"/>
  <c r="D250" i="15" s="1"/>
  <c r="D251" i="15" s="1"/>
  <c r="D252" i="15" s="1"/>
  <c r="D253" i="15" s="1"/>
  <c r="D254" i="15" s="1"/>
  <c r="D255" i="15"/>
  <c r="D256" i="15"/>
  <c r="D257" i="15"/>
  <c r="D258" i="15"/>
  <c r="D259" i="15"/>
  <c r="D260" i="15" s="1"/>
  <c r="D261" i="15" s="1"/>
  <c r="D262" i="15" s="1"/>
  <c r="D263" i="15" s="1"/>
  <c r="D264" i="15" s="1"/>
  <c r="D265" i="15" s="1"/>
  <c r="D266" i="15" s="1"/>
  <c r="D267" i="15" s="1"/>
  <c r="D268" i="15" s="1"/>
  <c r="D269" i="15"/>
  <c r="D270" i="15"/>
  <c r="D271" i="15"/>
  <c r="D272" i="15" s="1"/>
  <c r="D273" i="15" s="1"/>
  <c r="D274" i="15" s="1"/>
  <c r="D275" i="15" s="1"/>
  <c r="D276" i="15" s="1"/>
  <c r="D277" i="15" s="1"/>
  <c r="D278" i="15" s="1"/>
  <c r="D279" i="15" s="1"/>
  <c r="D280" i="15" s="1"/>
  <c r="D281" i="15" s="1"/>
  <c r="D282" i="15" s="1"/>
  <c r="D283" i="15" s="1"/>
  <c r="D284" i="15" s="1"/>
  <c r="D285" i="15" s="1"/>
  <c r="D286" i="15"/>
  <c r="D287" i="15"/>
  <c r="D288" i="15"/>
  <c r="D289" i="15"/>
  <c r="D290" i="15" s="1"/>
  <c r="D291" i="15" s="1"/>
  <c r="D292" i="15" s="1"/>
  <c r="D293" i="15" s="1"/>
  <c r="D294" i="15" s="1"/>
  <c r="D295" i="15" s="1"/>
  <c r="D296" i="15" s="1"/>
  <c r="D297" i="15" s="1"/>
  <c r="D298" i="15" s="1"/>
  <c r="D299" i="15" s="1"/>
  <c r="D300" i="15"/>
  <c r="D301" i="15"/>
  <c r="D302" i="15" s="1"/>
  <c r="D303" i="15" s="1"/>
  <c r="D304" i="15" s="1"/>
  <c r="D305" i="15" s="1"/>
  <c r="D306" i="15" s="1"/>
  <c r="D307" i="15" s="1"/>
  <c r="D308" i="15" s="1"/>
  <c r="D309" i="15" s="1"/>
  <c r="D310" i="15" s="1"/>
  <c r="D311" i="15" s="1"/>
  <c r="D312" i="15" s="1"/>
  <c r="D313" i="15" s="1"/>
  <c r="D314" i="15"/>
  <c r="D315" i="15"/>
  <c r="D316" i="15" s="1"/>
  <c r="D317" i="15" s="1"/>
  <c r="D318" i="15" s="1"/>
  <c r="D319" i="15" s="1"/>
  <c r="D320" i="15" s="1"/>
  <c r="D321" i="15" s="1"/>
  <c r="D322" i="15" s="1"/>
  <c r="D323" i="15" s="1"/>
  <c r="D324" i="15" s="1"/>
  <c r="D325" i="15" s="1"/>
  <c r="D326" i="15" s="1"/>
  <c r="D327" i="15" s="1"/>
  <c r="D328" i="15" s="1"/>
  <c r="D329" i="15"/>
  <c r="D330" i="15"/>
  <c r="D331" i="15"/>
  <c r="D332" i="15" s="1"/>
  <c r="D333" i="15" s="1"/>
  <c r="D334" i="15" s="1"/>
  <c r="D335" i="15" s="1"/>
  <c r="D336" i="15" s="1"/>
  <c r="D337" i="15" s="1"/>
  <c r="D338" i="15" s="1"/>
  <c r="D339" i="15" s="1"/>
  <c r="D340" i="15" s="1"/>
  <c r="D341" i="15" s="1"/>
  <c r="D342" i="15" s="1"/>
  <c r="D343" i="15"/>
  <c r="D344" i="15"/>
  <c r="D345" i="15" s="1"/>
  <c r="D346" i="15" s="1"/>
  <c r="D347" i="15" s="1"/>
  <c r="D348" i="15" s="1"/>
  <c r="D349" i="15" s="1"/>
  <c r="D350" i="15" s="1"/>
  <c r="D351" i="15" s="1"/>
  <c r="D352" i="15" s="1"/>
  <c r="D353" i="15" s="1"/>
  <c r="D354" i="15" s="1"/>
  <c r="D355" i="15" s="1"/>
  <c r="D356" i="15" s="1"/>
  <c r="D357" i="15" s="1"/>
  <c r="D358" i="15"/>
  <c r="D359" i="15"/>
  <c r="D360" i="15"/>
  <c r="D361" i="15"/>
  <c r="D362" i="15" s="1"/>
  <c r="D363" i="15" s="1"/>
  <c r="D364" i="15" s="1"/>
  <c r="D365" i="15" s="1"/>
  <c r="D366" i="15" s="1"/>
  <c r="D367" i="15" s="1"/>
  <c r="D368" i="15" s="1"/>
  <c r="D369" i="15" s="1"/>
  <c r="D370" i="15" s="1"/>
  <c r="D371" i="15" s="1"/>
  <c r="D372" i="15"/>
  <c r="D373" i="15"/>
  <c r="D374" i="15" s="1"/>
  <c r="D375" i="15" s="1"/>
  <c r="D376" i="15" s="1"/>
  <c r="D377" i="15" s="1"/>
  <c r="D378" i="15" s="1"/>
  <c r="D379" i="15" s="1"/>
  <c r="D380" i="15" s="1"/>
  <c r="D381" i="15" s="1"/>
  <c r="D382" i="15" s="1"/>
  <c r="D383" i="15" s="1"/>
  <c r="D384" i="15" s="1"/>
  <c r="D385" i="15" s="1"/>
  <c r="D386" i="15"/>
  <c r="D387" i="15"/>
  <c r="D388" i="15" s="1"/>
  <c r="D389" i="15" s="1"/>
  <c r="D390" i="15" s="1"/>
  <c r="D391" i="15" s="1"/>
  <c r="D392" i="15" s="1"/>
  <c r="D393" i="15" s="1"/>
  <c r="D394" i="15" s="1"/>
  <c r="D395" i="15" s="1"/>
  <c r="D396" i="15" s="1"/>
  <c r="D397" i="15" s="1"/>
  <c r="D398" i="15" s="1"/>
  <c r="D399" i="15" s="1"/>
  <c r="D400" i="15"/>
  <c r="D401" i="15"/>
  <c r="D402" i="15"/>
  <c r="D403" i="15"/>
  <c r="D404" i="15" s="1"/>
  <c r="D405" i="15" s="1"/>
  <c r="D406" i="15" s="1"/>
  <c r="D407" i="15" s="1"/>
  <c r="D408" i="15" s="1"/>
  <c r="D409" i="15" s="1"/>
  <c r="D410" i="15" s="1"/>
  <c r="D411" i="15" s="1"/>
  <c r="D412" i="15" s="1"/>
  <c r="D413" i="15" s="1"/>
  <c r="D414" i="15"/>
  <c r="D415" i="15"/>
  <c r="D416" i="15" s="1"/>
  <c r="D417" i="15" s="1"/>
  <c r="D418" i="15" s="1"/>
  <c r="D419" i="15" s="1"/>
  <c r="D420" i="15" s="1"/>
  <c r="D421" i="15" s="1"/>
  <c r="D422" i="15" s="1"/>
  <c r="D423" i="15" s="1"/>
  <c r="D424" i="15" s="1"/>
  <c r="D425" i="15" s="1"/>
  <c r="D426" i="15" s="1"/>
  <c r="D427" i="15" s="1"/>
  <c r="D428" i="15"/>
  <c r="D429" i="15"/>
  <c r="D430" i="15"/>
  <c r="D431" i="15" s="1"/>
  <c r="D432" i="15" s="1"/>
  <c r="D433" i="15" s="1"/>
  <c r="D434" i="15" s="1"/>
  <c r="D435" i="15" s="1"/>
  <c r="D436" i="15" s="1"/>
  <c r="D437" i="15" s="1"/>
  <c r="D438" i="15" s="1"/>
  <c r="D439" i="15" s="1"/>
  <c r="D440" i="15" s="1"/>
  <c r="D441" i="15" s="1"/>
  <c r="D442" i="15" s="1"/>
  <c r="D443" i="15"/>
  <c r="D444" i="15"/>
  <c r="D445" i="15"/>
  <c r="D446" i="15" s="1"/>
  <c r="D447" i="15" s="1"/>
  <c r="D448" i="15" s="1"/>
  <c r="D449" i="15" s="1"/>
  <c r="D450" i="15" s="1"/>
  <c r="D451" i="15" s="1"/>
  <c r="D452" i="15" s="1"/>
  <c r="D453" i="15" s="1"/>
  <c r="D454" i="15" s="1"/>
  <c r="D455" i="15" s="1"/>
  <c r="D456" i="15" s="1"/>
  <c r="D457" i="15" s="1"/>
  <c r="D458" i="15" s="1"/>
  <c r="D459" i="15" s="1"/>
  <c r="D460" i="15" s="1"/>
  <c r="D461" i="15"/>
  <c r="D462" i="15"/>
  <c r="D463" i="15"/>
  <c r="D464" i="15" s="1"/>
  <c r="D465" i="15" s="1"/>
  <c r="D466" i="15" s="1"/>
  <c r="D467" i="15" s="1"/>
  <c r="D468" i="15" s="1"/>
  <c r="D469" i="15" s="1"/>
  <c r="D470" i="15" s="1"/>
  <c r="D471" i="15" s="1"/>
  <c r="D472" i="15" s="1"/>
  <c r="D473" i="15" s="1"/>
  <c r="D474" i="15" s="1"/>
  <c r="D475" i="15"/>
  <c r="D476" i="15"/>
  <c r="D477" i="15" s="1"/>
  <c r="D478" i="15" s="1"/>
  <c r="D479" i="15" s="1"/>
  <c r="D480" i="15" s="1"/>
  <c r="D481" i="15" s="1"/>
  <c r="D482" i="15" s="1"/>
  <c r="D483" i="15" s="1"/>
  <c r="D484" i="15" s="1"/>
  <c r="D485" i="15" s="1"/>
  <c r="D486" i="15" s="1"/>
  <c r="D487" i="15" s="1"/>
  <c r="D488" i="15" s="1"/>
  <c r="D489" i="15" s="1"/>
  <c r="D490" i="15" s="1"/>
  <c r="D491" i="15"/>
  <c r="D492" i="15"/>
  <c r="D493" i="15"/>
  <c r="D494" i="15"/>
  <c r="D495" i="15"/>
  <c r="D496" i="15" s="1"/>
  <c r="D497" i="15" s="1"/>
  <c r="D498" i="15" s="1"/>
  <c r="D499" i="15" s="1"/>
  <c r="D500" i="15" s="1"/>
  <c r="D501" i="15" s="1"/>
  <c r="D3" i="15"/>
  <c r="E3" i="15"/>
  <c r="E4" i="15" s="1"/>
  <c r="E5" i="15" s="1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E377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04" i="15" s="1"/>
  <c r="E405" i="15" s="1"/>
  <c r="E406" i="15" s="1"/>
  <c r="E407" i="15" s="1"/>
  <c r="E408" i="15" s="1"/>
  <c r="E409" i="15" s="1"/>
  <c r="E410" i="15" s="1"/>
  <c r="E411" i="15" s="1"/>
  <c r="E412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39" i="15" s="1"/>
  <c r="E440" i="15" s="1"/>
  <c r="E441" i="15" s="1"/>
  <c r="E442" i="15" s="1"/>
  <c r="E443" i="15" s="1"/>
  <c r="E444" i="15" s="1"/>
  <c r="E445" i="15" s="1"/>
  <c r="E446" i="15" s="1"/>
  <c r="E447" i="15" s="1"/>
  <c r="E448" i="15" s="1"/>
  <c r="E449" i="15" s="1"/>
  <c r="E450" i="15" s="1"/>
  <c r="E451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78" i="15" s="1"/>
  <c r="E479" i="15" s="1"/>
  <c r="E480" i="15" s="1"/>
  <c r="E481" i="15" s="1"/>
  <c r="E482" i="15" s="1"/>
  <c r="E483" i="15" s="1"/>
  <c r="E484" i="15" s="1"/>
  <c r="E485" i="15" s="1"/>
  <c r="E486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J19" i="9"/>
  <c r="J18" i="9"/>
  <c r="J17" i="9"/>
  <c r="J16" i="9"/>
  <c r="J15" i="9"/>
  <c r="J14" i="9"/>
  <c r="J13" i="9"/>
  <c r="J12" i="9"/>
  <c r="J11" i="9"/>
  <c r="J10" i="9"/>
  <c r="F501" i="7"/>
  <c r="F500" i="7"/>
  <c r="F493" i="7"/>
  <c r="F494" i="7" s="1"/>
  <c r="F495" i="7" s="1"/>
  <c r="F496" i="7" s="1"/>
  <c r="F497" i="7" s="1"/>
  <c r="F498" i="7" s="1"/>
  <c r="F499" i="7" s="1"/>
  <c r="F492" i="7"/>
  <c r="F491" i="7"/>
  <c r="F490" i="7"/>
  <c r="F489" i="7"/>
  <c r="F483" i="7"/>
  <c r="F484" i="7" s="1"/>
  <c r="F485" i="7" s="1"/>
  <c r="F486" i="7" s="1"/>
  <c r="F487" i="7" s="1"/>
  <c r="F488" i="7" s="1"/>
  <c r="F482" i="7"/>
  <c r="F481" i="7"/>
  <c r="F480" i="7"/>
  <c r="F479" i="7"/>
  <c r="F478" i="7"/>
  <c r="F477" i="7"/>
  <c r="F472" i="7"/>
  <c r="F473" i="7" s="1"/>
  <c r="F474" i="7" s="1"/>
  <c r="F475" i="7" s="1"/>
  <c r="F476" i="7" s="1"/>
  <c r="F471" i="7"/>
  <c r="F470" i="7"/>
  <c r="F469" i="7"/>
  <c r="F468" i="7"/>
  <c r="F467" i="7"/>
  <c r="F460" i="7"/>
  <c r="F461" i="7" s="1"/>
  <c r="F462" i="7" s="1"/>
  <c r="F463" i="7" s="1"/>
  <c r="F464" i="7" s="1"/>
  <c r="F465" i="7" s="1"/>
  <c r="F466" i="7" s="1"/>
  <c r="F459" i="7"/>
  <c r="F458" i="7"/>
  <c r="F457" i="7"/>
  <c r="F448" i="7"/>
  <c r="F449" i="7" s="1"/>
  <c r="F450" i="7" s="1"/>
  <c r="F451" i="7" s="1"/>
  <c r="F452" i="7" s="1"/>
  <c r="F453" i="7" s="1"/>
  <c r="F454" i="7" s="1"/>
  <c r="F455" i="7" s="1"/>
  <c r="F456" i="7" s="1"/>
  <c r="F447" i="7"/>
  <c r="F446" i="7"/>
  <c r="F445" i="7"/>
  <c r="F438" i="7"/>
  <c r="F439" i="7" s="1"/>
  <c r="F440" i="7" s="1"/>
  <c r="F441" i="7" s="1"/>
  <c r="F442" i="7" s="1"/>
  <c r="F443" i="7" s="1"/>
  <c r="F444" i="7" s="1"/>
  <c r="F437" i="7"/>
  <c r="F436" i="7"/>
  <c r="F435" i="7"/>
  <c r="F434" i="7"/>
  <c r="F433" i="7"/>
  <c r="F428" i="7"/>
  <c r="F429" i="7" s="1"/>
  <c r="F430" i="7" s="1"/>
  <c r="F431" i="7" s="1"/>
  <c r="F432" i="7" s="1"/>
  <c r="F427" i="7"/>
  <c r="F426" i="7"/>
  <c r="F425" i="7"/>
  <c r="F424" i="7"/>
  <c r="F423" i="7"/>
  <c r="F422" i="7"/>
  <c r="F417" i="7"/>
  <c r="F418" i="7" s="1"/>
  <c r="F419" i="7" s="1"/>
  <c r="F420" i="7" s="1"/>
  <c r="F421" i="7" s="1"/>
  <c r="F416" i="7"/>
  <c r="F415" i="7"/>
  <c r="F414" i="7"/>
  <c r="F413" i="7"/>
  <c r="F412" i="7"/>
  <c r="F405" i="7"/>
  <c r="F406" i="7" s="1"/>
  <c r="F407" i="7" s="1"/>
  <c r="F408" i="7" s="1"/>
  <c r="F409" i="7" s="1"/>
  <c r="F410" i="7" s="1"/>
  <c r="F411" i="7" s="1"/>
  <c r="F404" i="7"/>
  <c r="F403" i="7"/>
  <c r="F402" i="7"/>
  <c r="F394" i="7"/>
  <c r="F395" i="7" s="1"/>
  <c r="F396" i="7" s="1"/>
  <c r="F397" i="7" s="1"/>
  <c r="F398" i="7" s="1"/>
  <c r="F399" i="7" s="1"/>
  <c r="F400" i="7" s="1"/>
  <c r="F401" i="7" s="1"/>
  <c r="F393" i="7"/>
  <c r="F392" i="7"/>
  <c r="F391" i="7"/>
  <c r="F390" i="7"/>
  <c r="F384" i="7"/>
  <c r="F385" i="7" s="1"/>
  <c r="F386" i="7" s="1"/>
  <c r="F387" i="7" s="1"/>
  <c r="F388" i="7" s="1"/>
  <c r="F389" i="7" s="1"/>
  <c r="F383" i="7"/>
  <c r="F382" i="7"/>
  <c r="F381" i="7"/>
  <c r="F380" i="7"/>
  <c r="F379" i="7"/>
  <c r="F378" i="7"/>
  <c r="F373" i="7"/>
  <c r="F374" i="7" s="1"/>
  <c r="F375" i="7" s="1"/>
  <c r="F376" i="7" s="1"/>
  <c r="F377" i="7" s="1"/>
  <c r="F372" i="7"/>
  <c r="F371" i="7"/>
  <c r="F370" i="7"/>
  <c r="F369" i="7"/>
  <c r="F368" i="7"/>
  <c r="F367" i="7"/>
  <c r="F361" i="7"/>
  <c r="F362" i="7" s="1"/>
  <c r="F363" i="7" s="1"/>
  <c r="F364" i="7" s="1"/>
  <c r="F365" i="7" s="1"/>
  <c r="F366" i="7" s="1"/>
  <c r="F360" i="7"/>
  <c r="F359" i="7"/>
  <c r="F358" i="7"/>
  <c r="F357" i="7"/>
  <c r="F349" i="7"/>
  <c r="F350" i="7" s="1"/>
  <c r="F351" i="7" s="1"/>
  <c r="F352" i="7" s="1"/>
  <c r="F353" i="7" s="1"/>
  <c r="F354" i="7" s="1"/>
  <c r="F355" i="7" s="1"/>
  <c r="F356" i="7" s="1"/>
  <c r="F348" i="7"/>
  <c r="F347" i="7"/>
  <c r="F346" i="7"/>
  <c r="F339" i="7"/>
  <c r="F340" i="7" s="1"/>
  <c r="F341" i="7" s="1"/>
  <c r="F342" i="7" s="1"/>
  <c r="F343" i="7" s="1"/>
  <c r="F344" i="7" s="1"/>
  <c r="F345" i="7" s="1"/>
  <c r="F338" i="7"/>
  <c r="F337" i="7"/>
  <c r="F336" i="7"/>
  <c r="F335" i="7"/>
  <c r="F334" i="7"/>
  <c r="F329" i="7"/>
  <c r="F330" i="7" s="1"/>
  <c r="F331" i="7" s="1"/>
  <c r="F332" i="7" s="1"/>
  <c r="F333" i="7" s="1"/>
  <c r="F328" i="7"/>
  <c r="F327" i="7"/>
  <c r="F326" i="7"/>
  <c r="F325" i="7"/>
  <c r="F324" i="7"/>
  <c r="F323" i="7"/>
  <c r="F318" i="7"/>
  <c r="F319" i="7" s="1"/>
  <c r="F320" i="7" s="1"/>
  <c r="F321" i="7" s="1"/>
  <c r="F322" i="7" s="1"/>
  <c r="F317" i="7"/>
  <c r="F316" i="7"/>
  <c r="F315" i="7"/>
  <c r="F314" i="7"/>
  <c r="F313" i="7"/>
  <c r="F306" i="7"/>
  <c r="F307" i="7" s="1"/>
  <c r="F308" i="7" s="1"/>
  <c r="F309" i="7" s="1"/>
  <c r="F310" i="7" s="1"/>
  <c r="F311" i="7" s="1"/>
  <c r="F312" i="7" s="1"/>
  <c r="F305" i="7"/>
  <c r="F304" i="7"/>
  <c r="F303" i="7"/>
  <c r="F295" i="7"/>
  <c r="F296" i="7" s="1"/>
  <c r="F297" i="7" s="1"/>
  <c r="F298" i="7" s="1"/>
  <c r="F299" i="7" s="1"/>
  <c r="F300" i="7" s="1"/>
  <c r="F301" i="7" s="1"/>
  <c r="F302" i="7" s="1"/>
  <c r="F294" i="7"/>
  <c r="F293" i="7"/>
  <c r="F292" i="7"/>
  <c r="F291" i="7"/>
  <c r="F285" i="7"/>
  <c r="F286" i="7" s="1"/>
  <c r="F287" i="7" s="1"/>
  <c r="F288" i="7" s="1"/>
  <c r="F289" i="7" s="1"/>
  <c r="F290" i="7" s="1"/>
  <c r="F284" i="7"/>
  <c r="F283" i="7"/>
  <c r="F282" i="7"/>
  <c r="F281" i="7"/>
  <c r="F280" i="7"/>
  <c r="F279" i="7"/>
  <c r="F274" i="7"/>
  <c r="F275" i="7" s="1"/>
  <c r="F276" i="7" s="1"/>
  <c r="F277" i="7" s="1"/>
  <c r="F278" i="7" s="1"/>
  <c r="F273" i="7"/>
  <c r="F272" i="7"/>
  <c r="F271" i="7"/>
  <c r="F270" i="7"/>
  <c r="F269" i="7"/>
  <c r="F268" i="7"/>
  <c r="F262" i="7"/>
  <c r="F263" i="7" s="1"/>
  <c r="F264" i="7" s="1"/>
  <c r="F265" i="7" s="1"/>
  <c r="F266" i="7" s="1"/>
  <c r="F267" i="7" s="1"/>
  <c r="F261" i="7"/>
  <c r="F260" i="7"/>
  <c r="F259" i="7"/>
  <c r="F258" i="7"/>
  <c r="F250" i="7"/>
  <c r="F251" i="7" s="1"/>
  <c r="F252" i="7" s="1"/>
  <c r="F253" i="7" s="1"/>
  <c r="F254" i="7" s="1"/>
  <c r="F255" i="7" s="1"/>
  <c r="F256" i="7" s="1"/>
  <c r="F257" i="7" s="1"/>
  <c r="F249" i="7"/>
  <c r="F248" i="7"/>
  <c r="F247" i="7"/>
  <c r="F240" i="7"/>
  <c r="F241" i="7" s="1"/>
  <c r="F242" i="7" s="1"/>
  <c r="F243" i="7" s="1"/>
  <c r="F244" i="7" s="1"/>
  <c r="F245" i="7" s="1"/>
  <c r="F246" i="7" s="1"/>
  <c r="F239" i="7"/>
  <c r="F238" i="7"/>
  <c r="F237" i="7"/>
  <c r="F236" i="7"/>
  <c r="F235" i="7"/>
  <c r="F230" i="7"/>
  <c r="F231" i="7" s="1"/>
  <c r="F232" i="7" s="1"/>
  <c r="F233" i="7" s="1"/>
  <c r="F234" i="7" s="1"/>
  <c r="F229" i="7"/>
  <c r="F228" i="7"/>
  <c r="F227" i="7"/>
  <c r="F226" i="7"/>
  <c r="F225" i="7"/>
  <c r="F224" i="7"/>
  <c r="F219" i="7"/>
  <c r="F220" i="7" s="1"/>
  <c r="F221" i="7" s="1"/>
  <c r="F222" i="7" s="1"/>
  <c r="F223" i="7" s="1"/>
  <c r="F218" i="7"/>
  <c r="F217" i="7"/>
  <c r="F216" i="7"/>
  <c r="F215" i="7"/>
  <c r="F214" i="7"/>
  <c r="F207" i="7"/>
  <c r="F208" i="7" s="1"/>
  <c r="F209" i="7" s="1"/>
  <c r="F210" i="7" s="1"/>
  <c r="F211" i="7" s="1"/>
  <c r="F212" i="7" s="1"/>
  <c r="F213" i="7" s="1"/>
  <c r="F206" i="7"/>
  <c r="F205" i="7"/>
  <c r="F204" i="7"/>
  <c r="F196" i="7"/>
  <c r="F197" i="7" s="1"/>
  <c r="F198" i="7" s="1"/>
  <c r="F199" i="7" s="1"/>
  <c r="F200" i="7" s="1"/>
  <c r="F201" i="7" s="1"/>
  <c r="F202" i="7" s="1"/>
  <c r="F203" i="7" s="1"/>
  <c r="F195" i="7"/>
  <c r="F194" i="7"/>
  <c r="F193" i="7"/>
  <c r="F192" i="7"/>
  <c r="F186" i="7"/>
  <c r="F187" i="7" s="1"/>
  <c r="F188" i="7" s="1"/>
  <c r="F189" i="7" s="1"/>
  <c r="F190" i="7" s="1"/>
  <c r="F191" i="7" s="1"/>
  <c r="F185" i="7"/>
  <c r="F184" i="7"/>
  <c r="F183" i="7"/>
  <c r="F182" i="7"/>
  <c r="F181" i="7"/>
  <c r="F180" i="7"/>
  <c r="F175" i="7"/>
  <c r="F176" i="7" s="1"/>
  <c r="F177" i="7" s="1"/>
  <c r="F178" i="7" s="1"/>
  <c r="F179" i="7" s="1"/>
  <c r="F174" i="7"/>
  <c r="F173" i="7"/>
  <c r="F172" i="7"/>
  <c r="F171" i="7"/>
  <c r="F170" i="7"/>
  <c r="F169" i="7"/>
  <c r="F163" i="7"/>
  <c r="F164" i="7" s="1"/>
  <c r="F165" i="7" s="1"/>
  <c r="F166" i="7" s="1"/>
  <c r="F167" i="7" s="1"/>
  <c r="F168" i="7" s="1"/>
  <c r="F162" i="7"/>
  <c r="F161" i="7"/>
  <c r="F160" i="7"/>
  <c r="F159" i="7"/>
  <c r="F151" i="7"/>
  <c r="F152" i="7" s="1"/>
  <c r="F153" i="7" s="1"/>
  <c r="F154" i="7" s="1"/>
  <c r="F155" i="7" s="1"/>
  <c r="F156" i="7" s="1"/>
  <c r="F157" i="7" s="1"/>
  <c r="F158" i="7" s="1"/>
  <c r="F150" i="7"/>
  <c r="F149" i="7"/>
  <c r="F148" i="7"/>
  <c r="F141" i="7"/>
  <c r="F142" i="7" s="1"/>
  <c r="F143" i="7" s="1"/>
  <c r="F144" i="7" s="1"/>
  <c r="F145" i="7" s="1"/>
  <c r="F146" i="7" s="1"/>
  <c r="F147" i="7" s="1"/>
  <c r="F140" i="7"/>
  <c r="F139" i="7"/>
  <c r="F138" i="7"/>
  <c r="F137" i="7"/>
  <c r="F136" i="7"/>
  <c r="F131" i="7"/>
  <c r="F132" i="7" s="1"/>
  <c r="F133" i="7" s="1"/>
  <c r="F134" i="7" s="1"/>
  <c r="F135" i="7" s="1"/>
  <c r="F130" i="7"/>
  <c r="F129" i="7"/>
  <c r="F128" i="7"/>
  <c r="F127" i="7"/>
  <c r="F126" i="7"/>
  <c r="F125" i="7"/>
  <c r="F120" i="7"/>
  <c r="F121" i="7" s="1"/>
  <c r="F122" i="7" s="1"/>
  <c r="F123" i="7" s="1"/>
  <c r="F124" i="7" s="1"/>
  <c r="F119" i="7"/>
  <c r="F118" i="7"/>
  <c r="F117" i="7"/>
  <c r="F116" i="7"/>
  <c r="F115" i="7"/>
  <c r="F108" i="7"/>
  <c r="F109" i="7" s="1"/>
  <c r="F110" i="7" s="1"/>
  <c r="F111" i="7" s="1"/>
  <c r="F112" i="7" s="1"/>
  <c r="F113" i="7" s="1"/>
  <c r="F114" i="7" s="1"/>
  <c r="F107" i="7"/>
  <c r="F106" i="7"/>
  <c r="F105" i="7"/>
  <c r="F97" i="7"/>
  <c r="F98" i="7" s="1"/>
  <c r="F99" i="7" s="1"/>
  <c r="F100" i="7" s="1"/>
  <c r="F101" i="7" s="1"/>
  <c r="F102" i="7" s="1"/>
  <c r="F103" i="7" s="1"/>
  <c r="F104" i="7" s="1"/>
  <c r="F96" i="7"/>
  <c r="F95" i="7"/>
  <c r="F94" i="7"/>
  <c r="F93" i="7"/>
  <c r="F86" i="7"/>
  <c r="F87" i="7" s="1"/>
  <c r="F88" i="7" s="1"/>
  <c r="F89" i="7" s="1"/>
  <c r="F90" i="7" s="1"/>
  <c r="F91" i="7" s="1"/>
  <c r="F92" i="7" s="1"/>
  <c r="F85" i="7"/>
  <c r="F84" i="7"/>
  <c r="F83" i="7"/>
  <c r="F82" i="7"/>
  <c r="F81" i="7"/>
  <c r="F76" i="7"/>
  <c r="F77" i="7" s="1"/>
  <c r="F78" i="7" s="1"/>
  <c r="F79" i="7" s="1"/>
  <c r="F80" i="7" s="1"/>
  <c r="F75" i="7"/>
  <c r="F74" i="7"/>
  <c r="F73" i="7"/>
  <c r="F72" i="7"/>
  <c r="F71" i="7"/>
  <c r="F70" i="7"/>
  <c r="F64" i="7"/>
  <c r="F65" i="7" s="1"/>
  <c r="F66" i="7" s="1"/>
  <c r="F67" i="7" s="1"/>
  <c r="F68" i="7" s="1"/>
  <c r="F69" i="7" s="1"/>
  <c r="F63" i="7"/>
  <c r="F62" i="7"/>
  <c r="F61" i="7"/>
  <c r="F60" i="7"/>
  <c r="F53" i="7"/>
  <c r="F54" i="7" s="1"/>
  <c r="F55" i="7" s="1"/>
  <c r="F56" i="7" s="1"/>
  <c r="F57" i="7" s="1"/>
  <c r="F58" i="7" s="1"/>
  <c r="F59" i="7" s="1"/>
  <c r="F52" i="7"/>
  <c r="F51" i="7"/>
  <c r="F50" i="7"/>
  <c r="F49" i="7"/>
  <c r="F42" i="7"/>
  <c r="F43" i="7" s="1"/>
  <c r="F44" i="7" s="1"/>
  <c r="F45" i="7" s="1"/>
  <c r="F46" i="7" s="1"/>
  <c r="F47" i="7" s="1"/>
  <c r="F48" i="7" s="1"/>
  <c r="F41" i="7"/>
  <c r="F40" i="7"/>
  <c r="F39" i="7"/>
  <c r="F38" i="7"/>
  <c r="F32" i="7"/>
  <c r="F33" i="7" s="1"/>
  <c r="F34" i="7" s="1"/>
  <c r="F35" i="7" s="1"/>
  <c r="F36" i="7" s="1"/>
  <c r="F37" i="7" s="1"/>
  <c r="F31" i="7"/>
  <c r="F30" i="7"/>
  <c r="F29" i="7"/>
  <c r="F28" i="7"/>
  <c r="F27" i="7"/>
  <c r="F26" i="7"/>
  <c r="F21" i="7"/>
  <c r="F22" i="7" s="1"/>
  <c r="F23" i="7" s="1"/>
  <c r="F24" i="7" s="1"/>
  <c r="F25" i="7" s="1"/>
  <c r="F20" i="7"/>
  <c r="F19" i="7"/>
  <c r="F18" i="7"/>
  <c r="F17" i="7"/>
  <c r="F16" i="7"/>
  <c r="F9" i="7"/>
  <c r="F10" i="7" s="1"/>
  <c r="F11" i="7" s="1"/>
  <c r="F12" i="7" s="1"/>
  <c r="F13" i="7" s="1"/>
  <c r="F14" i="7" s="1"/>
  <c r="F15" i="7" s="1"/>
  <c r="F8" i="7"/>
  <c r="F7" i="7"/>
  <c r="F6" i="7"/>
  <c r="F5" i="7"/>
  <c r="F3" i="7"/>
  <c r="F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7256D-296E-4C1B-B524-3F574C3B88CA}" keepAlive="1" name="Zapytanie — pogoda" description="Połączenie z zapytaniem „pogoda” w skoroszycie." type="5" refreshedVersion="0" background="1">
    <dbPr connection="Provider=Microsoft.Mashup.OleDb.1;Data Source=$Workbook$;Location=pogoda;Extended Properties=&quot;&quot;" command="SELECT * FROM [pogoda]"/>
  </connection>
  <connection id="2" xr16:uid="{86557981-132F-4E52-A30A-55C2D4F594AF}" keepAlive="1" name="Zapytanie — pogoda (2)" description="Połączenie z zapytaniem „pogoda (2)” w skoroszycie." type="5" refreshedVersion="8" background="1" saveData="1">
    <dbPr connection="Provider=Microsoft.Mashup.OleDb.1;Data Source=$Workbook$;Location=&quot;pogoda (2)&quot;;Extended Properties=&quot;&quot;" command="SELECT * FROM [pogoda (2)]"/>
  </connection>
  <connection id="3" xr16:uid="{1B8C239C-333E-4963-98D5-693AE9046CFD}" keepAlive="1" name="Zapytanie — pogoda (3)" description="Połączenie z zapytaniem „pogoda (3)” w skoroszycie." type="5" refreshedVersion="8" background="1" saveData="1">
    <dbPr connection="Provider=Microsoft.Mashup.OleDb.1;Data Source=$Workbook$;Location=&quot;pogoda (3)&quot;;Extended Properties=&quot;&quot;" command="SELECT * FROM [pogoda (3)]"/>
  </connection>
  <connection id="4" xr16:uid="{A2FBF68F-F0C1-47B3-8106-D15AAFF48A10}" keepAlive="1" name="Zapytanie — pogoda (4)" description="Połączenie z zapytaniem „pogoda (4)” w skoroszycie." type="5" refreshedVersion="8" background="1" saveData="1">
    <dbPr connection="Provider=Microsoft.Mashup.OleDb.1;Data Source=$Workbook$;Location=&quot;pogoda (4)&quot;;Extended Properties=&quot;&quot;" command="SELECT * FROM [pogoda (4)]"/>
  </connection>
  <connection id="5" xr16:uid="{A0655F72-2207-4F08-8B92-B5DBE437FE87}" keepAlive="1" name="Zapytanie — pogoda (5)" description="Połączenie z zapytaniem „pogoda (5)” w skoroszycie." type="5" refreshedVersion="0" background="1">
    <dbPr connection="Provider=Microsoft.Mashup.OleDb.1;Data Source=$Workbook$;Location=&quot;pogoda (5)&quot;;Extended Properties=&quot;&quot;" command="SELECT * FROM [pogoda (5)]"/>
  </connection>
</connections>
</file>

<file path=xl/sharedStrings.xml><?xml version="1.0" encoding="utf-8"?>
<sst xmlns="http://schemas.openxmlformats.org/spreadsheetml/2006/main" count="5237" uniqueCount="531">
  <si>
    <t>Dzien</t>
  </si>
  <si>
    <t>Temperatura</t>
  </si>
  <si>
    <t>Opad</t>
  </si>
  <si>
    <t>Kategoria_chmur</t>
  </si>
  <si>
    <t>Wielkosc_chmur</t>
  </si>
  <si>
    <t>0</t>
  </si>
  <si>
    <t>C</t>
  </si>
  <si>
    <t>S</t>
  </si>
  <si>
    <t>1</t>
  </si>
  <si>
    <t>2</t>
  </si>
  <si>
    <t>3</t>
  </si>
  <si>
    <t>4</t>
  </si>
  <si>
    <t>5</t>
  </si>
  <si>
    <t>10</t>
  </si>
  <si>
    <t>6</t>
  </si>
  <si>
    <t>8</t>
  </si>
  <si>
    <t>7</t>
  </si>
  <si>
    <t>11</t>
  </si>
  <si>
    <t>9</t>
  </si>
  <si>
    <t>14</t>
  </si>
  <si>
    <t>15</t>
  </si>
  <si>
    <t>12</t>
  </si>
  <si>
    <t>23</t>
  </si>
  <si>
    <t>13</t>
  </si>
  <si>
    <t>17</t>
  </si>
  <si>
    <t>22</t>
  </si>
  <si>
    <t>16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</si>
  <si>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</si>
  <si>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</si>
  <si>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</si>
  <si>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</si>
  <si>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</si>
  <si>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</si>
  <si>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</si>
  <si>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</si>
  <si>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</si>
  <si>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</si>
  <si>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</si>
  <si>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</si>
  <si>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</si>
  <si>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</si>
  <si>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</si>
  <si>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</si>
  <si>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</si>
  <si>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</si>
  <si>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</si>
  <si>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</si>
  <si>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</si>
  <si>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</si>
  <si>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</si>
  <si>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</si>
  <si>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</si>
  <si>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</si>
  <si>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</si>
  <si>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</si>
  <si>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</si>
  <si>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</si>
  <si>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</si>
  <si>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</si>
  <si>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</si>
  <si>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</si>
  <si>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</si>
  <si>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</si>
  <si>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</si>
  <si>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</si>
  <si>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</si>
  <si>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</si>
  <si>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</si>
  <si>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</si>
  <si>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</si>
  <si>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</si>
  <si>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</si>
  <si>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</si>
  <si>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</si>
  <si>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</si>
  <si>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</si>
  <si>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</si>
  <si>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</si>
  <si>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</si>
  <si>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</si>
  <si>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</si>
  <si>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</si>
  <si>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</si>
  <si>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</si>
  <si>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</si>
  <si>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</si>
  <si>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</si>
  <si>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</si>
  <si>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</si>
  <si>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</si>
  <si>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</si>
  <si>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</si>
  <si>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</si>
  <si>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</si>
  <si>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</si>
  <si>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</si>
  <si>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</si>
  <si>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</si>
  <si>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</si>
  <si>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</si>
  <si>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</si>
  <si>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</si>
  <si>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</si>
  <si>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</si>
  <si>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</si>
  <si>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</si>
  <si>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</si>
  <si>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</si>
  <si>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</si>
  <si>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</si>
  <si>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</si>
  <si>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</si>
  <si>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</si>
  <si>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</si>
  <si>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</si>
  <si>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</si>
  <si>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</si>
  <si>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</si>
  <si>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</si>
  <si>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</si>
  <si>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</si>
  <si>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</si>
  <si>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</si>
  <si>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</si>
  <si>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</si>
  <si>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</si>
  <si>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</si>
  <si>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</si>
  <si>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</si>
  <si>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</si>
  <si>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</si>
  <si>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</si>
  <si>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</si>
  <si>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</si>
  <si>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</si>
  <si>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</si>
  <si>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</si>
  <si>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</si>
  <si>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</si>
  <si>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</si>
  <si>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</si>
  <si>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</si>
  <si>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</si>
  <si>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</si>
  <si>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</si>
  <si>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</si>
  <si>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</si>
  <si>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</si>
  <si>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</si>
  <si>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</si>
  <si>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</si>
  <si>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</si>
  <si>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</si>
  <si>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</si>
  <si>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</si>
  <si>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</si>
  <si>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</si>
  <si>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</si>
  <si>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</si>
  <si>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</si>
  <si>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</si>
  <si>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</si>
  <si>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</si>
  <si>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</si>
  <si>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</si>
  <si>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</si>
  <si>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</si>
  <si>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</si>
  <si>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</si>
  <si>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</si>
  <si>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</si>
  <si>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</si>
  <si>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</si>
  <si>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</si>
  <si>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</si>
  <si>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</si>
  <si>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</si>
  <si>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</si>
  <si>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</si>
  <si>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</si>
  <si>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</si>
  <si>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</si>
  <si>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</si>
  <si>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</si>
  <si>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</si>
  <si>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</si>
  <si>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</si>
  <si>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</si>
  <si>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</si>
  <si>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</si>
  <si>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</si>
  <si>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</si>
  <si>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</si>
  <si>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</si>
  <si>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</si>
  <si>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</si>
  <si>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</si>
  <si>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</si>
  <si>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</si>
  <si>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</si>
  <si>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</si>
  <si>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</si>
  <si>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</si>
  <si>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</si>
  <si>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</si>
  <si>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</si>
  <si>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</si>
  <si>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</si>
  <si>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</si>
  <si>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</si>
  <si>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</si>
  <si>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</si>
  <si>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</si>
  <si>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</si>
  <si>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</si>
  <si>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</si>
  <si>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</si>
  <si>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</si>
  <si>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</si>
  <si>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</si>
  <si>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</si>
  <si>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</si>
  <si>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</si>
  <si>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</si>
  <si>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</si>
  <si>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</si>
  <si>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</si>
  <si>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</si>
  <si>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</si>
  <si>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</si>
  <si>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</si>
  <si>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</si>
  <si>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</si>
  <si>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</si>
  <si>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</si>
  <si>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</si>
  <si>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</si>
  <si>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</si>
  <si>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</si>
  <si>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</si>
  <si>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</si>
  <si>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</si>
  <si>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</si>
  <si>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</si>
  <si>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</si>
  <si>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</si>
  <si>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</si>
  <si>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</si>
  <si>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</si>
  <si>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</si>
  <si>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</si>
  <si>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</si>
  <si>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</si>
  <si>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</si>
  <si>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</si>
  <si>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</si>
  <si>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</si>
  <si>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</si>
  <si>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</si>
  <si>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</si>
  <si>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</si>
  <si>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</si>
  <si>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</si>
  <si>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</si>
  <si>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</si>
  <si>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</si>
  <si>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</si>
  <si>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</si>
  <si>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</si>
  <si>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</si>
  <si>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</si>
  <si>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</si>
  <si>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</si>
  <si>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</si>
  <si>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</si>
  <si>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</si>
  <si>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</si>
  <si>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</si>
  <si>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</si>
  <si>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</si>
  <si>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</si>
  <si>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</si>
  <si>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</si>
  <si>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</si>
  <si>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</si>
  <si>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</si>
  <si>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</si>
  <si>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</si>
  <si>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</si>
  <si>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</si>
  <si>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</si>
  <si>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</si>
  <si>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</si>
  <si>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</si>
  <si>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</si>
  <si>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</si>
  <si>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</si>
  <si>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</si>
  <si>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</si>
  <si>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</si>
  <si>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</si>
  <si>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</si>
  <si>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</si>
  <si>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</si>
  <si>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</si>
  <si>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</si>
  <si>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</si>
  <si>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</si>
  <si>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</si>
  <si>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</si>
  <si>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</si>
  <si>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</si>
  <si>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</si>
  <si>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</si>
  <si>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</si>
  <si>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</si>
  <si>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</si>
  <si>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</si>
  <si>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</si>
  <si>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</si>
  <si>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</si>
  <si>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</si>
  <si>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</si>
  <si>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</si>
  <si>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</si>
  <si>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</si>
  <si>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</si>
  <si>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</si>
  <si>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</si>
  <si>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</si>
  <si>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</si>
  <si>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</si>
  <si>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</si>
  <si>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</si>
  <si>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</si>
  <si>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</si>
  <si>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</si>
  <si>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</si>
  <si>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</si>
  <si>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</si>
  <si>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</si>
  <si>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</si>
  <si>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</si>
  <si>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</si>
  <si>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</si>
  <si>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</si>
  <si>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</si>
  <si>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</si>
  <si>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</si>
  <si>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</si>
  <si>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</si>
  <si>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</si>
  <si>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</si>
  <si>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</si>
  <si>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</si>
  <si>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</si>
  <si>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</si>
  <si>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</si>
  <si>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</si>
  <si>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</si>
  <si>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</si>
  <si>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</si>
  <si>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</si>
  <si>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</si>
  <si>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</si>
  <si>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</si>
  <si>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</si>
  <si>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</si>
  <si>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</si>
  <si>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</si>
  <si>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</si>
  <si>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</si>
  <si>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</si>
  <si>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</si>
  <si>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</si>
  <si>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</si>
  <si>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</si>
  <si>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</si>
  <si>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</si>
  <si>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</si>
  <si>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</si>
  <si>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</si>
  <si>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</si>
  <si>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</si>
  <si>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</si>
  <si>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</si>
  <si>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</si>
  <si>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</si>
  <si>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</si>
  <si>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</si>
  <si>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</si>
  <si>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</si>
  <si>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</si>
  <si>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</si>
  <si>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</si>
  <si>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</si>
  <si>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</si>
  <si>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</si>
  <si>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</si>
  <si>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</si>
  <si>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</si>
  <si>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</si>
  <si>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</si>
  <si>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</si>
  <si>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</si>
  <si>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</si>
  <si>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</si>
  <si>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</si>
  <si>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</si>
  <si>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</si>
  <si>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</si>
  <si>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</si>
  <si>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</si>
  <si>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</si>
  <si>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</si>
  <si>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</si>
  <si>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</si>
  <si>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</si>
  <si>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</si>
  <si>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</si>
  <si>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</si>
  <si>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</si>
  <si>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</si>
  <si>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</si>
  <si>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</si>
  <si>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</si>
  <si>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</si>
  <si>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</si>
  <si>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</si>
  <si>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</si>
  <si>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</si>
  <si>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</si>
  <si>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</si>
  <si>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</si>
  <si>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</si>
  <si>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</si>
  <si>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</si>
  <si>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</si>
  <si>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</si>
  <si>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</si>
  <si>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</si>
  <si>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</si>
  <si>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</si>
  <si>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</si>
  <si>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</si>
  <si>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</si>
  <si>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</si>
  <si>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</si>
  <si>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</si>
  <si>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</si>
  <si>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</si>
  <si>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</si>
  <si>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</si>
  <si>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</si>
  <si>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</si>
  <si>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</si>
  <si>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</si>
  <si>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</si>
  <si>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</si>
  <si>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</si>
  <si>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</si>
  <si>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</si>
  <si>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</si>
  <si>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</si>
  <si>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</si>
  <si>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</si>
  <si>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</si>
  <si>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</si>
  <si>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</si>
  <si>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</si>
  <si>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</si>
  <si>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</si>
  <si>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</si>
  <si>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</si>
  <si>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</si>
  <si>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</si>
  <si>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</si>
  <si>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</si>
  <si>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</si>
  <si>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</si>
  <si>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</si>
  <si>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</si>
  <si>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</si>
  <si>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</si>
  <si>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</si>
  <si>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</si>
  <si>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</si>
  <si>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</si>
  <si>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</si>
  <si>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</si>
  <si>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</si>
  <si>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</si>
  <si>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</si>
  <si>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</si>
  <si>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</si>
  <si>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</si>
  <si>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</si>
  <si>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</si>
  <si>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</si>
  <si>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</si>
  <si>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</si>
  <si>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</si>
  <si>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</si>
  <si>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</si>
  <si>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</si>
  <si>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</si>
  <si>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</si>
  <si>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</si>
  <si>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Ciąg</t>
  </si>
  <si>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</si>
  <si>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</si>
  <si>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</si>
  <si>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</si>
  <si>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</si>
  <si>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</si>
  <si>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</si>
  <si>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</si>
  <si>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</si>
  <si>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</si>
  <si>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AVG</t>
  </si>
  <si>
    <t>Rodzaj chmur</t>
  </si>
  <si>
    <t>a)</t>
  </si>
  <si>
    <t>Liczba_dni</t>
  </si>
  <si>
    <t>b)</t>
  </si>
  <si>
    <t>Wielkosc_chmur_pogoda</t>
  </si>
  <si>
    <t>c)</t>
  </si>
  <si>
    <t>liczba_dni_potw_teorie</t>
  </si>
  <si>
    <t>czy_teoria_wielkosc</t>
  </si>
  <si>
    <t>czy_teoria_kategoria</t>
  </si>
  <si>
    <t>Wielkosc_chmur_teoria</t>
  </si>
  <si>
    <t>Kategoria_chmur_pogoda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</si>
</sst>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1" xfId="0" applyFill="1" applyBorder="1"/>
    <xf numFmtId="0" fontId="0" fillId="2" borderId="3" xfId="0" applyFill="1" applyBorder="1"/>
    <xf numFmtId="0" fontId="0" fillId="0" borderId="1" xfId="0" applyBorder="1"/>
    <xf numFmtId="0" fontId="0" fillId="0" borderId="3" xfId="0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4" borderId="0" xfId="0" applyFont="1" applyFill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4" fontId="0" fillId="0" borderId="0" xfId="0" applyNumberFormat="1"/>
    <xf numFmtId="2" fontId="0" fillId="0" borderId="0" xfId="0" applyNumberFormat="1"/>
    <xf numFmtId="0" fontId="0" fillId="2" borderId="1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2" borderId="7" xfId="0" applyFont="1" applyFill="1" applyBorder="1"/>
    <xf numFmtId="0" fontId="0" fillId="0" borderId="0" xfId="0" applyFont="1" applyFill="1" applyBorder="1"/>
    <xf numFmtId="49" fontId="0" fillId="0" borderId="0" xfId="0" applyNumberFormat="1"/>
  </cellXfs>
  <cellStyles count="1">
    <cellStyle name="Normalny" xfId="0" builtinId="0"/>
  </cellStyles>
  <dxfs count="1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Średni</a:t>
            </a:r>
            <a:r>
              <a:rPr lang="en-GB" baseline="0"/>
              <a:t> opad dla każdego rodzaju chmur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'5_3'!$I$10:$I$19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'5_3'!$J$10:$J$19</c:f>
              <c:numCache>
                <c:formatCode>0.00</c:formatCode>
                <c:ptCount val="10"/>
                <c:pt idx="0">
                  <c:v>3.45</c:v>
                </c:pt>
                <c:pt idx="1">
                  <c:v>7.2820512820512819</c:v>
                </c:pt>
                <c:pt idx="2">
                  <c:v>9.0512820512820511</c:v>
                </c:pt>
                <c:pt idx="3">
                  <c:v>11.578947368421053</c:v>
                </c:pt>
                <c:pt idx="4">
                  <c:v>19.399999999999999</c:v>
                </c:pt>
                <c:pt idx="5">
                  <c:v>3.7272727272727271</c:v>
                </c:pt>
                <c:pt idx="6">
                  <c:v>6.5238095238095237</c:v>
                </c:pt>
                <c:pt idx="7">
                  <c:v>10.285714285714286</c:v>
                </c:pt>
                <c:pt idx="8">
                  <c:v>15</c:v>
                </c:pt>
                <c:pt idx="9">
                  <c:v>19.642857142857142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6-4E0F-B15E-B45D5E543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256256"/>
        <c:axId val="931239936"/>
      </c:barChart>
      <c:catAx>
        <c:axId val="9312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39936"/>
        <c:crosses val="autoZero"/>
        <c:auto val="1"/>
        <c:lblAlgn val="ctr"/>
        <c:lblOffset val="100"/>
        <c:noMultiLvlLbl val="0"/>
      </c:catAx>
      <c:valAx>
        <c:axId val="93123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8929</xdr:colOff>
      <xdr:row>21</xdr:row>
      <xdr:rowOff>6569</xdr:rowOff>
    </xdr:from>
    <xdr:to>
      <xdr:col>15</xdr:col>
      <xdr:colOff>0</xdr:colOff>
      <xdr:row>35</xdr:row>
      <xdr:rowOff>183931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7292576-705C-557A-64C8-F2139FB1C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00A0ED-B33D-4ACB-8657-C59DCCF873A3}" autoFormatId="16" applyNumberFormats="0" applyBorderFormats="0" applyFontFormats="0" applyPatternFormats="0" applyAlignmentFormats="0" applyWidthHeightFormats="0">
  <queryTableRefresh nextId="6">
    <queryTableFields count="5">
      <queryTableField id="1" name="Dzien" tableColumnId="1"/>
      <queryTableField id="2" name="Temperatura" tableColumnId="2"/>
      <queryTableField id="3" name="Opad" tableColumnId="3"/>
      <queryTableField id="4" name="Kategoria_chmur" tableColumnId="4"/>
      <queryTableField id="5" name="Wielkosc_chmu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8277909-2214-4C17-94EC-BA67647527C1}" autoFormatId="16" applyNumberFormats="0" applyBorderFormats="0" applyFontFormats="0" applyPatternFormats="0" applyAlignmentFormats="0" applyWidthHeightFormats="0">
  <queryTableRefresh nextId="9">
    <queryTableFields count="5">
      <queryTableField id="1" name="Dzien" tableColumnId="1"/>
      <queryTableField id="2" name="Temperatura" tableColumnId="2"/>
      <queryTableField id="3" name="Opad" tableColumnId="3"/>
      <queryTableField id="4" name="Kategoria_chmur" tableColumnId="4"/>
      <queryTableField id="5" name="Wielkosc_chm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62B867-E751-4EA5-BDFF-A51E2F7CEB94}" name="pogoda__2" displayName="pogoda__2" ref="A1:E501" tableType="queryTable" totalsRowShown="0">
  <autoFilter ref="A1:E501" xr:uid="{C862B867-E751-4EA5-BDFF-A51E2F7CEB94}"/>
  <tableColumns count="5">
    <tableColumn id="1" xr3:uid="{A8AA0C50-6DCE-4867-9A66-A583E53206A8}" uniqueName="1" name="Dzien" queryTableFieldId="1" dataDxfId="15"/>
    <tableColumn id="2" xr3:uid="{48CE0F6A-67E2-4292-BD0B-B9E79D62E21F}" uniqueName="2" name="Temperatura" queryTableFieldId="2" dataDxfId="14"/>
    <tableColumn id="3" xr3:uid="{9944E9CC-C0F4-45A8-B326-F5C792DB4710}" uniqueName="3" name="Opad" queryTableFieldId="3" dataDxfId="13"/>
    <tableColumn id="4" xr3:uid="{D19A7C7C-34D4-4072-85C9-FA6AF8BBEF73}" uniqueName="4" name="Kategoria_chmur" queryTableFieldId="4" dataDxfId="12"/>
    <tableColumn id="5" xr3:uid="{54FE2C72-2117-41ED-8ABC-3EE1E5EB1610}" uniqueName="5" name="Wielkosc_chmur" queryTableFieldId="5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CEEED3-CE65-4E88-8865-7E7D555AFA26}" name="pogoda__26" displayName="pogoda__26" ref="A1:E501" tableType="queryTable" totalsRowShown="0">
  <autoFilter ref="A1:E501" xr:uid="{79CEEED3-CE65-4E88-8865-7E7D555AFA26}"/>
  <tableColumns count="5">
    <tableColumn id="1" xr3:uid="{8AB10DF5-9DDA-4EF3-ADDA-2838C8DF5C0C}" uniqueName="1" name="Dzien" queryTableFieldId="1" dataDxfId="10"/>
    <tableColumn id="2" xr3:uid="{6523142B-1CE9-43BB-8E5D-C26386A3E534}" uniqueName="2" name="Temperatura" queryTableFieldId="2" dataDxfId="9"/>
    <tableColumn id="3" xr3:uid="{2C9B2FA1-D3B3-4340-9A74-C2A8E84E0212}" uniqueName="3" name="Opad" queryTableFieldId="3" dataDxfId="8"/>
    <tableColumn id="4" xr3:uid="{A5188F99-F11E-4437-8E0B-E0B60E68D423}" uniqueName="4" name="Kategoria_chmur" queryTableFieldId="4" dataDxfId="7"/>
    <tableColumn id="5" xr3:uid="{DB329AA7-5B00-40DF-B945-8618D5FA4FAD}" uniqueName="5" name="Wielkosc_chmur" queryTableFieldId="5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C618FC-26DB-4CF1-8639-135219647BE5}" name="Tabela9" displayName="Tabela9" ref="F1:F1048576" totalsRowShown="0">
  <autoFilter ref="F1:F1048576" xr:uid="{75C618FC-26DB-4CF1-8639-135219647BE5}"/>
  <tableColumns count="1">
    <tableColumn id="1" xr3:uid="{4174A8A7-45BC-4DD5-A8C2-91B8301AB46D}" name="Ciąg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738FD9-6B6D-443F-B76B-078B43914373}" name="Tabela24" displayName="Tabela24" ref="I9:J19" totalsRowShown="0">
  <tableColumns count="2">
    <tableColumn id="1" xr3:uid="{E8167496-C604-4B9B-B858-59A72AE8420B}" name="Rodzaj chmur"/>
    <tableColumn id="2" xr3:uid="{B8D489D3-9A2E-46AD-AE1F-6E72E9EC23E7}" name="AVG" dataDxfId="5">
      <calculatedColumnFormula>AVERAGEIFS(C1:C300,D1:D300, "C",E1:E300, 1)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1899083-C972-40FB-A47B-738F2B1337F6}" name="Tabela11" displayName="Tabela11" ref="A1:E501" totalsRowShown="0">
  <tableColumns count="5">
    <tableColumn id="1" xr3:uid="{087D54BF-8350-44D9-B293-0AD43B085D47}" name="Dzien"/>
    <tableColumn id="2" xr3:uid="{E8D15F91-3282-4729-8BDD-F89508A87436}" name="Temperatura"/>
    <tableColumn id="3" xr3:uid="{8111F6A0-8D7D-4B07-B15C-041DDCEE0C1C}" name="Opad"/>
    <tableColumn id="4" xr3:uid="{E87F6D76-AC52-4833-872D-30E43F0D7A78}" name="Kategoria_chmur"/>
    <tableColumn id="5" xr3:uid="{D6674C79-2712-4AAE-9EBE-5929B3F06825}" name="Wielkosc_chmur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52AB0-2A80-41DC-A483-8C9D52916DE0}" name="Tabela1" displayName="Tabela1" ref="I5:J11" totalsRowShown="0">
  <autoFilter ref="I5:J11" xr:uid="{54D52AB0-2A80-41DC-A483-8C9D52916DE0}"/>
  <tableColumns count="2">
    <tableColumn id="1" xr3:uid="{CA1D8CD9-0FF5-42AF-BD8B-08CF39BE3F05}" name="Wielkosc_chmur"/>
    <tableColumn id="2" xr3:uid="{F61D9CA9-43A8-4A53-AD1E-A2F5C169F748}" name="Liczba_dni" dataDxfId="4">
      <calculatedColumnFormula>COUNTIF(E2:E501,I6)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7DEBA-8183-4E41-B33D-AD1888B8C1FA}" name="Tabela2" displayName="Tabela2" ref="A1:G301" totalsRowShown="0">
  <tableColumns count="7">
    <tableColumn id="7" xr3:uid="{F76A5973-5B65-40FD-B343-CD77477474B0}" name="Dzien" dataDxfId="3"/>
    <tableColumn id="1" xr3:uid="{DC60332D-0BBE-478E-B390-19EC1A913775}" name="Wielkosc_chmur_pogoda" dataDxfId="2"/>
    <tableColumn id="2" xr3:uid="{4216C024-001D-4DD0-AEC9-5A99E6E93C96}" name="Wielkosc_chmur_teoria"/>
    <tableColumn id="3" xr3:uid="{5B1D4224-C0C4-4BB4-A4F5-A84FBC3F5E1E}" name="czy_teoria_wielkosc" dataDxfId="1">
      <calculatedColumnFormula>IF(B2=C2,"Tak","Nie")</calculatedColumnFormula>
    </tableColumn>
    <tableColumn id="10" xr3:uid="{6C27D5DB-117B-423C-B2B5-0B7FFF329DBE}" name="Kategoria_chmur_pogoda"/>
    <tableColumn id="11" xr3:uid="{82B7D8CF-85B2-4CD8-8955-8E88FA0AD65F}" name="Kategoria_chmur"/>
    <tableColumn id="12" xr3:uid="{28CAE739-019F-4085-B3C8-F9923F414443}" name="czy_teoria_kategoria" dataDxfId="0">
      <calculatedColumnFormula>IF(E2=F2,"Tak","Nie")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C56BDA-FF62-4D1D-AB21-0618251CC27F}" name="Tabela7" displayName="Tabela7" ref="J4:J5" totalsRowShown="0">
  <autoFilter ref="J4:J5" xr:uid="{42C56BDA-FF62-4D1D-AB21-0618251CC27F}"/>
  <tableColumns count="1">
    <tableColumn id="1" xr3:uid="{9469B107-CDCC-4E01-BD98-593147ED2525}" name="liczba_dni_potw_teorie">
      <calculatedColumnFormula>COUNTIF(D2:D301,"Tak")</calculatedColumnFormula>
    </tableColumn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69EDDD-380C-4CE4-9667-FFDA58C62BDB}" name="Tabela8" displayName="Tabela8" ref="J9:J10" totalsRowShown="0">
  <autoFilter ref="J9:J10" xr:uid="{EF69EDDD-380C-4CE4-9667-FFDA58C62BDB}"/>
  <tableColumns count="1">
    <tableColumn id="1" xr3:uid="{C2C240FC-B9A5-465A-A463-0F15FC8FA09D}" name="liczba_dni_potw_teorie">
      <calculatedColumnFormula>COUNTIF(G2:G301,"Tak")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F770-D7FD-4A35-BCBE-011C907781BC}">
  <dimension ref="A1:E501"/>
  <sheetViews>
    <sheetView topLeftCell="A281" zoomScale="145" zoomScaleNormal="145" workbookViewId="0">
      <selection activeCell="D1" sqref="D1:D301"/>
    </sheetView>
  </sheetViews>
  <sheetFormatPr defaultRowHeight="15" x14ac:dyDescent="0.25"/>
  <cols>
    <col min="1" max="1" width="8.42578125" bestFit="1" customWidth="1"/>
    <col min="2" max="2" width="14.7109375" bestFit="1" customWidth="1"/>
    <col min="3" max="3" width="8" bestFit="1" customWidth="1"/>
    <col min="4" max="4" width="18.4257812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</v>
      </c>
      <c r="C2" t="s">
        <v>5</v>
      </c>
      <c r="D2" t="s">
        <v>5</v>
      </c>
      <c r="E2" t="s">
        <v>5</v>
      </c>
    </row>
    <row r="3" spans="1:5" x14ac:dyDescent="0.25">
      <c r="A3" t="s">
        <v>9</v>
      </c>
      <c r="B3">
        <v>22</v>
      </c>
      <c r="C3" t="s">
        <v>8</v>
      </c>
      <c r="D3" t="s">
        <v>6</v>
      </c>
      <c r="E3" t="s">
        <v>8</v>
      </c>
    </row>
    <row r="4" spans="1:5" x14ac:dyDescent="0.25">
      <c r="A4" t="s">
        <v>10</v>
      </c>
      <c r="B4">
        <v>23.6</v>
      </c>
      <c r="C4" t="s">
        <v>11</v>
      </c>
      <c r="D4" t="s">
        <v>6</v>
      </c>
      <c r="E4" t="s">
        <v>8</v>
      </c>
    </row>
    <row r="5" spans="1:5" x14ac:dyDescent="0.25">
      <c r="A5" t="s">
        <v>11</v>
      </c>
      <c r="B5">
        <v>23.6</v>
      </c>
      <c r="C5" t="s">
        <v>11</v>
      </c>
      <c r="D5" t="s">
        <v>6</v>
      </c>
      <c r="E5" t="s">
        <v>8</v>
      </c>
    </row>
    <row r="6" spans="1:5" x14ac:dyDescent="0.25">
      <c r="A6" t="s">
        <v>12</v>
      </c>
      <c r="B6">
        <v>22.3</v>
      </c>
      <c r="C6" t="s">
        <v>13</v>
      </c>
      <c r="D6" t="s">
        <v>6</v>
      </c>
      <c r="E6" t="s">
        <v>9</v>
      </c>
    </row>
    <row r="7" spans="1:5" x14ac:dyDescent="0.25">
      <c r="A7" t="s">
        <v>14</v>
      </c>
      <c r="B7">
        <v>20.399999999999999</v>
      </c>
      <c r="C7" t="s">
        <v>15</v>
      </c>
      <c r="D7" t="s">
        <v>6</v>
      </c>
      <c r="E7" t="s">
        <v>9</v>
      </c>
    </row>
    <row r="8" spans="1:5" x14ac:dyDescent="0.25">
      <c r="A8" t="s">
        <v>16</v>
      </c>
      <c r="B8">
        <v>18.899999999999999</v>
      </c>
      <c r="C8" t="s">
        <v>13</v>
      </c>
      <c r="D8" t="s">
        <v>6</v>
      </c>
      <c r="E8" t="s">
        <v>9</v>
      </c>
    </row>
    <row r="9" spans="1:5" x14ac:dyDescent="0.25">
      <c r="A9" t="s">
        <v>15</v>
      </c>
      <c r="B9">
        <v>18.5</v>
      </c>
      <c r="C9" t="s">
        <v>17</v>
      </c>
      <c r="D9" t="s">
        <v>6</v>
      </c>
      <c r="E9" t="s">
        <v>10</v>
      </c>
    </row>
    <row r="10" spans="1:5" x14ac:dyDescent="0.25">
      <c r="A10" t="s">
        <v>18</v>
      </c>
      <c r="B10">
        <v>19.5</v>
      </c>
      <c r="C10" t="s">
        <v>19</v>
      </c>
      <c r="D10" t="s">
        <v>6</v>
      </c>
      <c r="E10" t="s">
        <v>10</v>
      </c>
    </row>
    <row r="11" spans="1:5" x14ac:dyDescent="0.25">
      <c r="A11" t="s">
        <v>13</v>
      </c>
      <c r="B11">
        <v>21.8</v>
      </c>
      <c r="C11" t="s">
        <v>20</v>
      </c>
      <c r="D11" t="s">
        <v>6</v>
      </c>
      <c r="E11" t="s">
        <v>10</v>
      </c>
    </row>
    <row r="12" spans="1:5" x14ac:dyDescent="0.25">
      <c r="A12" t="s">
        <v>17</v>
      </c>
      <c r="B12">
        <v>24.8</v>
      </c>
      <c r="C12" t="s">
        <v>10</v>
      </c>
      <c r="D12" t="s">
        <v>6</v>
      </c>
      <c r="E12" t="s">
        <v>11</v>
      </c>
    </row>
    <row r="13" spans="1:5" x14ac:dyDescent="0.25">
      <c r="A13" t="s">
        <v>21</v>
      </c>
      <c r="B13">
        <v>27.7</v>
      </c>
      <c r="C13" t="s">
        <v>22</v>
      </c>
      <c r="D13" t="s">
        <v>6</v>
      </c>
      <c r="E13" t="s">
        <v>11</v>
      </c>
    </row>
    <row r="14" spans="1:5" x14ac:dyDescent="0.25">
      <c r="A14" t="s">
        <v>23</v>
      </c>
      <c r="B14">
        <v>29.5</v>
      </c>
      <c r="C14" t="s">
        <v>24</v>
      </c>
      <c r="D14" t="s">
        <v>6</v>
      </c>
      <c r="E14" t="s">
        <v>11</v>
      </c>
    </row>
    <row r="15" spans="1:5" x14ac:dyDescent="0.25">
      <c r="A15" t="s">
        <v>19</v>
      </c>
      <c r="B15">
        <v>29.8</v>
      </c>
      <c r="C15" t="s">
        <v>20</v>
      </c>
      <c r="D15" t="s">
        <v>6</v>
      </c>
      <c r="E15" t="s">
        <v>12</v>
      </c>
    </row>
    <row r="16" spans="1:5" x14ac:dyDescent="0.25">
      <c r="A16" t="s">
        <v>20</v>
      </c>
      <c r="B16">
        <v>28.3</v>
      </c>
      <c r="C16" t="s">
        <v>25</v>
      </c>
      <c r="D16" t="s">
        <v>6</v>
      </c>
      <c r="E16" t="s">
        <v>12</v>
      </c>
    </row>
    <row r="17" spans="1:5" x14ac:dyDescent="0.25">
      <c r="A17" t="s">
        <v>26</v>
      </c>
      <c r="B17">
        <v>25.5</v>
      </c>
      <c r="C17" t="s">
        <v>5</v>
      </c>
      <c r="D17" t="s">
        <v>5</v>
      </c>
      <c r="E17" t="s">
        <v>5</v>
      </c>
    </row>
    <row r="18" spans="1:5" x14ac:dyDescent="0.25">
      <c r="A18" t="s">
        <v>24</v>
      </c>
      <c r="B18">
        <v>22</v>
      </c>
      <c r="C18" t="s">
        <v>9</v>
      </c>
      <c r="D18" t="s">
        <v>6</v>
      </c>
      <c r="E18" t="s">
        <v>8</v>
      </c>
    </row>
    <row r="19" spans="1:5" x14ac:dyDescent="0.25">
      <c r="A19" t="s">
        <v>27</v>
      </c>
      <c r="B19">
        <v>18.899999999999999</v>
      </c>
      <c r="C19" t="s">
        <v>8</v>
      </c>
      <c r="D19" t="s">
        <v>6</v>
      </c>
      <c r="E19" t="s">
        <v>8</v>
      </c>
    </row>
    <row r="20" spans="1:5" x14ac:dyDescent="0.25">
      <c r="A20" t="s">
        <v>28</v>
      </c>
      <c r="B20">
        <v>16.899999999999999</v>
      </c>
      <c r="C20" t="s">
        <v>8</v>
      </c>
      <c r="D20" t="s">
        <v>6</v>
      </c>
      <c r="E20" t="s">
        <v>8</v>
      </c>
    </row>
    <row r="21" spans="1:5" x14ac:dyDescent="0.25">
      <c r="A21" t="s">
        <v>29</v>
      </c>
      <c r="B21">
        <v>16.3</v>
      </c>
      <c r="C21" t="s">
        <v>21</v>
      </c>
      <c r="D21" t="s">
        <v>6</v>
      </c>
      <c r="E21" t="s">
        <v>9</v>
      </c>
    </row>
    <row r="22" spans="1:5" x14ac:dyDescent="0.25">
      <c r="A22" t="s">
        <v>30</v>
      </c>
      <c r="B22">
        <v>17.100000000000001</v>
      </c>
      <c r="C22" t="s">
        <v>17</v>
      </c>
      <c r="D22" t="s">
        <v>6</v>
      </c>
      <c r="E22" t="s">
        <v>9</v>
      </c>
    </row>
    <row r="23" spans="1:5" x14ac:dyDescent="0.25">
      <c r="A23" t="s">
        <v>25</v>
      </c>
      <c r="B23">
        <v>18.7</v>
      </c>
      <c r="C23" t="s">
        <v>14</v>
      </c>
      <c r="D23" t="s">
        <v>6</v>
      </c>
      <c r="E23" t="s">
        <v>9</v>
      </c>
    </row>
    <row r="24" spans="1:5" x14ac:dyDescent="0.25">
      <c r="A24" t="s">
        <v>22</v>
      </c>
      <c r="B24">
        <v>20.2</v>
      </c>
      <c r="C24" t="s">
        <v>27</v>
      </c>
      <c r="D24" t="s">
        <v>6</v>
      </c>
      <c r="E24" t="s">
        <v>9</v>
      </c>
    </row>
    <row r="25" spans="1:5" x14ac:dyDescent="0.25">
      <c r="A25" t="s">
        <v>31</v>
      </c>
      <c r="B25">
        <v>20.8</v>
      </c>
      <c r="C25" t="s">
        <v>20</v>
      </c>
      <c r="D25" t="s">
        <v>6</v>
      </c>
      <c r="E25" t="s">
        <v>10</v>
      </c>
    </row>
    <row r="26" spans="1:5" x14ac:dyDescent="0.25">
      <c r="A26" t="s">
        <v>32</v>
      </c>
      <c r="B26">
        <v>19.899999999999999</v>
      </c>
      <c r="C26" t="s">
        <v>12</v>
      </c>
      <c r="D26" t="s">
        <v>6</v>
      </c>
      <c r="E26" t="s">
        <v>10</v>
      </c>
    </row>
    <row r="27" spans="1:5" x14ac:dyDescent="0.25">
      <c r="A27" t="s">
        <v>33</v>
      </c>
      <c r="B27">
        <v>17.5</v>
      </c>
      <c r="C27" t="s">
        <v>28</v>
      </c>
      <c r="D27" t="s">
        <v>6</v>
      </c>
      <c r="E27" t="s">
        <v>11</v>
      </c>
    </row>
    <row r="28" spans="1:5" x14ac:dyDescent="0.25">
      <c r="A28" t="s">
        <v>34</v>
      </c>
      <c r="B28">
        <v>13.9</v>
      </c>
      <c r="C28" t="s">
        <v>27</v>
      </c>
      <c r="D28" t="s">
        <v>6</v>
      </c>
      <c r="E28" t="s">
        <v>11</v>
      </c>
    </row>
    <row r="29" spans="1:5" x14ac:dyDescent="0.25">
      <c r="A29" t="s">
        <v>35</v>
      </c>
      <c r="B29">
        <v>9.9</v>
      </c>
      <c r="C29" t="s">
        <v>11</v>
      </c>
      <c r="D29" t="s">
        <v>6</v>
      </c>
      <c r="E29" t="s">
        <v>11</v>
      </c>
    </row>
    <row r="30" spans="1:5" x14ac:dyDescent="0.25">
      <c r="A30" t="s">
        <v>36</v>
      </c>
      <c r="B30">
        <v>6.4</v>
      </c>
      <c r="C30" t="s">
        <v>24</v>
      </c>
      <c r="D30" t="s">
        <v>6</v>
      </c>
      <c r="E30" t="s">
        <v>12</v>
      </c>
    </row>
    <row r="31" spans="1:5" x14ac:dyDescent="0.25">
      <c r="A31" t="s">
        <v>37</v>
      </c>
      <c r="B31">
        <v>4.2</v>
      </c>
      <c r="C31" t="s">
        <v>19</v>
      </c>
      <c r="D31" t="s">
        <v>6</v>
      </c>
      <c r="E31" t="s">
        <v>12</v>
      </c>
    </row>
    <row r="32" spans="1:5" x14ac:dyDescent="0.25">
      <c r="A32" t="s">
        <v>38</v>
      </c>
      <c r="B32">
        <v>3.6</v>
      </c>
      <c r="C32" t="s">
        <v>21</v>
      </c>
      <c r="D32" t="s">
        <v>6</v>
      </c>
      <c r="E32" t="s">
        <v>12</v>
      </c>
    </row>
    <row r="33" spans="1:5" x14ac:dyDescent="0.25">
      <c r="A33" t="s">
        <v>39</v>
      </c>
      <c r="B33">
        <v>4.5999999999999996</v>
      </c>
      <c r="C33" t="s">
        <v>17</v>
      </c>
      <c r="D33" t="s">
        <v>6</v>
      </c>
      <c r="E33" t="s">
        <v>12</v>
      </c>
    </row>
    <row r="34" spans="1:5" x14ac:dyDescent="0.25">
      <c r="A34" t="s">
        <v>40</v>
      </c>
      <c r="B34">
        <v>6.6</v>
      </c>
      <c r="C34" t="s">
        <v>24</v>
      </c>
      <c r="D34" t="s">
        <v>6</v>
      </c>
      <c r="E34" t="s">
        <v>12</v>
      </c>
    </row>
    <row r="35" spans="1:5" x14ac:dyDescent="0.25">
      <c r="A35" t="s">
        <v>41</v>
      </c>
      <c r="B35">
        <v>8.6999999999999993</v>
      </c>
      <c r="C35" t="s">
        <v>33</v>
      </c>
      <c r="D35" t="s">
        <v>6</v>
      </c>
      <c r="E35" t="s">
        <v>12</v>
      </c>
    </row>
    <row r="36" spans="1:5" x14ac:dyDescent="0.25">
      <c r="A36" t="s">
        <v>42</v>
      </c>
      <c r="B36">
        <v>10</v>
      </c>
      <c r="C36" t="s">
        <v>5</v>
      </c>
      <c r="D36" t="s">
        <v>5</v>
      </c>
      <c r="E36" t="s">
        <v>5</v>
      </c>
    </row>
    <row r="37" spans="1:5" x14ac:dyDescent="0.25">
      <c r="A37" t="s">
        <v>43</v>
      </c>
      <c r="B37">
        <v>10.1</v>
      </c>
      <c r="C37" t="s">
        <v>10</v>
      </c>
      <c r="D37" t="s">
        <v>6</v>
      </c>
      <c r="E37" t="s">
        <v>8</v>
      </c>
    </row>
    <row r="38" spans="1:5" x14ac:dyDescent="0.25">
      <c r="A38" t="s">
        <v>44</v>
      </c>
      <c r="B38">
        <v>8.8000000000000007</v>
      </c>
      <c r="C38" t="s">
        <v>10</v>
      </c>
      <c r="D38" t="s">
        <v>6</v>
      </c>
      <c r="E38" t="s">
        <v>8</v>
      </c>
    </row>
    <row r="39" spans="1:5" x14ac:dyDescent="0.25">
      <c r="A39" t="s">
        <v>45</v>
      </c>
      <c r="B39">
        <v>6.4</v>
      </c>
      <c r="C39" t="s">
        <v>12</v>
      </c>
      <c r="D39" t="s">
        <v>6</v>
      </c>
      <c r="E39" t="s">
        <v>8</v>
      </c>
    </row>
    <row r="40" spans="1:5" x14ac:dyDescent="0.25">
      <c r="A40" t="s">
        <v>46</v>
      </c>
      <c r="B40">
        <v>3.8</v>
      </c>
      <c r="C40" t="s">
        <v>17</v>
      </c>
      <c r="D40" t="s">
        <v>6</v>
      </c>
      <c r="E40" t="s">
        <v>9</v>
      </c>
    </row>
    <row r="41" spans="1:5" x14ac:dyDescent="0.25">
      <c r="A41" t="s">
        <v>47</v>
      </c>
      <c r="B41">
        <v>1.7</v>
      </c>
      <c r="C41" t="s">
        <v>14</v>
      </c>
      <c r="D41" t="s">
        <v>6</v>
      </c>
      <c r="E41" t="s">
        <v>9</v>
      </c>
    </row>
    <row r="42" spans="1:5" x14ac:dyDescent="0.25">
      <c r="A42" t="s">
        <v>48</v>
      </c>
      <c r="B42">
        <v>1</v>
      </c>
      <c r="C42" t="s">
        <v>10</v>
      </c>
      <c r="D42" t="s">
        <v>6</v>
      </c>
      <c r="E42" t="s">
        <v>9</v>
      </c>
    </row>
    <row r="43" spans="1:5" x14ac:dyDescent="0.25">
      <c r="A43" t="s">
        <v>49</v>
      </c>
      <c r="B43">
        <v>2</v>
      </c>
      <c r="C43" t="s">
        <v>24</v>
      </c>
      <c r="D43" t="s">
        <v>6</v>
      </c>
      <c r="E43" t="s">
        <v>10</v>
      </c>
    </row>
    <row r="44" spans="1:5" x14ac:dyDescent="0.25">
      <c r="A44" t="s">
        <v>50</v>
      </c>
      <c r="B44">
        <v>4.5999999999999996</v>
      </c>
      <c r="C44" t="s">
        <v>12</v>
      </c>
      <c r="D44" t="s">
        <v>6</v>
      </c>
      <c r="E44" t="s">
        <v>10</v>
      </c>
    </row>
    <row r="45" spans="1:5" x14ac:dyDescent="0.25">
      <c r="A45" t="s">
        <v>51</v>
      </c>
      <c r="B45">
        <v>8.1999999999999993</v>
      </c>
      <c r="C45" t="s">
        <v>15</v>
      </c>
      <c r="D45" t="s">
        <v>6</v>
      </c>
      <c r="E45" t="s">
        <v>10</v>
      </c>
    </row>
    <row r="46" spans="1:5" x14ac:dyDescent="0.25">
      <c r="A46" t="s">
        <v>52</v>
      </c>
      <c r="B46">
        <v>11.8</v>
      </c>
      <c r="C46" t="s">
        <v>9</v>
      </c>
      <c r="D46" t="s">
        <v>6</v>
      </c>
      <c r="E46" t="s">
        <v>11</v>
      </c>
    </row>
    <row r="47" spans="1:5" x14ac:dyDescent="0.25">
      <c r="A47" t="s">
        <v>53</v>
      </c>
      <c r="B47">
        <v>14.7</v>
      </c>
      <c r="C47" t="s">
        <v>8</v>
      </c>
      <c r="D47" t="s">
        <v>6</v>
      </c>
      <c r="E47" t="s">
        <v>11</v>
      </c>
    </row>
    <row r="48" spans="1:5" x14ac:dyDescent="0.25">
      <c r="A48" t="s">
        <v>54</v>
      </c>
      <c r="B48">
        <v>16.3</v>
      </c>
      <c r="C48" t="s">
        <v>17</v>
      </c>
      <c r="D48" t="s">
        <v>6</v>
      </c>
      <c r="E48" t="s">
        <v>11</v>
      </c>
    </row>
    <row r="49" spans="1:5" x14ac:dyDescent="0.25">
      <c r="A49" t="s">
        <v>55</v>
      </c>
      <c r="B49">
        <v>16.3</v>
      </c>
      <c r="C49" t="s">
        <v>32</v>
      </c>
      <c r="D49" t="s">
        <v>6</v>
      </c>
      <c r="E49" t="s">
        <v>12</v>
      </c>
    </row>
    <row r="50" spans="1:5" x14ac:dyDescent="0.25">
      <c r="A50" t="s">
        <v>56</v>
      </c>
      <c r="B50">
        <v>15.2</v>
      </c>
      <c r="C50" t="s">
        <v>5</v>
      </c>
      <c r="D50" t="s">
        <v>5</v>
      </c>
      <c r="E50" t="s">
        <v>5</v>
      </c>
    </row>
    <row r="51" spans="1:5" x14ac:dyDescent="0.25">
      <c r="A51" t="s">
        <v>57</v>
      </c>
      <c r="B51">
        <v>13.6</v>
      </c>
      <c r="C51" t="s">
        <v>9</v>
      </c>
      <c r="D51" t="s">
        <v>6</v>
      </c>
      <c r="E51" t="s">
        <v>8</v>
      </c>
    </row>
    <row r="52" spans="1:5" x14ac:dyDescent="0.25">
      <c r="A52" t="s">
        <v>58</v>
      </c>
      <c r="B52">
        <v>12.5</v>
      </c>
      <c r="C52" t="s">
        <v>10</v>
      </c>
      <c r="D52" t="s">
        <v>6</v>
      </c>
      <c r="E52" t="s">
        <v>8</v>
      </c>
    </row>
    <row r="53" spans="1:5" x14ac:dyDescent="0.25">
      <c r="A53" t="s">
        <v>59</v>
      </c>
      <c r="B53">
        <v>12.5</v>
      </c>
      <c r="C53" t="s">
        <v>9</v>
      </c>
      <c r="D53" t="s">
        <v>6</v>
      </c>
      <c r="E53" t="s">
        <v>8</v>
      </c>
    </row>
    <row r="54" spans="1:5" x14ac:dyDescent="0.25">
      <c r="A54" t="s">
        <v>60</v>
      </c>
      <c r="B54">
        <v>14.1</v>
      </c>
      <c r="C54" t="s">
        <v>11</v>
      </c>
      <c r="D54" t="s">
        <v>6</v>
      </c>
      <c r="E54" t="s">
        <v>9</v>
      </c>
    </row>
    <row r="55" spans="1:5" x14ac:dyDescent="0.25">
      <c r="A55" t="s">
        <v>61</v>
      </c>
      <c r="B55">
        <v>17.100000000000001</v>
      </c>
      <c r="C55" t="s">
        <v>12</v>
      </c>
      <c r="D55" t="s">
        <v>6</v>
      </c>
      <c r="E55" t="s">
        <v>9</v>
      </c>
    </row>
    <row r="56" spans="1:5" x14ac:dyDescent="0.25">
      <c r="A56" t="s">
        <v>62</v>
      </c>
      <c r="B56">
        <v>20.9</v>
      </c>
      <c r="C56" t="s">
        <v>18</v>
      </c>
      <c r="D56" t="s">
        <v>6</v>
      </c>
      <c r="E56" t="s">
        <v>9</v>
      </c>
    </row>
    <row r="57" spans="1:5" x14ac:dyDescent="0.25">
      <c r="A57" t="s">
        <v>63</v>
      </c>
      <c r="B57">
        <v>24.5</v>
      </c>
      <c r="C57" t="s">
        <v>9</v>
      </c>
      <c r="D57" t="s">
        <v>6</v>
      </c>
      <c r="E57" t="s">
        <v>10</v>
      </c>
    </row>
    <row r="58" spans="1:5" x14ac:dyDescent="0.25">
      <c r="A58" t="s">
        <v>64</v>
      </c>
      <c r="B58">
        <v>27.3</v>
      </c>
      <c r="C58" t="s">
        <v>26</v>
      </c>
      <c r="D58" t="s">
        <v>6</v>
      </c>
      <c r="E58" t="s">
        <v>10</v>
      </c>
    </row>
    <row r="59" spans="1:5" x14ac:dyDescent="0.25">
      <c r="A59" t="s">
        <v>65</v>
      </c>
      <c r="B59">
        <v>28.4</v>
      </c>
      <c r="C59" t="s">
        <v>19</v>
      </c>
      <c r="D59" t="s">
        <v>6</v>
      </c>
      <c r="E59" t="s">
        <v>10</v>
      </c>
    </row>
    <row r="60" spans="1:5" x14ac:dyDescent="0.25">
      <c r="A60" t="s">
        <v>66</v>
      </c>
      <c r="B60">
        <v>27.8</v>
      </c>
      <c r="C60" t="s">
        <v>19</v>
      </c>
      <c r="D60" t="s">
        <v>6</v>
      </c>
      <c r="E60" t="s">
        <v>10</v>
      </c>
    </row>
    <row r="61" spans="1:5" x14ac:dyDescent="0.25">
      <c r="A61" t="s">
        <v>67</v>
      </c>
      <c r="B61">
        <v>25.9</v>
      </c>
      <c r="C61" t="s">
        <v>14</v>
      </c>
      <c r="D61" t="s">
        <v>6</v>
      </c>
      <c r="E61" t="s">
        <v>11</v>
      </c>
    </row>
    <row r="62" spans="1:5" x14ac:dyDescent="0.25">
      <c r="A62" t="s">
        <v>68</v>
      </c>
      <c r="B62">
        <v>23.4</v>
      </c>
      <c r="C62" t="s">
        <v>30</v>
      </c>
      <c r="D62" t="s">
        <v>6</v>
      </c>
      <c r="E62" t="s">
        <v>11</v>
      </c>
    </row>
    <row r="63" spans="1:5" x14ac:dyDescent="0.25">
      <c r="A63" t="s">
        <v>69</v>
      </c>
      <c r="B63">
        <v>21.2</v>
      </c>
      <c r="C63" t="s">
        <v>30</v>
      </c>
      <c r="D63" t="s">
        <v>6</v>
      </c>
      <c r="E63" t="s">
        <v>12</v>
      </c>
    </row>
    <row r="64" spans="1:5" x14ac:dyDescent="0.25">
      <c r="A64" t="s">
        <v>70</v>
      </c>
      <c r="B64">
        <v>20</v>
      </c>
      <c r="C64" t="s">
        <v>5</v>
      </c>
      <c r="D64" t="s">
        <v>5</v>
      </c>
      <c r="E64" t="s">
        <v>5</v>
      </c>
    </row>
    <row r="65" spans="1:5" x14ac:dyDescent="0.25">
      <c r="A65" t="s">
        <v>71</v>
      </c>
      <c r="B65">
        <v>20.3</v>
      </c>
      <c r="C65" t="s">
        <v>11</v>
      </c>
      <c r="D65" t="s">
        <v>6</v>
      </c>
      <c r="E65" t="s">
        <v>8</v>
      </c>
    </row>
    <row r="66" spans="1:5" x14ac:dyDescent="0.25">
      <c r="A66" t="s">
        <v>72</v>
      </c>
      <c r="B66">
        <v>21.8</v>
      </c>
      <c r="C66" t="s">
        <v>14</v>
      </c>
      <c r="D66" t="s">
        <v>6</v>
      </c>
      <c r="E66" t="s">
        <v>8</v>
      </c>
    </row>
    <row r="67" spans="1:5" x14ac:dyDescent="0.25">
      <c r="A67" t="s">
        <v>73</v>
      </c>
      <c r="B67">
        <v>24</v>
      </c>
      <c r="C67" t="s">
        <v>10</v>
      </c>
      <c r="D67" t="s">
        <v>6</v>
      </c>
      <c r="E67" t="s">
        <v>8</v>
      </c>
    </row>
    <row r="68" spans="1:5" x14ac:dyDescent="0.25">
      <c r="A68" t="s">
        <v>74</v>
      </c>
      <c r="B68">
        <v>26.1</v>
      </c>
      <c r="C68" t="s">
        <v>16</v>
      </c>
      <c r="D68" t="s">
        <v>6</v>
      </c>
      <c r="E68" t="s">
        <v>9</v>
      </c>
    </row>
    <row r="69" spans="1:5" x14ac:dyDescent="0.25">
      <c r="A69" t="s">
        <v>75</v>
      </c>
      <c r="B69">
        <v>27.3</v>
      </c>
      <c r="C69" t="s">
        <v>14</v>
      </c>
      <c r="D69" t="s">
        <v>6</v>
      </c>
      <c r="E69" t="s">
        <v>9</v>
      </c>
    </row>
    <row r="70" spans="1:5" x14ac:dyDescent="0.25">
      <c r="A70" t="s">
        <v>76</v>
      </c>
      <c r="B70">
        <v>26.8</v>
      </c>
      <c r="C70" t="s">
        <v>15</v>
      </c>
      <c r="D70" t="s">
        <v>6</v>
      </c>
      <c r="E70" t="s">
        <v>9</v>
      </c>
    </row>
    <row r="71" spans="1:5" x14ac:dyDescent="0.25">
      <c r="A71" t="s">
        <v>77</v>
      </c>
      <c r="B71">
        <v>24.7</v>
      </c>
      <c r="C71" t="s">
        <v>10</v>
      </c>
      <c r="D71" t="s">
        <v>6</v>
      </c>
      <c r="E71" t="s">
        <v>10</v>
      </c>
    </row>
    <row r="72" spans="1:5" x14ac:dyDescent="0.25">
      <c r="A72" t="s">
        <v>78</v>
      </c>
      <c r="B72">
        <v>21.2</v>
      </c>
      <c r="C72" t="s">
        <v>26</v>
      </c>
      <c r="D72" t="s">
        <v>6</v>
      </c>
      <c r="E72" t="s">
        <v>10</v>
      </c>
    </row>
    <row r="73" spans="1:5" x14ac:dyDescent="0.25">
      <c r="A73" t="s">
        <v>79</v>
      </c>
      <c r="B73">
        <v>17.3</v>
      </c>
      <c r="C73" t="s">
        <v>15</v>
      </c>
      <c r="D73" t="s">
        <v>6</v>
      </c>
      <c r="E73" t="s">
        <v>10</v>
      </c>
    </row>
    <row r="74" spans="1:5" x14ac:dyDescent="0.25">
      <c r="A74" t="s">
        <v>80</v>
      </c>
      <c r="B74">
        <v>13.7</v>
      </c>
      <c r="C74" t="s">
        <v>28</v>
      </c>
      <c r="D74" t="s">
        <v>6</v>
      </c>
      <c r="E74" t="s">
        <v>11</v>
      </c>
    </row>
    <row r="75" spans="1:5" x14ac:dyDescent="0.25">
      <c r="A75" t="s">
        <v>81</v>
      </c>
      <c r="B75">
        <v>11.3</v>
      </c>
      <c r="C75" t="s">
        <v>12</v>
      </c>
      <c r="D75" t="s">
        <v>6</v>
      </c>
      <c r="E75" t="s">
        <v>11</v>
      </c>
    </row>
    <row r="76" spans="1:5" x14ac:dyDescent="0.25">
      <c r="A76" t="s">
        <v>82</v>
      </c>
      <c r="B76">
        <v>10.5</v>
      </c>
      <c r="C76" t="s">
        <v>9</v>
      </c>
      <c r="D76" t="s">
        <v>6</v>
      </c>
      <c r="E76" t="s">
        <v>11</v>
      </c>
    </row>
    <row r="77" spans="1:5" x14ac:dyDescent="0.25">
      <c r="A77" t="s">
        <v>83</v>
      </c>
      <c r="B77">
        <v>11</v>
      </c>
      <c r="C77" t="s">
        <v>25</v>
      </c>
      <c r="D77" t="s">
        <v>6</v>
      </c>
      <c r="E77" t="s">
        <v>12</v>
      </c>
    </row>
    <row r="78" spans="1:5" x14ac:dyDescent="0.25">
      <c r="A78" t="s">
        <v>84</v>
      </c>
      <c r="B78">
        <v>12.5</v>
      </c>
      <c r="C78" t="s">
        <v>5</v>
      </c>
      <c r="D78" t="s">
        <v>5</v>
      </c>
      <c r="E78" t="s">
        <v>5</v>
      </c>
    </row>
    <row r="79" spans="1:5" x14ac:dyDescent="0.25">
      <c r="A79" t="s">
        <v>85</v>
      </c>
      <c r="B79">
        <v>14</v>
      </c>
      <c r="C79" t="s">
        <v>9</v>
      </c>
      <c r="D79" t="s">
        <v>6</v>
      </c>
      <c r="E79" t="s">
        <v>8</v>
      </c>
    </row>
    <row r="80" spans="1:5" x14ac:dyDescent="0.25">
      <c r="A80" t="s">
        <v>86</v>
      </c>
      <c r="B80">
        <v>14.7</v>
      </c>
      <c r="C80" t="s">
        <v>11</v>
      </c>
      <c r="D80" t="s">
        <v>6</v>
      </c>
      <c r="E80" t="s">
        <v>8</v>
      </c>
    </row>
    <row r="81" spans="1:5" x14ac:dyDescent="0.25">
      <c r="A81" t="s">
        <v>87</v>
      </c>
      <c r="B81">
        <v>14.1</v>
      </c>
      <c r="C81" t="s">
        <v>12</v>
      </c>
      <c r="D81" t="s">
        <v>7</v>
      </c>
      <c r="E81" t="s">
        <v>8</v>
      </c>
    </row>
    <row r="82" spans="1:5" x14ac:dyDescent="0.25">
      <c r="A82" t="s">
        <v>88</v>
      </c>
      <c r="B82">
        <v>11.9</v>
      </c>
      <c r="C82" t="s">
        <v>15</v>
      </c>
      <c r="D82" t="s">
        <v>6</v>
      </c>
      <c r="E82" t="s">
        <v>9</v>
      </c>
    </row>
    <row r="83" spans="1:5" x14ac:dyDescent="0.25">
      <c r="A83" t="s">
        <v>89</v>
      </c>
      <c r="B83">
        <v>8.6999999999999993</v>
      </c>
      <c r="C83" t="s">
        <v>14</v>
      </c>
      <c r="D83" t="s">
        <v>6</v>
      </c>
      <c r="E83" t="s">
        <v>9</v>
      </c>
    </row>
    <row r="84" spans="1:5" x14ac:dyDescent="0.25">
      <c r="A84" t="s">
        <v>90</v>
      </c>
      <c r="B84">
        <v>5.0999999999999996</v>
      </c>
      <c r="C84" t="s">
        <v>10</v>
      </c>
      <c r="D84" t="s">
        <v>6</v>
      </c>
      <c r="E84" t="s">
        <v>9</v>
      </c>
    </row>
    <row r="85" spans="1:5" x14ac:dyDescent="0.25">
      <c r="A85" t="s">
        <v>91</v>
      </c>
      <c r="B85">
        <v>2.2000000000000002</v>
      </c>
      <c r="C85" t="s">
        <v>8</v>
      </c>
      <c r="D85" t="s">
        <v>6</v>
      </c>
      <c r="E85" t="s">
        <v>10</v>
      </c>
    </row>
    <row r="86" spans="1:5" x14ac:dyDescent="0.25">
      <c r="A86" t="s">
        <v>92</v>
      </c>
      <c r="B86">
        <v>0.5</v>
      </c>
      <c r="C86" t="s">
        <v>12</v>
      </c>
      <c r="D86" t="s">
        <v>6</v>
      </c>
      <c r="E86" t="s">
        <v>10</v>
      </c>
    </row>
    <row r="87" spans="1:5" x14ac:dyDescent="0.25">
      <c r="A87" t="s">
        <v>93</v>
      </c>
      <c r="B87">
        <v>0.6</v>
      </c>
      <c r="C87" t="s">
        <v>23</v>
      </c>
      <c r="D87" t="s">
        <v>6</v>
      </c>
      <c r="E87" t="s">
        <v>10</v>
      </c>
    </row>
    <row r="88" spans="1:5" x14ac:dyDescent="0.25">
      <c r="A88" t="s">
        <v>94</v>
      </c>
      <c r="B88">
        <v>2.2999999999999998</v>
      </c>
      <c r="C88" t="s">
        <v>11</v>
      </c>
      <c r="D88" t="s">
        <v>6</v>
      </c>
      <c r="E88" t="s">
        <v>11</v>
      </c>
    </row>
    <row r="89" spans="1:5" x14ac:dyDescent="0.25">
      <c r="A89" t="s">
        <v>95</v>
      </c>
      <c r="B89">
        <v>5</v>
      </c>
      <c r="C89" t="s">
        <v>18</v>
      </c>
      <c r="D89" t="s">
        <v>6</v>
      </c>
      <c r="E89" t="s">
        <v>11</v>
      </c>
    </row>
    <row r="90" spans="1:5" x14ac:dyDescent="0.25">
      <c r="A90" t="s">
        <v>96</v>
      </c>
      <c r="B90">
        <v>7.9</v>
      </c>
      <c r="C90" t="s">
        <v>31</v>
      </c>
      <c r="D90" t="s">
        <v>6</v>
      </c>
      <c r="E90" t="s">
        <v>11</v>
      </c>
    </row>
    <row r="91" spans="1:5" x14ac:dyDescent="0.25">
      <c r="A91" t="s">
        <v>97</v>
      </c>
      <c r="B91">
        <v>10</v>
      </c>
      <c r="C91" t="s">
        <v>20</v>
      </c>
      <c r="D91" t="s">
        <v>6</v>
      </c>
      <c r="E91" t="s">
        <v>12</v>
      </c>
    </row>
    <row r="92" spans="1:5" x14ac:dyDescent="0.25">
      <c r="A92" t="s">
        <v>98</v>
      </c>
      <c r="B92">
        <v>10.9</v>
      </c>
      <c r="C92" t="s">
        <v>36</v>
      </c>
      <c r="D92" t="s">
        <v>6</v>
      </c>
      <c r="E92" t="s">
        <v>12</v>
      </c>
    </row>
    <row r="93" spans="1:5" x14ac:dyDescent="0.25">
      <c r="A93" t="s">
        <v>99</v>
      </c>
      <c r="B93">
        <v>10.3</v>
      </c>
      <c r="C93" t="s">
        <v>5</v>
      </c>
      <c r="D93" t="s">
        <v>5</v>
      </c>
      <c r="E93" t="s">
        <v>5</v>
      </c>
    </row>
    <row r="94" spans="1:5" x14ac:dyDescent="0.25">
      <c r="A94" t="s">
        <v>100</v>
      </c>
      <c r="B94">
        <v>8.6999999999999993</v>
      </c>
      <c r="C94" t="s">
        <v>8</v>
      </c>
      <c r="D94" t="s">
        <v>7</v>
      </c>
      <c r="E94" t="s">
        <v>8</v>
      </c>
    </row>
    <row r="95" spans="1:5" x14ac:dyDescent="0.25">
      <c r="A95" t="s">
        <v>101</v>
      </c>
      <c r="B95">
        <v>6.7</v>
      </c>
      <c r="C95" t="s">
        <v>10</v>
      </c>
      <c r="D95" t="s">
        <v>7</v>
      </c>
      <c r="E95" t="s">
        <v>8</v>
      </c>
    </row>
    <row r="96" spans="1:5" x14ac:dyDescent="0.25">
      <c r="A96" t="s">
        <v>102</v>
      </c>
      <c r="B96">
        <v>5.3</v>
      </c>
      <c r="C96" t="s">
        <v>14</v>
      </c>
      <c r="D96" t="s">
        <v>7</v>
      </c>
      <c r="E96" t="s">
        <v>8</v>
      </c>
    </row>
    <row r="97" spans="1:5" x14ac:dyDescent="0.25">
      <c r="A97" t="s">
        <v>103</v>
      </c>
      <c r="B97">
        <v>5.2</v>
      </c>
      <c r="C97" t="s">
        <v>10</v>
      </c>
      <c r="D97" t="s">
        <v>7</v>
      </c>
      <c r="E97" t="s">
        <v>9</v>
      </c>
    </row>
    <row r="98" spans="1:5" x14ac:dyDescent="0.25">
      <c r="A98" t="s">
        <v>104</v>
      </c>
      <c r="B98">
        <v>6.8</v>
      </c>
      <c r="C98" t="s">
        <v>9</v>
      </c>
      <c r="D98" t="s">
        <v>7</v>
      </c>
      <c r="E98" t="s">
        <v>9</v>
      </c>
    </row>
    <row r="99" spans="1:5" x14ac:dyDescent="0.25">
      <c r="A99" t="s">
        <v>105</v>
      </c>
      <c r="B99">
        <v>9.8000000000000007</v>
      </c>
      <c r="C99" t="s">
        <v>17</v>
      </c>
      <c r="D99" t="s">
        <v>7</v>
      </c>
      <c r="E99" t="s">
        <v>9</v>
      </c>
    </row>
    <row r="100" spans="1:5" x14ac:dyDescent="0.25">
      <c r="A100" t="s">
        <v>106</v>
      </c>
      <c r="B100">
        <v>13.7</v>
      </c>
      <c r="C100" t="s">
        <v>15</v>
      </c>
      <c r="D100" t="s">
        <v>7</v>
      </c>
      <c r="E100" t="s">
        <v>10</v>
      </c>
    </row>
    <row r="101" spans="1:5" x14ac:dyDescent="0.25">
      <c r="A101" t="s">
        <v>107</v>
      </c>
      <c r="B101">
        <v>17.7</v>
      </c>
      <c r="C101" t="s">
        <v>14</v>
      </c>
      <c r="D101" t="s">
        <v>7</v>
      </c>
      <c r="E101" t="s">
        <v>10</v>
      </c>
    </row>
    <row r="102" spans="1:5" x14ac:dyDescent="0.25">
      <c r="A102" t="s">
        <v>108</v>
      </c>
      <c r="B102">
        <v>20.8</v>
      </c>
      <c r="C102" t="s">
        <v>12</v>
      </c>
      <c r="D102" t="s">
        <v>7</v>
      </c>
      <c r="E102" t="s">
        <v>10</v>
      </c>
    </row>
    <row r="103" spans="1:5" x14ac:dyDescent="0.25">
      <c r="A103" t="s">
        <v>109</v>
      </c>
      <c r="B103">
        <v>22.4</v>
      </c>
      <c r="C103" t="s">
        <v>29</v>
      </c>
      <c r="D103" t="s">
        <v>7</v>
      </c>
      <c r="E103" t="s">
        <v>11</v>
      </c>
    </row>
    <row r="104" spans="1:5" x14ac:dyDescent="0.25">
      <c r="A104" t="s">
        <v>110</v>
      </c>
      <c r="B104">
        <v>22.5</v>
      </c>
      <c r="C104" t="s">
        <v>24</v>
      </c>
      <c r="D104" t="s">
        <v>7</v>
      </c>
      <c r="E104" t="s">
        <v>11</v>
      </c>
    </row>
    <row r="105" spans="1:5" x14ac:dyDescent="0.25">
      <c r="A105" t="s">
        <v>111</v>
      </c>
      <c r="B105">
        <v>21.2</v>
      </c>
      <c r="C105" t="s">
        <v>17</v>
      </c>
      <c r="D105" t="s">
        <v>7</v>
      </c>
      <c r="E105" t="s">
        <v>11</v>
      </c>
    </row>
    <row r="106" spans="1:5" x14ac:dyDescent="0.25">
      <c r="A106" t="s">
        <v>112</v>
      </c>
      <c r="B106">
        <v>19.5</v>
      </c>
      <c r="C106" t="s">
        <v>34</v>
      </c>
      <c r="D106" t="s">
        <v>7</v>
      </c>
      <c r="E106" t="s">
        <v>12</v>
      </c>
    </row>
    <row r="107" spans="1:5" x14ac:dyDescent="0.25">
      <c r="A107" t="s">
        <v>113</v>
      </c>
      <c r="B107">
        <v>18.100000000000001</v>
      </c>
      <c r="C107" t="s">
        <v>5</v>
      </c>
      <c r="D107" t="s">
        <v>5</v>
      </c>
      <c r="E107" t="s">
        <v>5</v>
      </c>
    </row>
    <row r="108" spans="1:5" x14ac:dyDescent="0.25">
      <c r="A108" t="s">
        <v>114</v>
      </c>
      <c r="B108">
        <v>17.8</v>
      </c>
      <c r="C108" t="s">
        <v>12</v>
      </c>
      <c r="D108" t="s">
        <v>6</v>
      </c>
      <c r="E108" t="s">
        <v>8</v>
      </c>
    </row>
    <row r="109" spans="1:5" x14ac:dyDescent="0.25">
      <c r="A109" t="s">
        <v>115</v>
      </c>
      <c r="B109">
        <v>18.899999999999999</v>
      </c>
      <c r="C109" t="s">
        <v>10</v>
      </c>
      <c r="D109" t="s">
        <v>6</v>
      </c>
      <c r="E109" t="s">
        <v>8</v>
      </c>
    </row>
    <row r="110" spans="1:5" x14ac:dyDescent="0.25">
      <c r="A110" t="s">
        <v>116</v>
      </c>
      <c r="B110">
        <v>21.3</v>
      </c>
      <c r="C110" t="s">
        <v>8</v>
      </c>
      <c r="D110" t="s">
        <v>6</v>
      </c>
      <c r="E110" t="s">
        <v>8</v>
      </c>
    </row>
    <row r="111" spans="1:5" x14ac:dyDescent="0.25">
      <c r="A111" t="s">
        <v>117</v>
      </c>
      <c r="B111">
        <v>24.5</v>
      </c>
      <c r="C111" t="s">
        <v>16</v>
      </c>
      <c r="D111" t="s">
        <v>6</v>
      </c>
      <c r="E111" t="s">
        <v>9</v>
      </c>
    </row>
    <row r="112" spans="1:5" x14ac:dyDescent="0.25">
      <c r="A112" t="s">
        <v>118</v>
      </c>
      <c r="B112">
        <v>27.5</v>
      </c>
      <c r="C112" t="s">
        <v>21</v>
      </c>
      <c r="D112" t="s">
        <v>6</v>
      </c>
      <c r="E112" t="s">
        <v>9</v>
      </c>
    </row>
    <row r="113" spans="1:5" x14ac:dyDescent="0.25">
      <c r="A113" t="s">
        <v>119</v>
      </c>
      <c r="B113">
        <v>29.5</v>
      </c>
      <c r="C113" t="s">
        <v>14</v>
      </c>
      <c r="D113" t="s">
        <v>6</v>
      </c>
      <c r="E113" t="s">
        <v>9</v>
      </c>
    </row>
    <row r="114" spans="1:5" x14ac:dyDescent="0.25">
      <c r="A114" t="s">
        <v>120</v>
      </c>
      <c r="B114">
        <v>29.9</v>
      </c>
      <c r="C114" t="s">
        <v>12</v>
      </c>
      <c r="D114" t="s">
        <v>6</v>
      </c>
      <c r="E114" t="s">
        <v>10</v>
      </c>
    </row>
    <row r="115" spans="1:5" x14ac:dyDescent="0.25">
      <c r="A115" t="s">
        <v>121</v>
      </c>
      <c r="B115">
        <v>28.6</v>
      </c>
      <c r="C115" t="s">
        <v>14</v>
      </c>
      <c r="D115" t="s">
        <v>6</v>
      </c>
      <c r="E115" t="s">
        <v>10</v>
      </c>
    </row>
    <row r="116" spans="1:5" x14ac:dyDescent="0.25">
      <c r="A116" t="s">
        <v>122</v>
      </c>
      <c r="B116">
        <v>25.9</v>
      </c>
      <c r="C116" t="s">
        <v>14</v>
      </c>
      <c r="D116" t="s">
        <v>6</v>
      </c>
      <c r="E116" t="s">
        <v>10</v>
      </c>
    </row>
    <row r="117" spans="1:5" x14ac:dyDescent="0.25">
      <c r="A117" t="s">
        <v>123</v>
      </c>
      <c r="B117">
        <v>22.6</v>
      </c>
      <c r="C117" t="s">
        <v>22</v>
      </c>
      <c r="D117" t="s">
        <v>6</v>
      </c>
      <c r="E117" t="s">
        <v>11</v>
      </c>
    </row>
    <row r="118" spans="1:5" x14ac:dyDescent="0.25">
      <c r="A118" t="s">
        <v>124</v>
      </c>
      <c r="B118">
        <v>19.7</v>
      </c>
      <c r="C118" t="s">
        <v>26</v>
      </c>
      <c r="D118" t="s">
        <v>6</v>
      </c>
      <c r="E118" t="s">
        <v>11</v>
      </c>
    </row>
    <row r="119" spans="1:5" x14ac:dyDescent="0.25">
      <c r="A119" t="s">
        <v>125</v>
      </c>
      <c r="B119">
        <v>17.8</v>
      </c>
      <c r="C119" t="s">
        <v>8</v>
      </c>
      <c r="D119" t="s">
        <v>6</v>
      </c>
      <c r="E119" t="s">
        <v>11</v>
      </c>
    </row>
    <row r="120" spans="1:5" x14ac:dyDescent="0.25">
      <c r="A120" t="s">
        <v>126</v>
      </c>
      <c r="B120">
        <v>17.3</v>
      </c>
      <c r="C120" t="s">
        <v>34</v>
      </c>
      <c r="D120" t="s">
        <v>6</v>
      </c>
      <c r="E120" t="s">
        <v>12</v>
      </c>
    </row>
    <row r="121" spans="1:5" x14ac:dyDescent="0.25">
      <c r="A121" t="s">
        <v>127</v>
      </c>
      <c r="B121">
        <v>18.2</v>
      </c>
      <c r="C121" t="s">
        <v>5</v>
      </c>
      <c r="D121" t="s">
        <v>5</v>
      </c>
      <c r="E121" t="s">
        <v>5</v>
      </c>
    </row>
    <row r="122" spans="1:5" x14ac:dyDescent="0.25">
      <c r="A122" t="s">
        <v>128</v>
      </c>
      <c r="B122">
        <v>19.8</v>
      </c>
      <c r="C122" t="s">
        <v>8</v>
      </c>
      <c r="D122" t="s">
        <v>6</v>
      </c>
      <c r="E122" t="s">
        <v>8</v>
      </c>
    </row>
    <row r="123" spans="1:5" x14ac:dyDescent="0.25">
      <c r="A123" t="s">
        <v>129</v>
      </c>
      <c r="B123">
        <v>21.4</v>
      </c>
      <c r="C123" t="s">
        <v>8</v>
      </c>
      <c r="D123" t="s">
        <v>6</v>
      </c>
      <c r="E123" t="s">
        <v>8</v>
      </c>
    </row>
    <row r="124" spans="1:5" x14ac:dyDescent="0.25">
      <c r="A124" t="s">
        <v>130</v>
      </c>
      <c r="B124">
        <v>22</v>
      </c>
      <c r="C124" t="s">
        <v>14</v>
      </c>
      <c r="D124" t="s">
        <v>6</v>
      </c>
      <c r="E124" t="s">
        <v>8</v>
      </c>
    </row>
    <row r="125" spans="1:5" x14ac:dyDescent="0.25">
      <c r="A125" t="s">
        <v>131</v>
      </c>
      <c r="B125">
        <v>21.2</v>
      </c>
      <c r="C125" t="s">
        <v>18</v>
      </c>
      <c r="D125" t="s">
        <v>6</v>
      </c>
      <c r="E125" t="s">
        <v>9</v>
      </c>
    </row>
    <row r="126" spans="1:5" x14ac:dyDescent="0.25">
      <c r="A126" t="s">
        <v>132</v>
      </c>
      <c r="B126">
        <v>18.8</v>
      </c>
      <c r="C126" t="s">
        <v>16</v>
      </c>
      <c r="D126" t="s">
        <v>6</v>
      </c>
      <c r="E126" t="s">
        <v>9</v>
      </c>
    </row>
    <row r="127" spans="1:5" x14ac:dyDescent="0.25">
      <c r="A127" t="s">
        <v>133</v>
      </c>
      <c r="B127">
        <v>15.2</v>
      </c>
      <c r="C127" t="s">
        <v>21</v>
      </c>
      <c r="D127" t="s">
        <v>6</v>
      </c>
      <c r="E127" t="s">
        <v>9</v>
      </c>
    </row>
    <row r="128" spans="1:5" x14ac:dyDescent="0.25">
      <c r="A128" t="s">
        <v>134</v>
      </c>
      <c r="B128">
        <v>11.1</v>
      </c>
      <c r="C128" t="s">
        <v>20</v>
      </c>
      <c r="D128" t="s">
        <v>6</v>
      </c>
      <c r="E128" t="s">
        <v>10</v>
      </c>
    </row>
    <row r="129" spans="1:5" x14ac:dyDescent="0.25">
      <c r="A129" t="s">
        <v>135</v>
      </c>
      <c r="B129">
        <v>7.5</v>
      </c>
      <c r="C129" t="s">
        <v>13</v>
      </c>
      <c r="D129" t="s">
        <v>6</v>
      </c>
      <c r="E129" t="s">
        <v>10</v>
      </c>
    </row>
    <row r="130" spans="1:5" x14ac:dyDescent="0.25">
      <c r="A130" t="s">
        <v>136</v>
      </c>
      <c r="B130">
        <v>5.2</v>
      </c>
      <c r="C130" t="s">
        <v>12</v>
      </c>
      <c r="D130" t="s">
        <v>6</v>
      </c>
      <c r="E130" t="s">
        <v>10</v>
      </c>
    </row>
    <row r="131" spans="1:5" x14ac:dyDescent="0.25">
      <c r="A131" t="s">
        <v>137</v>
      </c>
      <c r="B131">
        <v>4.5999999999999996</v>
      </c>
      <c r="C131" t="s">
        <v>22</v>
      </c>
      <c r="D131" t="s">
        <v>6</v>
      </c>
      <c r="E131" t="s">
        <v>11</v>
      </c>
    </row>
    <row r="132" spans="1:5" x14ac:dyDescent="0.25">
      <c r="A132" t="s">
        <v>138</v>
      </c>
      <c r="B132">
        <v>5.5</v>
      </c>
      <c r="C132" t="s">
        <v>17</v>
      </c>
      <c r="D132" t="s">
        <v>6</v>
      </c>
      <c r="E132" t="s">
        <v>11</v>
      </c>
    </row>
    <row r="133" spans="1:5" x14ac:dyDescent="0.25">
      <c r="A133" t="s">
        <v>139</v>
      </c>
      <c r="B133">
        <v>7.3</v>
      </c>
      <c r="C133" t="s">
        <v>22</v>
      </c>
      <c r="D133" t="s">
        <v>6</v>
      </c>
      <c r="E133" t="s">
        <v>11</v>
      </c>
    </row>
    <row r="134" spans="1:5" x14ac:dyDescent="0.25">
      <c r="A134" t="s">
        <v>140</v>
      </c>
      <c r="B134">
        <v>9.3000000000000007</v>
      </c>
      <c r="C134" t="s">
        <v>26</v>
      </c>
      <c r="D134" t="s">
        <v>6</v>
      </c>
      <c r="E134" t="s">
        <v>12</v>
      </c>
    </row>
    <row r="135" spans="1:5" x14ac:dyDescent="0.25">
      <c r="A135" t="s">
        <v>141</v>
      </c>
      <c r="B135">
        <v>10.5</v>
      </c>
      <c r="C135" t="s">
        <v>30</v>
      </c>
      <c r="D135" t="s">
        <v>6</v>
      </c>
      <c r="E135" t="s">
        <v>12</v>
      </c>
    </row>
    <row r="136" spans="1:5" x14ac:dyDescent="0.25">
      <c r="A136" t="s">
        <v>142</v>
      </c>
      <c r="B136">
        <v>10.4</v>
      </c>
      <c r="C136" t="s">
        <v>5</v>
      </c>
      <c r="D136" t="s">
        <v>5</v>
      </c>
      <c r="E136" t="s">
        <v>5</v>
      </c>
    </row>
    <row r="137" spans="1:5" x14ac:dyDescent="0.25">
      <c r="A137" t="s">
        <v>143</v>
      </c>
      <c r="B137">
        <v>9</v>
      </c>
      <c r="C137" t="s">
        <v>11</v>
      </c>
      <c r="D137" t="s">
        <v>7</v>
      </c>
      <c r="E137" t="s">
        <v>8</v>
      </c>
    </row>
    <row r="138" spans="1:5" x14ac:dyDescent="0.25">
      <c r="A138" t="s">
        <v>144</v>
      </c>
      <c r="B138">
        <v>6.4</v>
      </c>
      <c r="C138" t="s">
        <v>10</v>
      </c>
      <c r="D138" t="s">
        <v>7</v>
      </c>
      <c r="E138" t="s">
        <v>8</v>
      </c>
    </row>
    <row r="139" spans="1:5" x14ac:dyDescent="0.25">
      <c r="A139" t="s">
        <v>145</v>
      </c>
      <c r="B139">
        <v>3.6</v>
      </c>
      <c r="C139" t="s">
        <v>10</v>
      </c>
      <c r="D139" t="s">
        <v>7</v>
      </c>
      <c r="E139" t="s">
        <v>8</v>
      </c>
    </row>
    <row r="140" spans="1:5" x14ac:dyDescent="0.25">
      <c r="A140" t="s">
        <v>146</v>
      </c>
      <c r="B140">
        <v>1.4</v>
      </c>
      <c r="C140" t="s">
        <v>11</v>
      </c>
      <c r="D140" t="s">
        <v>7</v>
      </c>
      <c r="E140" t="s">
        <v>9</v>
      </c>
    </row>
    <row r="141" spans="1:5" x14ac:dyDescent="0.25">
      <c r="A141" t="s">
        <v>147</v>
      </c>
      <c r="B141">
        <v>0.5</v>
      </c>
      <c r="C141" t="s">
        <v>12</v>
      </c>
      <c r="D141" t="s">
        <v>7</v>
      </c>
      <c r="E141" t="s">
        <v>9</v>
      </c>
    </row>
    <row r="142" spans="1:5" x14ac:dyDescent="0.25">
      <c r="A142" t="s">
        <v>148</v>
      </c>
      <c r="B142">
        <v>1.4</v>
      </c>
      <c r="C142" t="s">
        <v>8</v>
      </c>
      <c r="D142" t="s">
        <v>7</v>
      </c>
      <c r="E142" t="s">
        <v>9</v>
      </c>
    </row>
    <row r="143" spans="1:5" x14ac:dyDescent="0.25">
      <c r="A143" t="s">
        <v>149</v>
      </c>
      <c r="B143">
        <v>3.9</v>
      </c>
      <c r="C143" t="s">
        <v>10</v>
      </c>
      <c r="D143" t="s">
        <v>7</v>
      </c>
      <c r="E143" t="s">
        <v>10</v>
      </c>
    </row>
    <row r="144" spans="1:5" x14ac:dyDescent="0.25">
      <c r="A144" t="s">
        <v>150</v>
      </c>
      <c r="B144">
        <v>7.3</v>
      </c>
      <c r="C144" t="s">
        <v>23</v>
      </c>
      <c r="D144" t="s">
        <v>7</v>
      </c>
      <c r="E144" t="s">
        <v>10</v>
      </c>
    </row>
    <row r="145" spans="1:5" x14ac:dyDescent="0.25">
      <c r="A145" t="s">
        <v>151</v>
      </c>
      <c r="B145">
        <v>10.9</v>
      </c>
      <c r="C145" t="s">
        <v>21</v>
      </c>
      <c r="D145" t="s">
        <v>7</v>
      </c>
      <c r="E145" t="s">
        <v>10</v>
      </c>
    </row>
    <row r="146" spans="1:5" x14ac:dyDescent="0.25">
      <c r="A146" t="s">
        <v>152</v>
      </c>
      <c r="B146">
        <v>13.7</v>
      </c>
      <c r="C146" t="s">
        <v>18</v>
      </c>
      <c r="D146" t="s">
        <v>7</v>
      </c>
      <c r="E146" t="s">
        <v>11</v>
      </c>
    </row>
    <row r="147" spans="1:5" x14ac:dyDescent="0.25">
      <c r="A147" t="s">
        <v>153</v>
      </c>
      <c r="B147">
        <v>15.1</v>
      </c>
      <c r="C147" t="s">
        <v>30</v>
      </c>
      <c r="D147" t="s">
        <v>7</v>
      </c>
      <c r="E147" t="s">
        <v>11</v>
      </c>
    </row>
    <row r="148" spans="1:5" x14ac:dyDescent="0.25">
      <c r="A148" t="s">
        <v>154</v>
      </c>
      <c r="B148">
        <v>15.1</v>
      </c>
      <c r="C148" t="s">
        <v>19</v>
      </c>
      <c r="D148" t="s">
        <v>7</v>
      </c>
      <c r="E148" t="s">
        <v>11</v>
      </c>
    </row>
    <row r="149" spans="1:5" x14ac:dyDescent="0.25">
      <c r="A149" t="s">
        <v>155</v>
      </c>
      <c r="B149">
        <v>13.9</v>
      </c>
      <c r="C149" t="s">
        <v>17</v>
      </c>
      <c r="D149" t="s">
        <v>7</v>
      </c>
      <c r="E149" t="s">
        <v>12</v>
      </c>
    </row>
    <row r="150" spans="1:5" x14ac:dyDescent="0.25">
      <c r="A150" t="s">
        <v>156</v>
      </c>
      <c r="B150">
        <v>12.3</v>
      </c>
      <c r="C150" t="s">
        <v>29</v>
      </c>
      <c r="D150" t="s">
        <v>7</v>
      </c>
      <c r="E150" t="s">
        <v>12</v>
      </c>
    </row>
    <row r="151" spans="1:5" x14ac:dyDescent="0.25">
      <c r="A151" t="s">
        <v>157</v>
      </c>
      <c r="B151">
        <v>11.2</v>
      </c>
      <c r="C151" t="s">
        <v>5</v>
      </c>
      <c r="D151" t="s">
        <v>5</v>
      </c>
      <c r="E151" t="s">
        <v>5</v>
      </c>
    </row>
    <row r="152" spans="1:5" x14ac:dyDescent="0.25">
      <c r="A152" t="s">
        <v>158</v>
      </c>
      <c r="B152">
        <v>11.3</v>
      </c>
      <c r="C152" t="s">
        <v>14</v>
      </c>
      <c r="D152" t="s">
        <v>6</v>
      </c>
      <c r="E152" t="s">
        <v>8</v>
      </c>
    </row>
    <row r="153" spans="1:5" x14ac:dyDescent="0.25">
      <c r="A153" t="s">
        <v>159</v>
      </c>
      <c r="B153">
        <v>12.9</v>
      </c>
      <c r="C153" t="s">
        <v>10</v>
      </c>
      <c r="D153" t="s">
        <v>6</v>
      </c>
      <c r="E153" t="s">
        <v>8</v>
      </c>
    </row>
    <row r="154" spans="1:5" x14ac:dyDescent="0.25">
      <c r="A154" t="s">
        <v>160</v>
      </c>
      <c r="B154">
        <v>16</v>
      </c>
      <c r="C154" t="s">
        <v>14</v>
      </c>
      <c r="D154" t="s">
        <v>6</v>
      </c>
      <c r="E154" t="s">
        <v>8</v>
      </c>
    </row>
    <row r="155" spans="1:5" x14ac:dyDescent="0.25">
      <c r="A155" t="s">
        <v>161</v>
      </c>
      <c r="B155">
        <v>19.8</v>
      </c>
      <c r="C155" t="s">
        <v>9</v>
      </c>
      <c r="D155" t="s">
        <v>6</v>
      </c>
      <c r="E155" t="s">
        <v>9</v>
      </c>
    </row>
    <row r="156" spans="1:5" x14ac:dyDescent="0.25">
      <c r="A156" t="s">
        <v>162</v>
      </c>
      <c r="B156">
        <v>23.6</v>
      </c>
      <c r="C156" t="s">
        <v>17</v>
      </c>
      <c r="D156" t="s">
        <v>6</v>
      </c>
      <c r="E156" t="s">
        <v>9</v>
      </c>
    </row>
    <row r="157" spans="1:5" x14ac:dyDescent="0.25">
      <c r="A157" t="s">
        <v>163</v>
      </c>
      <c r="B157">
        <v>26.4</v>
      </c>
      <c r="C157" t="s">
        <v>17</v>
      </c>
      <c r="D157" t="s">
        <v>6</v>
      </c>
      <c r="E157" t="s">
        <v>9</v>
      </c>
    </row>
    <row r="158" spans="1:5" x14ac:dyDescent="0.25">
      <c r="A158" t="s">
        <v>164</v>
      </c>
      <c r="B158">
        <v>27.7</v>
      </c>
      <c r="C158" t="s">
        <v>12</v>
      </c>
      <c r="D158" t="s">
        <v>6</v>
      </c>
      <c r="E158" t="s">
        <v>10</v>
      </c>
    </row>
    <row r="159" spans="1:5" x14ac:dyDescent="0.25">
      <c r="A159" t="s">
        <v>165</v>
      </c>
      <c r="B159">
        <v>27.2</v>
      </c>
      <c r="C159" t="s">
        <v>27</v>
      </c>
      <c r="D159" t="s">
        <v>6</v>
      </c>
      <c r="E159" t="s">
        <v>10</v>
      </c>
    </row>
    <row r="160" spans="1:5" x14ac:dyDescent="0.25">
      <c r="A160" t="s">
        <v>166</v>
      </c>
      <c r="B160">
        <v>25.5</v>
      </c>
      <c r="C160" t="s">
        <v>12</v>
      </c>
      <c r="D160" t="s">
        <v>6</v>
      </c>
      <c r="E160" t="s">
        <v>10</v>
      </c>
    </row>
    <row r="161" spans="1:5" x14ac:dyDescent="0.25">
      <c r="A161" t="s">
        <v>167</v>
      </c>
      <c r="B161">
        <v>23.1</v>
      </c>
      <c r="C161" t="s">
        <v>15</v>
      </c>
      <c r="D161" t="s">
        <v>6</v>
      </c>
      <c r="E161" t="s">
        <v>11</v>
      </c>
    </row>
    <row r="162" spans="1:5" x14ac:dyDescent="0.25">
      <c r="A162" t="s">
        <v>168</v>
      </c>
      <c r="B162">
        <v>21</v>
      </c>
      <c r="C162" t="s">
        <v>25</v>
      </c>
      <c r="D162" t="s">
        <v>6</v>
      </c>
      <c r="E162" t="s">
        <v>11</v>
      </c>
    </row>
    <row r="163" spans="1:5" x14ac:dyDescent="0.25">
      <c r="A163" t="s">
        <v>169</v>
      </c>
      <c r="B163">
        <v>20</v>
      </c>
      <c r="C163" t="s">
        <v>28</v>
      </c>
      <c r="D163" t="s">
        <v>6</v>
      </c>
      <c r="E163" t="s">
        <v>11</v>
      </c>
    </row>
    <row r="164" spans="1:5" x14ac:dyDescent="0.25">
      <c r="A164" t="s">
        <v>170</v>
      </c>
      <c r="B164">
        <v>20.399999999999999</v>
      </c>
      <c r="C164" t="s">
        <v>22</v>
      </c>
      <c r="D164" t="s">
        <v>6</v>
      </c>
      <c r="E164" t="s">
        <v>12</v>
      </c>
    </row>
    <row r="165" spans="1:5" x14ac:dyDescent="0.25">
      <c r="A165" t="s">
        <v>171</v>
      </c>
      <c r="B165">
        <v>22.1</v>
      </c>
      <c r="C165" t="s">
        <v>5</v>
      </c>
      <c r="D165" t="s">
        <v>5</v>
      </c>
      <c r="E165" t="s">
        <v>5</v>
      </c>
    </row>
    <row r="166" spans="1:5" x14ac:dyDescent="0.25">
      <c r="A166" t="s">
        <v>172</v>
      </c>
      <c r="B166">
        <v>24.5</v>
      </c>
      <c r="C166" t="s">
        <v>8</v>
      </c>
      <c r="D166" t="s">
        <v>7</v>
      </c>
      <c r="E166" t="s">
        <v>8</v>
      </c>
    </row>
    <row r="167" spans="1:5" x14ac:dyDescent="0.25">
      <c r="A167" t="s">
        <v>173</v>
      </c>
      <c r="B167">
        <v>26.8</v>
      </c>
      <c r="C167" t="s">
        <v>9</v>
      </c>
      <c r="D167" t="s">
        <v>7</v>
      </c>
      <c r="E167" t="s">
        <v>8</v>
      </c>
    </row>
    <row r="168" spans="1:5" x14ac:dyDescent="0.25">
      <c r="A168" t="s">
        <v>174</v>
      </c>
      <c r="B168">
        <v>28</v>
      </c>
      <c r="C168" t="s">
        <v>11</v>
      </c>
      <c r="D168" t="s">
        <v>7</v>
      </c>
      <c r="E168" t="s">
        <v>8</v>
      </c>
    </row>
    <row r="169" spans="1:5" x14ac:dyDescent="0.25">
      <c r="A169" t="s">
        <v>175</v>
      </c>
      <c r="B169">
        <v>27.7</v>
      </c>
      <c r="C169" t="s">
        <v>15</v>
      </c>
      <c r="D169" t="s">
        <v>7</v>
      </c>
      <c r="E169" t="s">
        <v>9</v>
      </c>
    </row>
    <row r="170" spans="1:5" x14ac:dyDescent="0.25">
      <c r="A170" t="s">
        <v>176</v>
      </c>
      <c r="B170">
        <v>25.6</v>
      </c>
      <c r="C170" t="s">
        <v>11</v>
      </c>
      <c r="D170" t="s">
        <v>7</v>
      </c>
      <c r="E170" t="s">
        <v>9</v>
      </c>
    </row>
    <row r="171" spans="1:5" x14ac:dyDescent="0.25">
      <c r="A171" t="s">
        <v>177</v>
      </c>
      <c r="B171">
        <v>22.3</v>
      </c>
      <c r="C171" t="s">
        <v>16</v>
      </c>
      <c r="D171" t="s">
        <v>7</v>
      </c>
      <c r="E171" t="s">
        <v>9</v>
      </c>
    </row>
    <row r="172" spans="1:5" x14ac:dyDescent="0.25">
      <c r="A172" t="s">
        <v>178</v>
      </c>
      <c r="B172">
        <v>18.399999999999999</v>
      </c>
      <c r="C172" t="s">
        <v>14</v>
      </c>
      <c r="D172" t="s">
        <v>7</v>
      </c>
      <c r="E172" t="s">
        <v>10</v>
      </c>
    </row>
    <row r="173" spans="1:5" x14ac:dyDescent="0.25">
      <c r="A173" t="s">
        <v>179</v>
      </c>
      <c r="B173">
        <v>14.9</v>
      </c>
      <c r="C173" t="s">
        <v>27</v>
      </c>
      <c r="D173" t="s">
        <v>7</v>
      </c>
      <c r="E173" t="s">
        <v>10</v>
      </c>
    </row>
    <row r="174" spans="1:5" x14ac:dyDescent="0.25">
      <c r="A174" t="s">
        <v>180</v>
      </c>
      <c r="B174">
        <v>12.5</v>
      </c>
      <c r="C174" t="s">
        <v>14</v>
      </c>
      <c r="D174" t="s">
        <v>7</v>
      </c>
      <c r="E174" t="s">
        <v>10</v>
      </c>
    </row>
    <row r="175" spans="1:5" x14ac:dyDescent="0.25">
      <c r="A175" t="s">
        <v>181</v>
      </c>
      <c r="B175">
        <v>11.7</v>
      </c>
      <c r="C175" t="s">
        <v>29</v>
      </c>
      <c r="D175" t="s">
        <v>7</v>
      </c>
      <c r="E175" t="s">
        <v>11</v>
      </c>
    </row>
    <row r="176" spans="1:5" x14ac:dyDescent="0.25">
      <c r="A176" t="s">
        <v>182</v>
      </c>
      <c r="B176">
        <v>12.3</v>
      </c>
      <c r="C176" t="s">
        <v>19</v>
      </c>
      <c r="D176" t="s">
        <v>7</v>
      </c>
      <c r="E176" t="s">
        <v>11</v>
      </c>
    </row>
    <row r="177" spans="1:5" x14ac:dyDescent="0.25">
      <c r="A177" t="s">
        <v>183</v>
      </c>
      <c r="B177">
        <v>13.7</v>
      </c>
      <c r="C177" t="s">
        <v>25</v>
      </c>
      <c r="D177" t="s">
        <v>7</v>
      </c>
      <c r="E177" t="s">
        <v>11</v>
      </c>
    </row>
    <row r="178" spans="1:5" x14ac:dyDescent="0.25">
      <c r="A178" t="s">
        <v>184</v>
      </c>
      <c r="B178">
        <v>15.2</v>
      </c>
      <c r="C178" t="s">
        <v>22</v>
      </c>
      <c r="D178" t="s">
        <v>7</v>
      </c>
      <c r="E178" t="s">
        <v>12</v>
      </c>
    </row>
    <row r="179" spans="1:5" x14ac:dyDescent="0.25">
      <c r="A179" t="s">
        <v>185</v>
      </c>
      <c r="B179">
        <v>15.9</v>
      </c>
      <c r="C179" t="s">
        <v>5</v>
      </c>
      <c r="D179" t="s">
        <v>5</v>
      </c>
      <c r="E179" t="s">
        <v>5</v>
      </c>
    </row>
    <row r="180" spans="1:5" x14ac:dyDescent="0.25">
      <c r="A180" t="s">
        <v>186</v>
      </c>
      <c r="B180">
        <v>15.1</v>
      </c>
      <c r="C180" t="s">
        <v>8</v>
      </c>
      <c r="D180" t="s">
        <v>6</v>
      </c>
      <c r="E180" t="s">
        <v>8</v>
      </c>
    </row>
    <row r="181" spans="1:5" x14ac:dyDescent="0.25">
      <c r="A181" t="s">
        <v>187</v>
      </c>
      <c r="B181">
        <v>12.9</v>
      </c>
      <c r="C181" t="s">
        <v>8</v>
      </c>
      <c r="D181" t="s">
        <v>6</v>
      </c>
      <c r="E181" t="s">
        <v>8</v>
      </c>
    </row>
    <row r="182" spans="1:5" x14ac:dyDescent="0.25">
      <c r="A182" t="s">
        <v>188</v>
      </c>
      <c r="B182">
        <v>9.6</v>
      </c>
      <c r="C182" t="s">
        <v>8</v>
      </c>
      <c r="D182" t="s">
        <v>6</v>
      </c>
      <c r="E182" t="s">
        <v>8</v>
      </c>
    </row>
    <row r="183" spans="1:5" x14ac:dyDescent="0.25">
      <c r="A183" t="s">
        <v>189</v>
      </c>
      <c r="B183">
        <v>5.9</v>
      </c>
      <c r="C183" t="s">
        <v>9</v>
      </c>
      <c r="D183" t="s">
        <v>6</v>
      </c>
      <c r="E183" t="s">
        <v>9</v>
      </c>
    </row>
    <row r="184" spans="1:5" x14ac:dyDescent="0.25">
      <c r="A184" t="s">
        <v>190</v>
      </c>
      <c r="B184">
        <v>2.8</v>
      </c>
      <c r="C184" t="s">
        <v>14</v>
      </c>
      <c r="D184" t="s">
        <v>6</v>
      </c>
      <c r="E184" t="s">
        <v>9</v>
      </c>
    </row>
    <row r="185" spans="1:5" x14ac:dyDescent="0.25">
      <c r="A185" t="s">
        <v>191</v>
      </c>
      <c r="B185">
        <v>1</v>
      </c>
      <c r="C185" t="s">
        <v>18</v>
      </c>
      <c r="D185" t="s">
        <v>6</v>
      </c>
      <c r="E185" t="s">
        <v>9</v>
      </c>
    </row>
    <row r="186" spans="1:5" x14ac:dyDescent="0.25">
      <c r="A186" t="s">
        <v>192</v>
      </c>
      <c r="B186">
        <v>0.9</v>
      </c>
      <c r="C186" t="s">
        <v>14</v>
      </c>
      <c r="D186" t="s">
        <v>6</v>
      </c>
      <c r="E186" t="s">
        <v>10</v>
      </c>
    </row>
    <row r="187" spans="1:5" x14ac:dyDescent="0.25">
      <c r="A187" t="s">
        <v>193</v>
      </c>
      <c r="B187">
        <v>2.5</v>
      </c>
      <c r="C187" t="s">
        <v>8</v>
      </c>
      <c r="D187" t="s">
        <v>6</v>
      </c>
      <c r="E187" t="s">
        <v>10</v>
      </c>
    </row>
    <row r="188" spans="1:5" x14ac:dyDescent="0.25">
      <c r="A188" t="s">
        <v>194</v>
      </c>
      <c r="B188">
        <v>5</v>
      </c>
      <c r="C188" t="s">
        <v>10</v>
      </c>
      <c r="D188" t="s">
        <v>6</v>
      </c>
      <c r="E188" t="s">
        <v>10</v>
      </c>
    </row>
    <row r="189" spans="1:5" x14ac:dyDescent="0.25">
      <c r="A189" t="s">
        <v>195</v>
      </c>
      <c r="B189">
        <v>7.7</v>
      </c>
      <c r="C189" t="s">
        <v>16</v>
      </c>
      <c r="D189" t="s">
        <v>6</v>
      </c>
      <c r="E189" t="s">
        <v>11</v>
      </c>
    </row>
    <row r="190" spans="1:5" x14ac:dyDescent="0.25">
      <c r="A190" t="s">
        <v>196</v>
      </c>
      <c r="B190">
        <v>9.6999999999999993</v>
      </c>
      <c r="C190" t="s">
        <v>14</v>
      </c>
      <c r="D190" t="s">
        <v>6</v>
      </c>
      <c r="E190" t="s">
        <v>11</v>
      </c>
    </row>
    <row r="191" spans="1:5" x14ac:dyDescent="0.25">
      <c r="A191" t="s">
        <v>197</v>
      </c>
      <c r="B191">
        <v>10.4</v>
      </c>
      <c r="C191" t="s">
        <v>10</v>
      </c>
      <c r="D191" t="s">
        <v>6</v>
      </c>
      <c r="E191" t="s">
        <v>11</v>
      </c>
    </row>
    <row r="192" spans="1:5" x14ac:dyDescent="0.25">
      <c r="A192" t="s">
        <v>198</v>
      </c>
      <c r="B192">
        <v>9.6999999999999993</v>
      </c>
      <c r="C192" t="s">
        <v>25</v>
      </c>
      <c r="D192" t="s">
        <v>6</v>
      </c>
      <c r="E192" t="s">
        <v>12</v>
      </c>
    </row>
    <row r="193" spans="1:5" x14ac:dyDescent="0.25">
      <c r="A193" t="s">
        <v>199</v>
      </c>
      <c r="B193">
        <v>8</v>
      </c>
      <c r="C193" t="s">
        <v>5</v>
      </c>
      <c r="D193" t="s">
        <v>5</v>
      </c>
      <c r="E193" t="s">
        <v>5</v>
      </c>
    </row>
    <row r="194" spans="1:5" x14ac:dyDescent="0.25">
      <c r="A194" t="s">
        <v>200</v>
      </c>
      <c r="B194">
        <v>5.9</v>
      </c>
      <c r="C194" t="s">
        <v>10</v>
      </c>
      <c r="D194" t="s">
        <v>7</v>
      </c>
      <c r="E194" t="s">
        <v>8</v>
      </c>
    </row>
    <row r="195" spans="1:5" x14ac:dyDescent="0.25">
      <c r="A195" t="s">
        <v>201</v>
      </c>
      <c r="B195">
        <v>4.4000000000000004</v>
      </c>
      <c r="C195" t="s">
        <v>11</v>
      </c>
      <c r="D195" t="s">
        <v>7</v>
      </c>
      <c r="E195" t="s">
        <v>8</v>
      </c>
    </row>
    <row r="196" spans="1:5" x14ac:dyDescent="0.25">
      <c r="A196" t="s">
        <v>202</v>
      </c>
      <c r="B196">
        <v>4.2</v>
      </c>
      <c r="C196" t="s">
        <v>14</v>
      </c>
      <c r="D196" t="s">
        <v>7</v>
      </c>
      <c r="E196" t="s">
        <v>8</v>
      </c>
    </row>
    <row r="197" spans="1:5" x14ac:dyDescent="0.25">
      <c r="A197" t="s">
        <v>203</v>
      </c>
      <c r="B197">
        <v>5.6</v>
      </c>
      <c r="C197" t="s">
        <v>15</v>
      </c>
      <c r="D197" t="s">
        <v>7</v>
      </c>
      <c r="E197" t="s">
        <v>9</v>
      </c>
    </row>
    <row r="198" spans="1:5" x14ac:dyDescent="0.25">
      <c r="A198" t="s">
        <v>204</v>
      </c>
      <c r="B198">
        <v>8.6</v>
      </c>
      <c r="C198" t="s">
        <v>21</v>
      </c>
      <c r="D198" t="s">
        <v>7</v>
      </c>
      <c r="E198" t="s">
        <v>9</v>
      </c>
    </row>
    <row r="199" spans="1:5" x14ac:dyDescent="0.25">
      <c r="A199" t="s">
        <v>205</v>
      </c>
      <c r="B199">
        <v>12.5</v>
      </c>
      <c r="C199" t="s">
        <v>18</v>
      </c>
      <c r="D199" t="s">
        <v>7</v>
      </c>
      <c r="E199" t="s">
        <v>9</v>
      </c>
    </row>
    <row r="200" spans="1:5" x14ac:dyDescent="0.25">
      <c r="A200" t="s">
        <v>206</v>
      </c>
      <c r="B200">
        <v>16.399999999999999</v>
      </c>
      <c r="C200" t="s">
        <v>19</v>
      </c>
      <c r="D200" t="s">
        <v>7</v>
      </c>
      <c r="E200" t="s">
        <v>10</v>
      </c>
    </row>
    <row r="201" spans="1:5" x14ac:dyDescent="0.25">
      <c r="A201" t="s">
        <v>207</v>
      </c>
      <c r="B201">
        <v>19.5</v>
      </c>
      <c r="C201" t="s">
        <v>21</v>
      </c>
      <c r="D201" t="s">
        <v>7</v>
      </c>
      <c r="E201" t="s">
        <v>10</v>
      </c>
    </row>
    <row r="202" spans="1:5" x14ac:dyDescent="0.25">
      <c r="A202" t="s">
        <v>208</v>
      </c>
      <c r="B202">
        <v>21.2</v>
      </c>
      <c r="C202" t="s">
        <v>8</v>
      </c>
      <c r="D202" t="s">
        <v>7</v>
      </c>
      <c r="E202" t="s">
        <v>10</v>
      </c>
    </row>
    <row r="203" spans="1:5" x14ac:dyDescent="0.25">
      <c r="A203" t="s">
        <v>209</v>
      </c>
      <c r="B203">
        <v>21.3</v>
      </c>
      <c r="C203" t="s">
        <v>17</v>
      </c>
      <c r="D203" t="s">
        <v>7</v>
      </c>
      <c r="E203" t="s">
        <v>11</v>
      </c>
    </row>
    <row r="204" spans="1:5" x14ac:dyDescent="0.25">
      <c r="A204" t="s">
        <v>210</v>
      </c>
      <c r="B204">
        <v>20.100000000000001</v>
      </c>
      <c r="C204" t="s">
        <v>14</v>
      </c>
      <c r="D204" t="s">
        <v>7</v>
      </c>
      <c r="E204" t="s">
        <v>11</v>
      </c>
    </row>
    <row r="205" spans="1:5" x14ac:dyDescent="0.25">
      <c r="A205" t="s">
        <v>211</v>
      </c>
      <c r="B205">
        <v>18.399999999999999</v>
      </c>
      <c r="C205" t="s">
        <v>10</v>
      </c>
      <c r="D205" t="s">
        <v>7</v>
      </c>
      <c r="E205" t="s">
        <v>11</v>
      </c>
    </row>
    <row r="206" spans="1:5" x14ac:dyDescent="0.25">
      <c r="A206" t="s">
        <v>212</v>
      </c>
      <c r="B206">
        <v>17.100000000000001</v>
      </c>
      <c r="C206" t="s">
        <v>20</v>
      </c>
      <c r="D206" t="s">
        <v>7</v>
      </c>
      <c r="E206" t="s">
        <v>12</v>
      </c>
    </row>
    <row r="207" spans="1:5" x14ac:dyDescent="0.25">
      <c r="A207" t="s">
        <v>213</v>
      </c>
      <c r="B207">
        <v>16.899999999999999</v>
      </c>
      <c r="C207" t="s">
        <v>26</v>
      </c>
      <c r="D207" t="s">
        <v>7</v>
      </c>
      <c r="E207" t="s">
        <v>12</v>
      </c>
    </row>
    <row r="208" spans="1:5" x14ac:dyDescent="0.25">
      <c r="A208" t="s">
        <v>214</v>
      </c>
      <c r="B208">
        <v>18.2</v>
      </c>
      <c r="C208" t="s">
        <v>24</v>
      </c>
      <c r="D208" t="s">
        <v>7</v>
      </c>
      <c r="E208" t="s">
        <v>12</v>
      </c>
    </row>
    <row r="209" spans="1:5" x14ac:dyDescent="0.25">
      <c r="A209" t="s">
        <v>215</v>
      </c>
      <c r="B209">
        <v>20.7</v>
      </c>
      <c r="C209" t="s">
        <v>27</v>
      </c>
      <c r="D209" t="s">
        <v>7</v>
      </c>
      <c r="E209" t="s">
        <v>12</v>
      </c>
    </row>
    <row r="210" spans="1:5" x14ac:dyDescent="0.25">
      <c r="A210" t="s">
        <v>216</v>
      </c>
      <c r="B210">
        <v>24</v>
      </c>
      <c r="C210" t="s">
        <v>23</v>
      </c>
      <c r="D210" t="s">
        <v>7</v>
      </c>
      <c r="E210" t="s">
        <v>12</v>
      </c>
    </row>
    <row r="211" spans="1:5" x14ac:dyDescent="0.25">
      <c r="A211" t="s">
        <v>217</v>
      </c>
      <c r="B211">
        <v>27.2</v>
      </c>
      <c r="C211" t="s">
        <v>34</v>
      </c>
      <c r="D211" t="s">
        <v>7</v>
      </c>
      <c r="E211" t="s">
        <v>12</v>
      </c>
    </row>
    <row r="212" spans="1:5" x14ac:dyDescent="0.25">
      <c r="A212" t="s">
        <v>218</v>
      </c>
      <c r="B212">
        <v>29.4</v>
      </c>
      <c r="C212" t="s">
        <v>5</v>
      </c>
      <c r="D212" t="s">
        <v>5</v>
      </c>
      <c r="E212" t="s">
        <v>5</v>
      </c>
    </row>
    <row r="213" spans="1:5" x14ac:dyDescent="0.25">
      <c r="A213" t="s">
        <v>219</v>
      </c>
      <c r="B213">
        <v>29.9</v>
      </c>
      <c r="C213" t="s">
        <v>9</v>
      </c>
      <c r="D213" t="s">
        <v>6</v>
      </c>
      <c r="E213" t="s">
        <v>8</v>
      </c>
    </row>
    <row r="214" spans="1:5" x14ac:dyDescent="0.25">
      <c r="A214" t="s">
        <v>220</v>
      </c>
      <c r="B214">
        <v>28.8</v>
      </c>
      <c r="C214" t="s">
        <v>11</v>
      </c>
      <c r="D214" t="s">
        <v>6</v>
      </c>
      <c r="E214" t="s">
        <v>8</v>
      </c>
    </row>
    <row r="215" spans="1:5" x14ac:dyDescent="0.25">
      <c r="A215" t="s">
        <v>221</v>
      </c>
      <c r="B215">
        <v>26.2</v>
      </c>
      <c r="C215" t="s">
        <v>9</v>
      </c>
      <c r="D215" t="s">
        <v>6</v>
      </c>
      <c r="E215" t="s">
        <v>8</v>
      </c>
    </row>
    <row r="216" spans="1:5" x14ac:dyDescent="0.25">
      <c r="A216" t="s">
        <v>222</v>
      </c>
      <c r="B216">
        <v>23.1</v>
      </c>
      <c r="C216" t="s">
        <v>17</v>
      </c>
      <c r="D216" t="s">
        <v>6</v>
      </c>
      <c r="E216" t="s">
        <v>8</v>
      </c>
    </row>
    <row r="217" spans="1:5" x14ac:dyDescent="0.25">
      <c r="A217" t="s">
        <v>223</v>
      </c>
      <c r="B217">
        <v>20.3</v>
      </c>
      <c r="C217" t="s">
        <v>8</v>
      </c>
      <c r="D217" t="s">
        <v>6</v>
      </c>
      <c r="E217" t="s">
        <v>9</v>
      </c>
    </row>
    <row r="218" spans="1:5" x14ac:dyDescent="0.25">
      <c r="A218" t="s">
        <v>224</v>
      </c>
      <c r="B218">
        <v>18.5</v>
      </c>
      <c r="C218" t="s">
        <v>16</v>
      </c>
      <c r="D218" t="s">
        <v>6</v>
      </c>
      <c r="E218" t="s">
        <v>9</v>
      </c>
    </row>
    <row r="219" spans="1:5" x14ac:dyDescent="0.25">
      <c r="A219" t="s">
        <v>225</v>
      </c>
      <c r="B219">
        <v>18.2</v>
      </c>
      <c r="C219" t="s">
        <v>13</v>
      </c>
      <c r="D219" t="s">
        <v>6</v>
      </c>
      <c r="E219" t="s">
        <v>10</v>
      </c>
    </row>
    <row r="220" spans="1:5" x14ac:dyDescent="0.25">
      <c r="A220" t="s">
        <v>226</v>
      </c>
      <c r="B220">
        <v>19.100000000000001</v>
      </c>
      <c r="C220" t="s">
        <v>13</v>
      </c>
      <c r="D220" t="s">
        <v>6</v>
      </c>
      <c r="E220" t="s">
        <v>10</v>
      </c>
    </row>
    <row r="221" spans="1:5" x14ac:dyDescent="0.25">
      <c r="A221" t="s">
        <v>227</v>
      </c>
      <c r="B221">
        <v>20.9</v>
      </c>
      <c r="C221" t="s">
        <v>8</v>
      </c>
      <c r="D221" t="s">
        <v>6</v>
      </c>
      <c r="E221" t="s">
        <v>10</v>
      </c>
    </row>
    <row r="222" spans="1:5" x14ac:dyDescent="0.25">
      <c r="A222" t="s">
        <v>228</v>
      </c>
      <c r="B222">
        <v>22.5</v>
      </c>
      <c r="C222" t="s">
        <v>11</v>
      </c>
      <c r="D222" t="s">
        <v>6</v>
      </c>
      <c r="E222" t="s">
        <v>11</v>
      </c>
    </row>
    <row r="223" spans="1:5" x14ac:dyDescent="0.25">
      <c r="A223" t="s">
        <v>229</v>
      </c>
      <c r="B223">
        <v>23.2</v>
      </c>
      <c r="C223" t="s">
        <v>21</v>
      </c>
      <c r="D223" t="s">
        <v>6</v>
      </c>
      <c r="E223" t="s">
        <v>11</v>
      </c>
    </row>
    <row r="224" spans="1:5" x14ac:dyDescent="0.25">
      <c r="A224" t="s">
        <v>230</v>
      </c>
      <c r="B224">
        <v>22.4</v>
      </c>
      <c r="C224" t="s">
        <v>16</v>
      </c>
      <c r="D224" t="s">
        <v>6</v>
      </c>
      <c r="E224" t="s">
        <v>11</v>
      </c>
    </row>
    <row r="225" spans="1:5" x14ac:dyDescent="0.25">
      <c r="A225" t="s">
        <v>231</v>
      </c>
      <c r="B225">
        <v>20</v>
      </c>
      <c r="C225" t="s">
        <v>26</v>
      </c>
      <c r="D225" t="s">
        <v>6</v>
      </c>
      <c r="E225" t="s">
        <v>12</v>
      </c>
    </row>
    <row r="226" spans="1:5" x14ac:dyDescent="0.25">
      <c r="A226" t="s">
        <v>232</v>
      </c>
      <c r="B226">
        <v>16.399999999999999</v>
      </c>
      <c r="C226" t="s">
        <v>31</v>
      </c>
      <c r="D226" t="s">
        <v>6</v>
      </c>
      <c r="E226" t="s">
        <v>12</v>
      </c>
    </row>
    <row r="227" spans="1:5" x14ac:dyDescent="0.25">
      <c r="A227" t="s">
        <v>233</v>
      </c>
      <c r="B227">
        <v>12.3</v>
      </c>
      <c r="C227" t="s">
        <v>5</v>
      </c>
      <c r="D227" t="s">
        <v>5</v>
      </c>
      <c r="E227" t="s">
        <v>5</v>
      </c>
    </row>
    <row r="228" spans="1:5" x14ac:dyDescent="0.25">
      <c r="A228" t="s">
        <v>234</v>
      </c>
      <c r="B228">
        <v>8.6999999999999993</v>
      </c>
      <c r="C228" t="s">
        <v>12</v>
      </c>
      <c r="D228" t="s">
        <v>7</v>
      </c>
      <c r="E228" t="s">
        <v>8</v>
      </c>
    </row>
    <row r="229" spans="1:5" x14ac:dyDescent="0.25">
      <c r="A229" t="s">
        <v>235</v>
      </c>
      <c r="B229">
        <v>6.4</v>
      </c>
      <c r="C229" t="s">
        <v>8</v>
      </c>
      <c r="D229" t="s">
        <v>7</v>
      </c>
      <c r="E229" t="s">
        <v>8</v>
      </c>
    </row>
    <row r="230" spans="1:5" x14ac:dyDescent="0.25">
      <c r="A230" t="s">
        <v>236</v>
      </c>
      <c r="B230">
        <v>5.6</v>
      </c>
      <c r="C230" t="s">
        <v>14</v>
      </c>
      <c r="D230" t="s">
        <v>7</v>
      </c>
      <c r="E230" t="s">
        <v>8</v>
      </c>
    </row>
    <row r="231" spans="1:5" x14ac:dyDescent="0.25">
      <c r="A231" t="s">
        <v>237</v>
      </c>
      <c r="B231">
        <v>6.4</v>
      </c>
      <c r="C231" t="s">
        <v>21</v>
      </c>
      <c r="D231" t="s">
        <v>7</v>
      </c>
      <c r="E231" t="s">
        <v>9</v>
      </c>
    </row>
    <row r="232" spans="1:5" x14ac:dyDescent="0.25">
      <c r="A232" t="s">
        <v>238</v>
      </c>
      <c r="B232">
        <v>8.1999999999999993</v>
      </c>
      <c r="C232" t="s">
        <v>10</v>
      </c>
      <c r="D232" t="s">
        <v>7</v>
      </c>
      <c r="E232" t="s">
        <v>9</v>
      </c>
    </row>
    <row r="233" spans="1:5" x14ac:dyDescent="0.25">
      <c r="A233" t="s">
        <v>239</v>
      </c>
      <c r="B233">
        <v>10</v>
      </c>
      <c r="C233" t="s">
        <v>21</v>
      </c>
      <c r="D233" t="s">
        <v>7</v>
      </c>
      <c r="E233" t="s">
        <v>9</v>
      </c>
    </row>
    <row r="234" spans="1:5" x14ac:dyDescent="0.25">
      <c r="A234" t="s">
        <v>240</v>
      </c>
      <c r="B234">
        <v>11.1</v>
      </c>
      <c r="C234" t="s">
        <v>24</v>
      </c>
      <c r="D234" t="s">
        <v>7</v>
      </c>
      <c r="E234" t="s">
        <v>10</v>
      </c>
    </row>
    <row r="235" spans="1:5" x14ac:dyDescent="0.25">
      <c r="A235" t="s">
        <v>241</v>
      </c>
      <c r="B235">
        <v>10.9</v>
      </c>
      <c r="C235" t="s">
        <v>26</v>
      </c>
      <c r="D235" t="s">
        <v>7</v>
      </c>
      <c r="E235" t="s">
        <v>10</v>
      </c>
    </row>
    <row r="236" spans="1:5" x14ac:dyDescent="0.25">
      <c r="A236" t="s">
        <v>242</v>
      </c>
      <c r="B236">
        <v>9.3000000000000007</v>
      </c>
      <c r="C236" t="s">
        <v>10</v>
      </c>
      <c r="D236" t="s">
        <v>7</v>
      </c>
      <c r="E236" t="s">
        <v>10</v>
      </c>
    </row>
    <row r="237" spans="1:5" x14ac:dyDescent="0.25">
      <c r="A237" t="s">
        <v>243</v>
      </c>
      <c r="B237">
        <v>6.6</v>
      </c>
      <c r="C237" t="s">
        <v>30</v>
      </c>
      <c r="D237" t="s">
        <v>7</v>
      </c>
      <c r="E237" t="s">
        <v>11</v>
      </c>
    </row>
    <row r="238" spans="1:5" x14ac:dyDescent="0.25">
      <c r="A238" t="s">
        <v>244</v>
      </c>
      <c r="B238">
        <v>3.6</v>
      </c>
      <c r="C238" t="s">
        <v>27</v>
      </c>
      <c r="D238" t="s">
        <v>7</v>
      </c>
      <c r="E238" t="s">
        <v>11</v>
      </c>
    </row>
    <row r="239" spans="1:5" x14ac:dyDescent="0.25">
      <c r="A239" t="s">
        <v>245</v>
      </c>
      <c r="B239">
        <v>1.2</v>
      </c>
      <c r="C239" t="s">
        <v>23</v>
      </c>
      <c r="D239" t="s">
        <v>7</v>
      </c>
      <c r="E239" t="s">
        <v>11</v>
      </c>
    </row>
    <row r="240" spans="1:5" x14ac:dyDescent="0.25">
      <c r="A240" t="s">
        <v>246</v>
      </c>
      <c r="B240">
        <v>0.2</v>
      </c>
      <c r="C240" t="s">
        <v>36</v>
      </c>
      <c r="D240" t="s">
        <v>7</v>
      </c>
      <c r="E240" t="s">
        <v>12</v>
      </c>
    </row>
    <row r="241" spans="1:5" x14ac:dyDescent="0.25">
      <c r="A241" t="s">
        <v>247</v>
      </c>
      <c r="B241">
        <v>0.9</v>
      </c>
      <c r="C241" t="s">
        <v>5</v>
      </c>
      <c r="D241" t="s">
        <v>5</v>
      </c>
      <c r="E241" t="s">
        <v>5</v>
      </c>
    </row>
    <row r="242" spans="1:5" x14ac:dyDescent="0.25">
      <c r="A242" t="s">
        <v>248</v>
      </c>
      <c r="B242">
        <v>3.2</v>
      </c>
      <c r="C242" t="s">
        <v>14</v>
      </c>
      <c r="D242" t="s">
        <v>7</v>
      </c>
      <c r="E242" t="s">
        <v>8</v>
      </c>
    </row>
    <row r="243" spans="1:5" x14ac:dyDescent="0.25">
      <c r="A243" t="s">
        <v>249</v>
      </c>
      <c r="B243">
        <v>6.6</v>
      </c>
      <c r="C243" t="s">
        <v>12</v>
      </c>
      <c r="D243" t="s">
        <v>7</v>
      </c>
      <c r="E243" t="s">
        <v>8</v>
      </c>
    </row>
    <row r="244" spans="1:5" x14ac:dyDescent="0.25">
      <c r="A244" t="s">
        <v>250</v>
      </c>
      <c r="B244">
        <v>10</v>
      </c>
      <c r="C244" t="s">
        <v>9</v>
      </c>
      <c r="D244" t="s">
        <v>7</v>
      </c>
      <c r="E244" t="s">
        <v>8</v>
      </c>
    </row>
    <row r="245" spans="1:5" x14ac:dyDescent="0.25">
      <c r="A245" t="s">
        <v>251</v>
      </c>
      <c r="B245">
        <v>12.7</v>
      </c>
      <c r="C245" t="s">
        <v>15</v>
      </c>
      <c r="D245" t="s">
        <v>7</v>
      </c>
      <c r="E245" t="s">
        <v>9</v>
      </c>
    </row>
    <row r="246" spans="1:5" x14ac:dyDescent="0.25">
      <c r="A246" t="s">
        <v>252</v>
      </c>
      <c r="B246">
        <v>14.1</v>
      </c>
      <c r="C246" t="s">
        <v>8</v>
      </c>
      <c r="D246" t="s">
        <v>7</v>
      </c>
      <c r="E246" t="s">
        <v>9</v>
      </c>
    </row>
    <row r="247" spans="1:5" x14ac:dyDescent="0.25">
      <c r="A247" t="s">
        <v>253</v>
      </c>
      <c r="B247">
        <v>14</v>
      </c>
      <c r="C247" t="s">
        <v>17</v>
      </c>
      <c r="D247" t="s">
        <v>7</v>
      </c>
      <c r="E247" t="s">
        <v>9</v>
      </c>
    </row>
    <row r="248" spans="1:5" x14ac:dyDescent="0.25">
      <c r="A248" t="s">
        <v>254</v>
      </c>
      <c r="B248">
        <v>12.7</v>
      </c>
      <c r="C248" t="s">
        <v>23</v>
      </c>
      <c r="D248" t="s">
        <v>7</v>
      </c>
      <c r="E248" t="s">
        <v>10</v>
      </c>
    </row>
    <row r="249" spans="1:5" x14ac:dyDescent="0.25">
      <c r="A249" t="s">
        <v>255</v>
      </c>
      <c r="B249">
        <v>11.1</v>
      </c>
      <c r="C249" t="s">
        <v>27</v>
      </c>
      <c r="D249" t="s">
        <v>7</v>
      </c>
      <c r="E249" t="s">
        <v>10</v>
      </c>
    </row>
    <row r="250" spans="1:5" x14ac:dyDescent="0.25">
      <c r="A250" t="s">
        <v>256</v>
      </c>
      <c r="B250">
        <v>10</v>
      </c>
      <c r="C250" t="s">
        <v>20</v>
      </c>
      <c r="D250" t="s">
        <v>7</v>
      </c>
      <c r="E250" t="s">
        <v>10</v>
      </c>
    </row>
    <row r="251" spans="1:5" x14ac:dyDescent="0.25">
      <c r="A251" t="s">
        <v>257</v>
      </c>
      <c r="B251">
        <v>10.1</v>
      </c>
      <c r="C251" t="s">
        <v>21</v>
      </c>
      <c r="D251" t="s">
        <v>7</v>
      </c>
      <c r="E251" t="s">
        <v>11</v>
      </c>
    </row>
    <row r="252" spans="1:5" x14ac:dyDescent="0.25">
      <c r="A252" t="s">
        <v>258</v>
      </c>
      <c r="B252">
        <v>11.7</v>
      </c>
      <c r="C252" t="s">
        <v>9</v>
      </c>
      <c r="D252" t="s">
        <v>7</v>
      </c>
      <c r="E252" t="s">
        <v>11</v>
      </c>
    </row>
    <row r="253" spans="1:5" x14ac:dyDescent="0.25">
      <c r="A253" t="s">
        <v>259</v>
      </c>
      <c r="B253">
        <v>14.8</v>
      </c>
      <c r="C253" t="s">
        <v>30</v>
      </c>
      <c r="D253" t="s">
        <v>7</v>
      </c>
      <c r="E253" t="s">
        <v>11</v>
      </c>
    </row>
    <row r="254" spans="1:5" x14ac:dyDescent="0.25">
      <c r="A254" t="s">
        <v>260</v>
      </c>
      <c r="B254">
        <v>18.7</v>
      </c>
      <c r="C254" t="s">
        <v>35</v>
      </c>
      <c r="D254" t="s">
        <v>7</v>
      </c>
      <c r="E254" t="s">
        <v>12</v>
      </c>
    </row>
    <row r="255" spans="1:5" x14ac:dyDescent="0.25">
      <c r="A255" t="s">
        <v>261</v>
      </c>
      <c r="B255">
        <v>22.5</v>
      </c>
      <c r="C255" t="s">
        <v>5</v>
      </c>
      <c r="D255" t="s">
        <v>5</v>
      </c>
      <c r="E255" t="s">
        <v>5</v>
      </c>
    </row>
    <row r="256" spans="1:5" x14ac:dyDescent="0.25">
      <c r="A256" t="s">
        <v>262</v>
      </c>
      <c r="B256">
        <v>25.4</v>
      </c>
      <c r="C256" t="s">
        <v>10</v>
      </c>
      <c r="D256" t="s">
        <v>6</v>
      </c>
      <c r="E256" t="s">
        <v>8</v>
      </c>
    </row>
    <row r="257" spans="1:5" x14ac:dyDescent="0.25">
      <c r="A257" t="s">
        <v>263</v>
      </c>
      <c r="B257">
        <v>26.8</v>
      </c>
      <c r="C257" t="s">
        <v>12</v>
      </c>
      <c r="D257" t="s">
        <v>6</v>
      </c>
      <c r="E257" t="s">
        <v>8</v>
      </c>
    </row>
    <row r="258" spans="1:5" x14ac:dyDescent="0.25">
      <c r="A258" t="s">
        <v>264</v>
      </c>
      <c r="B258">
        <v>26.5</v>
      </c>
      <c r="C258" t="s">
        <v>12</v>
      </c>
      <c r="D258" t="s">
        <v>6</v>
      </c>
      <c r="E258" t="s">
        <v>8</v>
      </c>
    </row>
    <row r="259" spans="1:5" x14ac:dyDescent="0.25">
      <c r="A259" t="s">
        <v>265</v>
      </c>
      <c r="B259">
        <v>24.9</v>
      </c>
      <c r="C259" t="s">
        <v>16</v>
      </c>
      <c r="D259" t="s">
        <v>6</v>
      </c>
      <c r="E259" t="s">
        <v>9</v>
      </c>
    </row>
    <row r="260" spans="1:5" x14ac:dyDescent="0.25">
      <c r="A260" t="s">
        <v>266</v>
      </c>
      <c r="B260">
        <v>22.6</v>
      </c>
      <c r="C260" t="s">
        <v>8</v>
      </c>
      <c r="D260" t="s">
        <v>6</v>
      </c>
      <c r="E260" t="s">
        <v>9</v>
      </c>
    </row>
    <row r="261" spans="1:5" x14ac:dyDescent="0.25">
      <c r="A261" t="s">
        <v>267</v>
      </c>
      <c r="B261">
        <v>20.7</v>
      </c>
      <c r="C261" t="s">
        <v>14</v>
      </c>
      <c r="D261" t="s">
        <v>6</v>
      </c>
      <c r="E261" t="s">
        <v>9</v>
      </c>
    </row>
    <row r="262" spans="1:5" x14ac:dyDescent="0.25">
      <c r="A262" t="s">
        <v>268</v>
      </c>
      <c r="B262">
        <v>19.899999999999999</v>
      </c>
      <c r="C262" t="s">
        <v>14</v>
      </c>
      <c r="D262" t="s">
        <v>6</v>
      </c>
      <c r="E262" t="s">
        <v>10</v>
      </c>
    </row>
    <row r="263" spans="1:5" x14ac:dyDescent="0.25">
      <c r="A263" t="s">
        <v>269</v>
      </c>
      <c r="B263">
        <v>20.399999999999999</v>
      </c>
      <c r="C263" t="s">
        <v>13</v>
      </c>
      <c r="D263" t="s">
        <v>6</v>
      </c>
      <c r="E263" t="s">
        <v>10</v>
      </c>
    </row>
    <row r="264" spans="1:5" x14ac:dyDescent="0.25">
      <c r="A264" t="s">
        <v>270</v>
      </c>
      <c r="B264">
        <v>22.3</v>
      </c>
      <c r="C264" t="s">
        <v>26</v>
      </c>
      <c r="D264" t="s">
        <v>6</v>
      </c>
      <c r="E264" t="s">
        <v>10</v>
      </c>
    </row>
    <row r="265" spans="1:5" x14ac:dyDescent="0.25">
      <c r="A265" t="s">
        <v>271</v>
      </c>
      <c r="B265">
        <v>24.8</v>
      </c>
      <c r="C265" t="s">
        <v>18</v>
      </c>
      <c r="D265" t="s">
        <v>6</v>
      </c>
      <c r="E265" t="s">
        <v>11</v>
      </c>
    </row>
    <row r="266" spans="1:5" x14ac:dyDescent="0.25">
      <c r="A266" t="s">
        <v>272</v>
      </c>
      <c r="B266">
        <v>27.2</v>
      </c>
      <c r="C266" t="s">
        <v>27</v>
      </c>
      <c r="D266" t="s">
        <v>6</v>
      </c>
      <c r="E266" t="s">
        <v>11</v>
      </c>
    </row>
    <row r="267" spans="1:5" x14ac:dyDescent="0.25">
      <c r="A267" t="s">
        <v>273</v>
      </c>
      <c r="B267">
        <v>28.6</v>
      </c>
      <c r="C267" t="s">
        <v>11</v>
      </c>
      <c r="D267" t="s">
        <v>6</v>
      </c>
      <c r="E267" t="s">
        <v>11</v>
      </c>
    </row>
    <row r="268" spans="1:5" x14ac:dyDescent="0.25">
      <c r="A268" t="s">
        <v>274</v>
      </c>
      <c r="B268">
        <v>28.4</v>
      </c>
      <c r="C268" t="s">
        <v>25</v>
      </c>
      <c r="D268" t="s">
        <v>6</v>
      </c>
      <c r="E268" t="s">
        <v>12</v>
      </c>
    </row>
    <row r="269" spans="1:5" x14ac:dyDescent="0.25">
      <c r="A269" t="s">
        <v>275</v>
      </c>
      <c r="B269">
        <v>26.5</v>
      </c>
      <c r="C269" t="s">
        <v>5</v>
      </c>
      <c r="D269" t="s">
        <v>5</v>
      </c>
      <c r="E269" t="s">
        <v>5</v>
      </c>
    </row>
    <row r="270" spans="1:5" x14ac:dyDescent="0.25">
      <c r="A270" t="s">
        <v>276</v>
      </c>
      <c r="B270">
        <v>23.3</v>
      </c>
      <c r="C270" t="s">
        <v>11</v>
      </c>
      <c r="D270" t="s">
        <v>6</v>
      </c>
      <c r="E270" t="s">
        <v>8</v>
      </c>
    </row>
    <row r="271" spans="1:5" x14ac:dyDescent="0.25">
      <c r="A271" t="s">
        <v>277</v>
      </c>
      <c r="B271">
        <v>19.5</v>
      </c>
      <c r="C271" t="s">
        <v>14</v>
      </c>
      <c r="D271" t="s">
        <v>6</v>
      </c>
      <c r="E271" t="s">
        <v>8</v>
      </c>
    </row>
    <row r="272" spans="1:5" x14ac:dyDescent="0.25">
      <c r="A272" t="s">
        <v>278</v>
      </c>
      <c r="B272">
        <v>16</v>
      </c>
      <c r="C272" t="s">
        <v>14</v>
      </c>
      <c r="D272" t="s">
        <v>6</v>
      </c>
      <c r="E272" t="s">
        <v>8</v>
      </c>
    </row>
    <row r="273" spans="1:5" x14ac:dyDescent="0.25">
      <c r="A273" t="s">
        <v>279</v>
      </c>
      <c r="B273">
        <v>13.7</v>
      </c>
      <c r="C273" t="s">
        <v>18</v>
      </c>
      <c r="D273" t="s">
        <v>6</v>
      </c>
      <c r="E273" t="s">
        <v>9</v>
      </c>
    </row>
    <row r="274" spans="1:5" x14ac:dyDescent="0.25">
      <c r="A274" t="s">
        <v>280</v>
      </c>
      <c r="B274">
        <v>12.9</v>
      </c>
      <c r="C274" t="s">
        <v>16</v>
      </c>
      <c r="D274" t="s">
        <v>6</v>
      </c>
      <c r="E274" t="s">
        <v>9</v>
      </c>
    </row>
    <row r="275" spans="1:5" x14ac:dyDescent="0.25">
      <c r="A275" t="s">
        <v>281</v>
      </c>
      <c r="B275">
        <v>13.5</v>
      </c>
      <c r="C275" t="s">
        <v>8</v>
      </c>
      <c r="D275" t="s">
        <v>6</v>
      </c>
      <c r="E275" t="s">
        <v>9</v>
      </c>
    </row>
    <row r="276" spans="1:5" x14ac:dyDescent="0.25">
      <c r="A276" t="s">
        <v>282</v>
      </c>
      <c r="B276">
        <v>15</v>
      </c>
      <c r="C276" t="s">
        <v>27</v>
      </c>
      <c r="D276" t="s">
        <v>6</v>
      </c>
      <c r="E276" t="s">
        <v>10</v>
      </c>
    </row>
    <row r="277" spans="1:5" x14ac:dyDescent="0.25">
      <c r="A277" t="s">
        <v>283</v>
      </c>
      <c r="B277">
        <v>16.399999999999999</v>
      </c>
      <c r="C277" t="s">
        <v>23</v>
      </c>
      <c r="D277" t="s">
        <v>6</v>
      </c>
      <c r="E277" t="s">
        <v>10</v>
      </c>
    </row>
    <row r="278" spans="1:5" x14ac:dyDescent="0.25">
      <c r="A278" t="s">
        <v>284</v>
      </c>
      <c r="B278">
        <v>17.100000000000001</v>
      </c>
      <c r="C278" t="s">
        <v>9</v>
      </c>
      <c r="D278" t="s">
        <v>6</v>
      </c>
      <c r="E278" t="s">
        <v>10</v>
      </c>
    </row>
    <row r="279" spans="1:5" x14ac:dyDescent="0.25">
      <c r="A279" t="s">
        <v>285</v>
      </c>
      <c r="B279">
        <v>16.3</v>
      </c>
      <c r="C279" t="s">
        <v>13</v>
      </c>
      <c r="D279" t="s">
        <v>6</v>
      </c>
      <c r="E279" t="s">
        <v>11</v>
      </c>
    </row>
    <row r="280" spans="1:5" x14ac:dyDescent="0.25">
      <c r="A280" t="s">
        <v>286</v>
      </c>
      <c r="B280">
        <v>14</v>
      </c>
      <c r="C280" t="s">
        <v>14</v>
      </c>
      <c r="D280" t="s">
        <v>6</v>
      </c>
      <c r="E280" t="s">
        <v>11</v>
      </c>
    </row>
    <row r="281" spans="1:5" x14ac:dyDescent="0.25">
      <c r="A281" t="s">
        <v>287</v>
      </c>
      <c r="B281">
        <v>10.5</v>
      </c>
      <c r="C281" t="s">
        <v>29</v>
      </c>
      <c r="D281" t="s">
        <v>6</v>
      </c>
      <c r="E281" t="s">
        <v>11</v>
      </c>
    </row>
    <row r="282" spans="1:5" x14ac:dyDescent="0.25">
      <c r="A282" t="s">
        <v>288</v>
      </c>
      <c r="B282">
        <v>6.7</v>
      </c>
      <c r="C282" t="s">
        <v>24</v>
      </c>
      <c r="D282" t="s">
        <v>6</v>
      </c>
      <c r="E282" t="s">
        <v>12</v>
      </c>
    </row>
    <row r="283" spans="1:5" x14ac:dyDescent="0.25">
      <c r="A283" t="s">
        <v>289</v>
      </c>
      <c r="B283">
        <v>3.5</v>
      </c>
      <c r="C283" t="s">
        <v>23</v>
      </c>
      <c r="D283" t="s">
        <v>6</v>
      </c>
      <c r="E283" t="s">
        <v>12</v>
      </c>
    </row>
    <row r="284" spans="1:5" x14ac:dyDescent="0.25">
      <c r="A284" t="s">
        <v>290</v>
      </c>
      <c r="B284">
        <v>1.6</v>
      </c>
      <c r="C284" t="s">
        <v>27</v>
      </c>
      <c r="D284" t="s">
        <v>6</v>
      </c>
      <c r="E284" t="s">
        <v>12</v>
      </c>
    </row>
    <row r="285" spans="1:5" x14ac:dyDescent="0.25">
      <c r="A285" t="s">
        <v>291</v>
      </c>
      <c r="B285">
        <v>1.4</v>
      </c>
      <c r="C285" t="s">
        <v>29</v>
      </c>
      <c r="D285" t="s">
        <v>6</v>
      </c>
      <c r="E285" t="s">
        <v>12</v>
      </c>
    </row>
    <row r="286" spans="1:5" x14ac:dyDescent="0.25">
      <c r="A286" t="s">
        <v>292</v>
      </c>
      <c r="B286">
        <v>2.8</v>
      </c>
      <c r="C286" t="s">
        <v>5</v>
      </c>
      <c r="D286" t="s">
        <v>5</v>
      </c>
      <c r="E286" t="s">
        <v>5</v>
      </c>
    </row>
    <row r="287" spans="1:5" x14ac:dyDescent="0.25">
      <c r="A287" t="s">
        <v>293</v>
      </c>
      <c r="B287">
        <v>5.2</v>
      </c>
      <c r="C287" t="s">
        <v>14</v>
      </c>
      <c r="D287" t="s">
        <v>7</v>
      </c>
      <c r="E287" t="s">
        <v>8</v>
      </c>
    </row>
    <row r="288" spans="1:5" x14ac:dyDescent="0.25">
      <c r="A288" t="s">
        <v>294</v>
      </c>
      <c r="B288">
        <v>7.7</v>
      </c>
      <c r="C288" t="s">
        <v>12</v>
      </c>
      <c r="D288" t="s">
        <v>7</v>
      </c>
      <c r="E288" t="s">
        <v>8</v>
      </c>
    </row>
    <row r="289" spans="1:5" x14ac:dyDescent="0.25">
      <c r="A289" t="s">
        <v>295</v>
      </c>
      <c r="B289">
        <v>9.6</v>
      </c>
      <c r="C289" t="s">
        <v>8</v>
      </c>
      <c r="D289" t="s">
        <v>7</v>
      </c>
      <c r="E289" t="s">
        <v>8</v>
      </c>
    </row>
    <row r="290" spans="1:5" x14ac:dyDescent="0.25">
      <c r="A290" t="s">
        <v>296</v>
      </c>
      <c r="B290">
        <v>10.1</v>
      </c>
      <c r="C290" t="s">
        <v>15</v>
      </c>
      <c r="D290" t="s">
        <v>7</v>
      </c>
      <c r="E290" t="s">
        <v>9</v>
      </c>
    </row>
    <row r="291" spans="1:5" x14ac:dyDescent="0.25">
      <c r="A291" t="s">
        <v>297</v>
      </c>
      <c r="B291">
        <v>9.3000000000000007</v>
      </c>
      <c r="C291" t="s">
        <v>10</v>
      </c>
      <c r="D291" t="s">
        <v>7</v>
      </c>
      <c r="E291" t="s">
        <v>9</v>
      </c>
    </row>
    <row r="292" spans="1:5" x14ac:dyDescent="0.25">
      <c r="A292" t="s">
        <v>298</v>
      </c>
      <c r="B292">
        <v>7.4</v>
      </c>
      <c r="C292" t="s">
        <v>12</v>
      </c>
      <c r="D292" t="s">
        <v>7</v>
      </c>
      <c r="E292" t="s">
        <v>9</v>
      </c>
    </row>
    <row r="293" spans="1:5" x14ac:dyDescent="0.25">
      <c r="A293" t="s">
        <v>299</v>
      </c>
      <c r="B293">
        <v>5.0999999999999996</v>
      </c>
      <c r="C293" t="s">
        <v>24</v>
      </c>
      <c r="D293" t="s">
        <v>7</v>
      </c>
      <c r="E293" t="s">
        <v>10</v>
      </c>
    </row>
    <row r="294" spans="1:5" x14ac:dyDescent="0.25">
      <c r="A294" t="s">
        <v>300</v>
      </c>
      <c r="B294">
        <v>3.5</v>
      </c>
      <c r="C294" t="s">
        <v>18</v>
      </c>
      <c r="D294" t="s">
        <v>7</v>
      </c>
      <c r="E294" t="s">
        <v>10</v>
      </c>
    </row>
    <row r="295" spans="1:5" x14ac:dyDescent="0.25">
      <c r="A295" t="s">
        <v>301</v>
      </c>
      <c r="B295">
        <v>3.2</v>
      </c>
      <c r="C295" t="s">
        <v>11</v>
      </c>
      <c r="D295" t="s">
        <v>7</v>
      </c>
      <c r="E295" t="s">
        <v>10</v>
      </c>
    </row>
    <row r="296" spans="1:5" x14ac:dyDescent="0.25">
      <c r="A296" t="s">
        <v>302</v>
      </c>
      <c r="B296">
        <v>4.5999999999999996</v>
      </c>
      <c r="C296" t="s">
        <v>31</v>
      </c>
      <c r="D296" t="s">
        <v>7</v>
      </c>
      <c r="E296" t="s">
        <v>11</v>
      </c>
    </row>
    <row r="297" spans="1:5" x14ac:dyDescent="0.25">
      <c r="A297" t="s">
        <v>303</v>
      </c>
      <c r="B297">
        <v>7.5</v>
      </c>
      <c r="C297" t="s">
        <v>30</v>
      </c>
      <c r="D297" t="s">
        <v>7</v>
      </c>
      <c r="E297" t="s">
        <v>11</v>
      </c>
    </row>
    <row r="298" spans="1:5" x14ac:dyDescent="0.25">
      <c r="A298" t="s">
        <v>304</v>
      </c>
      <c r="B298">
        <v>11.3</v>
      </c>
      <c r="C298" t="s">
        <v>15</v>
      </c>
      <c r="D298" t="s">
        <v>7</v>
      </c>
      <c r="E298" t="s">
        <v>12</v>
      </c>
    </row>
    <row r="299" spans="1:5" x14ac:dyDescent="0.25">
      <c r="A299" t="s">
        <v>305</v>
      </c>
      <c r="B299">
        <v>15.2</v>
      </c>
      <c r="C299" t="s">
        <v>22</v>
      </c>
      <c r="D299" t="s">
        <v>7</v>
      </c>
      <c r="E299" t="s">
        <v>12</v>
      </c>
    </row>
    <row r="300" spans="1:5" x14ac:dyDescent="0.25">
      <c r="A300" t="s">
        <v>306</v>
      </c>
      <c r="B300">
        <v>18.3</v>
      </c>
      <c r="C300" t="s">
        <v>5</v>
      </c>
      <c r="D300" t="s">
        <v>5</v>
      </c>
      <c r="E300" t="s">
        <v>5</v>
      </c>
    </row>
    <row r="301" spans="1:5" x14ac:dyDescent="0.25">
      <c r="A301" t="s">
        <v>307</v>
      </c>
      <c r="B301">
        <v>19.899999999999999</v>
      </c>
      <c r="C301" t="s">
        <v>12</v>
      </c>
      <c r="D301" t="s">
        <v>6</v>
      </c>
      <c r="E301" t="s">
        <v>8</v>
      </c>
    </row>
    <row r="302" spans="1:5" x14ac:dyDescent="0.25">
      <c r="A302" t="s">
        <v>308</v>
      </c>
      <c r="B302">
        <v>20</v>
      </c>
      <c r="C302" t="s">
        <v>11</v>
      </c>
      <c r="D302" t="s">
        <v>5</v>
      </c>
      <c r="E302" t="s">
        <v>5</v>
      </c>
    </row>
    <row r="303" spans="1:5" x14ac:dyDescent="0.25">
      <c r="A303" t="s">
        <v>309</v>
      </c>
      <c r="B303">
        <v>18.899999999999999</v>
      </c>
      <c r="C303" t="s">
        <v>12</v>
      </c>
      <c r="D303" t="s">
        <v>5</v>
      </c>
      <c r="E303" t="s">
        <v>5</v>
      </c>
    </row>
    <row r="304" spans="1:5" x14ac:dyDescent="0.25">
      <c r="A304" t="s">
        <v>310</v>
      </c>
      <c r="B304">
        <v>17.3</v>
      </c>
      <c r="C304" t="s">
        <v>9</v>
      </c>
      <c r="D304" t="s">
        <v>5</v>
      </c>
      <c r="E304" t="s">
        <v>5</v>
      </c>
    </row>
    <row r="305" spans="1:5" x14ac:dyDescent="0.25">
      <c r="A305" t="s">
        <v>311</v>
      </c>
      <c r="B305">
        <v>16</v>
      </c>
      <c r="C305" t="s">
        <v>16</v>
      </c>
      <c r="D305" t="s">
        <v>5</v>
      </c>
      <c r="E305" t="s">
        <v>5</v>
      </c>
    </row>
    <row r="306" spans="1:5" x14ac:dyDescent="0.25">
      <c r="A306" t="s">
        <v>312</v>
      </c>
      <c r="B306">
        <v>15.9</v>
      </c>
      <c r="C306" t="s">
        <v>11</v>
      </c>
      <c r="D306" t="s">
        <v>5</v>
      </c>
      <c r="E306" t="s">
        <v>5</v>
      </c>
    </row>
    <row r="307" spans="1:5" x14ac:dyDescent="0.25">
      <c r="A307" t="s">
        <v>313</v>
      </c>
      <c r="B307">
        <v>17.3</v>
      </c>
      <c r="C307" t="s">
        <v>24</v>
      </c>
      <c r="D307" t="s">
        <v>5</v>
      </c>
      <c r="E307" t="s">
        <v>5</v>
      </c>
    </row>
    <row r="308" spans="1:5" x14ac:dyDescent="0.25">
      <c r="A308" t="s">
        <v>314</v>
      </c>
      <c r="B308">
        <v>20</v>
      </c>
      <c r="C308" t="s">
        <v>19</v>
      </c>
      <c r="D308" t="s">
        <v>5</v>
      </c>
      <c r="E308" t="s">
        <v>5</v>
      </c>
    </row>
    <row r="309" spans="1:5" x14ac:dyDescent="0.25">
      <c r="A309" t="s">
        <v>315</v>
      </c>
      <c r="B309">
        <v>23.4</v>
      </c>
      <c r="C309" t="s">
        <v>18</v>
      </c>
      <c r="D309" t="s">
        <v>5</v>
      </c>
      <c r="E309" t="s">
        <v>5</v>
      </c>
    </row>
    <row r="310" spans="1:5" x14ac:dyDescent="0.25">
      <c r="A310" t="s">
        <v>316</v>
      </c>
      <c r="B310">
        <v>26.8</v>
      </c>
      <c r="C310" t="s">
        <v>14</v>
      </c>
      <c r="D310" t="s">
        <v>5</v>
      </c>
      <c r="E310" t="s">
        <v>5</v>
      </c>
    </row>
    <row r="311" spans="1:5" x14ac:dyDescent="0.25">
      <c r="A311" t="s">
        <v>317</v>
      </c>
      <c r="B311">
        <v>29.1</v>
      </c>
      <c r="C311" t="s">
        <v>26</v>
      </c>
      <c r="D311" t="s">
        <v>5</v>
      </c>
      <c r="E311" t="s">
        <v>5</v>
      </c>
    </row>
    <row r="312" spans="1:5" x14ac:dyDescent="0.25">
      <c r="A312" t="s">
        <v>318</v>
      </c>
      <c r="B312">
        <v>29.8</v>
      </c>
      <c r="C312" t="s">
        <v>9</v>
      </c>
      <c r="D312" t="s">
        <v>5</v>
      </c>
      <c r="E312" t="s">
        <v>5</v>
      </c>
    </row>
    <row r="313" spans="1:5" x14ac:dyDescent="0.25">
      <c r="A313" t="s">
        <v>319</v>
      </c>
      <c r="B313">
        <v>28.8</v>
      </c>
      <c r="C313" t="s">
        <v>32</v>
      </c>
      <c r="D313" t="s">
        <v>5</v>
      </c>
      <c r="E313" t="s">
        <v>5</v>
      </c>
    </row>
    <row r="314" spans="1:5" x14ac:dyDescent="0.25">
      <c r="A314" t="s">
        <v>320</v>
      </c>
      <c r="B314">
        <v>26.4</v>
      </c>
      <c r="C314" t="s">
        <v>5</v>
      </c>
      <c r="D314" t="s">
        <v>5</v>
      </c>
      <c r="E314" t="s">
        <v>5</v>
      </c>
    </row>
    <row r="315" spans="1:5" x14ac:dyDescent="0.25">
      <c r="A315" t="s">
        <v>321</v>
      </c>
      <c r="B315">
        <v>23.4</v>
      </c>
      <c r="C315" t="s">
        <v>10</v>
      </c>
      <c r="D315" t="s">
        <v>5</v>
      </c>
      <c r="E315" t="s">
        <v>5</v>
      </c>
    </row>
    <row r="316" spans="1:5" x14ac:dyDescent="0.25">
      <c r="A316" t="s">
        <v>322</v>
      </c>
      <c r="B316">
        <v>20.7</v>
      </c>
      <c r="C316" t="s">
        <v>11</v>
      </c>
      <c r="D316" t="s">
        <v>5</v>
      </c>
      <c r="E316" t="s">
        <v>5</v>
      </c>
    </row>
    <row r="317" spans="1:5" x14ac:dyDescent="0.25">
      <c r="A317" t="s">
        <v>323</v>
      </c>
      <c r="B317">
        <v>19.100000000000001</v>
      </c>
      <c r="C317" t="s">
        <v>14</v>
      </c>
      <c r="D317" t="s">
        <v>5</v>
      </c>
      <c r="E317" t="s">
        <v>5</v>
      </c>
    </row>
    <row r="318" spans="1:5" x14ac:dyDescent="0.25">
      <c r="A318" t="s">
        <v>324</v>
      </c>
      <c r="B318">
        <v>18.899999999999999</v>
      </c>
      <c r="C318" t="s">
        <v>14</v>
      </c>
      <c r="D318" t="s">
        <v>5</v>
      </c>
      <c r="E318" t="s">
        <v>5</v>
      </c>
    </row>
    <row r="319" spans="1:5" x14ac:dyDescent="0.25">
      <c r="A319" t="s">
        <v>325</v>
      </c>
      <c r="B319">
        <v>20</v>
      </c>
      <c r="C319" t="s">
        <v>12</v>
      </c>
      <c r="D319" t="s">
        <v>5</v>
      </c>
      <c r="E319" t="s">
        <v>5</v>
      </c>
    </row>
    <row r="320" spans="1:5" x14ac:dyDescent="0.25">
      <c r="A320" t="s">
        <v>326</v>
      </c>
      <c r="B320">
        <v>21.8</v>
      </c>
      <c r="C320" t="s">
        <v>11</v>
      </c>
      <c r="D320" t="s">
        <v>5</v>
      </c>
      <c r="E320" t="s">
        <v>5</v>
      </c>
    </row>
    <row r="321" spans="1:5" x14ac:dyDescent="0.25">
      <c r="A321" t="s">
        <v>327</v>
      </c>
      <c r="B321">
        <v>23.6</v>
      </c>
      <c r="C321" t="s">
        <v>16</v>
      </c>
      <c r="D321" t="s">
        <v>5</v>
      </c>
      <c r="E321" t="s">
        <v>5</v>
      </c>
    </row>
    <row r="322" spans="1:5" x14ac:dyDescent="0.25">
      <c r="A322" t="s">
        <v>328</v>
      </c>
      <c r="B322">
        <v>24.4</v>
      </c>
      <c r="C322" t="s">
        <v>21</v>
      </c>
      <c r="D322" t="s">
        <v>5</v>
      </c>
      <c r="E322" t="s">
        <v>5</v>
      </c>
    </row>
    <row r="323" spans="1:5" x14ac:dyDescent="0.25">
      <c r="A323" t="s">
        <v>329</v>
      </c>
      <c r="B323">
        <v>23.6</v>
      </c>
      <c r="C323" t="s">
        <v>12</v>
      </c>
      <c r="D323" t="s">
        <v>5</v>
      </c>
      <c r="E323" t="s">
        <v>5</v>
      </c>
    </row>
    <row r="324" spans="1:5" x14ac:dyDescent="0.25">
      <c r="A324" t="s">
        <v>330</v>
      </c>
      <c r="B324">
        <v>21.3</v>
      </c>
      <c r="C324" t="s">
        <v>10</v>
      </c>
      <c r="D324" t="s">
        <v>5</v>
      </c>
      <c r="E324" t="s">
        <v>5</v>
      </c>
    </row>
    <row r="325" spans="1:5" x14ac:dyDescent="0.25">
      <c r="A325" t="s">
        <v>331</v>
      </c>
      <c r="B325">
        <v>17.7</v>
      </c>
      <c r="C325" t="s">
        <v>30</v>
      </c>
      <c r="D325" t="s">
        <v>5</v>
      </c>
      <c r="E325" t="s">
        <v>5</v>
      </c>
    </row>
    <row r="326" spans="1:5" x14ac:dyDescent="0.25">
      <c r="A326" t="s">
        <v>332</v>
      </c>
      <c r="B326">
        <v>13.6</v>
      </c>
      <c r="C326" t="s">
        <v>27</v>
      </c>
      <c r="D326" t="s">
        <v>5</v>
      </c>
      <c r="E326" t="s">
        <v>5</v>
      </c>
    </row>
    <row r="327" spans="1:5" x14ac:dyDescent="0.25">
      <c r="A327" t="s">
        <v>333</v>
      </c>
      <c r="B327">
        <v>10</v>
      </c>
      <c r="C327" t="s">
        <v>23</v>
      </c>
      <c r="D327" t="s">
        <v>5</v>
      </c>
      <c r="E327" t="s">
        <v>5</v>
      </c>
    </row>
    <row r="328" spans="1:5" x14ac:dyDescent="0.25">
      <c r="A328" t="s">
        <v>334</v>
      </c>
      <c r="B328">
        <v>7.6</v>
      </c>
      <c r="C328" t="s">
        <v>35</v>
      </c>
      <c r="D328" t="s">
        <v>5</v>
      </c>
      <c r="E328" t="s">
        <v>5</v>
      </c>
    </row>
    <row r="329" spans="1:5" x14ac:dyDescent="0.25">
      <c r="A329" t="s">
        <v>335</v>
      </c>
      <c r="B329">
        <v>6.8</v>
      </c>
      <c r="C329" t="s">
        <v>5</v>
      </c>
      <c r="D329" t="s">
        <v>5</v>
      </c>
      <c r="E329" t="s">
        <v>5</v>
      </c>
    </row>
    <row r="330" spans="1:5" x14ac:dyDescent="0.25">
      <c r="A330" t="s">
        <v>336</v>
      </c>
      <c r="B330">
        <v>7.5</v>
      </c>
      <c r="C330" t="s">
        <v>9</v>
      </c>
      <c r="D330" t="s">
        <v>5</v>
      </c>
      <c r="E330" t="s">
        <v>5</v>
      </c>
    </row>
    <row r="331" spans="1:5" x14ac:dyDescent="0.25">
      <c r="A331" t="s">
        <v>337</v>
      </c>
      <c r="B331">
        <v>9.1</v>
      </c>
      <c r="C331" t="s">
        <v>9</v>
      </c>
      <c r="D331" t="s">
        <v>5</v>
      </c>
      <c r="E331" t="s">
        <v>5</v>
      </c>
    </row>
    <row r="332" spans="1:5" x14ac:dyDescent="0.25">
      <c r="A332" t="s">
        <v>338</v>
      </c>
      <c r="B332">
        <v>10.9</v>
      </c>
      <c r="C332" t="s">
        <v>14</v>
      </c>
      <c r="D332" t="s">
        <v>5</v>
      </c>
      <c r="E332" t="s">
        <v>5</v>
      </c>
    </row>
    <row r="333" spans="1:5" x14ac:dyDescent="0.25">
      <c r="A333" t="s">
        <v>339</v>
      </c>
      <c r="B333">
        <v>11.8</v>
      </c>
      <c r="C333" t="s">
        <v>17</v>
      </c>
      <c r="D333" t="s">
        <v>5</v>
      </c>
      <c r="E333" t="s">
        <v>5</v>
      </c>
    </row>
    <row r="334" spans="1:5" x14ac:dyDescent="0.25">
      <c r="A334" t="s">
        <v>340</v>
      </c>
      <c r="B334">
        <v>11.5</v>
      </c>
      <c r="C334" t="s">
        <v>18</v>
      </c>
      <c r="D334" t="s">
        <v>5</v>
      </c>
      <c r="E334" t="s">
        <v>5</v>
      </c>
    </row>
    <row r="335" spans="1:5" x14ac:dyDescent="0.25">
      <c r="A335" t="s">
        <v>341</v>
      </c>
      <c r="B335">
        <v>9.6999999999999993</v>
      </c>
      <c r="C335" t="s">
        <v>16</v>
      </c>
      <c r="D335" t="s">
        <v>5</v>
      </c>
      <c r="E335" t="s">
        <v>5</v>
      </c>
    </row>
    <row r="336" spans="1:5" x14ac:dyDescent="0.25">
      <c r="A336" t="s">
        <v>342</v>
      </c>
      <c r="B336">
        <v>6.9</v>
      </c>
      <c r="C336" t="s">
        <v>24</v>
      </c>
      <c r="D336" t="s">
        <v>5</v>
      </c>
      <c r="E336" t="s">
        <v>5</v>
      </c>
    </row>
    <row r="337" spans="1:5" x14ac:dyDescent="0.25">
      <c r="A337" t="s">
        <v>343</v>
      </c>
      <c r="B337">
        <v>3.8</v>
      </c>
      <c r="C337" t="s">
        <v>8</v>
      </c>
      <c r="D337" t="s">
        <v>5</v>
      </c>
      <c r="E337" t="s">
        <v>5</v>
      </c>
    </row>
    <row r="338" spans="1:5" x14ac:dyDescent="0.25">
      <c r="A338" t="s">
        <v>344</v>
      </c>
      <c r="B338">
        <v>1.2</v>
      </c>
      <c r="C338" t="s">
        <v>9</v>
      </c>
      <c r="D338" t="s">
        <v>5</v>
      </c>
      <c r="E338" t="s">
        <v>5</v>
      </c>
    </row>
    <row r="339" spans="1:5" x14ac:dyDescent="0.25">
      <c r="A339" t="s">
        <v>345</v>
      </c>
      <c r="B339">
        <v>0.1</v>
      </c>
      <c r="C339" t="s">
        <v>20</v>
      </c>
      <c r="D339" t="s">
        <v>5</v>
      </c>
      <c r="E339" t="s">
        <v>5</v>
      </c>
    </row>
    <row r="340" spans="1:5" x14ac:dyDescent="0.25">
      <c r="A340" t="s">
        <v>346</v>
      </c>
      <c r="B340">
        <v>0.6</v>
      </c>
      <c r="C340" t="s">
        <v>30</v>
      </c>
      <c r="D340" t="s">
        <v>5</v>
      </c>
      <c r="E340" t="s">
        <v>5</v>
      </c>
    </row>
    <row r="341" spans="1:5" x14ac:dyDescent="0.25">
      <c r="A341" t="s">
        <v>347</v>
      </c>
      <c r="B341">
        <v>2.8</v>
      </c>
      <c r="C341" t="s">
        <v>15</v>
      </c>
      <c r="D341" t="s">
        <v>5</v>
      </c>
      <c r="E341" t="s">
        <v>5</v>
      </c>
    </row>
    <row r="342" spans="1:5" x14ac:dyDescent="0.25">
      <c r="A342" t="s">
        <v>348</v>
      </c>
      <c r="B342">
        <v>6</v>
      </c>
      <c r="C342" t="s">
        <v>34</v>
      </c>
      <c r="D342" t="s">
        <v>5</v>
      </c>
      <c r="E342" t="s">
        <v>5</v>
      </c>
    </row>
    <row r="343" spans="1:5" x14ac:dyDescent="0.25">
      <c r="A343" t="s">
        <v>349</v>
      </c>
      <c r="B343">
        <v>9.3000000000000007</v>
      </c>
      <c r="C343" t="s">
        <v>5</v>
      </c>
      <c r="D343" t="s">
        <v>5</v>
      </c>
      <c r="E343" t="s">
        <v>5</v>
      </c>
    </row>
    <row r="344" spans="1:5" x14ac:dyDescent="0.25">
      <c r="A344" t="s">
        <v>350</v>
      </c>
      <c r="B344">
        <v>11.8</v>
      </c>
      <c r="C344" t="s">
        <v>8</v>
      </c>
      <c r="D344" t="s">
        <v>5</v>
      </c>
      <c r="E344" t="s">
        <v>5</v>
      </c>
    </row>
    <row r="345" spans="1:5" x14ac:dyDescent="0.25">
      <c r="A345" t="s">
        <v>351</v>
      </c>
      <c r="B345">
        <v>13.1</v>
      </c>
      <c r="C345" t="s">
        <v>11</v>
      </c>
      <c r="D345" t="s">
        <v>5</v>
      </c>
      <c r="E345" t="s">
        <v>5</v>
      </c>
    </row>
    <row r="346" spans="1:5" x14ac:dyDescent="0.25">
      <c r="A346" t="s">
        <v>352</v>
      </c>
      <c r="B346">
        <v>12.9</v>
      </c>
      <c r="C346" t="s">
        <v>8</v>
      </c>
      <c r="D346" t="s">
        <v>5</v>
      </c>
      <c r="E346" t="s">
        <v>5</v>
      </c>
    </row>
    <row r="347" spans="1:5" x14ac:dyDescent="0.25">
      <c r="A347" t="s">
        <v>353</v>
      </c>
      <c r="B347">
        <v>11.6</v>
      </c>
      <c r="C347" t="s">
        <v>9</v>
      </c>
      <c r="D347" t="s">
        <v>5</v>
      </c>
      <c r="E347" t="s">
        <v>5</v>
      </c>
    </row>
    <row r="348" spans="1:5" x14ac:dyDescent="0.25">
      <c r="A348" t="s">
        <v>354</v>
      </c>
      <c r="B348">
        <v>9.9</v>
      </c>
      <c r="C348" t="s">
        <v>10</v>
      </c>
      <c r="D348" t="s">
        <v>5</v>
      </c>
      <c r="E348" t="s">
        <v>5</v>
      </c>
    </row>
    <row r="349" spans="1:5" x14ac:dyDescent="0.25">
      <c r="A349" t="s">
        <v>355</v>
      </c>
      <c r="B349">
        <v>8.6999999999999993</v>
      </c>
      <c r="C349" t="s">
        <v>15</v>
      </c>
      <c r="D349" t="s">
        <v>5</v>
      </c>
      <c r="E349" t="s">
        <v>5</v>
      </c>
    </row>
    <row r="350" spans="1:5" x14ac:dyDescent="0.25">
      <c r="A350" t="s">
        <v>356</v>
      </c>
      <c r="B350">
        <v>8.8000000000000007</v>
      </c>
      <c r="C350" t="s">
        <v>27</v>
      </c>
      <c r="D350" t="s">
        <v>5</v>
      </c>
      <c r="E350" t="s">
        <v>5</v>
      </c>
    </row>
    <row r="351" spans="1:5" x14ac:dyDescent="0.25">
      <c r="A351" t="s">
        <v>357</v>
      </c>
      <c r="B351">
        <v>10.5</v>
      </c>
      <c r="C351" t="s">
        <v>20</v>
      </c>
      <c r="D351" t="s">
        <v>5</v>
      </c>
      <c r="E351" t="s">
        <v>5</v>
      </c>
    </row>
    <row r="352" spans="1:5" x14ac:dyDescent="0.25">
      <c r="A352" t="s">
        <v>358</v>
      </c>
      <c r="B352">
        <v>13.5</v>
      </c>
      <c r="C352" t="s">
        <v>8</v>
      </c>
      <c r="D352" t="s">
        <v>5</v>
      </c>
      <c r="E352" t="s">
        <v>5</v>
      </c>
    </row>
    <row r="353" spans="1:5" x14ac:dyDescent="0.25">
      <c r="A353" t="s">
        <v>359</v>
      </c>
      <c r="B353">
        <v>17.5</v>
      </c>
      <c r="C353" t="s">
        <v>25</v>
      </c>
      <c r="D353" t="s">
        <v>5</v>
      </c>
      <c r="E353" t="s">
        <v>5</v>
      </c>
    </row>
    <row r="354" spans="1:5" x14ac:dyDescent="0.25">
      <c r="A354" t="s">
        <v>360</v>
      </c>
      <c r="B354">
        <v>21.4</v>
      </c>
      <c r="C354" t="s">
        <v>11</v>
      </c>
      <c r="D354" t="s">
        <v>5</v>
      </c>
      <c r="E354" t="s">
        <v>5</v>
      </c>
    </row>
    <row r="355" spans="1:5" x14ac:dyDescent="0.25">
      <c r="A355" t="s">
        <v>361</v>
      </c>
      <c r="B355">
        <v>24.4</v>
      </c>
      <c r="C355" t="s">
        <v>11</v>
      </c>
      <c r="D355" t="s">
        <v>5</v>
      </c>
      <c r="E355" t="s">
        <v>5</v>
      </c>
    </row>
    <row r="356" spans="1:5" x14ac:dyDescent="0.25">
      <c r="A356" t="s">
        <v>362</v>
      </c>
      <c r="B356">
        <v>25.8</v>
      </c>
      <c r="C356" t="s">
        <v>17</v>
      </c>
      <c r="D356" t="s">
        <v>5</v>
      </c>
      <c r="E356" t="s">
        <v>5</v>
      </c>
    </row>
    <row r="357" spans="1:5" x14ac:dyDescent="0.25">
      <c r="A357" t="s">
        <v>363</v>
      </c>
      <c r="B357">
        <v>25.6</v>
      </c>
      <c r="C357" t="s">
        <v>32</v>
      </c>
      <c r="D357" t="s">
        <v>5</v>
      </c>
      <c r="E357" t="s">
        <v>5</v>
      </c>
    </row>
    <row r="358" spans="1:5" x14ac:dyDescent="0.25">
      <c r="A358" t="s">
        <v>364</v>
      </c>
      <c r="B358">
        <v>24.1</v>
      </c>
      <c r="C358" t="s">
        <v>5</v>
      </c>
      <c r="D358" t="s">
        <v>5</v>
      </c>
      <c r="E358" t="s">
        <v>5</v>
      </c>
    </row>
    <row r="359" spans="1:5" x14ac:dyDescent="0.25">
      <c r="A359" t="s">
        <v>365</v>
      </c>
      <c r="B359">
        <v>22</v>
      </c>
      <c r="C359" t="s">
        <v>11</v>
      </c>
      <c r="D359" t="s">
        <v>5</v>
      </c>
      <c r="E359" t="s">
        <v>5</v>
      </c>
    </row>
    <row r="360" spans="1:5" x14ac:dyDescent="0.25">
      <c r="A360" t="s">
        <v>366</v>
      </c>
      <c r="B360">
        <v>20.3</v>
      </c>
      <c r="C360" t="s">
        <v>11</v>
      </c>
      <c r="D360" t="s">
        <v>5</v>
      </c>
      <c r="E360" t="s">
        <v>5</v>
      </c>
    </row>
    <row r="361" spans="1:5" x14ac:dyDescent="0.25">
      <c r="A361" t="s">
        <v>367</v>
      </c>
      <c r="B361">
        <v>19.600000000000001</v>
      </c>
      <c r="C361" t="s">
        <v>8</v>
      </c>
      <c r="D361" t="s">
        <v>5</v>
      </c>
      <c r="E361" t="s">
        <v>5</v>
      </c>
    </row>
    <row r="362" spans="1:5" x14ac:dyDescent="0.25">
      <c r="A362" t="s">
        <v>368</v>
      </c>
      <c r="B362">
        <v>20.3</v>
      </c>
      <c r="C362" t="s">
        <v>17</v>
      </c>
      <c r="D362" t="s">
        <v>5</v>
      </c>
      <c r="E362" t="s">
        <v>5</v>
      </c>
    </row>
    <row r="363" spans="1:5" x14ac:dyDescent="0.25">
      <c r="A363" t="s">
        <v>369</v>
      </c>
      <c r="B363">
        <v>22.3</v>
      </c>
      <c r="C363" t="s">
        <v>21</v>
      </c>
      <c r="D363" t="s">
        <v>5</v>
      </c>
      <c r="E363" t="s">
        <v>5</v>
      </c>
    </row>
    <row r="364" spans="1:5" x14ac:dyDescent="0.25">
      <c r="A364" t="s">
        <v>370</v>
      </c>
      <c r="B364">
        <v>25</v>
      </c>
      <c r="C364" t="s">
        <v>9</v>
      </c>
      <c r="D364" t="s">
        <v>5</v>
      </c>
      <c r="E364" t="s">
        <v>5</v>
      </c>
    </row>
    <row r="365" spans="1:5" x14ac:dyDescent="0.25">
      <c r="A365" t="s">
        <v>371</v>
      </c>
      <c r="B365">
        <v>27.5</v>
      </c>
      <c r="C365" t="s">
        <v>11</v>
      </c>
      <c r="D365" t="s">
        <v>5</v>
      </c>
      <c r="E365" t="s">
        <v>5</v>
      </c>
    </row>
    <row r="366" spans="1:5" x14ac:dyDescent="0.25">
      <c r="A366" t="s">
        <v>372</v>
      </c>
      <c r="B366">
        <v>29.1</v>
      </c>
      <c r="C366" t="s">
        <v>27</v>
      </c>
      <c r="D366" t="s">
        <v>5</v>
      </c>
      <c r="E366" t="s">
        <v>5</v>
      </c>
    </row>
    <row r="367" spans="1:5" x14ac:dyDescent="0.25">
      <c r="A367" t="s">
        <v>373</v>
      </c>
      <c r="B367">
        <v>29</v>
      </c>
      <c r="C367" t="s">
        <v>9</v>
      </c>
      <c r="D367" t="s">
        <v>5</v>
      </c>
      <c r="E367" t="s">
        <v>5</v>
      </c>
    </row>
    <row r="368" spans="1:5" x14ac:dyDescent="0.25">
      <c r="A368" t="s">
        <v>374</v>
      </c>
      <c r="B368">
        <v>27.2</v>
      </c>
      <c r="C368" t="s">
        <v>28</v>
      </c>
      <c r="D368" t="s">
        <v>5</v>
      </c>
      <c r="E368" t="s">
        <v>5</v>
      </c>
    </row>
    <row r="369" spans="1:5" x14ac:dyDescent="0.25">
      <c r="A369" t="s">
        <v>375</v>
      </c>
      <c r="B369">
        <v>24.1</v>
      </c>
      <c r="C369" t="s">
        <v>26</v>
      </c>
      <c r="D369" t="s">
        <v>5</v>
      </c>
      <c r="E369" t="s">
        <v>5</v>
      </c>
    </row>
    <row r="370" spans="1:5" x14ac:dyDescent="0.25">
      <c r="A370" t="s">
        <v>376</v>
      </c>
      <c r="B370">
        <v>20.399999999999999</v>
      </c>
      <c r="C370" t="s">
        <v>31</v>
      </c>
      <c r="D370" t="s">
        <v>5</v>
      </c>
      <c r="E370" t="s">
        <v>5</v>
      </c>
    </row>
    <row r="371" spans="1:5" x14ac:dyDescent="0.25">
      <c r="A371" t="s">
        <v>377</v>
      </c>
      <c r="B371">
        <v>17.100000000000001</v>
      </c>
      <c r="C371" t="s">
        <v>31</v>
      </c>
      <c r="D371" t="s">
        <v>5</v>
      </c>
      <c r="E371" t="s">
        <v>5</v>
      </c>
    </row>
    <row r="372" spans="1:5" x14ac:dyDescent="0.25">
      <c r="A372" t="s">
        <v>378</v>
      </c>
      <c r="B372">
        <v>14.9</v>
      </c>
      <c r="C372" t="s">
        <v>5</v>
      </c>
      <c r="D372" t="s">
        <v>5</v>
      </c>
      <c r="E372" t="s">
        <v>5</v>
      </c>
    </row>
    <row r="373" spans="1:5" x14ac:dyDescent="0.25">
      <c r="A373" t="s">
        <v>379</v>
      </c>
      <c r="B373">
        <v>14.1</v>
      </c>
      <c r="C373" t="s">
        <v>10</v>
      </c>
      <c r="D373" t="s">
        <v>5</v>
      </c>
      <c r="E373" t="s">
        <v>5</v>
      </c>
    </row>
    <row r="374" spans="1:5" x14ac:dyDescent="0.25">
      <c r="A374" t="s">
        <v>380</v>
      </c>
      <c r="B374">
        <v>14.8</v>
      </c>
      <c r="C374" t="s">
        <v>14</v>
      </c>
      <c r="D374" t="s">
        <v>5</v>
      </c>
      <c r="E374" t="s">
        <v>5</v>
      </c>
    </row>
    <row r="375" spans="1:5" x14ac:dyDescent="0.25">
      <c r="A375" t="s">
        <v>381</v>
      </c>
      <c r="B375">
        <v>16.3</v>
      </c>
      <c r="C375" t="s">
        <v>14</v>
      </c>
      <c r="D375" t="s">
        <v>5</v>
      </c>
      <c r="E375" t="s">
        <v>5</v>
      </c>
    </row>
    <row r="376" spans="1:5" x14ac:dyDescent="0.25">
      <c r="A376" t="s">
        <v>382</v>
      </c>
      <c r="B376">
        <v>17.7</v>
      </c>
      <c r="C376" t="s">
        <v>15</v>
      </c>
      <c r="D376" t="s">
        <v>5</v>
      </c>
      <c r="E376" t="s">
        <v>5</v>
      </c>
    </row>
    <row r="377" spans="1:5" x14ac:dyDescent="0.25">
      <c r="A377" t="s">
        <v>383</v>
      </c>
      <c r="B377">
        <v>18.3</v>
      </c>
      <c r="C377" t="s">
        <v>10</v>
      </c>
      <c r="D377" t="s">
        <v>5</v>
      </c>
      <c r="E377" t="s">
        <v>5</v>
      </c>
    </row>
    <row r="378" spans="1:5" x14ac:dyDescent="0.25">
      <c r="A378" t="s">
        <v>384</v>
      </c>
      <c r="B378">
        <v>17.5</v>
      </c>
      <c r="C378" t="s">
        <v>14</v>
      </c>
      <c r="D378" t="s">
        <v>5</v>
      </c>
      <c r="E378" t="s">
        <v>5</v>
      </c>
    </row>
    <row r="379" spans="1:5" x14ac:dyDescent="0.25">
      <c r="A379" t="s">
        <v>385</v>
      </c>
      <c r="B379">
        <v>15.1</v>
      </c>
      <c r="C379" t="s">
        <v>16</v>
      </c>
      <c r="D379" t="s">
        <v>5</v>
      </c>
      <c r="E379" t="s">
        <v>5</v>
      </c>
    </row>
    <row r="380" spans="1:5" x14ac:dyDescent="0.25">
      <c r="A380" t="s">
        <v>386</v>
      </c>
      <c r="B380">
        <v>11.6</v>
      </c>
      <c r="C380" t="s">
        <v>17</v>
      </c>
      <c r="D380" t="s">
        <v>5</v>
      </c>
      <c r="E380" t="s">
        <v>5</v>
      </c>
    </row>
    <row r="381" spans="1:5" x14ac:dyDescent="0.25">
      <c r="A381" t="s">
        <v>387</v>
      </c>
      <c r="B381">
        <v>7.7</v>
      </c>
      <c r="C381" t="s">
        <v>13</v>
      </c>
      <c r="D381" t="s">
        <v>5</v>
      </c>
      <c r="E381" t="s">
        <v>5</v>
      </c>
    </row>
    <row r="382" spans="1:5" x14ac:dyDescent="0.25">
      <c r="A382" t="s">
        <v>388</v>
      </c>
      <c r="B382">
        <v>4.4000000000000004</v>
      </c>
      <c r="C382" t="s">
        <v>30</v>
      </c>
      <c r="D382" t="s">
        <v>5</v>
      </c>
      <c r="E382" t="s">
        <v>5</v>
      </c>
    </row>
    <row r="383" spans="1:5" x14ac:dyDescent="0.25">
      <c r="A383" t="s">
        <v>389</v>
      </c>
      <c r="B383">
        <v>2.2999999999999998</v>
      </c>
      <c r="C383" t="s">
        <v>25</v>
      </c>
      <c r="D383" t="s">
        <v>5</v>
      </c>
      <c r="E383" t="s">
        <v>5</v>
      </c>
    </row>
    <row r="384" spans="1:5" x14ac:dyDescent="0.25">
      <c r="A384" t="s">
        <v>390</v>
      </c>
      <c r="B384">
        <v>2</v>
      </c>
      <c r="C384" t="s">
        <v>25</v>
      </c>
      <c r="D384" t="s">
        <v>5</v>
      </c>
      <c r="E384" t="s">
        <v>5</v>
      </c>
    </row>
    <row r="385" spans="1:5" x14ac:dyDescent="0.25">
      <c r="A385" t="s">
        <v>391</v>
      </c>
      <c r="B385">
        <v>3.2</v>
      </c>
      <c r="C385" t="s">
        <v>36</v>
      </c>
      <c r="D385" t="s">
        <v>5</v>
      </c>
      <c r="E385" t="s">
        <v>5</v>
      </c>
    </row>
    <row r="386" spans="1:5" x14ac:dyDescent="0.25">
      <c r="A386" t="s">
        <v>392</v>
      </c>
      <c r="B386">
        <v>5.5</v>
      </c>
      <c r="C386" t="s">
        <v>5</v>
      </c>
      <c r="D386" t="s">
        <v>5</v>
      </c>
      <c r="E386" t="s">
        <v>5</v>
      </c>
    </row>
    <row r="387" spans="1:5" x14ac:dyDescent="0.25">
      <c r="A387" t="s">
        <v>393</v>
      </c>
      <c r="B387">
        <v>7.9</v>
      </c>
      <c r="C387" t="s">
        <v>8</v>
      </c>
      <c r="D387" t="s">
        <v>5</v>
      </c>
      <c r="E387" t="s">
        <v>5</v>
      </c>
    </row>
    <row r="388" spans="1:5" x14ac:dyDescent="0.25">
      <c r="A388" t="s">
        <v>394</v>
      </c>
      <c r="B388">
        <v>9.6</v>
      </c>
      <c r="C388" t="s">
        <v>9</v>
      </c>
      <c r="D388" t="s">
        <v>5</v>
      </c>
      <c r="E388" t="s">
        <v>5</v>
      </c>
    </row>
    <row r="389" spans="1:5" x14ac:dyDescent="0.25">
      <c r="A389" t="s">
        <v>395</v>
      </c>
      <c r="B389">
        <v>10</v>
      </c>
      <c r="C389" t="s">
        <v>10</v>
      </c>
      <c r="D389" t="s">
        <v>5</v>
      </c>
      <c r="E389" t="s">
        <v>5</v>
      </c>
    </row>
    <row r="390" spans="1:5" x14ac:dyDescent="0.25">
      <c r="A390" t="s">
        <v>396</v>
      </c>
      <c r="B390">
        <v>9</v>
      </c>
      <c r="C390" t="s">
        <v>9</v>
      </c>
      <c r="D390" t="s">
        <v>5</v>
      </c>
      <c r="E390" t="s">
        <v>5</v>
      </c>
    </row>
    <row r="391" spans="1:5" x14ac:dyDescent="0.25">
      <c r="A391" t="s">
        <v>397</v>
      </c>
      <c r="B391">
        <v>6.9</v>
      </c>
      <c r="C391" t="s">
        <v>13</v>
      </c>
      <c r="D391" t="s">
        <v>5</v>
      </c>
      <c r="E391" t="s">
        <v>5</v>
      </c>
    </row>
    <row r="392" spans="1:5" x14ac:dyDescent="0.25">
      <c r="A392" t="s">
        <v>398</v>
      </c>
      <c r="B392">
        <v>4.5</v>
      </c>
      <c r="C392" t="s">
        <v>10</v>
      </c>
      <c r="D392" t="s">
        <v>5</v>
      </c>
      <c r="E392" t="s">
        <v>5</v>
      </c>
    </row>
    <row r="393" spans="1:5" x14ac:dyDescent="0.25">
      <c r="A393" t="s">
        <v>399</v>
      </c>
      <c r="B393">
        <v>2.8</v>
      </c>
      <c r="C393" t="s">
        <v>17</v>
      </c>
      <c r="D393" t="s">
        <v>5</v>
      </c>
      <c r="E393" t="s">
        <v>5</v>
      </c>
    </row>
    <row r="394" spans="1:5" x14ac:dyDescent="0.25">
      <c r="A394" t="s">
        <v>400</v>
      </c>
      <c r="B394">
        <v>2.2999999999999998</v>
      </c>
      <c r="C394" t="s">
        <v>24</v>
      </c>
      <c r="D394" t="s">
        <v>5</v>
      </c>
      <c r="E394" t="s">
        <v>5</v>
      </c>
    </row>
    <row r="395" spans="1:5" x14ac:dyDescent="0.25">
      <c r="A395" t="s">
        <v>401</v>
      </c>
      <c r="B395">
        <v>3.6</v>
      </c>
      <c r="C395" t="s">
        <v>8</v>
      </c>
      <c r="D395" t="s">
        <v>5</v>
      </c>
      <c r="E395" t="s">
        <v>5</v>
      </c>
    </row>
    <row r="396" spans="1:5" x14ac:dyDescent="0.25">
      <c r="A396" t="s">
        <v>402</v>
      </c>
      <c r="B396">
        <v>6.4</v>
      </c>
      <c r="C396" t="s">
        <v>15</v>
      </c>
      <c r="D396" t="s">
        <v>5</v>
      </c>
      <c r="E396" t="s">
        <v>5</v>
      </c>
    </row>
    <row r="397" spans="1:5" x14ac:dyDescent="0.25">
      <c r="A397" t="s">
        <v>403</v>
      </c>
      <c r="B397">
        <v>10.199999999999999</v>
      </c>
      <c r="C397" t="s">
        <v>17</v>
      </c>
      <c r="D397" t="s">
        <v>5</v>
      </c>
      <c r="E397" t="s">
        <v>5</v>
      </c>
    </row>
    <row r="398" spans="1:5" x14ac:dyDescent="0.25">
      <c r="A398" t="s">
        <v>404</v>
      </c>
      <c r="B398">
        <v>14</v>
      </c>
      <c r="C398" t="s">
        <v>22</v>
      </c>
      <c r="D398" t="s">
        <v>5</v>
      </c>
      <c r="E398" t="s">
        <v>5</v>
      </c>
    </row>
    <row r="399" spans="1:5" x14ac:dyDescent="0.25">
      <c r="A399" t="s">
        <v>405</v>
      </c>
      <c r="B399">
        <v>17.100000000000001</v>
      </c>
      <c r="C399" t="s">
        <v>36</v>
      </c>
      <c r="D399" t="s">
        <v>5</v>
      </c>
      <c r="E399" t="s">
        <v>5</v>
      </c>
    </row>
    <row r="400" spans="1:5" x14ac:dyDescent="0.25">
      <c r="A400" t="s">
        <v>406</v>
      </c>
      <c r="B400">
        <v>18.7</v>
      </c>
      <c r="C400" t="s">
        <v>5</v>
      </c>
      <c r="D400" t="s">
        <v>5</v>
      </c>
      <c r="E400" t="s">
        <v>5</v>
      </c>
    </row>
    <row r="401" spans="1:5" x14ac:dyDescent="0.25">
      <c r="A401" t="s">
        <v>407</v>
      </c>
      <c r="B401">
        <v>18.8</v>
      </c>
      <c r="C401" t="s">
        <v>12</v>
      </c>
      <c r="D401" t="s">
        <v>5</v>
      </c>
      <c r="E401" t="s">
        <v>5</v>
      </c>
    </row>
    <row r="402" spans="1:5" x14ac:dyDescent="0.25">
      <c r="A402" t="s">
        <v>408</v>
      </c>
      <c r="B402">
        <v>17.7</v>
      </c>
      <c r="C402" t="s">
        <v>9</v>
      </c>
      <c r="D402" t="s">
        <v>5</v>
      </c>
      <c r="E402" t="s">
        <v>5</v>
      </c>
    </row>
    <row r="403" spans="1:5" x14ac:dyDescent="0.25">
      <c r="A403" t="s">
        <v>409</v>
      </c>
      <c r="B403">
        <v>16.100000000000001</v>
      </c>
      <c r="C403" t="s">
        <v>9</v>
      </c>
      <c r="D403" t="s">
        <v>5</v>
      </c>
      <c r="E403" t="s">
        <v>5</v>
      </c>
    </row>
    <row r="404" spans="1:5" x14ac:dyDescent="0.25">
      <c r="A404" t="s">
        <v>410</v>
      </c>
      <c r="B404">
        <v>14.9</v>
      </c>
      <c r="C404" t="s">
        <v>16</v>
      </c>
      <c r="D404" t="s">
        <v>5</v>
      </c>
      <c r="E404" t="s">
        <v>5</v>
      </c>
    </row>
    <row r="405" spans="1:5" x14ac:dyDescent="0.25">
      <c r="A405" t="s">
        <v>411</v>
      </c>
      <c r="B405">
        <v>14.9</v>
      </c>
      <c r="C405" t="s">
        <v>9</v>
      </c>
      <c r="D405" t="s">
        <v>5</v>
      </c>
      <c r="E405" t="s">
        <v>5</v>
      </c>
    </row>
    <row r="406" spans="1:5" x14ac:dyDescent="0.25">
      <c r="A406" t="s">
        <v>412</v>
      </c>
      <c r="B406">
        <v>16.3</v>
      </c>
      <c r="C406" t="s">
        <v>10</v>
      </c>
      <c r="D406" t="s">
        <v>5</v>
      </c>
      <c r="E406" t="s">
        <v>5</v>
      </c>
    </row>
    <row r="407" spans="1:5" x14ac:dyDescent="0.25">
      <c r="A407" t="s">
        <v>413</v>
      </c>
      <c r="B407">
        <v>19.100000000000001</v>
      </c>
      <c r="C407" t="s">
        <v>19</v>
      </c>
      <c r="D407" t="s">
        <v>5</v>
      </c>
      <c r="E407" t="s">
        <v>5</v>
      </c>
    </row>
    <row r="408" spans="1:5" x14ac:dyDescent="0.25">
      <c r="A408" t="s">
        <v>414</v>
      </c>
      <c r="B408">
        <v>22.7</v>
      </c>
      <c r="C408" t="s">
        <v>21</v>
      </c>
      <c r="D408" t="s">
        <v>5</v>
      </c>
      <c r="E408" t="s">
        <v>5</v>
      </c>
    </row>
    <row r="409" spans="1:5" x14ac:dyDescent="0.25">
      <c r="A409" t="s">
        <v>415</v>
      </c>
      <c r="B409">
        <v>26.1</v>
      </c>
      <c r="C409" t="s">
        <v>18</v>
      </c>
      <c r="D409" t="s">
        <v>5</v>
      </c>
      <c r="E409" t="s">
        <v>5</v>
      </c>
    </row>
    <row r="410" spans="1:5" x14ac:dyDescent="0.25">
      <c r="A410" t="s">
        <v>416</v>
      </c>
      <c r="B410">
        <v>28.6</v>
      </c>
      <c r="C410" t="s">
        <v>19</v>
      </c>
      <c r="D410" t="s">
        <v>5</v>
      </c>
      <c r="E410" t="s">
        <v>5</v>
      </c>
    </row>
    <row r="411" spans="1:5" x14ac:dyDescent="0.25">
      <c r="A411" t="s">
        <v>417</v>
      </c>
      <c r="B411">
        <v>29.5</v>
      </c>
      <c r="C411" t="s">
        <v>24</v>
      </c>
      <c r="D411" t="s">
        <v>5</v>
      </c>
      <c r="E411" t="s">
        <v>5</v>
      </c>
    </row>
    <row r="412" spans="1:5" x14ac:dyDescent="0.25">
      <c r="A412" t="s">
        <v>418</v>
      </c>
      <c r="B412">
        <v>28.6</v>
      </c>
      <c r="C412" t="s">
        <v>18</v>
      </c>
      <c r="D412" t="s">
        <v>5</v>
      </c>
      <c r="E412" t="s">
        <v>5</v>
      </c>
    </row>
    <row r="413" spans="1:5" x14ac:dyDescent="0.25">
      <c r="A413" t="s">
        <v>419</v>
      </c>
      <c r="B413">
        <v>26.4</v>
      </c>
      <c r="C413" t="s">
        <v>35</v>
      </c>
      <c r="D413" t="s">
        <v>5</v>
      </c>
      <c r="E413" t="s">
        <v>5</v>
      </c>
    </row>
    <row r="414" spans="1:5" x14ac:dyDescent="0.25">
      <c r="A414" t="s">
        <v>420</v>
      </c>
      <c r="B414">
        <v>23.6</v>
      </c>
      <c r="C414" t="s">
        <v>5</v>
      </c>
      <c r="D414" t="s">
        <v>5</v>
      </c>
      <c r="E414" t="s">
        <v>5</v>
      </c>
    </row>
    <row r="415" spans="1:5" x14ac:dyDescent="0.25">
      <c r="A415" t="s">
        <v>421</v>
      </c>
      <c r="B415">
        <v>21</v>
      </c>
      <c r="C415" t="s">
        <v>8</v>
      </c>
      <c r="D415" t="s">
        <v>5</v>
      </c>
      <c r="E415" t="s">
        <v>5</v>
      </c>
    </row>
    <row r="416" spans="1:5" x14ac:dyDescent="0.25">
      <c r="A416" t="s">
        <v>422</v>
      </c>
      <c r="B416">
        <v>19.600000000000001</v>
      </c>
      <c r="C416" t="s">
        <v>14</v>
      </c>
      <c r="D416" t="s">
        <v>5</v>
      </c>
      <c r="E416" t="s">
        <v>5</v>
      </c>
    </row>
    <row r="417" spans="1:5" x14ac:dyDescent="0.25">
      <c r="A417" t="s">
        <v>423</v>
      </c>
      <c r="B417">
        <v>19.5</v>
      </c>
      <c r="C417" t="s">
        <v>11</v>
      </c>
      <c r="D417" t="s">
        <v>5</v>
      </c>
      <c r="E417" t="s">
        <v>5</v>
      </c>
    </row>
    <row r="418" spans="1:5" x14ac:dyDescent="0.25">
      <c r="A418" t="s">
        <v>424</v>
      </c>
      <c r="B418">
        <v>20.7</v>
      </c>
      <c r="C418" t="s">
        <v>13</v>
      </c>
      <c r="D418" t="s">
        <v>5</v>
      </c>
      <c r="E418" t="s">
        <v>5</v>
      </c>
    </row>
    <row r="419" spans="1:5" x14ac:dyDescent="0.25">
      <c r="A419" t="s">
        <v>425</v>
      </c>
      <c r="B419">
        <v>22.7</v>
      </c>
      <c r="C419" t="s">
        <v>11</v>
      </c>
      <c r="D419" t="s">
        <v>5</v>
      </c>
      <c r="E419" t="s">
        <v>5</v>
      </c>
    </row>
    <row r="420" spans="1:5" x14ac:dyDescent="0.25">
      <c r="A420" t="s">
        <v>426</v>
      </c>
      <c r="B420">
        <v>24.5</v>
      </c>
      <c r="C420" t="s">
        <v>12</v>
      </c>
      <c r="D420" t="s">
        <v>5</v>
      </c>
      <c r="E420" t="s">
        <v>5</v>
      </c>
    </row>
    <row r="421" spans="1:5" x14ac:dyDescent="0.25">
      <c r="A421" t="s">
        <v>427</v>
      </c>
      <c r="B421">
        <v>25.4</v>
      </c>
      <c r="C421" t="s">
        <v>15</v>
      </c>
      <c r="D421" t="s">
        <v>5</v>
      </c>
      <c r="E421" t="s">
        <v>5</v>
      </c>
    </row>
    <row r="422" spans="1:5" x14ac:dyDescent="0.25">
      <c r="A422" t="s">
        <v>428</v>
      </c>
      <c r="B422">
        <v>24.8</v>
      </c>
      <c r="C422" t="s">
        <v>21</v>
      </c>
      <c r="D422" t="s">
        <v>5</v>
      </c>
      <c r="E422" t="s">
        <v>5</v>
      </c>
    </row>
    <row r="423" spans="1:5" x14ac:dyDescent="0.25">
      <c r="A423" t="s">
        <v>429</v>
      </c>
      <c r="B423">
        <v>22.5</v>
      </c>
      <c r="C423" t="s">
        <v>15</v>
      </c>
      <c r="D423" t="s">
        <v>5</v>
      </c>
      <c r="E423" t="s">
        <v>5</v>
      </c>
    </row>
    <row r="424" spans="1:5" x14ac:dyDescent="0.25">
      <c r="A424" t="s">
        <v>430</v>
      </c>
      <c r="B424">
        <v>18.899999999999999</v>
      </c>
      <c r="C424" t="s">
        <v>16</v>
      </c>
      <c r="D424" t="s">
        <v>5</v>
      </c>
      <c r="E424" t="s">
        <v>5</v>
      </c>
    </row>
    <row r="425" spans="1:5" x14ac:dyDescent="0.25">
      <c r="A425" t="s">
        <v>431</v>
      </c>
      <c r="B425">
        <v>14.8</v>
      </c>
      <c r="C425" t="s">
        <v>15</v>
      </c>
      <c r="D425" t="s">
        <v>5</v>
      </c>
      <c r="E425" t="s">
        <v>5</v>
      </c>
    </row>
    <row r="426" spans="1:5" x14ac:dyDescent="0.25">
      <c r="A426" t="s">
        <v>432</v>
      </c>
      <c r="B426">
        <v>11.2</v>
      </c>
      <c r="C426" t="s">
        <v>16</v>
      </c>
      <c r="D426" t="s">
        <v>5</v>
      </c>
      <c r="E426" t="s">
        <v>5</v>
      </c>
    </row>
    <row r="427" spans="1:5" x14ac:dyDescent="0.25">
      <c r="A427" t="s">
        <v>433</v>
      </c>
      <c r="B427">
        <v>8.8000000000000007</v>
      </c>
      <c r="C427" t="s">
        <v>22</v>
      </c>
      <c r="D427" t="s">
        <v>5</v>
      </c>
      <c r="E427" t="s">
        <v>5</v>
      </c>
    </row>
    <row r="428" spans="1:5" x14ac:dyDescent="0.25">
      <c r="A428" t="s">
        <v>434</v>
      </c>
      <c r="B428">
        <v>8</v>
      </c>
      <c r="C428" t="s">
        <v>5</v>
      </c>
      <c r="D428" t="s">
        <v>5</v>
      </c>
      <c r="E428" t="s">
        <v>5</v>
      </c>
    </row>
    <row r="429" spans="1:5" x14ac:dyDescent="0.25">
      <c r="A429" t="s">
        <v>435</v>
      </c>
      <c r="B429">
        <v>8.6</v>
      </c>
      <c r="C429" t="s">
        <v>9</v>
      </c>
      <c r="D429" t="s">
        <v>5</v>
      </c>
      <c r="E429" t="s">
        <v>5</v>
      </c>
    </row>
    <row r="430" spans="1:5" x14ac:dyDescent="0.25">
      <c r="A430" t="s">
        <v>436</v>
      </c>
      <c r="B430">
        <v>10.199999999999999</v>
      </c>
      <c r="C430" t="s">
        <v>12</v>
      </c>
      <c r="D430" t="s">
        <v>5</v>
      </c>
      <c r="E430" t="s">
        <v>5</v>
      </c>
    </row>
    <row r="431" spans="1:5" x14ac:dyDescent="0.25">
      <c r="A431" t="s">
        <v>437</v>
      </c>
      <c r="B431">
        <v>11.8</v>
      </c>
      <c r="C431" t="s">
        <v>12</v>
      </c>
      <c r="D431" t="s">
        <v>5</v>
      </c>
      <c r="E431" t="s">
        <v>5</v>
      </c>
    </row>
    <row r="432" spans="1:5" x14ac:dyDescent="0.25">
      <c r="A432" t="s">
        <v>438</v>
      </c>
      <c r="B432">
        <v>12.7</v>
      </c>
      <c r="C432" t="s">
        <v>15</v>
      </c>
      <c r="D432" t="s">
        <v>5</v>
      </c>
      <c r="E432" t="s">
        <v>5</v>
      </c>
    </row>
    <row r="433" spans="1:5" x14ac:dyDescent="0.25">
      <c r="A433" t="s">
        <v>439</v>
      </c>
      <c r="B433">
        <v>12.2</v>
      </c>
      <c r="C433" t="s">
        <v>14</v>
      </c>
      <c r="D433" t="s">
        <v>5</v>
      </c>
      <c r="E433" t="s">
        <v>5</v>
      </c>
    </row>
    <row r="434" spans="1:5" x14ac:dyDescent="0.25">
      <c r="A434" t="s">
        <v>440</v>
      </c>
      <c r="B434">
        <v>10.3</v>
      </c>
      <c r="C434" t="s">
        <v>18</v>
      </c>
      <c r="D434" t="s">
        <v>5</v>
      </c>
      <c r="E434" t="s">
        <v>5</v>
      </c>
    </row>
    <row r="435" spans="1:5" x14ac:dyDescent="0.25">
      <c r="A435" t="s">
        <v>441</v>
      </c>
      <c r="B435">
        <v>7.4</v>
      </c>
      <c r="C435" t="s">
        <v>24</v>
      </c>
      <c r="D435" t="s">
        <v>5</v>
      </c>
      <c r="E435" t="s">
        <v>5</v>
      </c>
    </row>
    <row r="436" spans="1:5" x14ac:dyDescent="0.25">
      <c r="A436" t="s">
        <v>442</v>
      </c>
      <c r="B436">
        <v>4.0999999999999996</v>
      </c>
      <c r="C436" t="s">
        <v>24</v>
      </c>
      <c r="D436" t="s">
        <v>5</v>
      </c>
      <c r="E436" t="s">
        <v>5</v>
      </c>
    </row>
    <row r="437" spans="1:5" x14ac:dyDescent="0.25">
      <c r="A437" t="s">
        <v>443</v>
      </c>
      <c r="B437">
        <v>1.4</v>
      </c>
      <c r="C437" t="s">
        <v>16</v>
      </c>
      <c r="D437" t="s">
        <v>5</v>
      </c>
      <c r="E437" t="s">
        <v>5</v>
      </c>
    </row>
    <row r="438" spans="1:5" x14ac:dyDescent="0.25">
      <c r="A438" t="s">
        <v>444</v>
      </c>
      <c r="B438">
        <v>0.1</v>
      </c>
      <c r="C438" t="s">
        <v>31</v>
      </c>
      <c r="D438" t="s">
        <v>5</v>
      </c>
      <c r="E438" t="s">
        <v>5</v>
      </c>
    </row>
    <row r="439" spans="1:5" x14ac:dyDescent="0.25">
      <c r="A439" t="s">
        <v>445</v>
      </c>
      <c r="B439">
        <v>0.5</v>
      </c>
      <c r="C439" t="s">
        <v>26</v>
      </c>
      <c r="D439" t="s">
        <v>5</v>
      </c>
      <c r="E439" t="s">
        <v>5</v>
      </c>
    </row>
    <row r="440" spans="1:5" x14ac:dyDescent="0.25">
      <c r="A440" t="s">
        <v>446</v>
      </c>
      <c r="B440">
        <v>2.5</v>
      </c>
      <c r="C440" t="s">
        <v>9</v>
      </c>
      <c r="D440" t="s">
        <v>5</v>
      </c>
      <c r="E440" t="s">
        <v>5</v>
      </c>
    </row>
    <row r="441" spans="1:5" x14ac:dyDescent="0.25">
      <c r="A441" t="s">
        <v>447</v>
      </c>
      <c r="B441">
        <v>5.5</v>
      </c>
      <c r="C441" t="s">
        <v>24</v>
      </c>
      <c r="D441" t="s">
        <v>5</v>
      </c>
      <c r="E441" t="s">
        <v>5</v>
      </c>
    </row>
    <row r="442" spans="1:5" x14ac:dyDescent="0.25">
      <c r="A442" t="s">
        <v>448</v>
      </c>
      <c r="B442">
        <v>8.6999999999999993</v>
      </c>
      <c r="C442" t="s">
        <v>22</v>
      </c>
      <c r="D442" t="s">
        <v>5</v>
      </c>
      <c r="E442" t="s">
        <v>5</v>
      </c>
    </row>
    <row r="443" spans="1:5" x14ac:dyDescent="0.25">
      <c r="A443" t="s">
        <v>449</v>
      </c>
      <c r="B443">
        <v>11.1</v>
      </c>
      <c r="C443" t="s">
        <v>5</v>
      </c>
      <c r="D443" t="s">
        <v>5</v>
      </c>
      <c r="E443" t="s">
        <v>5</v>
      </c>
    </row>
    <row r="444" spans="1:5" x14ac:dyDescent="0.25">
      <c r="A444" t="s">
        <v>450</v>
      </c>
      <c r="B444">
        <v>12.2</v>
      </c>
      <c r="C444" t="s">
        <v>11</v>
      </c>
      <c r="D444" t="s">
        <v>5</v>
      </c>
      <c r="E444" t="s">
        <v>5</v>
      </c>
    </row>
    <row r="445" spans="1:5" x14ac:dyDescent="0.25">
      <c r="A445" t="s">
        <v>451</v>
      </c>
      <c r="B445">
        <v>11.9</v>
      </c>
      <c r="C445" t="s">
        <v>8</v>
      </c>
      <c r="D445" t="s">
        <v>5</v>
      </c>
      <c r="E445" t="s">
        <v>5</v>
      </c>
    </row>
    <row r="446" spans="1:5" x14ac:dyDescent="0.25">
      <c r="A446" t="s">
        <v>452</v>
      </c>
      <c r="B446">
        <v>10.5</v>
      </c>
      <c r="C446" t="s">
        <v>8</v>
      </c>
      <c r="D446" t="s">
        <v>5</v>
      </c>
      <c r="E446" t="s">
        <v>5</v>
      </c>
    </row>
    <row r="447" spans="1:5" x14ac:dyDescent="0.25">
      <c r="A447" t="s">
        <v>453</v>
      </c>
      <c r="B447">
        <v>8.8000000000000007</v>
      </c>
      <c r="C447" t="s">
        <v>14</v>
      </c>
      <c r="D447" t="s">
        <v>5</v>
      </c>
      <c r="E447" t="s">
        <v>5</v>
      </c>
    </row>
    <row r="448" spans="1:5" x14ac:dyDescent="0.25">
      <c r="A448" t="s">
        <v>454</v>
      </c>
      <c r="B448">
        <v>7.5</v>
      </c>
      <c r="C448" t="s">
        <v>13</v>
      </c>
      <c r="D448" t="s">
        <v>5</v>
      </c>
      <c r="E448" t="s">
        <v>5</v>
      </c>
    </row>
    <row r="449" spans="1:5" x14ac:dyDescent="0.25">
      <c r="A449" t="s">
        <v>455</v>
      </c>
      <c r="B449">
        <v>7.6</v>
      </c>
      <c r="C449" t="s">
        <v>13</v>
      </c>
      <c r="D449" t="s">
        <v>5</v>
      </c>
      <c r="E449" t="s">
        <v>5</v>
      </c>
    </row>
    <row r="450" spans="1:5" x14ac:dyDescent="0.25">
      <c r="A450" t="s">
        <v>456</v>
      </c>
      <c r="B450">
        <v>9.1999999999999993</v>
      </c>
      <c r="C450" t="s">
        <v>9</v>
      </c>
      <c r="D450" t="s">
        <v>5</v>
      </c>
      <c r="E450" t="s">
        <v>5</v>
      </c>
    </row>
    <row r="451" spans="1:5" x14ac:dyDescent="0.25">
      <c r="A451" t="s">
        <v>457</v>
      </c>
      <c r="B451">
        <v>12.3</v>
      </c>
      <c r="C451" t="s">
        <v>16</v>
      </c>
      <c r="D451" t="s">
        <v>5</v>
      </c>
      <c r="E451" t="s">
        <v>5</v>
      </c>
    </row>
    <row r="452" spans="1:5" x14ac:dyDescent="0.25">
      <c r="A452" t="s">
        <v>458</v>
      </c>
      <c r="B452">
        <v>16.3</v>
      </c>
      <c r="C452" t="s">
        <v>27</v>
      </c>
      <c r="D452" t="s">
        <v>5</v>
      </c>
      <c r="E452" t="s">
        <v>5</v>
      </c>
    </row>
    <row r="453" spans="1:5" x14ac:dyDescent="0.25">
      <c r="A453" t="s">
        <v>459</v>
      </c>
      <c r="B453">
        <v>20.2</v>
      </c>
      <c r="C453" t="s">
        <v>22</v>
      </c>
      <c r="D453" t="s">
        <v>5</v>
      </c>
      <c r="E453" t="s">
        <v>5</v>
      </c>
    </row>
    <row r="454" spans="1:5" x14ac:dyDescent="0.25">
      <c r="A454" t="s">
        <v>460</v>
      </c>
      <c r="B454">
        <v>23.2</v>
      </c>
      <c r="C454" t="s">
        <v>16</v>
      </c>
      <c r="D454" t="s">
        <v>5</v>
      </c>
      <c r="E454" t="s">
        <v>5</v>
      </c>
    </row>
    <row r="455" spans="1:5" x14ac:dyDescent="0.25">
      <c r="A455" t="s">
        <v>461</v>
      </c>
      <c r="B455">
        <v>24.8</v>
      </c>
      <c r="C455" t="s">
        <v>29</v>
      </c>
      <c r="D455" t="s">
        <v>5</v>
      </c>
      <c r="E455" t="s">
        <v>5</v>
      </c>
    </row>
    <row r="456" spans="1:5" x14ac:dyDescent="0.25">
      <c r="A456" t="s">
        <v>462</v>
      </c>
      <c r="B456">
        <v>24.9</v>
      </c>
      <c r="C456" t="s">
        <v>19</v>
      </c>
      <c r="D456" t="s">
        <v>5</v>
      </c>
      <c r="E456" t="s">
        <v>5</v>
      </c>
    </row>
    <row r="457" spans="1:5" x14ac:dyDescent="0.25">
      <c r="A457" t="s">
        <v>463</v>
      </c>
      <c r="B457">
        <v>23.3</v>
      </c>
      <c r="C457" t="s">
        <v>17</v>
      </c>
      <c r="D457" t="s">
        <v>5</v>
      </c>
      <c r="E457" t="s">
        <v>5</v>
      </c>
    </row>
    <row r="458" spans="1:5" x14ac:dyDescent="0.25">
      <c r="A458" t="s">
        <v>464</v>
      </c>
      <c r="B458">
        <v>21.3</v>
      </c>
      <c r="C458" t="s">
        <v>13</v>
      </c>
      <c r="D458" t="s">
        <v>5</v>
      </c>
      <c r="E458" t="s">
        <v>5</v>
      </c>
    </row>
    <row r="459" spans="1:5" x14ac:dyDescent="0.25">
      <c r="A459" t="s">
        <v>465</v>
      </c>
      <c r="B459">
        <v>19.7</v>
      </c>
      <c r="C459" t="s">
        <v>23</v>
      </c>
      <c r="D459" t="s">
        <v>5</v>
      </c>
      <c r="E459" t="s">
        <v>5</v>
      </c>
    </row>
    <row r="460" spans="1:5" x14ac:dyDescent="0.25">
      <c r="A460" t="s">
        <v>466</v>
      </c>
      <c r="B460">
        <v>19.100000000000001</v>
      </c>
      <c r="C460" t="s">
        <v>31</v>
      </c>
      <c r="D460" t="s">
        <v>5</v>
      </c>
      <c r="E460" t="s">
        <v>5</v>
      </c>
    </row>
    <row r="461" spans="1:5" x14ac:dyDescent="0.25">
      <c r="A461" t="s">
        <v>467</v>
      </c>
      <c r="B461">
        <v>20</v>
      </c>
      <c r="C461" t="s">
        <v>5</v>
      </c>
      <c r="D461" t="s">
        <v>5</v>
      </c>
      <c r="E461" t="s">
        <v>5</v>
      </c>
    </row>
    <row r="462" spans="1:5" x14ac:dyDescent="0.25">
      <c r="A462" t="s">
        <v>468</v>
      </c>
      <c r="B462">
        <v>22.1</v>
      </c>
      <c r="C462" t="s">
        <v>8</v>
      </c>
      <c r="D462" t="s">
        <v>5</v>
      </c>
      <c r="E462" t="s">
        <v>5</v>
      </c>
    </row>
    <row r="463" spans="1:5" x14ac:dyDescent="0.25">
      <c r="A463" t="s">
        <v>469</v>
      </c>
      <c r="B463">
        <v>25</v>
      </c>
      <c r="C463" t="s">
        <v>11</v>
      </c>
      <c r="D463" t="s">
        <v>5</v>
      </c>
      <c r="E463" t="s">
        <v>5</v>
      </c>
    </row>
    <row r="464" spans="1:5" x14ac:dyDescent="0.25">
      <c r="A464" t="s">
        <v>470</v>
      </c>
      <c r="B464">
        <v>27.7</v>
      </c>
      <c r="C464" t="s">
        <v>8</v>
      </c>
      <c r="D464" t="s">
        <v>5</v>
      </c>
      <c r="E464" t="s">
        <v>5</v>
      </c>
    </row>
    <row r="465" spans="1:5" x14ac:dyDescent="0.25">
      <c r="A465" t="s">
        <v>471</v>
      </c>
      <c r="B465">
        <v>29.4</v>
      </c>
      <c r="C465" t="s">
        <v>21</v>
      </c>
      <c r="D465" t="s">
        <v>5</v>
      </c>
      <c r="E465" t="s">
        <v>5</v>
      </c>
    </row>
    <row r="466" spans="1:5" x14ac:dyDescent="0.25">
      <c r="A466" t="s">
        <v>472</v>
      </c>
      <c r="B466">
        <v>29.5</v>
      </c>
      <c r="C466" t="s">
        <v>21</v>
      </c>
      <c r="D466" t="s">
        <v>5</v>
      </c>
      <c r="E466" t="s">
        <v>5</v>
      </c>
    </row>
    <row r="467" spans="1:5" x14ac:dyDescent="0.25">
      <c r="A467" t="s">
        <v>473</v>
      </c>
      <c r="B467">
        <v>27.8</v>
      </c>
      <c r="C467" t="s">
        <v>15</v>
      </c>
      <c r="D467" t="s">
        <v>5</v>
      </c>
      <c r="E467" t="s">
        <v>5</v>
      </c>
    </row>
    <row r="468" spans="1:5" x14ac:dyDescent="0.25">
      <c r="A468" t="s">
        <v>474</v>
      </c>
      <c r="B468">
        <v>24.9</v>
      </c>
      <c r="C468" t="s">
        <v>23</v>
      </c>
      <c r="D468" t="s">
        <v>5</v>
      </c>
      <c r="E468" t="s">
        <v>5</v>
      </c>
    </row>
    <row r="469" spans="1:5" x14ac:dyDescent="0.25">
      <c r="A469" t="s">
        <v>475</v>
      </c>
      <c r="B469">
        <v>21.3</v>
      </c>
      <c r="C469" t="s">
        <v>27</v>
      </c>
      <c r="D469" t="s">
        <v>5</v>
      </c>
      <c r="E469" t="s">
        <v>5</v>
      </c>
    </row>
    <row r="470" spans="1:5" x14ac:dyDescent="0.25">
      <c r="A470" t="s">
        <v>476</v>
      </c>
      <c r="B470">
        <v>18.100000000000001</v>
      </c>
      <c r="C470" t="s">
        <v>20</v>
      </c>
      <c r="D470" t="s">
        <v>5</v>
      </c>
      <c r="E470" t="s">
        <v>5</v>
      </c>
    </row>
    <row r="471" spans="1:5" x14ac:dyDescent="0.25">
      <c r="A471" t="s">
        <v>477</v>
      </c>
      <c r="B471">
        <v>15.9</v>
      </c>
      <c r="C471" t="s">
        <v>13</v>
      </c>
      <c r="D471" t="s">
        <v>5</v>
      </c>
      <c r="E471" t="s">
        <v>5</v>
      </c>
    </row>
    <row r="472" spans="1:5" x14ac:dyDescent="0.25">
      <c r="A472" t="s">
        <v>478</v>
      </c>
      <c r="B472">
        <v>15.3</v>
      </c>
      <c r="C472" t="s">
        <v>16</v>
      </c>
      <c r="D472" t="s">
        <v>5</v>
      </c>
      <c r="E472" t="s">
        <v>5</v>
      </c>
    </row>
    <row r="473" spans="1:5" x14ac:dyDescent="0.25">
      <c r="A473" t="s">
        <v>479</v>
      </c>
      <c r="B473">
        <v>16</v>
      </c>
      <c r="C473" t="s">
        <v>12</v>
      </c>
      <c r="D473" t="s">
        <v>5</v>
      </c>
      <c r="E473" t="s">
        <v>5</v>
      </c>
    </row>
    <row r="474" spans="1:5" x14ac:dyDescent="0.25">
      <c r="A474" t="s">
        <v>480</v>
      </c>
      <c r="B474">
        <v>17.5</v>
      </c>
      <c r="C474" t="s">
        <v>33</v>
      </c>
      <c r="D474" t="s">
        <v>5</v>
      </c>
      <c r="E474" t="s">
        <v>5</v>
      </c>
    </row>
    <row r="475" spans="1:5" x14ac:dyDescent="0.25">
      <c r="A475" t="s">
        <v>481</v>
      </c>
      <c r="B475">
        <v>19</v>
      </c>
      <c r="C475" t="s">
        <v>5</v>
      </c>
      <c r="D475" t="s">
        <v>5</v>
      </c>
      <c r="E475" t="s">
        <v>5</v>
      </c>
    </row>
    <row r="476" spans="1:5" x14ac:dyDescent="0.25">
      <c r="A476" t="s">
        <v>482</v>
      </c>
      <c r="B476">
        <v>19.5</v>
      </c>
      <c r="C476" t="s">
        <v>9</v>
      </c>
      <c r="D476" t="s">
        <v>5</v>
      </c>
      <c r="E476" t="s">
        <v>5</v>
      </c>
    </row>
    <row r="477" spans="1:5" x14ac:dyDescent="0.25">
      <c r="A477" t="s">
        <v>483</v>
      </c>
      <c r="B477">
        <v>18.7</v>
      </c>
      <c r="C477" t="s">
        <v>14</v>
      </c>
      <c r="D477" t="s">
        <v>5</v>
      </c>
      <c r="E477" t="s">
        <v>5</v>
      </c>
    </row>
    <row r="478" spans="1:5" x14ac:dyDescent="0.25">
      <c r="A478" t="s">
        <v>484</v>
      </c>
      <c r="B478">
        <v>16.3</v>
      </c>
      <c r="C478" t="s">
        <v>12</v>
      </c>
      <c r="D478" t="s">
        <v>5</v>
      </c>
      <c r="E478" t="s">
        <v>5</v>
      </c>
    </row>
    <row r="479" spans="1:5" x14ac:dyDescent="0.25">
      <c r="A479" t="s">
        <v>485</v>
      </c>
      <c r="B479">
        <v>12.7</v>
      </c>
      <c r="C479" t="s">
        <v>14</v>
      </c>
      <c r="D479" t="s">
        <v>5</v>
      </c>
      <c r="E479" t="s">
        <v>5</v>
      </c>
    </row>
    <row r="480" spans="1:5" x14ac:dyDescent="0.25">
      <c r="A480" t="s">
        <v>486</v>
      </c>
      <c r="B480">
        <v>8.8000000000000007</v>
      </c>
      <c r="C480" t="s">
        <v>16</v>
      </c>
      <c r="D480" t="s">
        <v>5</v>
      </c>
      <c r="E480" t="s">
        <v>5</v>
      </c>
    </row>
    <row r="481" spans="1:5" x14ac:dyDescent="0.25">
      <c r="A481" t="s">
        <v>487</v>
      </c>
      <c r="B481">
        <v>5.3</v>
      </c>
      <c r="C481" t="s">
        <v>9</v>
      </c>
      <c r="D481" t="s">
        <v>5</v>
      </c>
      <c r="E481" t="s">
        <v>5</v>
      </c>
    </row>
    <row r="482" spans="1:5" x14ac:dyDescent="0.25">
      <c r="A482" t="s">
        <v>488</v>
      </c>
      <c r="B482">
        <v>3.2</v>
      </c>
      <c r="C482" t="s">
        <v>16</v>
      </c>
      <c r="D482" t="s">
        <v>5</v>
      </c>
      <c r="E482" t="s">
        <v>5</v>
      </c>
    </row>
    <row r="483" spans="1:5" x14ac:dyDescent="0.25">
      <c r="A483" t="s">
        <v>489</v>
      </c>
      <c r="B483">
        <v>2.7</v>
      </c>
      <c r="C483" t="s">
        <v>16</v>
      </c>
      <c r="D483" t="s">
        <v>5</v>
      </c>
      <c r="E483" t="s">
        <v>5</v>
      </c>
    </row>
    <row r="484" spans="1:5" x14ac:dyDescent="0.25">
      <c r="A484" t="s">
        <v>490</v>
      </c>
      <c r="B484">
        <v>3.9</v>
      </c>
      <c r="C484" t="s">
        <v>15</v>
      </c>
      <c r="D484" t="s">
        <v>5</v>
      </c>
      <c r="E484" t="s">
        <v>5</v>
      </c>
    </row>
    <row r="485" spans="1:5" x14ac:dyDescent="0.25">
      <c r="A485" t="s">
        <v>491</v>
      </c>
      <c r="B485">
        <v>6</v>
      </c>
      <c r="C485" t="s">
        <v>27</v>
      </c>
      <c r="D485" t="s">
        <v>5</v>
      </c>
      <c r="E485" t="s">
        <v>5</v>
      </c>
    </row>
    <row r="486" spans="1:5" x14ac:dyDescent="0.25">
      <c r="A486" t="s">
        <v>492</v>
      </c>
      <c r="B486">
        <v>8.1999999999999993</v>
      </c>
      <c r="C486" t="s">
        <v>22</v>
      </c>
      <c r="D486" t="s">
        <v>5</v>
      </c>
      <c r="E486" t="s">
        <v>5</v>
      </c>
    </row>
    <row r="487" spans="1:5" x14ac:dyDescent="0.25">
      <c r="A487" t="s">
        <v>493</v>
      </c>
      <c r="B487">
        <v>9.6999999999999993</v>
      </c>
      <c r="C487" t="s">
        <v>22</v>
      </c>
      <c r="D487" t="s">
        <v>5</v>
      </c>
      <c r="E487" t="s">
        <v>5</v>
      </c>
    </row>
    <row r="488" spans="1:5" x14ac:dyDescent="0.25">
      <c r="A488" t="s">
        <v>494</v>
      </c>
      <c r="B488">
        <v>10</v>
      </c>
      <c r="C488" t="s">
        <v>17</v>
      </c>
      <c r="D488" t="s">
        <v>5</v>
      </c>
      <c r="E488" t="s">
        <v>5</v>
      </c>
    </row>
    <row r="489" spans="1:5" x14ac:dyDescent="0.25">
      <c r="A489" t="s">
        <v>495</v>
      </c>
      <c r="B489">
        <v>8.8000000000000007</v>
      </c>
      <c r="C489" t="s">
        <v>26</v>
      </c>
      <c r="D489" t="s">
        <v>5</v>
      </c>
      <c r="E489" t="s">
        <v>5</v>
      </c>
    </row>
    <row r="490" spans="1:5" x14ac:dyDescent="0.25">
      <c r="A490" t="s">
        <v>496</v>
      </c>
      <c r="B490">
        <v>6.6</v>
      </c>
      <c r="C490" t="s">
        <v>25</v>
      </c>
      <c r="D490" t="s">
        <v>5</v>
      </c>
      <c r="E490" t="s">
        <v>5</v>
      </c>
    </row>
    <row r="491" spans="1:5" x14ac:dyDescent="0.25">
      <c r="A491" t="s">
        <v>497</v>
      </c>
      <c r="B491">
        <v>4.0999999999999996</v>
      </c>
      <c r="C491" t="s">
        <v>5</v>
      </c>
      <c r="D491" t="s">
        <v>5</v>
      </c>
      <c r="E491" t="s">
        <v>5</v>
      </c>
    </row>
    <row r="492" spans="1:5" x14ac:dyDescent="0.25">
      <c r="A492" t="s">
        <v>498</v>
      </c>
      <c r="B492">
        <v>2.2000000000000002</v>
      </c>
      <c r="C492" t="s">
        <v>8</v>
      </c>
      <c r="D492" t="s">
        <v>5</v>
      </c>
      <c r="E492" t="s">
        <v>5</v>
      </c>
    </row>
    <row r="493" spans="1:5" x14ac:dyDescent="0.25">
      <c r="A493" t="s">
        <v>499</v>
      </c>
      <c r="B493">
        <v>1.6</v>
      </c>
      <c r="C493" t="s">
        <v>11</v>
      </c>
      <c r="D493" t="s">
        <v>5</v>
      </c>
      <c r="E493" t="s">
        <v>5</v>
      </c>
    </row>
    <row r="494" spans="1:5" x14ac:dyDescent="0.25">
      <c r="A494" t="s">
        <v>500</v>
      </c>
      <c r="B494">
        <v>2.7</v>
      </c>
      <c r="C494" t="s">
        <v>8</v>
      </c>
      <c r="D494" t="s">
        <v>5</v>
      </c>
      <c r="E494" t="s">
        <v>5</v>
      </c>
    </row>
    <row r="495" spans="1:5" x14ac:dyDescent="0.25">
      <c r="A495" t="s">
        <v>501</v>
      </c>
      <c r="B495">
        <v>5.4</v>
      </c>
      <c r="C495" t="s">
        <v>18</v>
      </c>
      <c r="D495" t="s">
        <v>5</v>
      </c>
      <c r="E495" t="s">
        <v>5</v>
      </c>
    </row>
    <row r="496" spans="1:5" x14ac:dyDescent="0.25">
      <c r="A496" t="s">
        <v>502</v>
      </c>
      <c r="B496">
        <v>9.1</v>
      </c>
      <c r="C496" t="s">
        <v>17</v>
      </c>
      <c r="D496" t="s">
        <v>5</v>
      </c>
      <c r="E496" t="s">
        <v>5</v>
      </c>
    </row>
    <row r="497" spans="1:5" x14ac:dyDescent="0.25">
      <c r="A497" t="s">
        <v>503</v>
      </c>
      <c r="B497">
        <v>12.9</v>
      </c>
      <c r="C497" t="s">
        <v>15</v>
      </c>
      <c r="D497" t="s">
        <v>5</v>
      </c>
      <c r="E497" t="s">
        <v>5</v>
      </c>
    </row>
    <row r="498" spans="1:5" x14ac:dyDescent="0.25">
      <c r="A498" t="s">
        <v>504</v>
      </c>
      <c r="B498">
        <v>15.9</v>
      </c>
      <c r="C498" t="s">
        <v>26</v>
      </c>
      <c r="D498" t="s">
        <v>5</v>
      </c>
      <c r="E498" t="s">
        <v>5</v>
      </c>
    </row>
    <row r="499" spans="1:5" x14ac:dyDescent="0.25">
      <c r="A499" t="s">
        <v>505</v>
      </c>
      <c r="B499">
        <v>17.5</v>
      </c>
      <c r="C499" t="s">
        <v>20</v>
      </c>
      <c r="D499" t="s">
        <v>5</v>
      </c>
      <c r="E499" t="s">
        <v>5</v>
      </c>
    </row>
    <row r="500" spans="1:5" x14ac:dyDescent="0.25">
      <c r="A500" t="s">
        <v>506</v>
      </c>
      <c r="B500">
        <v>17.5</v>
      </c>
      <c r="C500" t="s">
        <v>15</v>
      </c>
      <c r="D500" t="s">
        <v>5</v>
      </c>
      <c r="E500" t="s">
        <v>5</v>
      </c>
    </row>
    <row r="501" spans="1:5" x14ac:dyDescent="0.25">
      <c r="A501" t="s">
        <v>507</v>
      </c>
      <c r="B501">
        <v>16.399999999999999</v>
      </c>
      <c r="C501" t="s">
        <v>19</v>
      </c>
      <c r="D501" t="s">
        <v>5</v>
      </c>
      <c r="E50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69F4-3729-4265-9BAE-AFB77F7C7A87}">
  <dimension ref="A1:E63"/>
  <sheetViews>
    <sheetView workbookViewId="0">
      <selection activeCell="I14" sqref="I14"/>
    </sheetView>
  </sheetViews>
  <sheetFormatPr defaultRowHeight="15" x14ac:dyDescent="0.25"/>
  <sheetData>
    <row r="1" spans="1:5" x14ac:dyDescent="0.25">
      <c r="A1" s="3" t="s">
        <v>9</v>
      </c>
      <c r="B1" s="1">
        <v>22</v>
      </c>
      <c r="C1" s="1" t="s">
        <v>8</v>
      </c>
      <c r="D1" s="1" t="s">
        <v>6</v>
      </c>
      <c r="E1" s="4" t="s">
        <v>8</v>
      </c>
    </row>
    <row r="2" spans="1:5" x14ac:dyDescent="0.25">
      <c r="A2" s="5" t="s">
        <v>10</v>
      </c>
      <c r="B2" s="2">
        <v>23.6</v>
      </c>
      <c r="C2" s="2" t="s">
        <v>11</v>
      </c>
      <c r="D2" s="2" t="s">
        <v>6</v>
      </c>
      <c r="E2" s="6" t="s">
        <v>8</v>
      </c>
    </row>
    <row r="3" spans="1:5" x14ac:dyDescent="0.25">
      <c r="A3" s="3" t="s">
        <v>11</v>
      </c>
      <c r="B3" s="1">
        <v>23.6</v>
      </c>
      <c r="C3" s="1" t="s">
        <v>11</v>
      </c>
      <c r="D3" s="1" t="s">
        <v>6</v>
      </c>
      <c r="E3" s="4" t="s">
        <v>8</v>
      </c>
    </row>
    <row r="4" spans="1:5" x14ac:dyDescent="0.25">
      <c r="A4" s="5" t="s">
        <v>17</v>
      </c>
      <c r="B4" s="2">
        <v>24.8</v>
      </c>
      <c r="C4" s="2" t="s">
        <v>10</v>
      </c>
      <c r="D4" s="2" t="s">
        <v>6</v>
      </c>
      <c r="E4" s="6" t="s">
        <v>11</v>
      </c>
    </row>
    <row r="5" spans="1:5" x14ac:dyDescent="0.25">
      <c r="A5" s="3" t="s">
        <v>26</v>
      </c>
      <c r="B5" s="1">
        <v>25.5</v>
      </c>
      <c r="C5" s="1" t="s">
        <v>5</v>
      </c>
      <c r="D5" s="1" t="s">
        <v>5</v>
      </c>
      <c r="E5" s="4" t="s">
        <v>5</v>
      </c>
    </row>
    <row r="6" spans="1:5" x14ac:dyDescent="0.25">
      <c r="A6" s="5" t="s">
        <v>24</v>
      </c>
      <c r="B6" s="2">
        <v>22</v>
      </c>
      <c r="C6" s="2" t="s">
        <v>9</v>
      </c>
      <c r="D6" s="2" t="s">
        <v>6</v>
      </c>
      <c r="E6" s="6" t="s">
        <v>8</v>
      </c>
    </row>
    <row r="7" spans="1:5" x14ac:dyDescent="0.25">
      <c r="A7" s="3" t="s">
        <v>63</v>
      </c>
      <c r="B7" s="1">
        <v>24.5</v>
      </c>
      <c r="C7" s="1" t="s">
        <v>9</v>
      </c>
      <c r="D7" s="1" t="s">
        <v>6</v>
      </c>
      <c r="E7" s="4" t="s">
        <v>10</v>
      </c>
    </row>
    <row r="8" spans="1:5" x14ac:dyDescent="0.25">
      <c r="A8" s="5" t="s">
        <v>70</v>
      </c>
      <c r="B8" s="2">
        <v>20</v>
      </c>
      <c r="C8" s="2" t="s">
        <v>5</v>
      </c>
      <c r="D8" s="2" t="s">
        <v>5</v>
      </c>
      <c r="E8" s="6" t="s">
        <v>5</v>
      </c>
    </row>
    <row r="9" spans="1:5" x14ac:dyDescent="0.25">
      <c r="A9" s="3" t="s">
        <v>71</v>
      </c>
      <c r="B9" s="1">
        <v>20.3</v>
      </c>
      <c r="C9" s="1" t="s">
        <v>11</v>
      </c>
      <c r="D9" s="1" t="s">
        <v>6</v>
      </c>
      <c r="E9" s="4" t="s">
        <v>8</v>
      </c>
    </row>
    <row r="10" spans="1:5" x14ac:dyDescent="0.25">
      <c r="A10" s="5" t="s">
        <v>73</v>
      </c>
      <c r="B10" s="2">
        <v>24</v>
      </c>
      <c r="C10" s="2" t="s">
        <v>10</v>
      </c>
      <c r="D10" s="2" t="s">
        <v>6</v>
      </c>
      <c r="E10" s="6" t="s">
        <v>8</v>
      </c>
    </row>
    <row r="11" spans="1:5" x14ac:dyDescent="0.25">
      <c r="A11" s="3" t="s">
        <v>77</v>
      </c>
      <c r="B11" s="1">
        <v>24.7</v>
      </c>
      <c r="C11" s="1" t="s">
        <v>10</v>
      </c>
      <c r="D11" s="1" t="s">
        <v>6</v>
      </c>
      <c r="E11" s="4" t="s">
        <v>10</v>
      </c>
    </row>
    <row r="12" spans="1:5" x14ac:dyDescent="0.25">
      <c r="A12" s="5" t="s">
        <v>108</v>
      </c>
      <c r="B12" s="2">
        <v>20.8</v>
      </c>
      <c r="C12" s="2" t="s">
        <v>12</v>
      </c>
      <c r="D12" s="2" t="s">
        <v>7</v>
      </c>
      <c r="E12" s="6" t="s">
        <v>10</v>
      </c>
    </row>
    <row r="13" spans="1:5" x14ac:dyDescent="0.25">
      <c r="A13" s="3" t="s">
        <v>116</v>
      </c>
      <c r="B13" s="1">
        <v>21.3</v>
      </c>
      <c r="C13" s="1" t="s">
        <v>8</v>
      </c>
      <c r="D13" s="1" t="s">
        <v>6</v>
      </c>
      <c r="E13" s="4" t="s">
        <v>8</v>
      </c>
    </row>
    <row r="14" spans="1:5" x14ac:dyDescent="0.25">
      <c r="A14" s="5" t="s">
        <v>120</v>
      </c>
      <c r="B14" s="2">
        <v>29.9</v>
      </c>
      <c r="C14" s="2" t="s">
        <v>12</v>
      </c>
      <c r="D14" s="2" t="s">
        <v>6</v>
      </c>
      <c r="E14" s="6" t="s">
        <v>10</v>
      </c>
    </row>
    <row r="15" spans="1:5" x14ac:dyDescent="0.25">
      <c r="A15" s="3" t="s">
        <v>129</v>
      </c>
      <c r="B15" s="1">
        <v>21.4</v>
      </c>
      <c r="C15" s="1" t="s">
        <v>8</v>
      </c>
      <c r="D15" s="1" t="s">
        <v>6</v>
      </c>
      <c r="E15" s="4" t="s">
        <v>8</v>
      </c>
    </row>
    <row r="16" spans="1:5" x14ac:dyDescent="0.25">
      <c r="A16" s="5" t="s">
        <v>164</v>
      </c>
      <c r="B16" s="2">
        <v>27.7</v>
      </c>
      <c r="C16" s="2" t="s">
        <v>12</v>
      </c>
      <c r="D16" s="2" t="s">
        <v>6</v>
      </c>
      <c r="E16" s="6" t="s">
        <v>10</v>
      </c>
    </row>
    <row r="17" spans="1:5" x14ac:dyDescent="0.25">
      <c r="A17" s="3" t="s">
        <v>166</v>
      </c>
      <c r="B17" s="1">
        <v>25.5</v>
      </c>
      <c r="C17" s="1" t="s">
        <v>12</v>
      </c>
      <c r="D17" s="1" t="s">
        <v>6</v>
      </c>
      <c r="E17" s="4" t="s">
        <v>10</v>
      </c>
    </row>
    <row r="18" spans="1:5" x14ac:dyDescent="0.25">
      <c r="A18" s="5" t="s">
        <v>171</v>
      </c>
      <c r="B18" s="2">
        <v>22.1</v>
      </c>
      <c r="C18" s="2" t="s">
        <v>5</v>
      </c>
      <c r="D18" s="2" t="s">
        <v>5</v>
      </c>
      <c r="E18" s="6" t="s">
        <v>5</v>
      </c>
    </row>
    <row r="19" spans="1:5" x14ac:dyDescent="0.25">
      <c r="A19" s="3" t="s">
        <v>172</v>
      </c>
      <c r="B19" s="1">
        <v>24.5</v>
      </c>
      <c r="C19" s="1" t="s">
        <v>8</v>
      </c>
      <c r="D19" s="1" t="s">
        <v>7</v>
      </c>
      <c r="E19" s="4" t="s">
        <v>8</v>
      </c>
    </row>
    <row r="20" spans="1:5" x14ac:dyDescent="0.25">
      <c r="A20" s="5" t="s">
        <v>173</v>
      </c>
      <c r="B20" s="2">
        <v>26.8</v>
      </c>
      <c r="C20" s="2" t="s">
        <v>9</v>
      </c>
      <c r="D20" s="2" t="s">
        <v>7</v>
      </c>
      <c r="E20" s="6" t="s">
        <v>8</v>
      </c>
    </row>
    <row r="21" spans="1:5" x14ac:dyDescent="0.25">
      <c r="A21" s="3" t="s">
        <v>174</v>
      </c>
      <c r="B21" s="1">
        <v>28</v>
      </c>
      <c r="C21" s="1" t="s">
        <v>11</v>
      </c>
      <c r="D21" s="1" t="s">
        <v>7</v>
      </c>
      <c r="E21" s="4" t="s">
        <v>8</v>
      </c>
    </row>
    <row r="22" spans="1:5" x14ac:dyDescent="0.25">
      <c r="A22" s="5" t="s">
        <v>176</v>
      </c>
      <c r="B22" s="2">
        <v>25.6</v>
      </c>
      <c r="C22" s="2" t="s">
        <v>11</v>
      </c>
      <c r="D22" s="2" t="s">
        <v>7</v>
      </c>
      <c r="E22" s="6" t="s">
        <v>9</v>
      </c>
    </row>
    <row r="23" spans="1:5" x14ac:dyDescent="0.25">
      <c r="A23" s="3" t="s">
        <v>208</v>
      </c>
      <c r="B23" s="1">
        <v>21.2</v>
      </c>
      <c r="C23" s="1" t="s">
        <v>8</v>
      </c>
      <c r="D23" s="1" t="s">
        <v>7</v>
      </c>
      <c r="E23" s="4" t="s">
        <v>10</v>
      </c>
    </row>
    <row r="24" spans="1:5" x14ac:dyDescent="0.25">
      <c r="A24" s="5" t="s">
        <v>218</v>
      </c>
      <c r="B24" s="2">
        <v>29.4</v>
      </c>
      <c r="C24" s="2" t="s">
        <v>5</v>
      </c>
      <c r="D24" s="2" t="s">
        <v>5</v>
      </c>
      <c r="E24" s="6" t="s">
        <v>5</v>
      </c>
    </row>
    <row r="25" spans="1:5" x14ac:dyDescent="0.25">
      <c r="A25" s="3" t="s">
        <v>219</v>
      </c>
      <c r="B25" s="1">
        <v>29.9</v>
      </c>
      <c r="C25" s="1" t="s">
        <v>9</v>
      </c>
      <c r="D25" s="1" t="s">
        <v>6</v>
      </c>
      <c r="E25" s="4" t="s">
        <v>8</v>
      </c>
    </row>
    <row r="26" spans="1:5" x14ac:dyDescent="0.25">
      <c r="A26" s="5" t="s">
        <v>220</v>
      </c>
      <c r="B26" s="2">
        <v>28.8</v>
      </c>
      <c r="C26" s="2" t="s">
        <v>11</v>
      </c>
      <c r="D26" s="2" t="s">
        <v>6</v>
      </c>
      <c r="E26" s="6" t="s">
        <v>8</v>
      </c>
    </row>
    <row r="27" spans="1:5" x14ac:dyDescent="0.25">
      <c r="A27" s="3" t="s">
        <v>221</v>
      </c>
      <c r="B27" s="1">
        <v>26.2</v>
      </c>
      <c r="C27" s="1" t="s">
        <v>9</v>
      </c>
      <c r="D27" s="1" t="s">
        <v>6</v>
      </c>
      <c r="E27" s="4" t="s">
        <v>8</v>
      </c>
    </row>
    <row r="28" spans="1:5" x14ac:dyDescent="0.25">
      <c r="A28" s="5" t="s">
        <v>223</v>
      </c>
      <c r="B28" s="2">
        <v>20.3</v>
      </c>
      <c r="C28" s="2" t="s">
        <v>8</v>
      </c>
      <c r="D28" s="2" t="s">
        <v>6</v>
      </c>
      <c r="E28" s="6" t="s">
        <v>9</v>
      </c>
    </row>
    <row r="29" spans="1:5" x14ac:dyDescent="0.25">
      <c r="A29" s="3" t="s">
        <v>227</v>
      </c>
      <c r="B29" s="1">
        <v>20.9</v>
      </c>
      <c r="C29" s="1" t="s">
        <v>8</v>
      </c>
      <c r="D29" s="1" t="s">
        <v>6</v>
      </c>
      <c r="E29" s="4" t="s">
        <v>10</v>
      </c>
    </row>
    <row r="30" spans="1:5" x14ac:dyDescent="0.25">
      <c r="A30" s="5" t="s">
        <v>228</v>
      </c>
      <c r="B30" s="2">
        <v>22.5</v>
      </c>
      <c r="C30" s="2" t="s">
        <v>11</v>
      </c>
      <c r="D30" s="2" t="s">
        <v>6</v>
      </c>
      <c r="E30" s="6" t="s">
        <v>11</v>
      </c>
    </row>
    <row r="31" spans="1:5" x14ac:dyDescent="0.25">
      <c r="A31" s="3" t="s">
        <v>261</v>
      </c>
      <c r="B31" s="1">
        <v>22.5</v>
      </c>
      <c r="C31" s="1" t="s">
        <v>5</v>
      </c>
      <c r="D31" s="1" t="s">
        <v>5</v>
      </c>
      <c r="E31" s="4" t="s">
        <v>5</v>
      </c>
    </row>
    <row r="32" spans="1:5" x14ac:dyDescent="0.25">
      <c r="A32" s="5" t="s">
        <v>262</v>
      </c>
      <c r="B32" s="2">
        <v>25.4</v>
      </c>
      <c r="C32" s="2" t="s">
        <v>10</v>
      </c>
      <c r="D32" s="2" t="s">
        <v>6</v>
      </c>
      <c r="E32" s="6" t="s">
        <v>8</v>
      </c>
    </row>
    <row r="33" spans="1:5" x14ac:dyDescent="0.25">
      <c r="A33" s="3" t="s">
        <v>263</v>
      </c>
      <c r="B33" s="1">
        <v>26.8</v>
      </c>
      <c r="C33" s="1" t="s">
        <v>12</v>
      </c>
      <c r="D33" s="1" t="s">
        <v>6</v>
      </c>
      <c r="E33" s="4" t="s">
        <v>8</v>
      </c>
    </row>
    <row r="34" spans="1:5" x14ac:dyDescent="0.25">
      <c r="A34" s="5" t="s">
        <v>264</v>
      </c>
      <c r="B34" s="2">
        <v>26.5</v>
      </c>
      <c r="C34" s="2" t="s">
        <v>12</v>
      </c>
      <c r="D34" s="2" t="s">
        <v>6</v>
      </c>
      <c r="E34" s="6" t="s">
        <v>8</v>
      </c>
    </row>
    <row r="35" spans="1:5" x14ac:dyDescent="0.25">
      <c r="A35" s="3" t="s">
        <v>266</v>
      </c>
      <c r="B35" s="1">
        <v>22.6</v>
      </c>
      <c r="C35" s="1" t="s">
        <v>8</v>
      </c>
      <c r="D35" s="1" t="s">
        <v>6</v>
      </c>
      <c r="E35" s="4" t="s">
        <v>9</v>
      </c>
    </row>
    <row r="36" spans="1:5" x14ac:dyDescent="0.25">
      <c r="A36" s="5" t="s">
        <v>273</v>
      </c>
      <c r="B36" s="2">
        <v>28.6</v>
      </c>
      <c r="C36" s="2" t="s">
        <v>11</v>
      </c>
      <c r="D36" s="2" t="s">
        <v>6</v>
      </c>
      <c r="E36" s="6" t="s">
        <v>11</v>
      </c>
    </row>
    <row r="37" spans="1:5" x14ac:dyDescent="0.25">
      <c r="A37" s="3" t="s">
        <v>275</v>
      </c>
      <c r="B37" s="1">
        <v>26.5</v>
      </c>
      <c r="C37" s="1" t="s">
        <v>5</v>
      </c>
      <c r="D37" s="1" t="s">
        <v>5</v>
      </c>
      <c r="E37" s="4" t="s">
        <v>5</v>
      </c>
    </row>
    <row r="38" spans="1:5" x14ac:dyDescent="0.25">
      <c r="A38" s="5" t="s">
        <v>276</v>
      </c>
      <c r="B38" s="2">
        <v>23.3</v>
      </c>
      <c r="C38" s="2" t="s">
        <v>11</v>
      </c>
      <c r="D38" s="2" t="s">
        <v>6</v>
      </c>
      <c r="E38" s="6" t="s">
        <v>8</v>
      </c>
    </row>
    <row r="39" spans="1:5" x14ac:dyDescent="0.25">
      <c r="A39" s="3" t="s">
        <v>308</v>
      </c>
      <c r="B39" s="1">
        <v>20</v>
      </c>
      <c r="C39" s="1" t="s">
        <v>11</v>
      </c>
      <c r="D39" s="1" t="s">
        <v>5</v>
      </c>
      <c r="E39" s="4" t="s">
        <v>5</v>
      </c>
    </row>
    <row r="40" spans="1:5" x14ac:dyDescent="0.25">
      <c r="A40" s="5" t="s">
        <v>318</v>
      </c>
      <c r="B40" s="2">
        <v>29.8</v>
      </c>
      <c r="C40" s="2" t="s">
        <v>9</v>
      </c>
      <c r="D40" s="2" t="s">
        <v>5</v>
      </c>
      <c r="E40" s="6" t="s">
        <v>5</v>
      </c>
    </row>
    <row r="41" spans="1:5" x14ac:dyDescent="0.25">
      <c r="A41" s="3" t="s">
        <v>320</v>
      </c>
      <c r="B41" s="1">
        <v>26.4</v>
      </c>
      <c r="C41" s="1" t="s">
        <v>5</v>
      </c>
      <c r="D41" s="1" t="s">
        <v>5</v>
      </c>
      <c r="E41" s="4" t="s">
        <v>5</v>
      </c>
    </row>
    <row r="42" spans="1:5" x14ac:dyDescent="0.25">
      <c r="A42" s="5" t="s">
        <v>321</v>
      </c>
      <c r="B42" s="2">
        <v>23.4</v>
      </c>
      <c r="C42" s="2" t="s">
        <v>10</v>
      </c>
      <c r="D42" s="2" t="s">
        <v>5</v>
      </c>
      <c r="E42" s="6" t="s">
        <v>5</v>
      </c>
    </row>
    <row r="43" spans="1:5" x14ac:dyDescent="0.25">
      <c r="A43" s="3" t="s">
        <v>322</v>
      </c>
      <c r="B43" s="1">
        <v>20.7</v>
      </c>
      <c r="C43" s="1" t="s">
        <v>11</v>
      </c>
      <c r="D43" s="1" t="s">
        <v>5</v>
      </c>
      <c r="E43" s="4" t="s">
        <v>5</v>
      </c>
    </row>
    <row r="44" spans="1:5" x14ac:dyDescent="0.25">
      <c r="A44" s="5" t="s">
        <v>325</v>
      </c>
      <c r="B44" s="2">
        <v>20</v>
      </c>
      <c r="C44" s="2" t="s">
        <v>12</v>
      </c>
      <c r="D44" s="2" t="s">
        <v>5</v>
      </c>
      <c r="E44" s="6" t="s">
        <v>5</v>
      </c>
    </row>
    <row r="45" spans="1:5" x14ac:dyDescent="0.25">
      <c r="A45" s="3" t="s">
        <v>326</v>
      </c>
      <c r="B45" s="1">
        <v>21.8</v>
      </c>
      <c r="C45" s="1" t="s">
        <v>11</v>
      </c>
      <c r="D45" s="1" t="s">
        <v>5</v>
      </c>
      <c r="E45" s="4" t="s">
        <v>5</v>
      </c>
    </row>
    <row r="46" spans="1:5" x14ac:dyDescent="0.25">
      <c r="A46" s="5" t="s">
        <v>329</v>
      </c>
      <c r="B46" s="2">
        <v>23.6</v>
      </c>
      <c r="C46" s="2" t="s">
        <v>12</v>
      </c>
      <c r="D46" s="2" t="s">
        <v>5</v>
      </c>
      <c r="E46" s="6" t="s">
        <v>5</v>
      </c>
    </row>
    <row r="47" spans="1:5" x14ac:dyDescent="0.25">
      <c r="A47" s="3" t="s">
        <v>330</v>
      </c>
      <c r="B47" s="1">
        <v>21.3</v>
      </c>
      <c r="C47" s="1" t="s">
        <v>10</v>
      </c>
      <c r="D47" s="1" t="s">
        <v>5</v>
      </c>
      <c r="E47" s="4" t="s">
        <v>5</v>
      </c>
    </row>
    <row r="48" spans="1:5" x14ac:dyDescent="0.25">
      <c r="A48" s="5" t="s">
        <v>360</v>
      </c>
      <c r="B48" s="2">
        <v>21.4</v>
      </c>
      <c r="C48" s="2" t="s">
        <v>11</v>
      </c>
      <c r="D48" s="2" t="s">
        <v>5</v>
      </c>
      <c r="E48" s="6" t="s">
        <v>5</v>
      </c>
    </row>
    <row r="49" spans="1:5" x14ac:dyDescent="0.25">
      <c r="A49" s="3" t="s">
        <v>361</v>
      </c>
      <c r="B49" s="1">
        <v>24.4</v>
      </c>
      <c r="C49" s="1" t="s">
        <v>11</v>
      </c>
      <c r="D49" s="1" t="s">
        <v>5</v>
      </c>
      <c r="E49" s="4" t="s">
        <v>5</v>
      </c>
    </row>
    <row r="50" spans="1:5" x14ac:dyDescent="0.25">
      <c r="A50" s="5" t="s">
        <v>364</v>
      </c>
      <c r="B50" s="2">
        <v>24.1</v>
      </c>
      <c r="C50" s="2" t="s">
        <v>5</v>
      </c>
      <c r="D50" s="2" t="s">
        <v>5</v>
      </c>
      <c r="E50" s="6" t="s">
        <v>5</v>
      </c>
    </row>
    <row r="51" spans="1:5" x14ac:dyDescent="0.25">
      <c r="A51" s="3" t="s">
        <v>365</v>
      </c>
      <c r="B51" s="1">
        <v>22</v>
      </c>
      <c r="C51" s="1" t="s">
        <v>11</v>
      </c>
      <c r="D51" s="1" t="s">
        <v>5</v>
      </c>
      <c r="E51" s="4" t="s">
        <v>5</v>
      </c>
    </row>
    <row r="52" spans="1:5" x14ac:dyDescent="0.25">
      <c r="A52" s="5" t="s">
        <v>366</v>
      </c>
      <c r="B52" s="2">
        <v>20.3</v>
      </c>
      <c r="C52" s="2" t="s">
        <v>11</v>
      </c>
      <c r="D52" s="2" t="s">
        <v>5</v>
      </c>
      <c r="E52" s="6" t="s">
        <v>5</v>
      </c>
    </row>
    <row r="53" spans="1:5" x14ac:dyDescent="0.25">
      <c r="A53" s="3" t="s">
        <v>370</v>
      </c>
      <c r="B53" s="1">
        <v>25</v>
      </c>
      <c r="C53" s="1" t="s">
        <v>9</v>
      </c>
      <c r="D53" s="1" t="s">
        <v>5</v>
      </c>
      <c r="E53" s="4" t="s">
        <v>5</v>
      </c>
    </row>
    <row r="54" spans="1:5" x14ac:dyDescent="0.25">
      <c r="A54" s="5" t="s">
        <v>371</v>
      </c>
      <c r="B54" s="2">
        <v>27.5</v>
      </c>
      <c r="C54" s="2" t="s">
        <v>11</v>
      </c>
      <c r="D54" s="2" t="s">
        <v>5</v>
      </c>
      <c r="E54" s="6" t="s">
        <v>5</v>
      </c>
    </row>
    <row r="55" spans="1:5" x14ac:dyDescent="0.25">
      <c r="A55" s="3" t="s">
        <v>373</v>
      </c>
      <c r="B55" s="1">
        <v>29</v>
      </c>
      <c r="C55" s="1" t="s">
        <v>9</v>
      </c>
      <c r="D55" s="1" t="s">
        <v>5</v>
      </c>
      <c r="E55" s="4" t="s">
        <v>5</v>
      </c>
    </row>
    <row r="56" spans="1:5" x14ac:dyDescent="0.25">
      <c r="A56" s="5" t="s">
        <v>420</v>
      </c>
      <c r="B56" s="2">
        <v>23.6</v>
      </c>
      <c r="C56" s="2" t="s">
        <v>5</v>
      </c>
      <c r="D56" s="2" t="s">
        <v>5</v>
      </c>
      <c r="E56" s="6" t="s">
        <v>5</v>
      </c>
    </row>
    <row r="57" spans="1:5" x14ac:dyDescent="0.25">
      <c r="A57" s="3" t="s">
        <v>421</v>
      </c>
      <c r="B57" s="1">
        <v>21</v>
      </c>
      <c r="C57" s="1" t="s">
        <v>8</v>
      </c>
      <c r="D57" s="1" t="s">
        <v>5</v>
      </c>
      <c r="E57" s="4" t="s">
        <v>5</v>
      </c>
    </row>
    <row r="58" spans="1:5" x14ac:dyDescent="0.25">
      <c r="A58" s="5" t="s">
        <v>425</v>
      </c>
      <c r="B58" s="2">
        <v>22.7</v>
      </c>
      <c r="C58" s="2" t="s">
        <v>11</v>
      </c>
      <c r="D58" s="2" t="s">
        <v>5</v>
      </c>
      <c r="E58" s="6" t="s">
        <v>5</v>
      </c>
    </row>
    <row r="59" spans="1:5" x14ac:dyDescent="0.25">
      <c r="A59" s="3" t="s">
        <v>426</v>
      </c>
      <c r="B59" s="1">
        <v>24.5</v>
      </c>
      <c r="C59" s="1" t="s">
        <v>12</v>
      </c>
      <c r="D59" s="1" t="s">
        <v>5</v>
      </c>
      <c r="E59" s="4" t="s">
        <v>5</v>
      </c>
    </row>
    <row r="60" spans="1:5" x14ac:dyDescent="0.25">
      <c r="A60" s="5" t="s">
        <v>467</v>
      </c>
      <c r="B60" s="2">
        <v>20</v>
      </c>
      <c r="C60" s="2" t="s">
        <v>5</v>
      </c>
      <c r="D60" s="2" t="s">
        <v>5</v>
      </c>
      <c r="E60" s="6" t="s">
        <v>5</v>
      </c>
    </row>
    <row r="61" spans="1:5" x14ac:dyDescent="0.25">
      <c r="A61" s="3" t="s">
        <v>468</v>
      </c>
      <c r="B61" s="1">
        <v>22.1</v>
      </c>
      <c r="C61" s="1" t="s">
        <v>8</v>
      </c>
      <c r="D61" s="1" t="s">
        <v>5</v>
      </c>
      <c r="E61" s="4" t="s">
        <v>5</v>
      </c>
    </row>
    <row r="62" spans="1:5" x14ac:dyDescent="0.25">
      <c r="A62" s="5" t="s">
        <v>469</v>
      </c>
      <c r="B62" s="2">
        <v>25</v>
      </c>
      <c r="C62" s="2" t="s">
        <v>11</v>
      </c>
      <c r="D62" s="2" t="s">
        <v>5</v>
      </c>
      <c r="E62" s="6" t="s">
        <v>5</v>
      </c>
    </row>
    <row r="63" spans="1:5" x14ac:dyDescent="0.25">
      <c r="A63" s="3" t="s">
        <v>470</v>
      </c>
      <c r="B63" s="1">
        <v>27.7</v>
      </c>
      <c r="C63" s="1" t="s">
        <v>8</v>
      </c>
      <c r="D63" s="1" t="s">
        <v>5</v>
      </c>
      <c r="E63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216A-3872-4B17-87CF-7DBCDF89E212}">
  <dimension ref="A1:F501"/>
  <sheetViews>
    <sheetView topLeftCell="A442" zoomScale="130" zoomScaleNormal="130" workbookViewId="0">
      <selection activeCell="I437" sqref="I437"/>
    </sheetView>
  </sheetViews>
  <sheetFormatPr defaultRowHeight="15" x14ac:dyDescent="0.25"/>
  <cols>
    <col min="1" max="1" width="9.140625" customWidth="1"/>
    <col min="4" max="4" width="17.85546875" customWidth="1"/>
    <col min="5" max="5" width="9.140625" customWidth="1"/>
    <col min="6" max="6" width="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508</v>
      </c>
    </row>
    <row r="2" spans="1:6" x14ac:dyDescent="0.25">
      <c r="A2" t="s">
        <v>8</v>
      </c>
      <c r="B2">
        <v>19</v>
      </c>
      <c r="C2" t="s">
        <v>5</v>
      </c>
      <c r="D2" t="s">
        <v>5</v>
      </c>
      <c r="E2" t="s">
        <v>5</v>
      </c>
      <c r="F2">
        <v>1</v>
      </c>
    </row>
    <row r="3" spans="1:6" x14ac:dyDescent="0.25">
      <c r="A3" t="s">
        <v>9</v>
      </c>
      <c r="B3">
        <v>22</v>
      </c>
      <c r="C3" t="s">
        <v>8</v>
      </c>
      <c r="D3" t="s">
        <v>6</v>
      </c>
      <c r="E3" t="s">
        <v>8</v>
      </c>
      <c r="F3">
        <f>IF(B3&gt;B2,F2+1,0)</f>
        <v>2</v>
      </c>
    </row>
    <row r="4" spans="1:6" x14ac:dyDescent="0.25">
      <c r="A4" t="s">
        <v>10</v>
      </c>
      <c r="B4">
        <v>23.6</v>
      </c>
      <c r="C4" t="s">
        <v>11</v>
      </c>
      <c r="D4" t="s">
        <v>6</v>
      </c>
      <c r="E4" t="s">
        <v>8</v>
      </c>
      <c r="F4">
        <f t="shared" ref="F4:F67" si="0">IF(B4&gt;B3,F3+1,0)</f>
        <v>3</v>
      </c>
    </row>
    <row r="5" spans="1:6" x14ac:dyDescent="0.25">
      <c r="A5" t="s">
        <v>11</v>
      </c>
      <c r="B5">
        <v>23.6</v>
      </c>
      <c r="C5" t="s">
        <v>11</v>
      </c>
      <c r="D5" t="s">
        <v>6</v>
      </c>
      <c r="E5" t="s">
        <v>8</v>
      </c>
      <c r="F5">
        <f t="shared" si="0"/>
        <v>0</v>
      </c>
    </row>
    <row r="6" spans="1:6" x14ac:dyDescent="0.25">
      <c r="A6" t="s">
        <v>12</v>
      </c>
      <c r="B6">
        <v>22.3</v>
      </c>
      <c r="C6" t="s">
        <v>13</v>
      </c>
      <c r="D6" t="s">
        <v>6</v>
      </c>
      <c r="E6" t="s">
        <v>9</v>
      </c>
      <c r="F6">
        <f t="shared" si="0"/>
        <v>0</v>
      </c>
    </row>
    <row r="7" spans="1:6" x14ac:dyDescent="0.25">
      <c r="A7" t="s">
        <v>14</v>
      </c>
      <c r="B7">
        <v>20.399999999999999</v>
      </c>
      <c r="C7" t="s">
        <v>15</v>
      </c>
      <c r="D7" t="s">
        <v>6</v>
      </c>
      <c r="E7" t="s">
        <v>9</v>
      </c>
      <c r="F7">
        <f t="shared" si="0"/>
        <v>0</v>
      </c>
    </row>
    <row r="8" spans="1:6" x14ac:dyDescent="0.25">
      <c r="A8" t="s">
        <v>16</v>
      </c>
      <c r="B8">
        <v>18.899999999999999</v>
      </c>
      <c r="C8" t="s">
        <v>13</v>
      </c>
      <c r="D8" t="s">
        <v>6</v>
      </c>
      <c r="E8" t="s">
        <v>9</v>
      </c>
      <c r="F8">
        <f t="shared" si="0"/>
        <v>0</v>
      </c>
    </row>
    <row r="9" spans="1:6" x14ac:dyDescent="0.25">
      <c r="A9" t="s">
        <v>15</v>
      </c>
      <c r="B9">
        <v>18.5</v>
      </c>
      <c r="C9" t="s">
        <v>17</v>
      </c>
      <c r="D9" t="s">
        <v>6</v>
      </c>
      <c r="E9" t="s">
        <v>10</v>
      </c>
      <c r="F9">
        <f t="shared" si="0"/>
        <v>0</v>
      </c>
    </row>
    <row r="10" spans="1:6" x14ac:dyDescent="0.25">
      <c r="A10" t="s">
        <v>18</v>
      </c>
      <c r="B10">
        <v>19.5</v>
      </c>
      <c r="C10" t="s">
        <v>19</v>
      </c>
      <c r="D10" t="s">
        <v>6</v>
      </c>
      <c r="E10" t="s">
        <v>10</v>
      </c>
      <c r="F10">
        <f t="shared" si="0"/>
        <v>1</v>
      </c>
    </row>
    <row r="11" spans="1:6" x14ac:dyDescent="0.25">
      <c r="A11" t="s">
        <v>13</v>
      </c>
      <c r="B11">
        <v>21.8</v>
      </c>
      <c r="C11" t="s">
        <v>20</v>
      </c>
      <c r="D11" t="s">
        <v>6</v>
      </c>
      <c r="E11" t="s">
        <v>10</v>
      </c>
      <c r="F11">
        <f t="shared" si="0"/>
        <v>2</v>
      </c>
    </row>
    <row r="12" spans="1:6" x14ac:dyDescent="0.25">
      <c r="A12" t="s">
        <v>17</v>
      </c>
      <c r="B12">
        <v>24.8</v>
      </c>
      <c r="C12" t="s">
        <v>10</v>
      </c>
      <c r="D12" t="s">
        <v>6</v>
      </c>
      <c r="E12" t="s">
        <v>11</v>
      </c>
      <c r="F12">
        <f t="shared" si="0"/>
        <v>3</v>
      </c>
    </row>
    <row r="13" spans="1:6" x14ac:dyDescent="0.25">
      <c r="A13" t="s">
        <v>21</v>
      </c>
      <c r="B13">
        <v>27.7</v>
      </c>
      <c r="C13" t="s">
        <v>22</v>
      </c>
      <c r="D13" t="s">
        <v>6</v>
      </c>
      <c r="E13" t="s">
        <v>11</v>
      </c>
      <c r="F13">
        <f t="shared" si="0"/>
        <v>4</v>
      </c>
    </row>
    <row r="14" spans="1:6" x14ac:dyDescent="0.25">
      <c r="A14" t="s">
        <v>23</v>
      </c>
      <c r="B14">
        <v>29.5</v>
      </c>
      <c r="C14" t="s">
        <v>24</v>
      </c>
      <c r="D14" t="s">
        <v>6</v>
      </c>
      <c r="E14" t="s">
        <v>11</v>
      </c>
      <c r="F14">
        <f t="shared" si="0"/>
        <v>5</v>
      </c>
    </row>
    <row r="15" spans="1:6" x14ac:dyDescent="0.25">
      <c r="A15" t="s">
        <v>19</v>
      </c>
      <c r="B15">
        <v>29.8</v>
      </c>
      <c r="C15" t="s">
        <v>20</v>
      </c>
      <c r="D15" t="s">
        <v>6</v>
      </c>
      <c r="E15" t="s">
        <v>12</v>
      </c>
      <c r="F15">
        <f t="shared" si="0"/>
        <v>6</v>
      </c>
    </row>
    <row r="16" spans="1:6" x14ac:dyDescent="0.25">
      <c r="A16" t="s">
        <v>20</v>
      </c>
      <c r="B16">
        <v>28.3</v>
      </c>
      <c r="C16" t="s">
        <v>25</v>
      </c>
      <c r="D16" t="s">
        <v>6</v>
      </c>
      <c r="E16" t="s">
        <v>12</v>
      </c>
      <c r="F16">
        <f t="shared" si="0"/>
        <v>0</v>
      </c>
    </row>
    <row r="17" spans="1:6" x14ac:dyDescent="0.25">
      <c r="A17" t="s">
        <v>26</v>
      </c>
      <c r="B17">
        <v>25.5</v>
      </c>
      <c r="C17" t="s">
        <v>5</v>
      </c>
      <c r="D17" t="s">
        <v>5</v>
      </c>
      <c r="E17" t="s">
        <v>5</v>
      </c>
      <c r="F17">
        <f t="shared" si="0"/>
        <v>0</v>
      </c>
    </row>
    <row r="18" spans="1:6" x14ac:dyDescent="0.25">
      <c r="A18" t="s">
        <v>24</v>
      </c>
      <c r="B18">
        <v>22</v>
      </c>
      <c r="C18" t="s">
        <v>9</v>
      </c>
      <c r="D18" t="s">
        <v>6</v>
      </c>
      <c r="E18" t="s">
        <v>8</v>
      </c>
      <c r="F18">
        <f t="shared" si="0"/>
        <v>0</v>
      </c>
    </row>
    <row r="19" spans="1:6" x14ac:dyDescent="0.25">
      <c r="A19" t="s">
        <v>27</v>
      </c>
      <c r="B19">
        <v>18.899999999999999</v>
      </c>
      <c r="C19" t="s">
        <v>8</v>
      </c>
      <c r="D19" t="s">
        <v>6</v>
      </c>
      <c r="E19" t="s">
        <v>8</v>
      </c>
      <c r="F19">
        <f t="shared" si="0"/>
        <v>0</v>
      </c>
    </row>
    <row r="20" spans="1:6" x14ac:dyDescent="0.25">
      <c r="A20" t="s">
        <v>28</v>
      </c>
      <c r="B20">
        <v>16.899999999999999</v>
      </c>
      <c r="C20" t="s">
        <v>8</v>
      </c>
      <c r="D20" t="s">
        <v>6</v>
      </c>
      <c r="E20" t="s">
        <v>8</v>
      </c>
      <c r="F20">
        <f t="shared" si="0"/>
        <v>0</v>
      </c>
    </row>
    <row r="21" spans="1:6" x14ac:dyDescent="0.25">
      <c r="A21" t="s">
        <v>29</v>
      </c>
      <c r="B21">
        <v>16.3</v>
      </c>
      <c r="C21" t="s">
        <v>21</v>
      </c>
      <c r="D21" t="s">
        <v>6</v>
      </c>
      <c r="E21" t="s">
        <v>9</v>
      </c>
      <c r="F21">
        <f t="shared" si="0"/>
        <v>0</v>
      </c>
    </row>
    <row r="22" spans="1:6" x14ac:dyDescent="0.25">
      <c r="A22" t="s">
        <v>30</v>
      </c>
      <c r="B22">
        <v>17.100000000000001</v>
      </c>
      <c r="C22" t="s">
        <v>17</v>
      </c>
      <c r="D22" t="s">
        <v>6</v>
      </c>
      <c r="E22" t="s">
        <v>9</v>
      </c>
      <c r="F22">
        <f t="shared" si="0"/>
        <v>1</v>
      </c>
    </row>
    <row r="23" spans="1:6" x14ac:dyDescent="0.25">
      <c r="A23" t="s">
        <v>25</v>
      </c>
      <c r="B23">
        <v>18.7</v>
      </c>
      <c r="C23" t="s">
        <v>14</v>
      </c>
      <c r="D23" t="s">
        <v>6</v>
      </c>
      <c r="E23" t="s">
        <v>9</v>
      </c>
      <c r="F23">
        <f t="shared" si="0"/>
        <v>2</v>
      </c>
    </row>
    <row r="24" spans="1:6" x14ac:dyDescent="0.25">
      <c r="A24" t="s">
        <v>22</v>
      </c>
      <c r="B24">
        <v>20.2</v>
      </c>
      <c r="C24" t="s">
        <v>27</v>
      </c>
      <c r="D24" t="s">
        <v>6</v>
      </c>
      <c r="E24" t="s">
        <v>9</v>
      </c>
      <c r="F24">
        <f t="shared" si="0"/>
        <v>3</v>
      </c>
    </row>
    <row r="25" spans="1:6" x14ac:dyDescent="0.25">
      <c r="A25" t="s">
        <v>31</v>
      </c>
      <c r="B25">
        <v>20.8</v>
      </c>
      <c r="C25" t="s">
        <v>20</v>
      </c>
      <c r="D25" t="s">
        <v>6</v>
      </c>
      <c r="E25" t="s">
        <v>10</v>
      </c>
      <c r="F25">
        <f t="shared" si="0"/>
        <v>4</v>
      </c>
    </row>
    <row r="26" spans="1:6" x14ac:dyDescent="0.25">
      <c r="A26" t="s">
        <v>32</v>
      </c>
      <c r="B26">
        <v>19.899999999999999</v>
      </c>
      <c r="C26" t="s">
        <v>12</v>
      </c>
      <c r="D26" t="s">
        <v>6</v>
      </c>
      <c r="E26" t="s">
        <v>10</v>
      </c>
      <c r="F26">
        <f t="shared" si="0"/>
        <v>0</v>
      </c>
    </row>
    <row r="27" spans="1:6" x14ac:dyDescent="0.25">
      <c r="A27" t="s">
        <v>33</v>
      </c>
      <c r="B27">
        <v>17.5</v>
      </c>
      <c r="C27" t="s">
        <v>28</v>
      </c>
      <c r="D27" t="s">
        <v>6</v>
      </c>
      <c r="E27" t="s">
        <v>11</v>
      </c>
      <c r="F27">
        <f t="shared" si="0"/>
        <v>0</v>
      </c>
    </row>
    <row r="28" spans="1:6" x14ac:dyDescent="0.25">
      <c r="A28" t="s">
        <v>34</v>
      </c>
      <c r="B28">
        <v>13.9</v>
      </c>
      <c r="C28" t="s">
        <v>27</v>
      </c>
      <c r="D28" t="s">
        <v>6</v>
      </c>
      <c r="E28" t="s">
        <v>11</v>
      </c>
      <c r="F28">
        <f t="shared" si="0"/>
        <v>0</v>
      </c>
    </row>
    <row r="29" spans="1:6" x14ac:dyDescent="0.25">
      <c r="A29" t="s">
        <v>35</v>
      </c>
      <c r="B29">
        <v>9.9</v>
      </c>
      <c r="C29" t="s">
        <v>11</v>
      </c>
      <c r="D29" t="s">
        <v>6</v>
      </c>
      <c r="E29" t="s">
        <v>11</v>
      </c>
      <c r="F29">
        <f t="shared" si="0"/>
        <v>0</v>
      </c>
    </row>
    <row r="30" spans="1:6" x14ac:dyDescent="0.25">
      <c r="A30" t="s">
        <v>36</v>
      </c>
      <c r="B30">
        <v>6.4</v>
      </c>
      <c r="C30" t="s">
        <v>24</v>
      </c>
      <c r="D30" t="s">
        <v>6</v>
      </c>
      <c r="E30" t="s">
        <v>12</v>
      </c>
      <c r="F30">
        <f t="shared" si="0"/>
        <v>0</v>
      </c>
    </row>
    <row r="31" spans="1:6" x14ac:dyDescent="0.25">
      <c r="A31" t="s">
        <v>37</v>
      </c>
      <c r="B31">
        <v>4.2</v>
      </c>
      <c r="C31" t="s">
        <v>19</v>
      </c>
      <c r="D31" t="s">
        <v>6</v>
      </c>
      <c r="E31" t="s">
        <v>12</v>
      </c>
      <c r="F31">
        <f t="shared" si="0"/>
        <v>0</v>
      </c>
    </row>
    <row r="32" spans="1:6" x14ac:dyDescent="0.25">
      <c r="A32" t="s">
        <v>38</v>
      </c>
      <c r="B32">
        <v>3.6</v>
      </c>
      <c r="C32" t="s">
        <v>21</v>
      </c>
      <c r="D32" t="s">
        <v>6</v>
      </c>
      <c r="E32" t="s">
        <v>12</v>
      </c>
      <c r="F32">
        <f t="shared" si="0"/>
        <v>0</v>
      </c>
    </row>
    <row r="33" spans="1:6" x14ac:dyDescent="0.25">
      <c r="A33" t="s">
        <v>39</v>
      </c>
      <c r="B33">
        <v>4.5999999999999996</v>
      </c>
      <c r="C33" t="s">
        <v>17</v>
      </c>
      <c r="D33" t="s">
        <v>6</v>
      </c>
      <c r="E33" t="s">
        <v>12</v>
      </c>
      <c r="F33">
        <f t="shared" si="0"/>
        <v>1</v>
      </c>
    </row>
    <row r="34" spans="1:6" x14ac:dyDescent="0.25">
      <c r="A34" t="s">
        <v>40</v>
      </c>
      <c r="B34">
        <v>6.6</v>
      </c>
      <c r="C34" t="s">
        <v>24</v>
      </c>
      <c r="D34" t="s">
        <v>6</v>
      </c>
      <c r="E34" t="s">
        <v>12</v>
      </c>
      <c r="F34">
        <f t="shared" si="0"/>
        <v>2</v>
      </c>
    </row>
    <row r="35" spans="1:6" x14ac:dyDescent="0.25">
      <c r="A35" t="s">
        <v>41</v>
      </c>
      <c r="B35">
        <v>8.6999999999999993</v>
      </c>
      <c r="C35" t="s">
        <v>33</v>
      </c>
      <c r="D35" t="s">
        <v>6</v>
      </c>
      <c r="E35" t="s">
        <v>12</v>
      </c>
      <c r="F35">
        <f t="shared" si="0"/>
        <v>3</v>
      </c>
    </row>
    <row r="36" spans="1:6" x14ac:dyDescent="0.25">
      <c r="A36" t="s">
        <v>42</v>
      </c>
      <c r="B36">
        <v>10</v>
      </c>
      <c r="C36" t="s">
        <v>5</v>
      </c>
      <c r="D36" t="s">
        <v>5</v>
      </c>
      <c r="E36" t="s">
        <v>5</v>
      </c>
      <c r="F36">
        <f t="shared" si="0"/>
        <v>4</v>
      </c>
    </row>
    <row r="37" spans="1:6" x14ac:dyDescent="0.25">
      <c r="A37" t="s">
        <v>43</v>
      </c>
      <c r="B37">
        <v>10.1</v>
      </c>
      <c r="C37" t="s">
        <v>10</v>
      </c>
      <c r="D37" t="s">
        <v>6</v>
      </c>
      <c r="E37" t="s">
        <v>8</v>
      </c>
      <c r="F37">
        <f t="shared" si="0"/>
        <v>5</v>
      </c>
    </row>
    <row r="38" spans="1:6" x14ac:dyDescent="0.25">
      <c r="A38" t="s">
        <v>44</v>
      </c>
      <c r="B38">
        <v>8.8000000000000007</v>
      </c>
      <c r="C38" t="s">
        <v>10</v>
      </c>
      <c r="D38" t="s">
        <v>6</v>
      </c>
      <c r="E38" t="s">
        <v>8</v>
      </c>
      <c r="F38">
        <f t="shared" si="0"/>
        <v>0</v>
      </c>
    </row>
    <row r="39" spans="1:6" x14ac:dyDescent="0.25">
      <c r="A39" t="s">
        <v>45</v>
      </c>
      <c r="B39">
        <v>6.4</v>
      </c>
      <c r="C39" t="s">
        <v>12</v>
      </c>
      <c r="D39" t="s">
        <v>6</v>
      </c>
      <c r="E39" t="s">
        <v>8</v>
      </c>
      <c r="F39">
        <f t="shared" si="0"/>
        <v>0</v>
      </c>
    </row>
    <row r="40" spans="1:6" x14ac:dyDescent="0.25">
      <c r="A40" t="s">
        <v>46</v>
      </c>
      <c r="B40">
        <v>3.8</v>
      </c>
      <c r="C40" t="s">
        <v>17</v>
      </c>
      <c r="D40" t="s">
        <v>6</v>
      </c>
      <c r="E40" t="s">
        <v>9</v>
      </c>
      <c r="F40">
        <f t="shared" si="0"/>
        <v>0</v>
      </c>
    </row>
    <row r="41" spans="1:6" x14ac:dyDescent="0.25">
      <c r="A41" t="s">
        <v>47</v>
      </c>
      <c r="B41">
        <v>1.7</v>
      </c>
      <c r="C41" t="s">
        <v>14</v>
      </c>
      <c r="D41" t="s">
        <v>6</v>
      </c>
      <c r="E41" t="s">
        <v>9</v>
      </c>
      <c r="F41">
        <f t="shared" si="0"/>
        <v>0</v>
      </c>
    </row>
    <row r="42" spans="1:6" x14ac:dyDescent="0.25">
      <c r="A42" t="s">
        <v>48</v>
      </c>
      <c r="B42">
        <v>1</v>
      </c>
      <c r="C42" t="s">
        <v>10</v>
      </c>
      <c r="D42" t="s">
        <v>6</v>
      </c>
      <c r="E42" t="s">
        <v>9</v>
      </c>
      <c r="F42">
        <f t="shared" si="0"/>
        <v>0</v>
      </c>
    </row>
    <row r="43" spans="1:6" x14ac:dyDescent="0.25">
      <c r="A43" t="s">
        <v>49</v>
      </c>
      <c r="B43">
        <v>2</v>
      </c>
      <c r="C43" t="s">
        <v>24</v>
      </c>
      <c r="D43" t="s">
        <v>6</v>
      </c>
      <c r="E43" t="s">
        <v>10</v>
      </c>
      <c r="F43">
        <f t="shared" si="0"/>
        <v>1</v>
      </c>
    </row>
    <row r="44" spans="1:6" x14ac:dyDescent="0.25">
      <c r="A44" t="s">
        <v>50</v>
      </c>
      <c r="B44">
        <v>4.5999999999999996</v>
      </c>
      <c r="C44" t="s">
        <v>12</v>
      </c>
      <c r="D44" t="s">
        <v>6</v>
      </c>
      <c r="E44" t="s">
        <v>10</v>
      </c>
      <c r="F44">
        <f t="shared" si="0"/>
        <v>2</v>
      </c>
    </row>
    <row r="45" spans="1:6" x14ac:dyDescent="0.25">
      <c r="A45" t="s">
        <v>51</v>
      </c>
      <c r="B45">
        <v>8.1999999999999993</v>
      </c>
      <c r="C45" t="s">
        <v>15</v>
      </c>
      <c r="D45" t="s">
        <v>6</v>
      </c>
      <c r="E45" t="s">
        <v>10</v>
      </c>
      <c r="F45">
        <f t="shared" si="0"/>
        <v>3</v>
      </c>
    </row>
    <row r="46" spans="1:6" x14ac:dyDescent="0.25">
      <c r="A46" t="s">
        <v>52</v>
      </c>
      <c r="B46">
        <v>11.8</v>
      </c>
      <c r="C46" t="s">
        <v>9</v>
      </c>
      <c r="D46" t="s">
        <v>6</v>
      </c>
      <c r="E46" t="s">
        <v>11</v>
      </c>
      <c r="F46">
        <f t="shared" si="0"/>
        <v>4</v>
      </c>
    </row>
    <row r="47" spans="1:6" x14ac:dyDescent="0.25">
      <c r="A47" t="s">
        <v>53</v>
      </c>
      <c r="B47">
        <v>14.7</v>
      </c>
      <c r="C47" t="s">
        <v>8</v>
      </c>
      <c r="D47" t="s">
        <v>6</v>
      </c>
      <c r="E47" t="s">
        <v>11</v>
      </c>
      <c r="F47">
        <f t="shared" si="0"/>
        <v>5</v>
      </c>
    </row>
    <row r="48" spans="1:6" x14ac:dyDescent="0.25">
      <c r="A48" t="s">
        <v>54</v>
      </c>
      <c r="B48">
        <v>16.3</v>
      </c>
      <c r="C48" t="s">
        <v>17</v>
      </c>
      <c r="D48" t="s">
        <v>6</v>
      </c>
      <c r="E48" t="s">
        <v>11</v>
      </c>
      <c r="F48">
        <f t="shared" si="0"/>
        <v>6</v>
      </c>
    </row>
    <row r="49" spans="1:6" x14ac:dyDescent="0.25">
      <c r="A49" t="s">
        <v>55</v>
      </c>
      <c r="B49">
        <v>16.3</v>
      </c>
      <c r="C49" t="s">
        <v>32</v>
      </c>
      <c r="D49" t="s">
        <v>6</v>
      </c>
      <c r="E49" t="s">
        <v>12</v>
      </c>
      <c r="F49">
        <f t="shared" si="0"/>
        <v>0</v>
      </c>
    </row>
    <row r="50" spans="1:6" x14ac:dyDescent="0.25">
      <c r="A50" t="s">
        <v>56</v>
      </c>
      <c r="B50">
        <v>15.2</v>
      </c>
      <c r="C50" t="s">
        <v>5</v>
      </c>
      <c r="D50" t="s">
        <v>5</v>
      </c>
      <c r="E50" t="s">
        <v>5</v>
      </c>
      <c r="F50">
        <f t="shared" si="0"/>
        <v>0</v>
      </c>
    </row>
    <row r="51" spans="1:6" x14ac:dyDescent="0.25">
      <c r="A51" t="s">
        <v>57</v>
      </c>
      <c r="B51">
        <v>13.6</v>
      </c>
      <c r="C51" t="s">
        <v>9</v>
      </c>
      <c r="D51" t="s">
        <v>6</v>
      </c>
      <c r="E51" t="s">
        <v>8</v>
      </c>
      <c r="F51">
        <f t="shared" si="0"/>
        <v>0</v>
      </c>
    </row>
    <row r="52" spans="1:6" x14ac:dyDescent="0.25">
      <c r="A52" t="s">
        <v>58</v>
      </c>
      <c r="B52">
        <v>12.5</v>
      </c>
      <c r="C52" t="s">
        <v>10</v>
      </c>
      <c r="D52" t="s">
        <v>6</v>
      </c>
      <c r="E52" t="s">
        <v>8</v>
      </c>
      <c r="F52">
        <f t="shared" si="0"/>
        <v>0</v>
      </c>
    </row>
    <row r="53" spans="1:6" x14ac:dyDescent="0.25">
      <c r="A53" t="s">
        <v>59</v>
      </c>
      <c r="B53">
        <v>12.5</v>
      </c>
      <c r="C53" t="s">
        <v>9</v>
      </c>
      <c r="D53" t="s">
        <v>6</v>
      </c>
      <c r="E53" t="s">
        <v>8</v>
      </c>
      <c r="F53">
        <f t="shared" si="0"/>
        <v>0</v>
      </c>
    </row>
    <row r="54" spans="1:6" x14ac:dyDescent="0.25">
      <c r="A54" t="s">
        <v>60</v>
      </c>
      <c r="B54">
        <v>14.1</v>
      </c>
      <c r="C54" t="s">
        <v>11</v>
      </c>
      <c r="D54" t="s">
        <v>6</v>
      </c>
      <c r="E54" t="s">
        <v>9</v>
      </c>
      <c r="F54">
        <f t="shared" si="0"/>
        <v>1</v>
      </c>
    </row>
    <row r="55" spans="1:6" x14ac:dyDescent="0.25">
      <c r="A55" t="s">
        <v>61</v>
      </c>
      <c r="B55">
        <v>17.100000000000001</v>
      </c>
      <c r="C55" t="s">
        <v>12</v>
      </c>
      <c r="D55" t="s">
        <v>6</v>
      </c>
      <c r="E55" t="s">
        <v>9</v>
      </c>
      <c r="F55">
        <f t="shared" si="0"/>
        <v>2</v>
      </c>
    </row>
    <row r="56" spans="1:6" x14ac:dyDescent="0.25">
      <c r="A56" t="s">
        <v>62</v>
      </c>
      <c r="B56">
        <v>20.9</v>
      </c>
      <c r="C56" t="s">
        <v>18</v>
      </c>
      <c r="D56" t="s">
        <v>6</v>
      </c>
      <c r="E56" t="s">
        <v>9</v>
      </c>
      <c r="F56">
        <f t="shared" si="0"/>
        <v>3</v>
      </c>
    </row>
    <row r="57" spans="1:6" x14ac:dyDescent="0.25">
      <c r="A57" t="s">
        <v>63</v>
      </c>
      <c r="B57">
        <v>24.5</v>
      </c>
      <c r="C57" t="s">
        <v>9</v>
      </c>
      <c r="D57" t="s">
        <v>6</v>
      </c>
      <c r="E57" t="s">
        <v>10</v>
      </c>
      <c r="F57">
        <f t="shared" si="0"/>
        <v>4</v>
      </c>
    </row>
    <row r="58" spans="1:6" x14ac:dyDescent="0.25">
      <c r="A58" t="s">
        <v>64</v>
      </c>
      <c r="B58">
        <v>27.3</v>
      </c>
      <c r="C58" t="s">
        <v>26</v>
      </c>
      <c r="D58" t="s">
        <v>6</v>
      </c>
      <c r="E58" t="s">
        <v>10</v>
      </c>
      <c r="F58">
        <f t="shared" si="0"/>
        <v>5</v>
      </c>
    </row>
    <row r="59" spans="1:6" x14ac:dyDescent="0.25">
      <c r="A59" t="s">
        <v>65</v>
      </c>
      <c r="B59">
        <v>28.4</v>
      </c>
      <c r="C59" t="s">
        <v>19</v>
      </c>
      <c r="D59" t="s">
        <v>6</v>
      </c>
      <c r="E59" t="s">
        <v>10</v>
      </c>
      <c r="F59">
        <f t="shared" si="0"/>
        <v>6</v>
      </c>
    </row>
    <row r="60" spans="1:6" x14ac:dyDescent="0.25">
      <c r="A60" t="s">
        <v>66</v>
      </c>
      <c r="B60">
        <v>27.8</v>
      </c>
      <c r="C60" t="s">
        <v>19</v>
      </c>
      <c r="D60" t="s">
        <v>6</v>
      </c>
      <c r="E60" t="s">
        <v>10</v>
      </c>
      <c r="F60">
        <f t="shared" si="0"/>
        <v>0</v>
      </c>
    </row>
    <row r="61" spans="1:6" x14ac:dyDescent="0.25">
      <c r="A61" t="s">
        <v>67</v>
      </c>
      <c r="B61">
        <v>25.9</v>
      </c>
      <c r="C61" t="s">
        <v>14</v>
      </c>
      <c r="D61" t="s">
        <v>6</v>
      </c>
      <c r="E61" t="s">
        <v>11</v>
      </c>
      <c r="F61">
        <f t="shared" si="0"/>
        <v>0</v>
      </c>
    </row>
    <row r="62" spans="1:6" x14ac:dyDescent="0.25">
      <c r="A62" t="s">
        <v>68</v>
      </c>
      <c r="B62">
        <v>23.4</v>
      </c>
      <c r="C62" t="s">
        <v>30</v>
      </c>
      <c r="D62" t="s">
        <v>6</v>
      </c>
      <c r="E62" t="s">
        <v>11</v>
      </c>
      <c r="F62">
        <f t="shared" si="0"/>
        <v>0</v>
      </c>
    </row>
    <row r="63" spans="1:6" x14ac:dyDescent="0.25">
      <c r="A63" t="s">
        <v>69</v>
      </c>
      <c r="B63">
        <v>21.2</v>
      </c>
      <c r="C63" t="s">
        <v>30</v>
      </c>
      <c r="D63" t="s">
        <v>6</v>
      </c>
      <c r="E63" t="s">
        <v>12</v>
      </c>
      <c r="F63">
        <f t="shared" si="0"/>
        <v>0</v>
      </c>
    </row>
    <row r="64" spans="1:6" x14ac:dyDescent="0.25">
      <c r="A64" t="s">
        <v>70</v>
      </c>
      <c r="B64">
        <v>20</v>
      </c>
      <c r="C64" t="s">
        <v>5</v>
      </c>
      <c r="D64" t="s">
        <v>5</v>
      </c>
      <c r="E64" t="s">
        <v>5</v>
      </c>
      <c r="F64">
        <f t="shared" si="0"/>
        <v>0</v>
      </c>
    </row>
    <row r="65" spans="1:6" x14ac:dyDescent="0.25">
      <c r="A65" t="s">
        <v>71</v>
      </c>
      <c r="B65">
        <v>20.3</v>
      </c>
      <c r="C65" t="s">
        <v>11</v>
      </c>
      <c r="D65" t="s">
        <v>6</v>
      </c>
      <c r="E65" t="s">
        <v>8</v>
      </c>
      <c r="F65">
        <f t="shared" si="0"/>
        <v>1</v>
      </c>
    </row>
    <row r="66" spans="1:6" x14ac:dyDescent="0.25">
      <c r="A66" t="s">
        <v>72</v>
      </c>
      <c r="B66">
        <v>21.8</v>
      </c>
      <c r="C66" t="s">
        <v>14</v>
      </c>
      <c r="D66" t="s">
        <v>6</v>
      </c>
      <c r="E66" t="s">
        <v>8</v>
      </c>
      <c r="F66">
        <f t="shared" si="0"/>
        <v>2</v>
      </c>
    </row>
    <row r="67" spans="1:6" x14ac:dyDescent="0.25">
      <c r="A67" t="s">
        <v>73</v>
      </c>
      <c r="B67">
        <v>24</v>
      </c>
      <c r="C67" t="s">
        <v>10</v>
      </c>
      <c r="D67" t="s">
        <v>6</v>
      </c>
      <c r="E67" t="s">
        <v>8</v>
      </c>
      <c r="F67">
        <f t="shared" si="0"/>
        <v>3</v>
      </c>
    </row>
    <row r="68" spans="1:6" x14ac:dyDescent="0.25">
      <c r="A68" t="s">
        <v>74</v>
      </c>
      <c r="B68">
        <v>26.1</v>
      </c>
      <c r="C68" t="s">
        <v>16</v>
      </c>
      <c r="D68" t="s">
        <v>6</v>
      </c>
      <c r="E68" t="s">
        <v>9</v>
      </c>
      <c r="F68">
        <f t="shared" ref="F68:F131" si="1">IF(B68&gt;B67,F67+1,0)</f>
        <v>4</v>
      </c>
    </row>
    <row r="69" spans="1:6" x14ac:dyDescent="0.25">
      <c r="A69" t="s">
        <v>75</v>
      </c>
      <c r="B69">
        <v>27.3</v>
      </c>
      <c r="C69" t="s">
        <v>14</v>
      </c>
      <c r="D69" t="s">
        <v>6</v>
      </c>
      <c r="E69" t="s">
        <v>9</v>
      </c>
      <c r="F69">
        <f t="shared" si="1"/>
        <v>5</v>
      </c>
    </row>
    <row r="70" spans="1:6" x14ac:dyDescent="0.25">
      <c r="A70" t="s">
        <v>76</v>
      </c>
      <c r="B70">
        <v>26.8</v>
      </c>
      <c r="C70" t="s">
        <v>15</v>
      </c>
      <c r="D70" t="s">
        <v>6</v>
      </c>
      <c r="E70" t="s">
        <v>9</v>
      </c>
      <c r="F70">
        <f t="shared" si="1"/>
        <v>0</v>
      </c>
    </row>
    <row r="71" spans="1:6" x14ac:dyDescent="0.25">
      <c r="A71" t="s">
        <v>77</v>
      </c>
      <c r="B71">
        <v>24.7</v>
      </c>
      <c r="C71" t="s">
        <v>10</v>
      </c>
      <c r="D71" t="s">
        <v>6</v>
      </c>
      <c r="E71" t="s">
        <v>10</v>
      </c>
      <c r="F71">
        <f t="shared" si="1"/>
        <v>0</v>
      </c>
    </row>
    <row r="72" spans="1:6" x14ac:dyDescent="0.25">
      <c r="A72" t="s">
        <v>78</v>
      </c>
      <c r="B72">
        <v>21.2</v>
      </c>
      <c r="C72" t="s">
        <v>26</v>
      </c>
      <c r="D72" t="s">
        <v>6</v>
      </c>
      <c r="E72" t="s">
        <v>10</v>
      </c>
      <c r="F72">
        <f t="shared" si="1"/>
        <v>0</v>
      </c>
    </row>
    <row r="73" spans="1:6" x14ac:dyDescent="0.25">
      <c r="A73" t="s">
        <v>79</v>
      </c>
      <c r="B73">
        <v>17.3</v>
      </c>
      <c r="C73" t="s">
        <v>15</v>
      </c>
      <c r="D73" t="s">
        <v>6</v>
      </c>
      <c r="E73" t="s">
        <v>10</v>
      </c>
      <c r="F73">
        <f t="shared" si="1"/>
        <v>0</v>
      </c>
    </row>
    <row r="74" spans="1:6" x14ac:dyDescent="0.25">
      <c r="A74" t="s">
        <v>80</v>
      </c>
      <c r="B74">
        <v>13.7</v>
      </c>
      <c r="C74" t="s">
        <v>28</v>
      </c>
      <c r="D74" t="s">
        <v>6</v>
      </c>
      <c r="E74" t="s">
        <v>11</v>
      </c>
      <c r="F74">
        <f t="shared" si="1"/>
        <v>0</v>
      </c>
    </row>
    <row r="75" spans="1:6" x14ac:dyDescent="0.25">
      <c r="A75" t="s">
        <v>81</v>
      </c>
      <c r="B75">
        <v>11.3</v>
      </c>
      <c r="C75" t="s">
        <v>12</v>
      </c>
      <c r="D75" t="s">
        <v>6</v>
      </c>
      <c r="E75" t="s">
        <v>11</v>
      </c>
      <c r="F75">
        <f t="shared" si="1"/>
        <v>0</v>
      </c>
    </row>
    <row r="76" spans="1:6" x14ac:dyDescent="0.25">
      <c r="A76" t="s">
        <v>82</v>
      </c>
      <c r="B76">
        <v>10.5</v>
      </c>
      <c r="C76" t="s">
        <v>9</v>
      </c>
      <c r="D76" t="s">
        <v>6</v>
      </c>
      <c r="E76" t="s">
        <v>11</v>
      </c>
      <c r="F76">
        <f t="shared" si="1"/>
        <v>0</v>
      </c>
    </row>
    <row r="77" spans="1:6" x14ac:dyDescent="0.25">
      <c r="A77" t="s">
        <v>83</v>
      </c>
      <c r="B77">
        <v>11</v>
      </c>
      <c r="C77" t="s">
        <v>25</v>
      </c>
      <c r="D77" t="s">
        <v>6</v>
      </c>
      <c r="E77" t="s">
        <v>12</v>
      </c>
      <c r="F77">
        <f t="shared" si="1"/>
        <v>1</v>
      </c>
    </row>
    <row r="78" spans="1:6" x14ac:dyDescent="0.25">
      <c r="A78" t="s">
        <v>84</v>
      </c>
      <c r="B78">
        <v>12.5</v>
      </c>
      <c r="C78" t="s">
        <v>5</v>
      </c>
      <c r="D78" t="s">
        <v>5</v>
      </c>
      <c r="E78" t="s">
        <v>5</v>
      </c>
      <c r="F78">
        <f t="shared" si="1"/>
        <v>2</v>
      </c>
    </row>
    <row r="79" spans="1:6" x14ac:dyDescent="0.25">
      <c r="A79" t="s">
        <v>85</v>
      </c>
      <c r="B79">
        <v>14</v>
      </c>
      <c r="C79" t="s">
        <v>9</v>
      </c>
      <c r="D79" t="s">
        <v>6</v>
      </c>
      <c r="E79" t="s">
        <v>8</v>
      </c>
      <c r="F79">
        <f t="shared" si="1"/>
        <v>3</v>
      </c>
    </row>
    <row r="80" spans="1:6" x14ac:dyDescent="0.25">
      <c r="A80" t="s">
        <v>86</v>
      </c>
      <c r="B80">
        <v>14.7</v>
      </c>
      <c r="C80" t="s">
        <v>11</v>
      </c>
      <c r="D80" t="s">
        <v>6</v>
      </c>
      <c r="E80" t="s">
        <v>8</v>
      </c>
      <c r="F80">
        <f t="shared" si="1"/>
        <v>4</v>
      </c>
    </row>
    <row r="81" spans="1:6" x14ac:dyDescent="0.25">
      <c r="A81" t="s">
        <v>87</v>
      </c>
      <c r="B81">
        <v>14.1</v>
      </c>
      <c r="C81" t="s">
        <v>12</v>
      </c>
      <c r="D81" t="s">
        <v>7</v>
      </c>
      <c r="E81" t="s">
        <v>8</v>
      </c>
      <c r="F81">
        <f t="shared" si="1"/>
        <v>0</v>
      </c>
    </row>
    <row r="82" spans="1:6" x14ac:dyDescent="0.25">
      <c r="A82" t="s">
        <v>88</v>
      </c>
      <c r="B82">
        <v>11.9</v>
      </c>
      <c r="C82" t="s">
        <v>15</v>
      </c>
      <c r="D82" t="s">
        <v>6</v>
      </c>
      <c r="E82" t="s">
        <v>9</v>
      </c>
      <c r="F82">
        <f t="shared" si="1"/>
        <v>0</v>
      </c>
    </row>
    <row r="83" spans="1:6" x14ac:dyDescent="0.25">
      <c r="A83" t="s">
        <v>89</v>
      </c>
      <c r="B83">
        <v>8.6999999999999993</v>
      </c>
      <c r="C83" t="s">
        <v>14</v>
      </c>
      <c r="D83" t="s">
        <v>6</v>
      </c>
      <c r="E83" t="s">
        <v>9</v>
      </c>
      <c r="F83">
        <f t="shared" si="1"/>
        <v>0</v>
      </c>
    </row>
    <row r="84" spans="1:6" x14ac:dyDescent="0.25">
      <c r="A84" t="s">
        <v>90</v>
      </c>
      <c r="B84">
        <v>5.0999999999999996</v>
      </c>
      <c r="C84" t="s">
        <v>10</v>
      </c>
      <c r="D84" t="s">
        <v>6</v>
      </c>
      <c r="E84" t="s">
        <v>9</v>
      </c>
      <c r="F84">
        <f t="shared" si="1"/>
        <v>0</v>
      </c>
    </row>
    <row r="85" spans="1:6" x14ac:dyDescent="0.25">
      <c r="A85" t="s">
        <v>91</v>
      </c>
      <c r="B85">
        <v>2.2000000000000002</v>
      </c>
      <c r="C85" t="s">
        <v>8</v>
      </c>
      <c r="D85" t="s">
        <v>6</v>
      </c>
      <c r="E85" t="s">
        <v>10</v>
      </c>
      <c r="F85">
        <f t="shared" si="1"/>
        <v>0</v>
      </c>
    </row>
    <row r="86" spans="1:6" x14ac:dyDescent="0.25">
      <c r="A86" t="s">
        <v>92</v>
      </c>
      <c r="B86">
        <v>0.5</v>
      </c>
      <c r="C86" t="s">
        <v>12</v>
      </c>
      <c r="D86" t="s">
        <v>6</v>
      </c>
      <c r="E86" t="s">
        <v>10</v>
      </c>
      <c r="F86">
        <f t="shared" si="1"/>
        <v>0</v>
      </c>
    </row>
    <row r="87" spans="1:6" x14ac:dyDescent="0.25">
      <c r="A87" t="s">
        <v>93</v>
      </c>
      <c r="B87">
        <v>0.6</v>
      </c>
      <c r="C87" t="s">
        <v>23</v>
      </c>
      <c r="D87" t="s">
        <v>6</v>
      </c>
      <c r="E87" t="s">
        <v>10</v>
      </c>
      <c r="F87">
        <f t="shared" si="1"/>
        <v>1</v>
      </c>
    </row>
    <row r="88" spans="1:6" x14ac:dyDescent="0.25">
      <c r="A88" t="s">
        <v>94</v>
      </c>
      <c r="B88">
        <v>2.2999999999999998</v>
      </c>
      <c r="C88" t="s">
        <v>11</v>
      </c>
      <c r="D88" t="s">
        <v>6</v>
      </c>
      <c r="E88" t="s">
        <v>11</v>
      </c>
      <c r="F88">
        <f t="shared" si="1"/>
        <v>2</v>
      </c>
    </row>
    <row r="89" spans="1:6" x14ac:dyDescent="0.25">
      <c r="A89" t="s">
        <v>95</v>
      </c>
      <c r="B89">
        <v>5</v>
      </c>
      <c r="C89" t="s">
        <v>18</v>
      </c>
      <c r="D89" t="s">
        <v>6</v>
      </c>
      <c r="E89" t="s">
        <v>11</v>
      </c>
      <c r="F89">
        <f t="shared" si="1"/>
        <v>3</v>
      </c>
    </row>
    <row r="90" spans="1:6" x14ac:dyDescent="0.25">
      <c r="A90" t="s">
        <v>96</v>
      </c>
      <c r="B90">
        <v>7.9</v>
      </c>
      <c r="C90" t="s">
        <v>31</v>
      </c>
      <c r="D90" t="s">
        <v>6</v>
      </c>
      <c r="E90" t="s">
        <v>11</v>
      </c>
      <c r="F90">
        <f t="shared" si="1"/>
        <v>4</v>
      </c>
    </row>
    <row r="91" spans="1:6" x14ac:dyDescent="0.25">
      <c r="A91" t="s">
        <v>97</v>
      </c>
      <c r="B91">
        <v>10</v>
      </c>
      <c r="C91" t="s">
        <v>20</v>
      </c>
      <c r="D91" t="s">
        <v>6</v>
      </c>
      <c r="E91" t="s">
        <v>12</v>
      </c>
      <c r="F91">
        <f t="shared" si="1"/>
        <v>5</v>
      </c>
    </row>
    <row r="92" spans="1:6" x14ac:dyDescent="0.25">
      <c r="A92" t="s">
        <v>98</v>
      </c>
      <c r="B92">
        <v>10.9</v>
      </c>
      <c r="C92" t="s">
        <v>36</v>
      </c>
      <c r="D92" t="s">
        <v>6</v>
      </c>
      <c r="E92" t="s">
        <v>12</v>
      </c>
      <c r="F92">
        <f t="shared" si="1"/>
        <v>6</v>
      </c>
    </row>
    <row r="93" spans="1:6" x14ac:dyDescent="0.25">
      <c r="A93" t="s">
        <v>99</v>
      </c>
      <c r="B93">
        <v>10.3</v>
      </c>
      <c r="C93" t="s">
        <v>5</v>
      </c>
      <c r="D93" t="s">
        <v>5</v>
      </c>
      <c r="E93" t="s">
        <v>5</v>
      </c>
      <c r="F93">
        <f t="shared" si="1"/>
        <v>0</v>
      </c>
    </row>
    <row r="94" spans="1:6" x14ac:dyDescent="0.25">
      <c r="A94" t="s">
        <v>100</v>
      </c>
      <c r="B94">
        <v>8.6999999999999993</v>
      </c>
      <c r="C94" t="s">
        <v>8</v>
      </c>
      <c r="D94" t="s">
        <v>7</v>
      </c>
      <c r="E94" t="s">
        <v>8</v>
      </c>
      <c r="F94">
        <f t="shared" si="1"/>
        <v>0</v>
      </c>
    </row>
    <row r="95" spans="1:6" x14ac:dyDescent="0.25">
      <c r="A95" t="s">
        <v>101</v>
      </c>
      <c r="B95">
        <v>6.7</v>
      </c>
      <c r="C95" t="s">
        <v>10</v>
      </c>
      <c r="D95" t="s">
        <v>7</v>
      </c>
      <c r="E95" t="s">
        <v>8</v>
      </c>
      <c r="F95">
        <f t="shared" si="1"/>
        <v>0</v>
      </c>
    </row>
    <row r="96" spans="1:6" x14ac:dyDescent="0.25">
      <c r="A96" t="s">
        <v>102</v>
      </c>
      <c r="B96">
        <v>5.3</v>
      </c>
      <c r="C96" t="s">
        <v>14</v>
      </c>
      <c r="D96" t="s">
        <v>7</v>
      </c>
      <c r="E96" t="s">
        <v>8</v>
      </c>
      <c r="F96">
        <f t="shared" si="1"/>
        <v>0</v>
      </c>
    </row>
    <row r="97" spans="1:6" x14ac:dyDescent="0.25">
      <c r="A97" t="s">
        <v>103</v>
      </c>
      <c r="B97">
        <v>5.2</v>
      </c>
      <c r="C97" t="s">
        <v>10</v>
      </c>
      <c r="D97" t="s">
        <v>7</v>
      </c>
      <c r="E97" t="s">
        <v>9</v>
      </c>
      <c r="F97">
        <f t="shared" si="1"/>
        <v>0</v>
      </c>
    </row>
    <row r="98" spans="1:6" x14ac:dyDescent="0.25">
      <c r="A98" t="s">
        <v>104</v>
      </c>
      <c r="B98">
        <v>6.8</v>
      </c>
      <c r="C98" t="s">
        <v>9</v>
      </c>
      <c r="D98" t="s">
        <v>7</v>
      </c>
      <c r="E98" t="s">
        <v>9</v>
      </c>
      <c r="F98">
        <f t="shared" si="1"/>
        <v>1</v>
      </c>
    </row>
    <row r="99" spans="1:6" x14ac:dyDescent="0.25">
      <c r="A99" t="s">
        <v>105</v>
      </c>
      <c r="B99">
        <v>9.8000000000000007</v>
      </c>
      <c r="C99" t="s">
        <v>17</v>
      </c>
      <c r="D99" t="s">
        <v>7</v>
      </c>
      <c r="E99" t="s">
        <v>9</v>
      </c>
      <c r="F99">
        <f t="shared" si="1"/>
        <v>2</v>
      </c>
    </row>
    <row r="100" spans="1:6" x14ac:dyDescent="0.25">
      <c r="A100" t="s">
        <v>106</v>
      </c>
      <c r="B100">
        <v>13.7</v>
      </c>
      <c r="C100" t="s">
        <v>15</v>
      </c>
      <c r="D100" t="s">
        <v>7</v>
      </c>
      <c r="E100" t="s">
        <v>10</v>
      </c>
      <c r="F100">
        <f t="shared" si="1"/>
        <v>3</v>
      </c>
    </row>
    <row r="101" spans="1:6" x14ac:dyDescent="0.25">
      <c r="A101" t="s">
        <v>107</v>
      </c>
      <c r="B101">
        <v>17.7</v>
      </c>
      <c r="C101" t="s">
        <v>14</v>
      </c>
      <c r="D101" t="s">
        <v>7</v>
      </c>
      <c r="E101" t="s">
        <v>10</v>
      </c>
      <c r="F101">
        <f t="shared" si="1"/>
        <v>4</v>
      </c>
    </row>
    <row r="102" spans="1:6" x14ac:dyDescent="0.25">
      <c r="A102" t="s">
        <v>108</v>
      </c>
      <c r="B102">
        <v>20.8</v>
      </c>
      <c r="C102" t="s">
        <v>12</v>
      </c>
      <c r="D102" t="s">
        <v>7</v>
      </c>
      <c r="E102" t="s">
        <v>10</v>
      </c>
      <c r="F102">
        <f t="shared" si="1"/>
        <v>5</v>
      </c>
    </row>
    <row r="103" spans="1:6" x14ac:dyDescent="0.25">
      <c r="A103" t="s">
        <v>109</v>
      </c>
      <c r="B103">
        <v>22.4</v>
      </c>
      <c r="C103" t="s">
        <v>29</v>
      </c>
      <c r="D103" t="s">
        <v>7</v>
      </c>
      <c r="E103" t="s">
        <v>11</v>
      </c>
      <c r="F103">
        <f t="shared" si="1"/>
        <v>6</v>
      </c>
    </row>
    <row r="104" spans="1:6" x14ac:dyDescent="0.25">
      <c r="A104" t="s">
        <v>110</v>
      </c>
      <c r="B104">
        <v>22.5</v>
      </c>
      <c r="C104" t="s">
        <v>24</v>
      </c>
      <c r="D104" t="s">
        <v>7</v>
      </c>
      <c r="E104" t="s">
        <v>11</v>
      </c>
      <c r="F104">
        <f t="shared" si="1"/>
        <v>7</v>
      </c>
    </row>
    <row r="105" spans="1:6" x14ac:dyDescent="0.25">
      <c r="A105" t="s">
        <v>111</v>
      </c>
      <c r="B105">
        <v>21.2</v>
      </c>
      <c r="C105" t="s">
        <v>17</v>
      </c>
      <c r="D105" t="s">
        <v>7</v>
      </c>
      <c r="E105" t="s">
        <v>11</v>
      </c>
      <c r="F105">
        <f t="shared" si="1"/>
        <v>0</v>
      </c>
    </row>
    <row r="106" spans="1:6" x14ac:dyDescent="0.25">
      <c r="A106" t="s">
        <v>112</v>
      </c>
      <c r="B106">
        <v>19.5</v>
      </c>
      <c r="C106" t="s">
        <v>34</v>
      </c>
      <c r="D106" t="s">
        <v>7</v>
      </c>
      <c r="E106" t="s">
        <v>12</v>
      </c>
      <c r="F106">
        <f t="shared" si="1"/>
        <v>0</v>
      </c>
    </row>
    <row r="107" spans="1:6" x14ac:dyDescent="0.25">
      <c r="A107" t="s">
        <v>113</v>
      </c>
      <c r="B107">
        <v>18.100000000000001</v>
      </c>
      <c r="C107" t="s">
        <v>5</v>
      </c>
      <c r="D107" t="s">
        <v>5</v>
      </c>
      <c r="E107" t="s">
        <v>5</v>
      </c>
      <c r="F107">
        <f t="shared" si="1"/>
        <v>0</v>
      </c>
    </row>
    <row r="108" spans="1:6" x14ac:dyDescent="0.25">
      <c r="A108" t="s">
        <v>114</v>
      </c>
      <c r="B108">
        <v>17.8</v>
      </c>
      <c r="C108" t="s">
        <v>12</v>
      </c>
      <c r="D108" t="s">
        <v>6</v>
      </c>
      <c r="E108" t="s">
        <v>8</v>
      </c>
      <c r="F108">
        <f t="shared" si="1"/>
        <v>0</v>
      </c>
    </row>
    <row r="109" spans="1:6" x14ac:dyDescent="0.25">
      <c r="A109" t="s">
        <v>115</v>
      </c>
      <c r="B109">
        <v>18.899999999999999</v>
      </c>
      <c r="C109" t="s">
        <v>10</v>
      </c>
      <c r="D109" t="s">
        <v>6</v>
      </c>
      <c r="E109" t="s">
        <v>8</v>
      </c>
      <c r="F109">
        <f t="shared" si="1"/>
        <v>1</v>
      </c>
    </row>
    <row r="110" spans="1:6" x14ac:dyDescent="0.25">
      <c r="A110" t="s">
        <v>116</v>
      </c>
      <c r="B110">
        <v>21.3</v>
      </c>
      <c r="C110" t="s">
        <v>8</v>
      </c>
      <c r="D110" t="s">
        <v>6</v>
      </c>
      <c r="E110" t="s">
        <v>8</v>
      </c>
      <c r="F110">
        <f t="shared" si="1"/>
        <v>2</v>
      </c>
    </row>
    <row r="111" spans="1:6" x14ac:dyDescent="0.25">
      <c r="A111" t="s">
        <v>117</v>
      </c>
      <c r="B111">
        <v>24.5</v>
      </c>
      <c r="C111" t="s">
        <v>16</v>
      </c>
      <c r="D111" t="s">
        <v>6</v>
      </c>
      <c r="E111" t="s">
        <v>9</v>
      </c>
      <c r="F111">
        <f t="shared" si="1"/>
        <v>3</v>
      </c>
    </row>
    <row r="112" spans="1:6" x14ac:dyDescent="0.25">
      <c r="A112" t="s">
        <v>118</v>
      </c>
      <c r="B112">
        <v>27.5</v>
      </c>
      <c r="C112" t="s">
        <v>21</v>
      </c>
      <c r="D112" t="s">
        <v>6</v>
      </c>
      <c r="E112" t="s">
        <v>9</v>
      </c>
      <c r="F112">
        <f t="shared" si="1"/>
        <v>4</v>
      </c>
    </row>
    <row r="113" spans="1:6" x14ac:dyDescent="0.25">
      <c r="A113" t="s">
        <v>119</v>
      </c>
      <c r="B113">
        <v>29.5</v>
      </c>
      <c r="C113" t="s">
        <v>14</v>
      </c>
      <c r="D113" t="s">
        <v>6</v>
      </c>
      <c r="E113" t="s">
        <v>9</v>
      </c>
      <c r="F113">
        <f t="shared" si="1"/>
        <v>5</v>
      </c>
    </row>
    <row r="114" spans="1:6" x14ac:dyDescent="0.25">
      <c r="A114" t="s">
        <v>120</v>
      </c>
      <c r="B114">
        <v>29.9</v>
      </c>
      <c r="C114" t="s">
        <v>12</v>
      </c>
      <c r="D114" t="s">
        <v>6</v>
      </c>
      <c r="E114" t="s">
        <v>10</v>
      </c>
      <c r="F114">
        <f t="shared" si="1"/>
        <v>6</v>
      </c>
    </row>
    <row r="115" spans="1:6" x14ac:dyDescent="0.25">
      <c r="A115" t="s">
        <v>121</v>
      </c>
      <c r="B115">
        <v>28.6</v>
      </c>
      <c r="C115" t="s">
        <v>14</v>
      </c>
      <c r="D115" t="s">
        <v>6</v>
      </c>
      <c r="E115" t="s">
        <v>10</v>
      </c>
      <c r="F115">
        <f t="shared" si="1"/>
        <v>0</v>
      </c>
    </row>
    <row r="116" spans="1:6" x14ac:dyDescent="0.25">
      <c r="A116" t="s">
        <v>122</v>
      </c>
      <c r="B116">
        <v>25.9</v>
      </c>
      <c r="C116" t="s">
        <v>14</v>
      </c>
      <c r="D116" t="s">
        <v>6</v>
      </c>
      <c r="E116" t="s">
        <v>10</v>
      </c>
      <c r="F116">
        <f t="shared" si="1"/>
        <v>0</v>
      </c>
    </row>
    <row r="117" spans="1:6" x14ac:dyDescent="0.25">
      <c r="A117" t="s">
        <v>123</v>
      </c>
      <c r="B117">
        <v>22.6</v>
      </c>
      <c r="C117" t="s">
        <v>22</v>
      </c>
      <c r="D117" t="s">
        <v>6</v>
      </c>
      <c r="E117" t="s">
        <v>11</v>
      </c>
      <c r="F117">
        <f t="shared" si="1"/>
        <v>0</v>
      </c>
    </row>
    <row r="118" spans="1:6" x14ac:dyDescent="0.25">
      <c r="A118" t="s">
        <v>124</v>
      </c>
      <c r="B118">
        <v>19.7</v>
      </c>
      <c r="C118" t="s">
        <v>26</v>
      </c>
      <c r="D118" t="s">
        <v>6</v>
      </c>
      <c r="E118" t="s">
        <v>11</v>
      </c>
      <c r="F118">
        <f t="shared" si="1"/>
        <v>0</v>
      </c>
    </row>
    <row r="119" spans="1:6" x14ac:dyDescent="0.25">
      <c r="A119" t="s">
        <v>125</v>
      </c>
      <c r="B119">
        <v>17.8</v>
      </c>
      <c r="C119" t="s">
        <v>8</v>
      </c>
      <c r="D119" t="s">
        <v>6</v>
      </c>
      <c r="E119" t="s">
        <v>11</v>
      </c>
      <c r="F119">
        <f t="shared" si="1"/>
        <v>0</v>
      </c>
    </row>
    <row r="120" spans="1:6" x14ac:dyDescent="0.25">
      <c r="A120" t="s">
        <v>126</v>
      </c>
      <c r="B120">
        <v>17.3</v>
      </c>
      <c r="C120" t="s">
        <v>34</v>
      </c>
      <c r="D120" t="s">
        <v>6</v>
      </c>
      <c r="E120" t="s">
        <v>12</v>
      </c>
      <c r="F120">
        <f t="shared" si="1"/>
        <v>0</v>
      </c>
    </row>
    <row r="121" spans="1:6" x14ac:dyDescent="0.25">
      <c r="A121" t="s">
        <v>127</v>
      </c>
      <c r="B121">
        <v>18.2</v>
      </c>
      <c r="C121" t="s">
        <v>5</v>
      </c>
      <c r="D121" t="s">
        <v>5</v>
      </c>
      <c r="E121" t="s">
        <v>5</v>
      </c>
      <c r="F121">
        <f t="shared" si="1"/>
        <v>1</v>
      </c>
    </row>
    <row r="122" spans="1:6" x14ac:dyDescent="0.25">
      <c r="A122" t="s">
        <v>128</v>
      </c>
      <c r="B122">
        <v>19.8</v>
      </c>
      <c r="C122" t="s">
        <v>8</v>
      </c>
      <c r="D122" t="s">
        <v>6</v>
      </c>
      <c r="E122" t="s">
        <v>8</v>
      </c>
      <c r="F122">
        <f t="shared" si="1"/>
        <v>2</v>
      </c>
    </row>
    <row r="123" spans="1:6" x14ac:dyDescent="0.25">
      <c r="A123" t="s">
        <v>129</v>
      </c>
      <c r="B123">
        <v>21.4</v>
      </c>
      <c r="C123" t="s">
        <v>8</v>
      </c>
      <c r="D123" t="s">
        <v>6</v>
      </c>
      <c r="E123" t="s">
        <v>8</v>
      </c>
      <c r="F123">
        <f t="shared" si="1"/>
        <v>3</v>
      </c>
    </row>
    <row r="124" spans="1:6" x14ac:dyDescent="0.25">
      <c r="A124" t="s">
        <v>130</v>
      </c>
      <c r="B124">
        <v>22</v>
      </c>
      <c r="C124" t="s">
        <v>14</v>
      </c>
      <c r="D124" t="s">
        <v>6</v>
      </c>
      <c r="E124" t="s">
        <v>8</v>
      </c>
      <c r="F124">
        <f t="shared" si="1"/>
        <v>4</v>
      </c>
    </row>
    <row r="125" spans="1:6" x14ac:dyDescent="0.25">
      <c r="A125" t="s">
        <v>131</v>
      </c>
      <c r="B125">
        <v>21.2</v>
      </c>
      <c r="C125" t="s">
        <v>18</v>
      </c>
      <c r="D125" t="s">
        <v>6</v>
      </c>
      <c r="E125" t="s">
        <v>9</v>
      </c>
      <c r="F125">
        <f t="shared" si="1"/>
        <v>0</v>
      </c>
    </row>
    <row r="126" spans="1:6" x14ac:dyDescent="0.25">
      <c r="A126" t="s">
        <v>132</v>
      </c>
      <c r="B126">
        <v>18.8</v>
      </c>
      <c r="C126" t="s">
        <v>16</v>
      </c>
      <c r="D126" t="s">
        <v>6</v>
      </c>
      <c r="E126" t="s">
        <v>9</v>
      </c>
      <c r="F126">
        <f t="shared" si="1"/>
        <v>0</v>
      </c>
    </row>
    <row r="127" spans="1:6" x14ac:dyDescent="0.25">
      <c r="A127" t="s">
        <v>133</v>
      </c>
      <c r="B127">
        <v>15.2</v>
      </c>
      <c r="C127" t="s">
        <v>21</v>
      </c>
      <c r="D127" t="s">
        <v>6</v>
      </c>
      <c r="E127" t="s">
        <v>9</v>
      </c>
      <c r="F127">
        <f t="shared" si="1"/>
        <v>0</v>
      </c>
    </row>
    <row r="128" spans="1:6" x14ac:dyDescent="0.25">
      <c r="A128" t="s">
        <v>134</v>
      </c>
      <c r="B128">
        <v>11.1</v>
      </c>
      <c r="C128" t="s">
        <v>20</v>
      </c>
      <c r="D128" t="s">
        <v>6</v>
      </c>
      <c r="E128" t="s">
        <v>10</v>
      </c>
      <c r="F128">
        <f t="shared" si="1"/>
        <v>0</v>
      </c>
    </row>
    <row r="129" spans="1:6" x14ac:dyDescent="0.25">
      <c r="A129" t="s">
        <v>135</v>
      </c>
      <c r="B129">
        <v>7.5</v>
      </c>
      <c r="C129" t="s">
        <v>13</v>
      </c>
      <c r="D129" t="s">
        <v>6</v>
      </c>
      <c r="E129" t="s">
        <v>10</v>
      </c>
      <c r="F129">
        <f t="shared" si="1"/>
        <v>0</v>
      </c>
    </row>
    <row r="130" spans="1:6" x14ac:dyDescent="0.25">
      <c r="A130" t="s">
        <v>136</v>
      </c>
      <c r="B130">
        <v>5.2</v>
      </c>
      <c r="C130" t="s">
        <v>12</v>
      </c>
      <c r="D130" t="s">
        <v>6</v>
      </c>
      <c r="E130" t="s">
        <v>10</v>
      </c>
      <c r="F130">
        <f t="shared" si="1"/>
        <v>0</v>
      </c>
    </row>
    <row r="131" spans="1:6" x14ac:dyDescent="0.25">
      <c r="A131" t="s">
        <v>137</v>
      </c>
      <c r="B131">
        <v>4.5999999999999996</v>
      </c>
      <c r="C131" t="s">
        <v>22</v>
      </c>
      <c r="D131" t="s">
        <v>6</v>
      </c>
      <c r="E131" t="s">
        <v>11</v>
      </c>
      <c r="F131">
        <f t="shared" si="1"/>
        <v>0</v>
      </c>
    </row>
    <row r="132" spans="1:6" x14ac:dyDescent="0.25">
      <c r="A132" t="s">
        <v>138</v>
      </c>
      <c r="B132">
        <v>5.5</v>
      </c>
      <c r="C132" t="s">
        <v>17</v>
      </c>
      <c r="D132" t="s">
        <v>6</v>
      </c>
      <c r="E132" t="s">
        <v>11</v>
      </c>
      <c r="F132">
        <f t="shared" ref="F132:F195" si="2">IF(B132&gt;B131,F131+1,0)</f>
        <v>1</v>
      </c>
    </row>
    <row r="133" spans="1:6" x14ac:dyDescent="0.25">
      <c r="A133" t="s">
        <v>139</v>
      </c>
      <c r="B133">
        <v>7.3</v>
      </c>
      <c r="C133" t="s">
        <v>22</v>
      </c>
      <c r="D133" t="s">
        <v>6</v>
      </c>
      <c r="E133" t="s">
        <v>11</v>
      </c>
      <c r="F133">
        <f t="shared" si="2"/>
        <v>2</v>
      </c>
    </row>
    <row r="134" spans="1:6" x14ac:dyDescent="0.25">
      <c r="A134" t="s">
        <v>140</v>
      </c>
      <c r="B134">
        <v>9.3000000000000007</v>
      </c>
      <c r="C134" t="s">
        <v>26</v>
      </c>
      <c r="D134" t="s">
        <v>6</v>
      </c>
      <c r="E134" t="s">
        <v>12</v>
      </c>
      <c r="F134">
        <f t="shared" si="2"/>
        <v>3</v>
      </c>
    </row>
    <row r="135" spans="1:6" x14ac:dyDescent="0.25">
      <c r="A135" t="s">
        <v>141</v>
      </c>
      <c r="B135">
        <v>10.5</v>
      </c>
      <c r="C135" t="s">
        <v>30</v>
      </c>
      <c r="D135" t="s">
        <v>6</v>
      </c>
      <c r="E135" t="s">
        <v>12</v>
      </c>
      <c r="F135">
        <f t="shared" si="2"/>
        <v>4</v>
      </c>
    </row>
    <row r="136" spans="1:6" x14ac:dyDescent="0.25">
      <c r="A136" t="s">
        <v>142</v>
      </c>
      <c r="B136">
        <v>10.4</v>
      </c>
      <c r="C136" t="s">
        <v>5</v>
      </c>
      <c r="D136" t="s">
        <v>5</v>
      </c>
      <c r="E136" t="s">
        <v>5</v>
      </c>
      <c r="F136">
        <f t="shared" si="2"/>
        <v>0</v>
      </c>
    </row>
    <row r="137" spans="1:6" x14ac:dyDescent="0.25">
      <c r="A137" t="s">
        <v>143</v>
      </c>
      <c r="B137">
        <v>9</v>
      </c>
      <c r="C137" t="s">
        <v>11</v>
      </c>
      <c r="D137" t="s">
        <v>7</v>
      </c>
      <c r="E137" t="s">
        <v>8</v>
      </c>
      <c r="F137">
        <f t="shared" si="2"/>
        <v>0</v>
      </c>
    </row>
    <row r="138" spans="1:6" x14ac:dyDescent="0.25">
      <c r="A138" t="s">
        <v>144</v>
      </c>
      <c r="B138">
        <v>6.4</v>
      </c>
      <c r="C138" t="s">
        <v>10</v>
      </c>
      <c r="D138" t="s">
        <v>7</v>
      </c>
      <c r="E138" t="s">
        <v>8</v>
      </c>
      <c r="F138">
        <f t="shared" si="2"/>
        <v>0</v>
      </c>
    </row>
    <row r="139" spans="1:6" x14ac:dyDescent="0.25">
      <c r="A139" t="s">
        <v>145</v>
      </c>
      <c r="B139">
        <v>3.6</v>
      </c>
      <c r="C139" t="s">
        <v>10</v>
      </c>
      <c r="D139" t="s">
        <v>7</v>
      </c>
      <c r="E139" t="s">
        <v>8</v>
      </c>
      <c r="F139">
        <f t="shared" si="2"/>
        <v>0</v>
      </c>
    </row>
    <row r="140" spans="1:6" x14ac:dyDescent="0.25">
      <c r="A140" t="s">
        <v>146</v>
      </c>
      <c r="B140">
        <v>1.4</v>
      </c>
      <c r="C140" t="s">
        <v>11</v>
      </c>
      <c r="D140" t="s">
        <v>7</v>
      </c>
      <c r="E140" t="s">
        <v>9</v>
      </c>
      <c r="F140">
        <f t="shared" si="2"/>
        <v>0</v>
      </c>
    </row>
    <row r="141" spans="1:6" x14ac:dyDescent="0.25">
      <c r="A141" t="s">
        <v>147</v>
      </c>
      <c r="B141">
        <v>0.5</v>
      </c>
      <c r="C141" t="s">
        <v>12</v>
      </c>
      <c r="D141" t="s">
        <v>7</v>
      </c>
      <c r="E141" t="s">
        <v>9</v>
      </c>
      <c r="F141">
        <f t="shared" si="2"/>
        <v>0</v>
      </c>
    </row>
    <row r="142" spans="1:6" x14ac:dyDescent="0.25">
      <c r="A142" t="s">
        <v>148</v>
      </c>
      <c r="B142">
        <v>1.4</v>
      </c>
      <c r="C142" t="s">
        <v>8</v>
      </c>
      <c r="D142" t="s">
        <v>7</v>
      </c>
      <c r="E142" t="s">
        <v>9</v>
      </c>
      <c r="F142">
        <f t="shared" si="2"/>
        <v>1</v>
      </c>
    </row>
    <row r="143" spans="1:6" x14ac:dyDescent="0.25">
      <c r="A143" t="s">
        <v>149</v>
      </c>
      <c r="B143">
        <v>3.9</v>
      </c>
      <c r="C143" t="s">
        <v>10</v>
      </c>
      <c r="D143" t="s">
        <v>7</v>
      </c>
      <c r="E143" t="s">
        <v>10</v>
      </c>
      <c r="F143">
        <f t="shared" si="2"/>
        <v>2</v>
      </c>
    </row>
    <row r="144" spans="1:6" x14ac:dyDescent="0.25">
      <c r="A144" t="s">
        <v>150</v>
      </c>
      <c r="B144">
        <v>7.3</v>
      </c>
      <c r="C144" t="s">
        <v>23</v>
      </c>
      <c r="D144" t="s">
        <v>7</v>
      </c>
      <c r="E144" t="s">
        <v>10</v>
      </c>
      <c r="F144">
        <f t="shared" si="2"/>
        <v>3</v>
      </c>
    </row>
    <row r="145" spans="1:6" x14ac:dyDescent="0.25">
      <c r="A145" t="s">
        <v>151</v>
      </c>
      <c r="B145">
        <v>10.9</v>
      </c>
      <c r="C145" t="s">
        <v>21</v>
      </c>
      <c r="D145" t="s">
        <v>7</v>
      </c>
      <c r="E145" t="s">
        <v>10</v>
      </c>
      <c r="F145">
        <f t="shared" si="2"/>
        <v>4</v>
      </c>
    </row>
    <row r="146" spans="1:6" x14ac:dyDescent="0.25">
      <c r="A146" t="s">
        <v>152</v>
      </c>
      <c r="B146">
        <v>13.7</v>
      </c>
      <c r="C146" t="s">
        <v>18</v>
      </c>
      <c r="D146" t="s">
        <v>7</v>
      </c>
      <c r="E146" t="s">
        <v>11</v>
      </c>
      <c r="F146">
        <f t="shared" si="2"/>
        <v>5</v>
      </c>
    </row>
    <row r="147" spans="1:6" x14ac:dyDescent="0.25">
      <c r="A147" t="s">
        <v>153</v>
      </c>
      <c r="B147">
        <v>15.1</v>
      </c>
      <c r="C147" t="s">
        <v>30</v>
      </c>
      <c r="D147" t="s">
        <v>7</v>
      </c>
      <c r="E147" t="s">
        <v>11</v>
      </c>
      <c r="F147">
        <f t="shared" si="2"/>
        <v>6</v>
      </c>
    </row>
    <row r="148" spans="1:6" x14ac:dyDescent="0.25">
      <c r="A148" t="s">
        <v>154</v>
      </c>
      <c r="B148">
        <v>15.1</v>
      </c>
      <c r="C148" t="s">
        <v>19</v>
      </c>
      <c r="D148" t="s">
        <v>7</v>
      </c>
      <c r="E148" t="s">
        <v>11</v>
      </c>
      <c r="F148">
        <f t="shared" si="2"/>
        <v>0</v>
      </c>
    </row>
    <row r="149" spans="1:6" x14ac:dyDescent="0.25">
      <c r="A149" t="s">
        <v>155</v>
      </c>
      <c r="B149">
        <v>13.9</v>
      </c>
      <c r="C149" t="s">
        <v>17</v>
      </c>
      <c r="D149" t="s">
        <v>7</v>
      </c>
      <c r="E149" t="s">
        <v>12</v>
      </c>
      <c r="F149">
        <f t="shared" si="2"/>
        <v>0</v>
      </c>
    </row>
    <row r="150" spans="1:6" x14ac:dyDescent="0.25">
      <c r="A150" t="s">
        <v>156</v>
      </c>
      <c r="B150">
        <v>12.3</v>
      </c>
      <c r="C150" t="s">
        <v>29</v>
      </c>
      <c r="D150" t="s">
        <v>7</v>
      </c>
      <c r="E150" t="s">
        <v>12</v>
      </c>
      <c r="F150">
        <f t="shared" si="2"/>
        <v>0</v>
      </c>
    </row>
    <row r="151" spans="1:6" x14ac:dyDescent="0.25">
      <c r="A151" t="s">
        <v>157</v>
      </c>
      <c r="B151">
        <v>11.2</v>
      </c>
      <c r="C151" t="s">
        <v>5</v>
      </c>
      <c r="D151" t="s">
        <v>5</v>
      </c>
      <c r="E151" t="s">
        <v>5</v>
      </c>
      <c r="F151">
        <f t="shared" si="2"/>
        <v>0</v>
      </c>
    </row>
    <row r="152" spans="1:6" x14ac:dyDescent="0.25">
      <c r="A152" t="s">
        <v>158</v>
      </c>
      <c r="B152">
        <v>11.3</v>
      </c>
      <c r="C152" t="s">
        <v>14</v>
      </c>
      <c r="D152" t="s">
        <v>6</v>
      </c>
      <c r="E152" t="s">
        <v>8</v>
      </c>
      <c r="F152">
        <f t="shared" si="2"/>
        <v>1</v>
      </c>
    </row>
    <row r="153" spans="1:6" x14ac:dyDescent="0.25">
      <c r="A153" t="s">
        <v>159</v>
      </c>
      <c r="B153">
        <v>12.9</v>
      </c>
      <c r="C153" t="s">
        <v>10</v>
      </c>
      <c r="D153" t="s">
        <v>6</v>
      </c>
      <c r="E153" t="s">
        <v>8</v>
      </c>
      <c r="F153">
        <f t="shared" si="2"/>
        <v>2</v>
      </c>
    </row>
    <row r="154" spans="1:6" x14ac:dyDescent="0.25">
      <c r="A154" t="s">
        <v>160</v>
      </c>
      <c r="B154">
        <v>16</v>
      </c>
      <c r="C154" t="s">
        <v>14</v>
      </c>
      <c r="D154" t="s">
        <v>6</v>
      </c>
      <c r="E154" t="s">
        <v>8</v>
      </c>
      <c r="F154">
        <f t="shared" si="2"/>
        <v>3</v>
      </c>
    </row>
    <row r="155" spans="1:6" x14ac:dyDescent="0.25">
      <c r="A155" t="s">
        <v>161</v>
      </c>
      <c r="B155">
        <v>19.8</v>
      </c>
      <c r="C155" t="s">
        <v>9</v>
      </c>
      <c r="D155" t="s">
        <v>6</v>
      </c>
      <c r="E155" t="s">
        <v>9</v>
      </c>
      <c r="F155">
        <f t="shared" si="2"/>
        <v>4</v>
      </c>
    </row>
    <row r="156" spans="1:6" x14ac:dyDescent="0.25">
      <c r="A156" t="s">
        <v>162</v>
      </c>
      <c r="B156">
        <v>23.6</v>
      </c>
      <c r="C156" t="s">
        <v>17</v>
      </c>
      <c r="D156" t="s">
        <v>6</v>
      </c>
      <c r="E156" t="s">
        <v>9</v>
      </c>
      <c r="F156">
        <f t="shared" si="2"/>
        <v>5</v>
      </c>
    </row>
    <row r="157" spans="1:6" x14ac:dyDescent="0.25">
      <c r="A157" t="s">
        <v>163</v>
      </c>
      <c r="B157">
        <v>26.4</v>
      </c>
      <c r="C157" t="s">
        <v>17</v>
      </c>
      <c r="D157" t="s">
        <v>6</v>
      </c>
      <c r="E157" t="s">
        <v>9</v>
      </c>
      <c r="F157">
        <f t="shared" si="2"/>
        <v>6</v>
      </c>
    </row>
    <row r="158" spans="1:6" x14ac:dyDescent="0.25">
      <c r="A158" t="s">
        <v>164</v>
      </c>
      <c r="B158">
        <v>27.7</v>
      </c>
      <c r="C158" t="s">
        <v>12</v>
      </c>
      <c r="D158" t="s">
        <v>6</v>
      </c>
      <c r="E158" t="s">
        <v>10</v>
      </c>
      <c r="F158">
        <f t="shared" si="2"/>
        <v>7</v>
      </c>
    </row>
    <row r="159" spans="1:6" x14ac:dyDescent="0.25">
      <c r="A159" t="s">
        <v>165</v>
      </c>
      <c r="B159">
        <v>27.2</v>
      </c>
      <c r="C159" t="s">
        <v>27</v>
      </c>
      <c r="D159" t="s">
        <v>6</v>
      </c>
      <c r="E159" t="s">
        <v>10</v>
      </c>
      <c r="F159">
        <f t="shared" si="2"/>
        <v>0</v>
      </c>
    </row>
    <row r="160" spans="1:6" x14ac:dyDescent="0.25">
      <c r="A160" t="s">
        <v>166</v>
      </c>
      <c r="B160">
        <v>25.5</v>
      </c>
      <c r="C160" t="s">
        <v>12</v>
      </c>
      <c r="D160" t="s">
        <v>6</v>
      </c>
      <c r="E160" t="s">
        <v>10</v>
      </c>
      <c r="F160">
        <f t="shared" si="2"/>
        <v>0</v>
      </c>
    </row>
    <row r="161" spans="1:6" x14ac:dyDescent="0.25">
      <c r="A161" t="s">
        <v>167</v>
      </c>
      <c r="B161">
        <v>23.1</v>
      </c>
      <c r="C161" t="s">
        <v>15</v>
      </c>
      <c r="D161" t="s">
        <v>6</v>
      </c>
      <c r="E161" t="s">
        <v>11</v>
      </c>
      <c r="F161">
        <f t="shared" si="2"/>
        <v>0</v>
      </c>
    </row>
    <row r="162" spans="1:6" x14ac:dyDescent="0.25">
      <c r="A162" t="s">
        <v>168</v>
      </c>
      <c r="B162">
        <v>21</v>
      </c>
      <c r="C162" t="s">
        <v>25</v>
      </c>
      <c r="D162" t="s">
        <v>6</v>
      </c>
      <c r="E162" t="s">
        <v>11</v>
      </c>
      <c r="F162">
        <f t="shared" si="2"/>
        <v>0</v>
      </c>
    </row>
    <row r="163" spans="1:6" x14ac:dyDescent="0.25">
      <c r="A163" t="s">
        <v>169</v>
      </c>
      <c r="B163">
        <v>20</v>
      </c>
      <c r="C163" t="s">
        <v>28</v>
      </c>
      <c r="D163" t="s">
        <v>6</v>
      </c>
      <c r="E163" t="s">
        <v>11</v>
      </c>
      <c r="F163">
        <f t="shared" si="2"/>
        <v>0</v>
      </c>
    </row>
    <row r="164" spans="1:6" x14ac:dyDescent="0.25">
      <c r="A164" t="s">
        <v>170</v>
      </c>
      <c r="B164">
        <v>20.399999999999999</v>
      </c>
      <c r="C164" t="s">
        <v>22</v>
      </c>
      <c r="D164" t="s">
        <v>6</v>
      </c>
      <c r="E164" t="s">
        <v>12</v>
      </c>
      <c r="F164">
        <f t="shared" si="2"/>
        <v>1</v>
      </c>
    </row>
    <row r="165" spans="1:6" x14ac:dyDescent="0.25">
      <c r="A165" t="s">
        <v>171</v>
      </c>
      <c r="B165">
        <v>22.1</v>
      </c>
      <c r="C165" t="s">
        <v>5</v>
      </c>
      <c r="D165" t="s">
        <v>5</v>
      </c>
      <c r="E165" t="s">
        <v>5</v>
      </c>
      <c r="F165">
        <f t="shared" si="2"/>
        <v>2</v>
      </c>
    </row>
    <row r="166" spans="1:6" x14ac:dyDescent="0.25">
      <c r="A166" t="s">
        <v>172</v>
      </c>
      <c r="B166">
        <v>24.5</v>
      </c>
      <c r="C166" t="s">
        <v>8</v>
      </c>
      <c r="D166" t="s">
        <v>7</v>
      </c>
      <c r="E166" t="s">
        <v>8</v>
      </c>
      <c r="F166">
        <f t="shared" si="2"/>
        <v>3</v>
      </c>
    </row>
    <row r="167" spans="1:6" x14ac:dyDescent="0.25">
      <c r="A167" t="s">
        <v>173</v>
      </c>
      <c r="B167">
        <v>26.8</v>
      </c>
      <c r="C167" t="s">
        <v>9</v>
      </c>
      <c r="D167" t="s">
        <v>7</v>
      </c>
      <c r="E167" t="s">
        <v>8</v>
      </c>
      <c r="F167">
        <f t="shared" si="2"/>
        <v>4</v>
      </c>
    </row>
    <row r="168" spans="1:6" x14ac:dyDescent="0.25">
      <c r="A168" t="s">
        <v>174</v>
      </c>
      <c r="B168">
        <v>28</v>
      </c>
      <c r="C168" t="s">
        <v>11</v>
      </c>
      <c r="D168" t="s">
        <v>7</v>
      </c>
      <c r="E168" t="s">
        <v>8</v>
      </c>
      <c r="F168">
        <f t="shared" si="2"/>
        <v>5</v>
      </c>
    </row>
    <row r="169" spans="1:6" x14ac:dyDescent="0.25">
      <c r="A169" t="s">
        <v>175</v>
      </c>
      <c r="B169">
        <v>27.7</v>
      </c>
      <c r="C169" t="s">
        <v>15</v>
      </c>
      <c r="D169" t="s">
        <v>7</v>
      </c>
      <c r="E169" t="s">
        <v>9</v>
      </c>
      <c r="F169">
        <f t="shared" si="2"/>
        <v>0</v>
      </c>
    </row>
    <row r="170" spans="1:6" x14ac:dyDescent="0.25">
      <c r="A170" t="s">
        <v>176</v>
      </c>
      <c r="B170">
        <v>25.6</v>
      </c>
      <c r="C170" t="s">
        <v>11</v>
      </c>
      <c r="D170" t="s">
        <v>7</v>
      </c>
      <c r="E170" t="s">
        <v>9</v>
      </c>
      <c r="F170">
        <f t="shared" si="2"/>
        <v>0</v>
      </c>
    </row>
    <row r="171" spans="1:6" x14ac:dyDescent="0.25">
      <c r="A171" t="s">
        <v>177</v>
      </c>
      <c r="B171">
        <v>22.3</v>
      </c>
      <c r="C171" t="s">
        <v>16</v>
      </c>
      <c r="D171" t="s">
        <v>7</v>
      </c>
      <c r="E171" t="s">
        <v>9</v>
      </c>
      <c r="F171">
        <f t="shared" si="2"/>
        <v>0</v>
      </c>
    </row>
    <row r="172" spans="1:6" x14ac:dyDescent="0.25">
      <c r="A172" t="s">
        <v>178</v>
      </c>
      <c r="B172">
        <v>18.399999999999999</v>
      </c>
      <c r="C172" t="s">
        <v>14</v>
      </c>
      <c r="D172" t="s">
        <v>7</v>
      </c>
      <c r="E172" t="s">
        <v>10</v>
      </c>
      <c r="F172">
        <f t="shared" si="2"/>
        <v>0</v>
      </c>
    </row>
    <row r="173" spans="1:6" x14ac:dyDescent="0.25">
      <c r="A173" t="s">
        <v>179</v>
      </c>
      <c r="B173">
        <v>14.9</v>
      </c>
      <c r="C173" t="s">
        <v>27</v>
      </c>
      <c r="D173" t="s">
        <v>7</v>
      </c>
      <c r="E173" t="s">
        <v>10</v>
      </c>
      <c r="F173">
        <f t="shared" si="2"/>
        <v>0</v>
      </c>
    </row>
    <row r="174" spans="1:6" x14ac:dyDescent="0.25">
      <c r="A174" t="s">
        <v>180</v>
      </c>
      <c r="B174">
        <v>12.5</v>
      </c>
      <c r="C174" t="s">
        <v>14</v>
      </c>
      <c r="D174" t="s">
        <v>7</v>
      </c>
      <c r="E174" t="s">
        <v>10</v>
      </c>
      <c r="F174">
        <f t="shared" si="2"/>
        <v>0</v>
      </c>
    </row>
    <row r="175" spans="1:6" x14ac:dyDescent="0.25">
      <c r="A175" t="s">
        <v>181</v>
      </c>
      <c r="B175">
        <v>11.7</v>
      </c>
      <c r="C175" t="s">
        <v>29</v>
      </c>
      <c r="D175" t="s">
        <v>7</v>
      </c>
      <c r="E175" t="s">
        <v>11</v>
      </c>
      <c r="F175">
        <f t="shared" si="2"/>
        <v>0</v>
      </c>
    </row>
    <row r="176" spans="1:6" x14ac:dyDescent="0.25">
      <c r="A176" t="s">
        <v>182</v>
      </c>
      <c r="B176">
        <v>12.3</v>
      </c>
      <c r="C176" t="s">
        <v>19</v>
      </c>
      <c r="D176" t="s">
        <v>7</v>
      </c>
      <c r="E176" t="s">
        <v>11</v>
      </c>
      <c r="F176">
        <f t="shared" si="2"/>
        <v>1</v>
      </c>
    </row>
    <row r="177" spans="1:6" x14ac:dyDescent="0.25">
      <c r="A177" t="s">
        <v>183</v>
      </c>
      <c r="B177">
        <v>13.7</v>
      </c>
      <c r="C177" t="s">
        <v>25</v>
      </c>
      <c r="D177" t="s">
        <v>7</v>
      </c>
      <c r="E177" t="s">
        <v>11</v>
      </c>
      <c r="F177">
        <f t="shared" si="2"/>
        <v>2</v>
      </c>
    </row>
    <row r="178" spans="1:6" x14ac:dyDescent="0.25">
      <c r="A178" t="s">
        <v>184</v>
      </c>
      <c r="B178">
        <v>15.2</v>
      </c>
      <c r="C178" t="s">
        <v>22</v>
      </c>
      <c r="D178" t="s">
        <v>7</v>
      </c>
      <c r="E178" t="s">
        <v>12</v>
      </c>
      <c r="F178">
        <f t="shared" si="2"/>
        <v>3</v>
      </c>
    </row>
    <row r="179" spans="1:6" x14ac:dyDescent="0.25">
      <c r="A179" t="s">
        <v>185</v>
      </c>
      <c r="B179">
        <v>15.9</v>
      </c>
      <c r="C179" t="s">
        <v>5</v>
      </c>
      <c r="D179" t="s">
        <v>5</v>
      </c>
      <c r="E179" t="s">
        <v>5</v>
      </c>
      <c r="F179">
        <f t="shared" si="2"/>
        <v>4</v>
      </c>
    </row>
    <row r="180" spans="1:6" x14ac:dyDescent="0.25">
      <c r="A180" t="s">
        <v>186</v>
      </c>
      <c r="B180">
        <v>15.1</v>
      </c>
      <c r="C180" t="s">
        <v>8</v>
      </c>
      <c r="D180" t="s">
        <v>6</v>
      </c>
      <c r="E180" t="s">
        <v>8</v>
      </c>
      <c r="F180">
        <f t="shared" si="2"/>
        <v>0</v>
      </c>
    </row>
    <row r="181" spans="1:6" x14ac:dyDescent="0.25">
      <c r="A181" t="s">
        <v>187</v>
      </c>
      <c r="B181">
        <v>12.9</v>
      </c>
      <c r="C181" t="s">
        <v>8</v>
      </c>
      <c r="D181" t="s">
        <v>6</v>
      </c>
      <c r="E181" t="s">
        <v>8</v>
      </c>
      <c r="F181">
        <f t="shared" si="2"/>
        <v>0</v>
      </c>
    </row>
    <row r="182" spans="1:6" x14ac:dyDescent="0.25">
      <c r="A182" t="s">
        <v>188</v>
      </c>
      <c r="B182">
        <v>9.6</v>
      </c>
      <c r="C182" t="s">
        <v>8</v>
      </c>
      <c r="D182" t="s">
        <v>6</v>
      </c>
      <c r="E182" t="s">
        <v>8</v>
      </c>
      <c r="F182">
        <f t="shared" si="2"/>
        <v>0</v>
      </c>
    </row>
    <row r="183" spans="1:6" x14ac:dyDescent="0.25">
      <c r="A183" t="s">
        <v>189</v>
      </c>
      <c r="B183">
        <v>5.9</v>
      </c>
      <c r="C183" t="s">
        <v>9</v>
      </c>
      <c r="D183" t="s">
        <v>6</v>
      </c>
      <c r="E183" t="s">
        <v>9</v>
      </c>
      <c r="F183">
        <f t="shared" si="2"/>
        <v>0</v>
      </c>
    </row>
    <row r="184" spans="1:6" x14ac:dyDescent="0.25">
      <c r="A184" t="s">
        <v>190</v>
      </c>
      <c r="B184">
        <v>2.8</v>
      </c>
      <c r="C184" t="s">
        <v>14</v>
      </c>
      <c r="D184" t="s">
        <v>6</v>
      </c>
      <c r="E184" t="s">
        <v>9</v>
      </c>
      <c r="F184">
        <f t="shared" si="2"/>
        <v>0</v>
      </c>
    </row>
    <row r="185" spans="1:6" x14ac:dyDescent="0.25">
      <c r="A185" t="s">
        <v>191</v>
      </c>
      <c r="B185">
        <v>1</v>
      </c>
      <c r="C185" t="s">
        <v>18</v>
      </c>
      <c r="D185" t="s">
        <v>6</v>
      </c>
      <c r="E185" t="s">
        <v>9</v>
      </c>
      <c r="F185">
        <f t="shared" si="2"/>
        <v>0</v>
      </c>
    </row>
    <row r="186" spans="1:6" x14ac:dyDescent="0.25">
      <c r="A186" t="s">
        <v>192</v>
      </c>
      <c r="B186">
        <v>0.9</v>
      </c>
      <c r="C186" t="s">
        <v>14</v>
      </c>
      <c r="D186" t="s">
        <v>6</v>
      </c>
      <c r="E186" t="s">
        <v>10</v>
      </c>
      <c r="F186">
        <f t="shared" si="2"/>
        <v>0</v>
      </c>
    </row>
    <row r="187" spans="1:6" x14ac:dyDescent="0.25">
      <c r="A187" t="s">
        <v>193</v>
      </c>
      <c r="B187">
        <v>2.5</v>
      </c>
      <c r="C187" t="s">
        <v>8</v>
      </c>
      <c r="D187" t="s">
        <v>6</v>
      </c>
      <c r="E187" t="s">
        <v>10</v>
      </c>
      <c r="F187">
        <f t="shared" si="2"/>
        <v>1</v>
      </c>
    </row>
    <row r="188" spans="1:6" x14ac:dyDescent="0.25">
      <c r="A188" t="s">
        <v>194</v>
      </c>
      <c r="B188">
        <v>5</v>
      </c>
      <c r="C188" t="s">
        <v>10</v>
      </c>
      <c r="D188" t="s">
        <v>6</v>
      </c>
      <c r="E188" t="s">
        <v>10</v>
      </c>
      <c r="F188">
        <f t="shared" si="2"/>
        <v>2</v>
      </c>
    </row>
    <row r="189" spans="1:6" x14ac:dyDescent="0.25">
      <c r="A189" t="s">
        <v>195</v>
      </c>
      <c r="B189">
        <v>7.7</v>
      </c>
      <c r="C189" t="s">
        <v>16</v>
      </c>
      <c r="D189" t="s">
        <v>6</v>
      </c>
      <c r="E189" t="s">
        <v>11</v>
      </c>
      <c r="F189">
        <f t="shared" si="2"/>
        <v>3</v>
      </c>
    </row>
    <row r="190" spans="1:6" x14ac:dyDescent="0.25">
      <c r="A190" t="s">
        <v>196</v>
      </c>
      <c r="B190">
        <v>9.6999999999999993</v>
      </c>
      <c r="C190" t="s">
        <v>14</v>
      </c>
      <c r="D190" t="s">
        <v>6</v>
      </c>
      <c r="E190" t="s">
        <v>11</v>
      </c>
      <c r="F190">
        <f t="shared" si="2"/>
        <v>4</v>
      </c>
    </row>
    <row r="191" spans="1:6" x14ac:dyDescent="0.25">
      <c r="A191" t="s">
        <v>197</v>
      </c>
      <c r="B191">
        <v>10.4</v>
      </c>
      <c r="C191" t="s">
        <v>10</v>
      </c>
      <c r="D191" t="s">
        <v>6</v>
      </c>
      <c r="E191" t="s">
        <v>11</v>
      </c>
      <c r="F191">
        <f t="shared" si="2"/>
        <v>5</v>
      </c>
    </row>
    <row r="192" spans="1:6" x14ac:dyDescent="0.25">
      <c r="A192" t="s">
        <v>198</v>
      </c>
      <c r="B192">
        <v>9.6999999999999993</v>
      </c>
      <c r="C192" t="s">
        <v>25</v>
      </c>
      <c r="D192" t="s">
        <v>6</v>
      </c>
      <c r="E192" t="s">
        <v>12</v>
      </c>
      <c r="F192">
        <f t="shared" si="2"/>
        <v>0</v>
      </c>
    </row>
    <row r="193" spans="1:6" x14ac:dyDescent="0.25">
      <c r="A193" t="s">
        <v>199</v>
      </c>
      <c r="B193">
        <v>8</v>
      </c>
      <c r="C193" t="s">
        <v>5</v>
      </c>
      <c r="D193" t="s">
        <v>5</v>
      </c>
      <c r="E193" t="s">
        <v>5</v>
      </c>
      <c r="F193">
        <f t="shared" si="2"/>
        <v>0</v>
      </c>
    </row>
    <row r="194" spans="1:6" x14ac:dyDescent="0.25">
      <c r="A194" t="s">
        <v>200</v>
      </c>
      <c r="B194">
        <v>5.9</v>
      </c>
      <c r="C194" t="s">
        <v>10</v>
      </c>
      <c r="D194" t="s">
        <v>7</v>
      </c>
      <c r="E194" t="s">
        <v>8</v>
      </c>
      <c r="F194">
        <f t="shared" si="2"/>
        <v>0</v>
      </c>
    </row>
    <row r="195" spans="1:6" x14ac:dyDescent="0.25">
      <c r="A195" t="s">
        <v>201</v>
      </c>
      <c r="B195">
        <v>4.4000000000000004</v>
      </c>
      <c r="C195" t="s">
        <v>11</v>
      </c>
      <c r="D195" t="s">
        <v>7</v>
      </c>
      <c r="E195" t="s">
        <v>8</v>
      </c>
      <c r="F195">
        <f t="shared" si="2"/>
        <v>0</v>
      </c>
    </row>
    <row r="196" spans="1:6" x14ac:dyDescent="0.25">
      <c r="A196" t="s">
        <v>202</v>
      </c>
      <c r="B196">
        <v>4.2</v>
      </c>
      <c r="C196" t="s">
        <v>14</v>
      </c>
      <c r="D196" t="s">
        <v>7</v>
      </c>
      <c r="E196" t="s">
        <v>8</v>
      </c>
      <c r="F196">
        <f t="shared" ref="F196:F259" si="3">IF(B196&gt;B195,F195+1,0)</f>
        <v>0</v>
      </c>
    </row>
    <row r="197" spans="1:6" x14ac:dyDescent="0.25">
      <c r="A197" t="s">
        <v>203</v>
      </c>
      <c r="B197">
        <v>5.6</v>
      </c>
      <c r="C197" t="s">
        <v>15</v>
      </c>
      <c r="D197" t="s">
        <v>7</v>
      </c>
      <c r="E197" t="s">
        <v>9</v>
      </c>
      <c r="F197">
        <f t="shared" si="3"/>
        <v>1</v>
      </c>
    </row>
    <row r="198" spans="1:6" x14ac:dyDescent="0.25">
      <c r="A198" t="s">
        <v>204</v>
      </c>
      <c r="B198">
        <v>8.6</v>
      </c>
      <c r="C198" t="s">
        <v>21</v>
      </c>
      <c r="D198" t="s">
        <v>7</v>
      </c>
      <c r="E198" t="s">
        <v>9</v>
      </c>
      <c r="F198">
        <f t="shared" si="3"/>
        <v>2</v>
      </c>
    </row>
    <row r="199" spans="1:6" x14ac:dyDescent="0.25">
      <c r="A199" t="s">
        <v>205</v>
      </c>
      <c r="B199">
        <v>12.5</v>
      </c>
      <c r="C199" t="s">
        <v>18</v>
      </c>
      <c r="D199" t="s">
        <v>7</v>
      </c>
      <c r="E199" t="s">
        <v>9</v>
      </c>
      <c r="F199">
        <f t="shared" si="3"/>
        <v>3</v>
      </c>
    </row>
    <row r="200" spans="1:6" x14ac:dyDescent="0.25">
      <c r="A200" t="s">
        <v>206</v>
      </c>
      <c r="B200">
        <v>16.399999999999999</v>
      </c>
      <c r="C200" t="s">
        <v>19</v>
      </c>
      <c r="D200" t="s">
        <v>7</v>
      </c>
      <c r="E200" t="s">
        <v>10</v>
      </c>
      <c r="F200">
        <f t="shared" si="3"/>
        <v>4</v>
      </c>
    </row>
    <row r="201" spans="1:6" x14ac:dyDescent="0.25">
      <c r="A201" t="s">
        <v>207</v>
      </c>
      <c r="B201">
        <v>19.5</v>
      </c>
      <c r="C201" t="s">
        <v>21</v>
      </c>
      <c r="D201" t="s">
        <v>7</v>
      </c>
      <c r="E201" t="s">
        <v>10</v>
      </c>
      <c r="F201">
        <f t="shared" si="3"/>
        <v>5</v>
      </c>
    </row>
    <row r="202" spans="1:6" x14ac:dyDescent="0.25">
      <c r="A202" t="s">
        <v>208</v>
      </c>
      <c r="B202">
        <v>21.2</v>
      </c>
      <c r="C202" t="s">
        <v>8</v>
      </c>
      <c r="D202" t="s">
        <v>7</v>
      </c>
      <c r="E202" t="s">
        <v>10</v>
      </c>
      <c r="F202">
        <f t="shared" si="3"/>
        <v>6</v>
      </c>
    </row>
    <row r="203" spans="1:6" x14ac:dyDescent="0.25">
      <c r="A203" t="s">
        <v>209</v>
      </c>
      <c r="B203">
        <v>21.3</v>
      </c>
      <c r="C203" t="s">
        <v>17</v>
      </c>
      <c r="D203" t="s">
        <v>7</v>
      </c>
      <c r="E203" t="s">
        <v>11</v>
      </c>
      <c r="F203">
        <f t="shared" si="3"/>
        <v>7</v>
      </c>
    </row>
    <row r="204" spans="1:6" x14ac:dyDescent="0.25">
      <c r="A204" t="s">
        <v>210</v>
      </c>
      <c r="B204">
        <v>20.100000000000001</v>
      </c>
      <c r="C204" t="s">
        <v>14</v>
      </c>
      <c r="D204" t="s">
        <v>7</v>
      </c>
      <c r="E204" t="s">
        <v>11</v>
      </c>
      <c r="F204">
        <f t="shared" si="3"/>
        <v>0</v>
      </c>
    </row>
    <row r="205" spans="1:6" x14ac:dyDescent="0.25">
      <c r="A205" t="s">
        <v>211</v>
      </c>
      <c r="B205">
        <v>18.399999999999999</v>
      </c>
      <c r="C205" t="s">
        <v>10</v>
      </c>
      <c r="D205" t="s">
        <v>7</v>
      </c>
      <c r="E205" t="s">
        <v>11</v>
      </c>
      <c r="F205">
        <f t="shared" si="3"/>
        <v>0</v>
      </c>
    </row>
    <row r="206" spans="1:6" x14ac:dyDescent="0.25">
      <c r="A206" t="s">
        <v>212</v>
      </c>
      <c r="B206">
        <v>17.100000000000001</v>
      </c>
      <c r="C206" t="s">
        <v>20</v>
      </c>
      <c r="D206" t="s">
        <v>7</v>
      </c>
      <c r="E206" t="s">
        <v>12</v>
      </c>
      <c r="F206">
        <f t="shared" si="3"/>
        <v>0</v>
      </c>
    </row>
    <row r="207" spans="1:6" x14ac:dyDescent="0.25">
      <c r="A207" t="s">
        <v>213</v>
      </c>
      <c r="B207">
        <v>16.899999999999999</v>
      </c>
      <c r="C207" t="s">
        <v>26</v>
      </c>
      <c r="D207" t="s">
        <v>7</v>
      </c>
      <c r="E207" t="s">
        <v>12</v>
      </c>
      <c r="F207">
        <f t="shared" si="3"/>
        <v>0</v>
      </c>
    </row>
    <row r="208" spans="1:6" x14ac:dyDescent="0.25">
      <c r="A208" t="s">
        <v>214</v>
      </c>
      <c r="B208">
        <v>18.2</v>
      </c>
      <c r="C208" t="s">
        <v>24</v>
      </c>
      <c r="D208" t="s">
        <v>7</v>
      </c>
      <c r="E208" t="s">
        <v>12</v>
      </c>
      <c r="F208">
        <f t="shared" si="3"/>
        <v>1</v>
      </c>
    </row>
    <row r="209" spans="1:6" x14ac:dyDescent="0.25">
      <c r="A209" t="s">
        <v>215</v>
      </c>
      <c r="B209">
        <v>20.7</v>
      </c>
      <c r="C209" t="s">
        <v>27</v>
      </c>
      <c r="D209" t="s">
        <v>7</v>
      </c>
      <c r="E209" t="s">
        <v>12</v>
      </c>
      <c r="F209">
        <f t="shared" si="3"/>
        <v>2</v>
      </c>
    </row>
    <row r="210" spans="1:6" x14ac:dyDescent="0.25">
      <c r="A210" t="s">
        <v>216</v>
      </c>
      <c r="B210">
        <v>24</v>
      </c>
      <c r="C210" t="s">
        <v>23</v>
      </c>
      <c r="D210" t="s">
        <v>7</v>
      </c>
      <c r="E210" t="s">
        <v>12</v>
      </c>
      <c r="F210">
        <f t="shared" si="3"/>
        <v>3</v>
      </c>
    </row>
    <row r="211" spans="1:6" x14ac:dyDescent="0.25">
      <c r="A211" t="s">
        <v>217</v>
      </c>
      <c r="B211">
        <v>27.2</v>
      </c>
      <c r="C211" t="s">
        <v>34</v>
      </c>
      <c r="D211" t="s">
        <v>7</v>
      </c>
      <c r="E211" t="s">
        <v>12</v>
      </c>
      <c r="F211">
        <f t="shared" si="3"/>
        <v>4</v>
      </c>
    </row>
    <row r="212" spans="1:6" x14ac:dyDescent="0.25">
      <c r="A212" t="s">
        <v>218</v>
      </c>
      <c r="B212">
        <v>29.4</v>
      </c>
      <c r="C212" t="s">
        <v>5</v>
      </c>
      <c r="D212" t="s">
        <v>5</v>
      </c>
      <c r="E212" t="s">
        <v>5</v>
      </c>
      <c r="F212">
        <f t="shared" si="3"/>
        <v>5</v>
      </c>
    </row>
    <row r="213" spans="1:6" x14ac:dyDescent="0.25">
      <c r="A213" t="s">
        <v>219</v>
      </c>
      <c r="B213">
        <v>29.9</v>
      </c>
      <c r="C213" t="s">
        <v>9</v>
      </c>
      <c r="D213" t="s">
        <v>6</v>
      </c>
      <c r="E213" t="s">
        <v>8</v>
      </c>
      <c r="F213">
        <f t="shared" si="3"/>
        <v>6</v>
      </c>
    </row>
    <row r="214" spans="1:6" x14ac:dyDescent="0.25">
      <c r="A214" t="s">
        <v>220</v>
      </c>
      <c r="B214">
        <v>28.8</v>
      </c>
      <c r="C214" t="s">
        <v>11</v>
      </c>
      <c r="D214" t="s">
        <v>6</v>
      </c>
      <c r="E214" t="s">
        <v>8</v>
      </c>
      <c r="F214">
        <f t="shared" si="3"/>
        <v>0</v>
      </c>
    </row>
    <row r="215" spans="1:6" x14ac:dyDescent="0.25">
      <c r="A215" t="s">
        <v>221</v>
      </c>
      <c r="B215">
        <v>26.2</v>
      </c>
      <c r="C215" t="s">
        <v>9</v>
      </c>
      <c r="D215" t="s">
        <v>6</v>
      </c>
      <c r="E215" t="s">
        <v>8</v>
      </c>
      <c r="F215">
        <f t="shared" si="3"/>
        <v>0</v>
      </c>
    </row>
    <row r="216" spans="1:6" x14ac:dyDescent="0.25">
      <c r="A216" t="s">
        <v>222</v>
      </c>
      <c r="B216">
        <v>23.1</v>
      </c>
      <c r="C216" t="s">
        <v>17</v>
      </c>
      <c r="D216" t="s">
        <v>6</v>
      </c>
      <c r="E216" t="s">
        <v>8</v>
      </c>
      <c r="F216">
        <f t="shared" si="3"/>
        <v>0</v>
      </c>
    </row>
    <row r="217" spans="1:6" x14ac:dyDescent="0.25">
      <c r="A217" t="s">
        <v>223</v>
      </c>
      <c r="B217">
        <v>20.3</v>
      </c>
      <c r="C217" t="s">
        <v>8</v>
      </c>
      <c r="D217" t="s">
        <v>6</v>
      </c>
      <c r="E217" t="s">
        <v>9</v>
      </c>
      <c r="F217">
        <f t="shared" si="3"/>
        <v>0</v>
      </c>
    </row>
    <row r="218" spans="1:6" x14ac:dyDescent="0.25">
      <c r="A218" t="s">
        <v>224</v>
      </c>
      <c r="B218">
        <v>18.5</v>
      </c>
      <c r="C218" t="s">
        <v>16</v>
      </c>
      <c r="D218" t="s">
        <v>6</v>
      </c>
      <c r="E218" t="s">
        <v>9</v>
      </c>
      <c r="F218">
        <f t="shared" si="3"/>
        <v>0</v>
      </c>
    </row>
    <row r="219" spans="1:6" x14ac:dyDescent="0.25">
      <c r="A219" t="s">
        <v>225</v>
      </c>
      <c r="B219">
        <v>18.2</v>
      </c>
      <c r="C219" t="s">
        <v>13</v>
      </c>
      <c r="D219" t="s">
        <v>6</v>
      </c>
      <c r="E219" t="s">
        <v>10</v>
      </c>
      <c r="F219">
        <f t="shared" si="3"/>
        <v>0</v>
      </c>
    </row>
    <row r="220" spans="1:6" x14ac:dyDescent="0.25">
      <c r="A220" t="s">
        <v>226</v>
      </c>
      <c r="B220">
        <v>19.100000000000001</v>
      </c>
      <c r="C220" t="s">
        <v>13</v>
      </c>
      <c r="D220" t="s">
        <v>6</v>
      </c>
      <c r="E220" t="s">
        <v>10</v>
      </c>
      <c r="F220">
        <f t="shared" si="3"/>
        <v>1</v>
      </c>
    </row>
    <row r="221" spans="1:6" x14ac:dyDescent="0.25">
      <c r="A221" t="s">
        <v>227</v>
      </c>
      <c r="B221">
        <v>20.9</v>
      </c>
      <c r="C221" t="s">
        <v>8</v>
      </c>
      <c r="D221" t="s">
        <v>6</v>
      </c>
      <c r="E221" t="s">
        <v>10</v>
      </c>
      <c r="F221">
        <f t="shared" si="3"/>
        <v>2</v>
      </c>
    </row>
    <row r="222" spans="1:6" x14ac:dyDescent="0.25">
      <c r="A222" t="s">
        <v>228</v>
      </c>
      <c r="B222">
        <v>22.5</v>
      </c>
      <c r="C222" t="s">
        <v>11</v>
      </c>
      <c r="D222" t="s">
        <v>6</v>
      </c>
      <c r="E222" t="s">
        <v>11</v>
      </c>
      <c r="F222">
        <f t="shared" si="3"/>
        <v>3</v>
      </c>
    </row>
    <row r="223" spans="1:6" x14ac:dyDescent="0.25">
      <c r="A223" t="s">
        <v>229</v>
      </c>
      <c r="B223">
        <v>23.2</v>
      </c>
      <c r="C223" t="s">
        <v>21</v>
      </c>
      <c r="D223" t="s">
        <v>6</v>
      </c>
      <c r="E223" t="s">
        <v>11</v>
      </c>
      <c r="F223">
        <f t="shared" si="3"/>
        <v>4</v>
      </c>
    </row>
    <row r="224" spans="1:6" x14ac:dyDescent="0.25">
      <c r="A224" t="s">
        <v>230</v>
      </c>
      <c r="B224">
        <v>22.4</v>
      </c>
      <c r="C224" t="s">
        <v>16</v>
      </c>
      <c r="D224" t="s">
        <v>6</v>
      </c>
      <c r="E224" t="s">
        <v>11</v>
      </c>
      <c r="F224">
        <f t="shared" si="3"/>
        <v>0</v>
      </c>
    </row>
    <row r="225" spans="1:6" x14ac:dyDescent="0.25">
      <c r="A225" t="s">
        <v>231</v>
      </c>
      <c r="B225">
        <v>20</v>
      </c>
      <c r="C225" t="s">
        <v>26</v>
      </c>
      <c r="D225" t="s">
        <v>6</v>
      </c>
      <c r="E225" t="s">
        <v>12</v>
      </c>
      <c r="F225">
        <f t="shared" si="3"/>
        <v>0</v>
      </c>
    </row>
    <row r="226" spans="1:6" x14ac:dyDescent="0.25">
      <c r="A226" t="s">
        <v>232</v>
      </c>
      <c r="B226">
        <v>16.399999999999999</v>
      </c>
      <c r="C226" t="s">
        <v>31</v>
      </c>
      <c r="D226" t="s">
        <v>6</v>
      </c>
      <c r="E226" t="s">
        <v>12</v>
      </c>
      <c r="F226">
        <f t="shared" si="3"/>
        <v>0</v>
      </c>
    </row>
    <row r="227" spans="1:6" x14ac:dyDescent="0.25">
      <c r="A227" t="s">
        <v>233</v>
      </c>
      <c r="B227">
        <v>12.3</v>
      </c>
      <c r="C227" t="s">
        <v>5</v>
      </c>
      <c r="D227" t="s">
        <v>5</v>
      </c>
      <c r="E227" t="s">
        <v>5</v>
      </c>
      <c r="F227">
        <f t="shared" si="3"/>
        <v>0</v>
      </c>
    </row>
    <row r="228" spans="1:6" x14ac:dyDescent="0.25">
      <c r="A228" t="s">
        <v>234</v>
      </c>
      <c r="B228">
        <v>8.6999999999999993</v>
      </c>
      <c r="C228" t="s">
        <v>12</v>
      </c>
      <c r="D228" t="s">
        <v>7</v>
      </c>
      <c r="E228" t="s">
        <v>8</v>
      </c>
      <c r="F228">
        <f t="shared" si="3"/>
        <v>0</v>
      </c>
    </row>
    <row r="229" spans="1:6" x14ac:dyDescent="0.25">
      <c r="A229" t="s">
        <v>235</v>
      </c>
      <c r="B229">
        <v>6.4</v>
      </c>
      <c r="C229" t="s">
        <v>8</v>
      </c>
      <c r="D229" t="s">
        <v>7</v>
      </c>
      <c r="E229" t="s">
        <v>8</v>
      </c>
      <c r="F229">
        <f t="shared" si="3"/>
        <v>0</v>
      </c>
    </row>
    <row r="230" spans="1:6" x14ac:dyDescent="0.25">
      <c r="A230" t="s">
        <v>236</v>
      </c>
      <c r="B230">
        <v>5.6</v>
      </c>
      <c r="C230" t="s">
        <v>14</v>
      </c>
      <c r="D230" t="s">
        <v>7</v>
      </c>
      <c r="E230" t="s">
        <v>8</v>
      </c>
      <c r="F230">
        <f t="shared" si="3"/>
        <v>0</v>
      </c>
    </row>
    <row r="231" spans="1:6" x14ac:dyDescent="0.25">
      <c r="A231" t="s">
        <v>237</v>
      </c>
      <c r="B231">
        <v>6.4</v>
      </c>
      <c r="C231" t="s">
        <v>21</v>
      </c>
      <c r="D231" t="s">
        <v>7</v>
      </c>
      <c r="E231" t="s">
        <v>9</v>
      </c>
      <c r="F231">
        <f t="shared" si="3"/>
        <v>1</v>
      </c>
    </row>
    <row r="232" spans="1:6" x14ac:dyDescent="0.25">
      <c r="A232" t="s">
        <v>238</v>
      </c>
      <c r="B232">
        <v>8.1999999999999993</v>
      </c>
      <c r="C232" t="s">
        <v>10</v>
      </c>
      <c r="D232" t="s">
        <v>7</v>
      </c>
      <c r="E232" t="s">
        <v>9</v>
      </c>
      <c r="F232">
        <f t="shared" si="3"/>
        <v>2</v>
      </c>
    </row>
    <row r="233" spans="1:6" x14ac:dyDescent="0.25">
      <c r="A233" t="s">
        <v>239</v>
      </c>
      <c r="B233">
        <v>10</v>
      </c>
      <c r="C233" t="s">
        <v>21</v>
      </c>
      <c r="D233" t="s">
        <v>7</v>
      </c>
      <c r="E233" t="s">
        <v>9</v>
      </c>
      <c r="F233">
        <f t="shared" si="3"/>
        <v>3</v>
      </c>
    </row>
    <row r="234" spans="1:6" x14ac:dyDescent="0.25">
      <c r="A234" t="s">
        <v>240</v>
      </c>
      <c r="B234">
        <v>11.1</v>
      </c>
      <c r="C234" t="s">
        <v>24</v>
      </c>
      <c r="D234" t="s">
        <v>7</v>
      </c>
      <c r="E234" t="s">
        <v>10</v>
      </c>
      <c r="F234">
        <f t="shared" si="3"/>
        <v>4</v>
      </c>
    </row>
    <row r="235" spans="1:6" x14ac:dyDescent="0.25">
      <c r="A235" t="s">
        <v>241</v>
      </c>
      <c r="B235">
        <v>10.9</v>
      </c>
      <c r="C235" t="s">
        <v>26</v>
      </c>
      <c r="D235" t="s">
        <v>7</v>
      </c>
      <c r="E235" t="s">
        <v>10</v>
      </c>
      <c r="F235">
        <f t="shared" si="3"/>
        <v>0</v>
      </c>
    </row>
    <row r="236" spans="1:6" x14ac:dyDescent="0.25">
      <c r="A236" t="s">
        <v>242</v>
      </c>
      <c r="B236">
        <v>9.3000000000000007</v>
      </c>
      <c r="C236" t="s">
        <v>10</v>
      </c>
      <c r="D236" t="s">
        <v>7</v>
      </c>
      <c r="E236" t="s">
        <v>10</v>
      </c>
      <c r="F236">
        <f t="shared" si="3"/>
        <v>0</v>
      </c>
    </row>
    <row r="237" spans="1:6" x14ac:dyDescent="0.25">
      <c r="A237" t="s">
        <v>243</v>
      </c>
      <c r="B237">
        <v>6.6</v>
      </c>
      <c r="C237" t="s">
        <v>30</v>
      </c>
      <c r="D237" t="s">
        <v>7</v>
      </c>
      <c r="E237" t="s">
        <v>11</v>
      </c>
      <c r="F237">
        <f t="shared" si="3"/>
        <v>0</v>
      </c>
    </row>
    <row r="238" spans="1:6" x14ac:dyDescent="0.25">
      <c r="A238" t="s">
        <v>244</v>
      </c>
      <c r="B238">
        <v>3.6</v>
      </c>
      <c r="C238" t="s">
        <v>27</v>
      </c>
      <c r="D238" t="s">
        <v>7</v>
      </c>
      <c r="E238" t="s">
        <v>11</v>
      </c>
      <c r="F238">
        <f t="shared" si="3"/>
        <v>0</v>
      </c>
    </row>
    <row r="239" spans="1:6" x14ac:dyDescent="0.25">
      <c r="A239" t="s">
        <v>245</v>
      </c>
      <c r="B239">
        <v>1.2</v>
      </c>
      <c r="C239" t="s">
        <v>23</v>
      </c>
      <c r="D239" t="s">
        <v>7</v>
      </c>
      <c r="E239" t="s">
        <v>11</v>
      </c>
      <c r="F239">
        <f t="shared" si="3"/>
        <v>0</v>
      </c>
    </row>
    <row r="240" spans="1:6" x14ac:dyDescent="0.25">
      <c r="A240" t="s">
        <v>246</v>
      </c>
      <c r="B240">
        <v>0.2</v>
      </c>
      <c r="C240" t="s">
        <v>36</v>
      </c>
      <c r="D240" t="s">
        <v>7</v>
      </c>
      <c r="E240" t="s">
        <v>12</v>
      </c>
      <c r="F240">
        <f t="shared" si="3"/>
        <v>0</v>
      </c>
    </row>
    <row r="241" spans="1:6" x14ac:dyDescent="0.25">
      <c r="A241" t="s">
        <v>247</v>
      </c>
      <c r="B241">
        <v>0.9</v>
      </c>
      <c r="C241" t="s">
        <v>5</v>
      </c>
      <c r="D241" t="s">
        <v>5</v>
      </c>
      <c r="E241" t="s">
        <v>5</v>
      </c>
      <c r="F241">
        <f t="shared" si="3"/>
        <v>1</v>
      </c>
    </row>
    <row r="242" spans="1:6" x14ac:dyDescent="0.25">
      <c r="A242" t="s">
        <v>248</v>
      </c>
      <c r="B242">
        <v>3.2</v>
      </c>
      <c r="C242" t="s">
        <v>14</v>
      </c>
      <c r="D242" t="s">
        <v>7</v>
      </c>
      <c r="E242" t="s">
        <v>8</v>
      </c>
      <c r="F242">
        <f t="shared" si="3"/>
        <v>2</v>
      </c>
    </row>
    <row r="243" spans="1:6" x14ac:dyDescent="0.25">
      <c r="A243" t="s">
        <v>249</v>
      </c>
      <c r="B243">
        <v>6.6</v>
      </c>
      <c r="C243" t="s">
        <v>12</v>
      </c>
      <c r="D243" t="s">
        <v>7</v>
      </c>
      <c r="E243" t="s">
        <v>8</v>
      </c>
      <c r="F243">
        <f t="shared" si="3"/>
        <v>3</v>
      </c>
    </row>
    <row r="244" spans="1:6" x14ac:dyDescent="0.25">
      <c r="A244" t="s">
        <v>250</v>
      </c>
      <c r="B244">
        <v>10</v>
      </c>
      <c r="C244" t="s">
        <v>9</v>
      </c>
      <c r="D244" t="s">
        <v>7</v>
      </c>
      <c r="E244" t="s">
        <v>8</v>
      </c>
      <c r="F244">
        <f t="shared" si="3"/>
        <v>4</v>
      </c>
    </row>
    <row r="245" spans="1:6" x14ac:dyDescent="0.25">
      <c r="A245" t="s">
        <v>251</v>
      </c>
      <c r="B245">
        <v>12.7</v>
      </c>
      <c r="C245" t="s">
        <v>15</v>
      </c>
      <c r="D245" t="s">
        <v>7</v>
      </c>
      <c r="E245" t="s">
        <v>9</v>
      </c>
      <c r="F245">
        <f t="shared" si="3"/>
        <v>5</v>
      </c>
    </row>
    <row r="246" spans="1:6" x14ac:dyDescent="0.25">
      <c r="A246" t="s">
        <v>252</v>
      </c>
      <c r="B246">
        <v>14.1</v>
      </c>
      <c r="C246" t="s">
        <v>8</v>
      </c>
      <c r="D246" t="s">
        <v>7</v>
      </c>
      <c r="E246" t="s">
        <v>9</v>
      </c>
      <c r="F246">
        <f t="shared" si="3"/>
        <v>6</v>
      </c>
    </row>
    <row r="247" spans="1:6" x14ac:dyDescent="0.25">
      <c r="A247" t="s">
        <v>253</v>
      </c>
      <c r="B247">
        <v>14</v>
      </c>
      <c r="C247" t="s">
        <v>17</v>
      </c>
      <c r="D247" t="s">
        <v>7</v>
      </c>
      <c r="E247" t="s">
        <v>9</v>
      </c>
      <c r="F247">
        <f t="shared" si="3"/>
        <v>0</v>
      </c>
    </row>
    <row r="248" spans="1:6" x14ac:dyDescent="0.25">
      <c r="A248" t="s">
        <v>254</v>
      </c>
      <c r="B248">
        <v>12.7</v>
      </c>
      <c r="C248" t="s">
        <v>23</v>
      </c>
      <c r="D248" t="s">
        <v>7</v>
      </c>
      <c r="E248" t="s">
        <v>10</v>
      </c>
      <c r="F248">
        <f t="shared" si="3"/>
        <v>0</v>
      </c>
    </row>
    <row r="249" spans="1:6" x14ac:dyDescent="0.25">
      <c r="A249" t="s">
        <v>255</v>
      </c>
      <c r="B249">
        <v>11.1</v>
      </c>
      <c r="C249" t="s">
        <v>27</v>
      </c>
      <c r="D249" t="s">
        <v>7</v>
      </c>
      <c r="E249" t="s">
        <v>10</v>
      </c>
      <c r="F249">
        <f t="shared" si="3"/>
        <v>0</v>
      </c>
    </row>
    <row r="250" spans="1:6" x14ac:dyDescent="0.25">
      <c r="A250" t="s">
        <v>256</v>
      </c>
      <c r="B250">
        <v>10</v>
      </c>
      <c r="C250" t="s">
        <v>20</v>
      </c>
      <c r="D250" t="s">
        <v>7</v>
      </c>
      <c r="E250" t="s">
        <v>10</v>
      </c>
      <c r="F250">
        <f t="shared" si="3"/>
        <v>0</v>
      </c>
    </row>
    <row r="251" spans="1:6" x14ac:dyDescent="0.25">
      <c r="A251" t="s">
        <v>257</v>
      </c>
      <c r="B251">
        <v>10.1</v>
      </c>
      <c r="C251" t="s">
        <v>21</v>
      </c>
      <c r="D251" t="s">
        <v>7</v>
      </c>
      <c r="E251" t="s">
        <v>11</v>
      </c>
      <c r="F251">
        <f t="shared" si="3"/>
        <v>1</v>
      </c>
    </row>
    <row r="252" spans="1:6" x14ac:dyDescent="0.25">
      <c r="A252" t="s">
        <v>258</v>
      </c>
      <c r="B252">
        <v>11.7</v>
      </c>
      <c r="C252" t="s">
        <v>9</v>
      </c>
      <c r="D252" t="s">
        <v>7</v>
      </c>
      <c r="E252" t="s">
        <v>11</v>
      </c>
      <c r="F252">
        <f t="shared" si="3"/>
        <v>2</v>
      </c>
    </row>
    <row r="253" spans="1:6" x14ac:dyDescent="0.25">
      <c r="A253" t="s">
        <v>259</v>
      </c>
      <c r="B253">
        <v>14.8</v>
      </c>
      <c r="C253" t="s">
        <v>30</v>
      </c>
      <c r="D253" t="s">
        <v>7</v>
      </c>
      <c r="E253" t="s">
        <v>11</v>
      </c>
      <c r="F253">
        <f t="shared" si="3"/>
        <v>3</v>
      </c>
    </row>
    <row r="254" spans="1:6" x14ac:dyDescent="0.25">
      <c r="A254" t="s">
        <v>260</v>
      </c>
      <c r="B254">
        <v>18.7</v>
      </c>
      <c r="C254" t="s">
        <v>35</v>
      </c>
      <c r="D254" t="s">
        <v>7</v>
      </c>
      <c r="E254" t="s">
        <v>12</v>
      </c>
      <c r="F254">
        <f t="shared" si="3"/>
        <v>4</v>
      </c>
    </row>
    <row r="255" spans="1:6" x14ac:dyDescent="0.25">
      <c r="A255" t="s">
        <v>261</v>
      </c>
      <c r="B255">
        <v>22.5</v>
      </c>
      <c r="C255" t="s">
        <v>5</v>
      </c>
      <c r="D255" t="s">
        <v>5</v>
      </c>
      <c r="E255" t="s">
        <v>5</v>
      </c>
      <c r="F255">
        <f t="shared" si="3"/>
        <v>5</v>
      </c>
    </row>
    <row r="256" spans="1:6" x14ac:dyDescent="0.25">
      <c r="A256" t="s">
        <v>262</v>
      </c>
      <c r="B256">
        <v>25.4</v>
      </c>
      <c r="C256" t="s">
        <v>10</v>
      </c>
      <c r="D256" t="s">
        <v>6</v>
      </c>
      <c r="E256" t="s">
        <v>8</v>
      </c>
      <c r="F256">
        <f t="shared" si="3"/>
        <v>6</v>
      </c>
    </row>
    <row r="257" spans="1:6" x14ac:dyDescent="0.25">
      <c r="A257" t="s">
        <v>263</v>
      </c>
      <c r="B257">
        <v>26.8</v>
      </c>
      <c r="C257" t="s">
        <v>12</v>
      </c>
      <c r="D257" t="s">
        <v>6</v>
      </c>
      <c r="E257" t="s">
        <v>8</v>
      </c>
      <c r="F257">
        <f t="shared" si="3"/>
        <v>7</v>
      </c>
    </row>
    <row r="258" spans="1:6" x14ac:dyDescent="0.25">
      <c r="A258" t="s">
        <v>264</v>
      </c>
      <c r="B258">
        <v>26.5</v>
      </c>
      <c r="C258" t="s">
        <v>12</v>
      </c>
      <c r="D258" t="s">
        <v>6</v>
      </c>
      <c r="E258" t="s">
        <v>8</v>
      </c>
      <c r="F258">
        <f t="shared" si="3"/>
        <v>0</v>
      </c>
    </row>
    <row r="259" spans="1:6" x14ac:dyDescent="0.25">
      <c r="A259" t="s">
        <v>265</v>
      </c>
      <c r="B259">
        <v>24.9</v>
      </c>
      <c r="C259" t="s">
        <v>16</v>
      </c>
      <c r="D259" t="s">
        <v>6</v>
      </c>
      <c r="E259" t="s">
        <v>9</v>
      </c>
      <c r="F259">
        <f t="shared" si="3"/>
        <v>0</v>
      </c>
    </row>
    <row r="260" spans="1:6" x14ac:dyDescent="0.25">
      <c r="A260" t="s">
        <v>266</v>
      </c>
      <c r="B260">
        <v>22.6</v>
      </c>
      <c r="C260" t="s">
        <v>8</v>
      </c>
      <c r="D260" t="s">
        <v>6</v>
      </c>
      <c r="E260" t="s">
        <v>9</v>
      </c>
      <c r="F260">
        <f t="shared" ref="F260:F323" si="4">IF(B260&gt;B259,F259+1,0)</f>
        <v>0</v>
      </c>
    </row>
    <row r="261" spans="1:6" x14ac:dyDescent="0.25">
      <c r="A261" t="s">
        <v>267</v>
      </c>
      <c r="B261">
        <v>20.7</v>
      </c>
      <c r="C261" t="s">
        <v>14</v>
      </c>
      <c r="D261" t="s">
        <v>6</v>
      </c>
      <c r="E261" t="s">
        <v>9</v>
      </c>
      <c r="F261">
        <f t="shared" si="4"/>
        <v>0</v>
      </c>
    </row>
    <row r="262" spans="1:6" x14ac:dyDescent="0.25">
      <c r="A262" t="s">
        <v>268</v>
      </c>
      <c r="B262">
        <v>19.899999999999999</v>
      </c>
      <c r="C262" t="s">
        <v>14</v>
      </c>
      <c r="D262" t="s">
        <v>6</v>
      </c>
      <c r="E262" t="s">
        <v>10</v>
      </c>
      <c r="F262">
        <f t="shared" si="4"/>
        <v>0</v>
      </c>
    </row>
    <row r="263" spans="1:6" x14ac:dyDescent="0.25">
      <c r="A263" t="s">
        <v>269</v>
      </c>
      <c r="B263">
        <v>20.399999999999999</v>
      </c>
      <c r="C263" t="s">
        <v>13</v>
      </c>
      <c r="D263" t="s">
        <v>6</v>
      </c>
      <c r="E263" t="s">
        <v>10</v>
      </c>
      <c r="F263">
        <f t="shared" si="4"/>
        <v>1</v>
      </c>
    </row>
    <row r="264" spans="1:6" x14ac:dyDescent="0.25">
      <c r="A264" t="s">
        <v>270</v>
      </c>
      <c r="B264">
        <v>22.3</v>
      </c>
      <c r="C264" t="s">
        <v>26</v>
      </c>
      <c r="D264" t="s">
        <v>6</v>
      </c>
      <c r="E264" t="s">
        <v>10</v>
      </c>
      <c r="F264">
        <f t="shared" si="4"/>
        <v>2</v>
      </c>
    </row>
    <row r="265" spans="1:6" x14ac:dyDescent="0.25">
      <c r="A265" t="s">
        <v>271</v>
      </c>
      <c r="B265">
        <v>24.8</v>
      </c>
      <c r="C265" t="s">
        <v>18</v>
      </c>
      <c r="D265" t="s">
        <v>6</v>
      </c>
      <c r="E265" t="s">
        <v>11</v>
      </c>
      <c r="F265">
        <f t="shared" si="4"/>
        <v>3</v>
      </c>
    </row>
    <row r="266" spans="1:6" x14ac:dyDescent="0.25">
      <c r="A266" t="s">
        <v>272</v>
      </c>
      <c r="B266">
        <v>27.2</v>
      </c>
      <c r="C266" t="s">
        <v>27</v>
      </c>
      <c r="D266" t="s">
        <v>6</v>
      </c>
      <c r="E266" t="s">
        <v>11</v>
      </c>
      <c r="F266">
        <f t="shared" si="4"/>
        <v>4</v>
      </c>
    </row>
    <row r="267" spans="1:6" x14ac:dyDescent="0.25">
      <c r="A267" t="s">
        <v>273</v>
      </c>
      <c r="B267">
        <v>28.6</v>
      </c>
      <c r="C267" t="s">
        <v>11</v>
      </c>
      <c r="D267" t="s">
        <v>6</v>
      </c>
      <c r="E267" t="s">
        <v>11</v>
      </c>
      <c r="F267">
        <f t="shared" si="4"/>
        <v>5</v>
      </c>
    </row>
    <row r="268" spans="1:6" x14ac:dyDescent="0.25">
      <c r="A268" t="s">
        <v>274</v>
      </c>
      <c r="B268">
        <v>28.4</v>
      </c>
      <c r="C268" t="s">
        <v>25</v>
      </c>
      <c r="D268" t="s">
        <v>6</v>
      </c>
      <c r="E268" t="s">
        <v>12</v>
      </c>
      <c r="F268">
        <f t="shared" si="4"/>
        <v>0</v>
      </c>
    </row>
    <row r="269" spans="1:6" x14ac:dyDescent="0.25">
      <c r="A269" t="s">
        <v>275</v>
      </c>
      <c r="B269">
        <v>26.5</v>
      </c>
      <c r="C269" t="s">
        <v>5</v>
      </c>
      <c r="D269" t="s">
        <v>5</v>
      </c>
      <c r="E269" t="s">
        <v>5</v>
      </c>
      <c r="F269">
        <f t="shared" si="4"/>
        <v>0</v>
      </c>
    </row>
    <row r="270" spans="1:6" x14ac:dyDescent="0.25">
      <c r="A270" t="s">
        <v>276</v>
      </c>
      <c r="B270">
        <v>23.3</v>
      </c>
      <c r="C270" t="s">
        <v>11</v>
      </c>
      <c r="D270" t="s">
        <v>6</v>
      </c>
      <c r="E270" t="s">
        <v>8</v>
      </c>
      <c r="F270">
        <f t="shared" si="4"/>
        <v>0</v>
      </c>
    </row>
    <row r="271" spans="1:6" x14ac:dyDescent="0.25">
      <c r="A271" t="s">
        <v>277</v>
      </c>
      <c r="B271">
        <v>19.5</v>
      </c>
      <c r="C271" t="s">
        <v>14</v>
      </c>
      <c r="D271" t="s">
        <v>6</v>
      </c>
      <c r="E271" t="s">
        <v>8</v>
      </c>
      <c r="F271">
        <f t="shared" si="4"/>
        <v>0</v>
      </c>
    </row>
    <row r="272" spans="1:6" x14ac:dyDescent="0.25">
      <c r="A272" t="s">
        <v>278</v>
      </c>
      <c r="B272">
        <v>16</v>
      </c>
      <c r="C272" t="s">
        <v>14</v>
      </c>
      <c r="D272" t="s">
        <v>6</v>
      </c>
      <c r="E272" t="s">
        <v>8</v>
      </c>
      <c r="F272">
        <f t="shared" si="4"/>
        <v>0</v>
      </c>
    </row>
    <row r="273" spans="1:6" x14ac:dyDescent="0.25">
      <c r="A273" t="s">
        <v>279</v>
      </c>
      <c r="B273">
        <v>13.7</v>
      </c>
      <c r="C273" t="s">
        <v>18</v>
      </c>
      <c r="D273" t="s">
        <v>6</v>
      </c>
      <c r="E273" t="s">
        <v>9</v>
      </c>
      <c r="F273">
        <f t="shared" si="4"/>
        <v>0</v>
      </c>
    </row>
    <row r="274" spans="1:6" x14ac:dyDescent="0.25">
      <c r="A274" t="s">
        <v>280</v>
      </c>
      <c r="B274">
        <v>12.9</v>
      </c>
      <c r="C274" t="s">
        <v>16</v>
      </c>
      <c r="D274" t="s">
        <v>6</v>
      </c>
      <c r="E274" t="s">
        <v>9</v>
      </c>
      <c r="F274">
        <f t="shared" si="4"/>
        <v>0</v>
      </c>
    </row>
    <row r="275" spans="1:6" x14ac:dyDescent="0.25">
      <c r="A275" t="s">
        <v>281</v>
      </c>
      <c r="B275">
        <v>13.5</v>
      </c>
      <c r="C275" t="s">
        <v>8</v>
      </c>
      <c r="D275" t="s">
        <v>6</v>
      </c>
      <c r="E275" t="s">
        <v>9</v>
      </c>
      <c r="F275">
        <f t="shared" si="4"/>
        <v>1</v>
      </c>
    </row>
    <row r="276" spans="1:6" x14ac:dyDescent="0.25">
      <c r="A276" t="s">
        <v>282</v>
      </c>
      <c r="B276">
        <v>15</v>
      </c>
      <c r="C276" t="s">
        <v>27</v>
      </c>
      <c r="D276" t="s">
        <v>6</v>
      </c>
      <c r="E276" t="s">
        <v>10</v>
      </c>
      <c r="F276">
        <f t="shared" si="4"/>
        <v>2</v>
      </c>
    </row>
    <row r="277" spans="1:6" x14ac:dyDescent="0.25">
      <c r="A277" t="s">
        <v>283</v>
      </c>
      <c r="B277">
        <v>16.399999999999999</v>
      </c>
      <c r="C277" t="s">
        <v>23</v>
      </c>
      <c r="D277" t="s">
        <v>6</v>
      </c>
      <c r="E277" t="s">
        <v>10</v>
      </c>
      <c r="F277">
        <f t="shared" si="4"/>
        <v>3</v>
      </c>
    </row>
    <row r="278" spans="1:6" x14ac:dyDescent="0.25">
      <c r="A278" t="s">
        <v>284</v>
      </c>
      <c r="B278">
        <v>17.100000000000001</v>
      </c>
      <c r="C278" t="s">
        <v>9</v>
      </c>
      <c r="D278" t="s">
        <v>6</v>
      </c>
      <c r="E278" t="s">
        <v>10</v>
      </c>
      <c r="F278">
        <f t="shared" si="4"/>
        <v>4</v>
      </c>
    </row>
    <row r="279" spans="1:6" x14ac:dyDescent="0.25">
      <c r="A279" t="s">
        <v>285</v>
      </c>
      <c r="B279">
        <v>16.3</v>
      </c>
      <c r="C279" t="s">
        <v>13</v>
      </c>
      <c r="D279" t="s">
        <v>6</v>
      </c>
      <c r="E279" t="s">
        <v>11</v>
      </c>
      <c r="F279">
        <f t="shared" si="4"/>
        <v>0</v>
      </c>
    </row>
    <row r="280" spans="1:6" x14ac:dyDescent="0.25">
      <c r="A280" t="s">
        <v>286</v>
      </c>
      <c r="B280">
        <v>14</v>
      </c>
      <c r="C280" t="s">
        <v>14</v>
      </c>
      <c r="D280" t="s">
        <v>6</v>
      </c>
      <c r="E280" t="s">
        <v>11</v>
      </c>
      <c r="F280">
        <f t="shared" si="4"/>
        <v>0</v>
      </c>
    </row>
    <row r="281" spans="1:6" x14ac:dyDescent="0.25">
      <c r="A281" t="s">
        <v>287</v>
      </c>
      <c r="B281">
        <v>10.5</v>
      </c>
      <c r="C281" t="s">
        <v>29</v>
      </c>
      <c r="D281" t="s">
        <v>6</v>
      </c>
      <c r="E281" t="s">
        <v>11</v>
      </c>
      <c r="F281">
        <f t="shared" si="4"/>
        <v>0</v>
      </c>
    </row>
    <row r="282" spans="1:6" x14ac:dyDescent="0.25">
      <c r="A282" t="s">
        <v>288</v>
      </c>
      <c r="B282">
        <v>6.7</v>
      </c>
      <c r="C282" t="s">
        <v>24</v>
      </c>
      <c r="D282" t="s">
        <v>6</v>
      </c>
      <c r="E282" t="s">
        <v>12</v>
      </c>
      <c r="F282">
        <f t="shared" si="4"/>
        <v>0</v>
      </c>
    </row>
    <row r="283" spans="1:6" x14ac:dyDescent="0.25">
      <c r="A283" t="s">
        <v>289</v>
      </c>
      <c r="B283">
        <v>3.5</v>
      </c>
      <c r="C283" t="s">
        <v>23</v>
      </c>
      <c r="D283" t="s">
        <v>6</v>
      </c>
      <c r="E283" t="s">
        <v>12</v>
      </c>
      <c r="F283">
        <f t="shared" si="4"/>
        <v>0</v>
      </c>
    </row>
    <row r="284" spans="1:6" x14ac:dyDescent="0.25">
      <c r="A284" t="s">
        <v>290</v>
      </c>
      <c r="B284">
        <v>1.6</v>
      </c>
      <c r="C284" t="s">
        <v>27</v>
      </c>
      <c r="D284" t="s">
        <v>6</v>
      </c>
      <c r="E284" t="s">
        <v>12</v>
      </c>
      <c r="F284">
        <f t="shared" si="4"/>
        <v>0</v>
      </c>
    </row>
    <row r="285" spans="1:6" x14ac:dyDescent="0.25">
      <c r="A285" t="s">
        <v>291</v>
      </c>
      <c r="B285">
        <v>1.4</v>
      </c>
      <c r="C285" t="s">
        <v>29</v>
      </c>
      <c r="D285" t="s">
        <v>6</v>
      </c>
      <c r="E285" t="s">
        <v>12</v>
      </c>
      <c r="F285">
        <f t="shared" si="4"/>
        <v>0</v>
      </c>
    </row>
    <row r="286" spans="1:6" x14ac:dyDescent="0.25">
      <c r="A286" t="s">
        <v>292</v>
      </c>
      <c r="B286">
        <v>2.8</v>
      </c>
      <c r="C286" t="s">
        <v>5</v>
      </c>
      <c r="D286" t="s">
        <v>5</v>
      </c>
      <c r="E286" t="s">
        <v>5</v>
      </c>
      <c r="F286">
        <f t="shared" si="4"/>
        <v>1</v>
      </c>
    </row>
    <row r="287" spans="1:6" x14ac:dyDescent="0.25">
      <c r="A287" t="s">
        <v>293</v>
      </c>
      <c r="B287">
        <v>5.2</v>
      </c>
      <c r="C287" t="s">
        <v>14</v>
      </c>
      <c r="D287" t="s">
        <v>7</v>
      </c>
      <c r="E287" t="s">
        <v>8</v>
      </c>
      <c r="F287">
        <f t="shared" si="4"/>
        <v>2</v>
      </c>
    </row>
    <row r="288" spans="1:6" x14ac:dyDescent="0.25">
      <c r="A288" t="s">
        <v>294</v>
      </c>
      <c r="B288">
        <v>7.7</v>
      </c>
      <c r="C288" t="s">
        <v>12</v>
      </c>
      <c r="D288" t="s">
        <v>7</v>
      </c>
      <c r="E288" t="s">
        <v>8</v>
      </c>
      <c r="F288">
        <f t="shared" si="4"/>
        <v>3</v>
      </c>
    </row>
    <row r="289" spans="1:6" x14ac:dyDescent="0.25">
      <c r="A289" t="s">
        <v>295</v>
      </c>
      <c r="B289">
        <v>9.6</v>
      </c>
      <c r="C289" t="s">
        <v>8</v>
      </c>
      <c r="D289" t="s">
        <v>7</v>
      </c>
      <c r="E289" t="s">
        <v>8</v>
      </c>
      <c r="F289">
        <f t="shared" si="4"/>
        <v>4</v>
      </c>
    </row>
    <row r="290" spans="1:6" x14ac:dyDescent="0.25">
      <c r="A290" t="s">
        <v>296</v>
      </c>
      <c r="B290">
        <v>10.1</v>
      </c>
      <c r="C290" t="s">
        <v>15</v>
      </c>
      <c r="D290" t="s">
        <v>7</v>
      </c>
      <c r="E290" t="s">
        <v>9</v>
      </c>
      <c r="F290">
        <f t="shared" si="4"/>
        <v>5</v>
      </c>
    </row>
    <row r="291" spans="1:6" x14ac:dyDescent="0.25">
      <c r="A291" t="s">
        <v>297</v>
      </c>
      <c r="B291">
        <v>9.3000000000000007</v>
      </c>
      <c r="C291" t="s">
        <v>10</v>
      </c>
      <c r="D291" t="s">
        <v>7</v>
      </c>
      <c r="E291" t="s">
        <v>9</v>
      </c>
      <c r="F291">
        <f t="shared" si="4"/>
        <v>0</v>
      </c>
    </row>
    <row r="292" spans="1:6" x14ac:dyDescent="0.25">
      <c r="A292" t="s">
        <v>298</v>
      </c>
      <c r="B292">
        <v>7.4</v>
      </c>
      <c r="C292" t="s">
        <v>12</v>
      </c>
      <c r="D292" t="s">
        <v>7</v>
      </c>
      <c r="E292" t="s">
        <v>9</v>
      </c>
      <c r="F292">
        <f t="shared" si="4"/>
        <v>0</v>
      </c>
    </row>
    <row r="293" spans="1:6" x14ac:dyDescent="0.25">
      <c r="A293" t="s">
        <v>299</v>
      </c>
      <c r="B293">
        <v>5.0999999999999996</v>
      </c>
      <c r="C293" t="s">
        <v>24</v>
      </c>
      <c r="D293" t="s">
        <v>7</v>
      </c>
      <c r="E293" t="s">
        <v>10</v>
      </c>
      <c r="F293">
        <f t="shared" si="4"/>
        <v>0</v>
      </c>
    </row>
    <row r="294" spans="1:6" x14ac:dyDescent="0.25">
      <c r="A294" t="s">
        <v>300</v>
      </c>
      <c r="B294">
        <v>3.5</v>
      </c>
      <c r="C294" t="s">
        <v>18</v>
      </c>
      <c r="D294" t="s">
        <v>7</v>
      </c>
      <c r="E294" t="s">
        <v>10</v>
      </c>
      <c r="F294">
        <f t="shared" si="4"/>
        <v>0</v>
      </c>
    </row>
    <row r="295" spans="1:6" x14ac:dyDescent="0.25">
      <c r="A295" t="s">
        <v>301</v>
      </c>
      <c r="B295">
        <v>3.2</v>
      </c>
      <c r="C295" t="s">
        <v>11</v>
      </c>
      <c r="D295" t="s">
        <v>7</v>
      </c>
      <c r="E295" t="s">
        <v>10</v>
      </c>
      <c r="F295">
        <f t="shared" si="4"/>
        <v>0</v>
      </c>
    </row>
    <row r="296" spans="1:6" x14ac:dyDescent="0.25">
      <c r="A296" t="s">
        <v>302</v>
      </c>
      <c r="B296">
        <v>4.5999999999999996</v>
      </c>
      <c r="C296" t="s">
        <v>31</v>
      </c>
      <c r="D296" t="s">
        <v>7</v>
      </c>
      <c r="E296" t="s">
        <v>11</v>
      </c>
      <c r="F296">
        <f t="shared" si="4"/>
        <v>1</v>
      </c>
    </row>
    <row r="297" spans="1:6" x14ac:dyDescent="0.25">
      <c r="A297" t="s">
        <v>303</v>
      </c>
      <c r="B297">
        <v>7.5</v>
      </c>
      <c r="C297" t="s">
        <v>30</v>
      </c>
      <c r="D297" t="s">
        <v>7</v>
      </c>
      <c r="E297" t="s">
        <v>11</v>
      </c>
      <c r="F297">
        <f t="shared" si="4"/>
        <v>2</v>
      </c>
    </row>
    <row r="298" spans="1:6" x14ac:dyDescent="0.25">
      <c r="A298" t="s">
        <v>304</v>
      </c>
      <c r="B298">
        <v>11.3</v>
      </c>
      <c r="C298" t="s">
        <v>15</v>
      </c>
      <c r="D298" t="s">
        <v>7</v>
      </c>
      <c r="E298" t="s">
        <v>12</v>
      </c>
      <c r="F298">
        <f t="shared" si="4"/>
        <v>3</v>
      </c>
    </row>
    <row r="299" spans="1:6" x14ac:dyDescent="0.25">
      <c r="A299" t="s">
        <v>305</v>
      </c>
      <c r="B299">
        <v>15.2</v>
      </c>
      <c r="C299" t="s">
        <v>22</v>
      </c>
      <c r="D299" t="s">
        <v>7</v>
      </c>
      <c r="E299" t="s">
        <v>12</v>
      </c>
      <c r="F299">
        <f t="shared" si="4"/>
        <v>4</v>
      </c>
    </row>
    <row r="300" spans="1:6" x14ac:dyDescent="0.25">
      <c r="A300" t="s">
        <v>306</v>
      </c>
      <c r="B300">
        <v>18.3</v>
      </c>
      <c r="C300" t="s">
        <v>5</v>
      </c>
      <c r="D300" t="s">
        <v>5</v>
      </c>
      <c r="E300" t="s">
        <v>5</v>
      </c>
      <c r="F300">
        <f t="shared" si="4"/>
        <v>5</v>
      </c>
    </row>
    <row r="301" spans="1:6" x14ac:dyDescent="0.25">
      <c r="A301" t="s">
        <v>307</v>
      </c>
      <c r="B301">
        <v>19.899999999999999</v>
      </c>
      <c r="C301" t="s">
        <v>12</v>
      </c>
      <c r="D301" t="s">
        <v>6</v>
      </c>
      <c r="E301" t="s">
        <v>8</v>
      </c>
      <c r="F301">
        <f t="shared" si="4"/>
        <v>6</v>
      </c>
    </row>
    <row r="302" spans="1:6" x14ac:dyDescent="0.25">
      <c r="A302" t="s">
        <v>308</v>
      </c>
      <c r="B302">
        <v>20</v>
      </c>
      <c r="C302" t="s">
        <v>11</v>
      </c>
      <c r="D302" t="s">
        <v>5</v>
      </c>
      <c r="E302" t="s">
        <v>5</v>
      </c>
      <c r="F302">
        <f t="shared" si="4"/>
        <v>7</v>
      </c>
    </row>
    <row r="303" spans="1:6" x14ac:dyDescent="0.25">
      <c r="A303" t="s">
        <v>309</v>
      </c>
      <c r="B303">
        <v>18.899999999999999</v>
      </c>
      <c r="C303" t="s">
        <v>12</v>
      </c>
      <c r="D303" t="s">
        <v>5</v>
      </c>
      <c r="E303" t="s">
        <v>5</v>
      </c>
      <c r="F303">
        <f t="shared" si="4"/>
        <v>0</v>
      </c>
    </row>
    <row r="304" spans="1:6" x14ac:dyDescent="0.25">
      <c r="A304" t="s">
        <v>310</v>
      </c>
      <c r="B304">
        <v>17.3</v>
      </c>
      <c r="C304" t="s">
        <v>9</v>
      </c>
      <c r="D304" t="s">
        <v>5</v>
      </c>
      <c r="E304" t="s">
        <v>5</v>
      </c>
      <c r="F304">
        <f t="shared" si="4"/>
        <v>0</v>
      </c>
    </row>
    <row r="305" spans="1:6" x14ac:dyDescent="0.25">
      <c r="A305" t="s">
        <v>311</v>
      </c>
      <c r="B305">
        <v>16</v>
      </c>
      <c r="C305" t="s">
        <v>16</v>
      </c>
      <c r="D305" t="s">
        <v>5</v>
      </c>
      <c r="E305" t="s">
        <v>5</v>
      </c>
      <c r="F305">
        <f t="shared" si="4"/>
        <v>0</v>
      </c>
    </row>
    <row r="306" spans="1:6" x14ac:dyDescent="0.25">
      <c r="A306" t="s">
        <v>312</v>
      </c>
      <c r="B306">
        <v>15.9</v>
      </c>
      <c r="C306" t="s">
        <v>11</v>
      </c>
      <c r="D306" t="s">
        <v>5</v>
      </c>
      <c r="E306" t="s">
        <v>5</v>
      </c>
      <c r="F306">
        <f t="shared" si="4"/>
        <v>0</v>
      </c>
    </row>
    <row r="307" spans="1:6" x14ac:dyDescent="0.25">
      <c r="A307" t="s">
        <v>313</v>
      </c>
      <c r="B307">
        <v>17.3</v>
      </c>
      <c r="C307" t="s">
        <v>24</v>
      </c>
      <c r="D307" t="s">
        <v>5</v>
      </c>
      <c r="E307" t="s">
        <v>5</v>
      </c>
      <c r="F307">
        <f t="shared" si="4"/>
        <v>1</v>
      </c>
    </row>
    <row r="308" spans="1:6" x14ac:dyDescent="0.25">
      <c r="A308" t="s">
        <v>314</v>
      </c>
      <c r="B308">
        <v>20</v>
      </c>
      <c r="C308" t="s">
        <v>19</v>
      </c>
      <c r="D308" t="s">
        <v>5</v>
      </c>
      <c r="E308" t="s">
        <v>5</v>
      </c>
      <c r="F308">
        <f t="shared" si="4"/>
        <v>2</v>
      </c>
    </row>
    <row r="309" spans="1:6" x14ac:dyDescent="0.25">
      <c r="A309" t="s">
        <v>315</v>
      </c>
      <c r="B309">
        <v>23.4</v>
      </c>
      <c r="C309" t="s">
        <v>18</v>
      </c>
      <c r="D309" t="s">
        <v>5</v>
      </c>
      <c r="E309" t="s">
        <v>5</v>
      </c>
      <c r="F309">
        <f t="shared" si="4"/>
        <v>3</v>
      </c>
    </row>
    <row r="310" spans="1:6" x14ac:dyDescent="0.25">
      <c r="A310" t="s">
        <v>316</v>
      </c>
      <c r="B310">
        <v>26.8</v>
      </c>
      <c r="C310" t="s">
        <v>14</v>
      </c>
      <c r="D310" t="s">
        <v>5</v>
      </c>
      <c r="E310" t="s">
        <v>5</v>
      </c>
      <c r="F310">
        <f t="shared" si="4"/>
        <v>4</v>
      </c>
    </row>
    <row r="311" spans="1:6" x14ac:dyDescent="0.25">
      <c r="A311" t="s">
        <v>317</v>
      </c>
      <c r="B311">
        <v>29.1</v>
      </c>
      <c r="C311" t="s">
        <v>26</v>
      </c>
      <c r="D311" t="s">
        <v>5</v>
      </c>
      <c r="E311" t="s">
        <v>5</v>
      </c>
      <c r="F311">
        <f t="shared" si="4"/>
        <v>5</v>
      </c>
    </row>
    <row r="312" spans="1:6" x14ac:dyDescent="0.25">
      <c r="A312" t="s">
        <v>318</v>
      </c>
      <c r="B312">
        <v>29.8</v>
      </c>
      <c r="C312" t="s">
        <v>9</v>
      </c>
      <c r="D312" t="s">
        <v>5</v>
      </c>
      <c r="E312" t="s">
        <v>5</v>
      </c>
      <c r="F312">
        <f t="shared" si="4"/>
        <v>6</v>
      </c>
    </row>
    <row r="313" spans="1:6" x14ac:dyDescent="0.25">
      <c r="A313" t="s">
        <v>319</v>
      </c>
      <c r="B313">
        <v>28.8</v>
      </c>
      <c r="C313" t="s">
        <v>32</v>
      </c>
      <c r="D313" t="s">
        <v>5</v>
      </c>
      <c r="E313" t="s">
        <v>5</v>
      </c>
      <c r="F313">
        <f t="shared" si="4"/>
        <v>0</v>
      </c>
    </row>
    <row r="314" spans="1:6" x14ac:dyDescent="0.25">
      <c r="A314" t="s">
        <v>320</v>
      </c>
      <c r="B314">
        <v>26.4</v>
      </c>
      <c r="C314" t="s">
        <v>5</v>
      </c>
      <c r="D314" t="s">
        <v>5</v>
      </c>
      <c r="E314" t="s">
        <v>5</v>
      </c>
      <c r="F314">
        <f t="shared" si="4"/>
        <v>0</v>
      </c>
    </row>
    <row r="315" spans="1:6" x14ac:dyDescent="0.25">
      <c r="A315" t="s">
        <v>321</v>
      </c>
      <c r="B315">
        <v>23.4</v>
      </c>
      <c r="C315" t="s">
        <v>10</v>
      </c>
      <c r="D315" t="s">
        <v>5</v>
      </c>
      <c r="E315" t="s">
        <v>5</v>
      </c>
      <c r="F315">
        <f t="shared" si="4"/>
        <v>0</v>
      </c>
    </row>
    <row r="316" spans="1:6" x14ac:dyDescent="0.25">
      <c r="A316" t="s">
        <v>322</v>
      </c>
      <c r="B316">
        <v>20.7</v>
      </c>
      <c r="C316" t="s">
        <v>11</v>
      </c>
      <c r="D316" t="s">
        <v>5</v>
      </c>
      <c r="E316" t="s">
        <v>5</v>
      </c>
      <c r="F316">
        <f t="shared" si="4"/>
        <v>0</v>
      </c>
    </row>
    <row r="317" spans="1:6" x14ac:dyDescent="0.25">
      <c r="A317" t="s">
        <v>323</v>
      </c>
      <c r="B317">
        <v>19.100000000000001</v>
      </c>
      <c r="C317" t="s">
        <v>14</v>
      </c>
      <c r="D317" t="s">
        <v>5</v>
      </c>
      <c r="E317" t="s">
        <v>5</v>
      </c>
      <c r="F317">
        <f t="shared" si="4"/>
        <v>0</v>
      </c>
    </row>
    <row r="318" spans="1:6" x14ac:dyDescent="0.25">
      <c r="A318" t="s">
        <v>324</v>
      </c>
      <c r="B318">
        <v>18.899999999999999</v>
      </c>
      <c r="C318" t="s">
        <v>14</v>
      </c>
      <c r="D318" t="s">
        <v>5</v>
      </c>
      <c r="E318" t="s">
        <v>5</v>
      </c>
      <c r="F318">
        <f t="shared" si="4"/>
        <v>0</v>
      </c>
    </row>
    <row r="319" spans="1:6" x14ac:dyDescent="0.25">
      <c r="A319" t="s">
        <v>325</v>
      </c>
      <c r="B319">
        <v>20</v>
      </c>
      <c r="C319" t="s">
        <v>12</v>
      </c>
      <c r="D319" t="s">
        <v>5</v>
      </c>
      <c r="E319" t="s">
        <v>5</v>
      </c>
      <c r="F319">
        <f t="shared" si="4"/>
        <v>1</v>
      </c>
    </row>
    <row r="320" spans="1:6" x14ac:dyDescent="0.25">
      <c r="A320" t="s">
        <v>326</v>
      </c>
      <c r="B320">
        <v>21.8</v>
      </c>
      <c r="C320" t="s">
        <v>11</v>
      </c>
      <c r="D320" t="s">
        <v>5</v>
      </c>
      <c r="E320" t="s">
        <v>5</v>
      </c>
      <c r="F320">
        <f t="shared" si="4"/>
        <v>2</v>
      </c>
    </row>
    <row r="321" spans="1:6" x14ac:dyDescent="0.25">
      <c r="A321" t="s">
        <v>327</v>
      </c>
      <c r="B321">
        <v>23.6</v>
      </c>
      <c r="C321" t="s">
        <v>16</v>
      </c>
      <c r="D321" t="s">
        <v>5</v>
      </c>
      <c r="E321" t="s">
        <v>5</v>
      </c>
      <c r="F321">
        <f t="shared" si="4"/>
        <v>3</v>
      </c>
    </row>
    <row r="322" spans="1:6" x14ac:dyDescent="0.25">
      <c r="A322" t="s">
        <v>328</v>
      </c>
      <c r="B322">
        <v>24.4</v>
      </c>
      <c r="C322" t="s">
        <v>21</v>
      </c>
      <c r="D322" t="s">
        <v>5</v>
      </c>
      <c r="E322" t="s">
        <v>5</v>
      </c>
      <c r="F322">
        <f t="shared" si="4"/>
        <v>4</v>
      </c>
    </row>
    <row r="323" spans="1:6" x14ac:dyDescent="0.25">
      <c r="A323" t="s">
        <v>329</v>
      </c>
      <c r="B323">
        <v>23.6</v>
      </c>
      <c r="C323" t="s">
        <v>12</v>
      </c>
      <c r="D323" t="s">
        <v>5</v>
      </c>
      <c r="E323" t="s">
        <v>5</v>
      </c>
      <c r="F323">
        <f t="shared" si="4"/>
        <v>0</v>
      </c>
    </row>
    <row r="324" spans="1:6" x14ac:dyDescent="0.25">
      <c r="A324" t="s">
        <v>330</v>
      </c>
      <c r="B324">
        <v>21.3</v>
      </c>
      <c r="C324" t="s">
        <v>10</v>
      </c>
      <c r="D324" t="s">
        <v>5</v>
      </c>
      <c r="E324" t="s">
        <v>5</v>
      </c>
      <c r="F324">
        <f t="shared" ref="F324:F387" si="5">IF(B324&gt;B323,F323+1,0)</f>
        <v>0</v>
      </c>
    </row>
    <row r="325" spans="1:6" x14ac:dyDescent="0.25">
      <c r="A325" t="s">
        <v>331</v>
      </c>
      <c r="B325">
        <v>17.7</v>
      </c>
      <c r="C325" t="s">
        <v>30</v>
      </c>
      <c r="D325" t="s">
        <v>5</v>
      </c>
      <c r="E325" t="s">
        <v>5</v>
      </c>
      <c r="F325">
        <f t="shared" si="5"/>
        <v>0</v>
      </c>
    </row>
    <row r="326" spans="1:6" x14ac:dyDescent="0.25">
      <c r="A326" t="s">
        <v>332</v>
      </c>
      <c r="B326">
        <v>13.6</v>
      </c>
      <c r="C326" t="s">
        <v>27</v>
      </c>
      <c r="D326" t="s">
        <v>5</v>
      </c>
      <c r="E326" t="s">
        <v>5</v>
      </c>
      <c r="F326">
        <f t="shared" si="5"/>
        <v>0</v>
      </c>
    </row>
    <row r="327" spans="1:6" x14ac:dyDescent="0.25">
      <c r="A327" t="s">
        <v>333</v>
      </c>
      <c r="B327">
        <v>10</v>
      </c>
      <c r="C327" t="s">
        <v>23</v>
      </c>
      <c r="D327" t="s">
        <v>5</v>
      </c>
      <c r="E327" t="s">
        <v>5</v>
      </c>
      <c r="F327">
        <f t="shared" si="5"/>
        <v>0</v>
      </c>
    </row>
    <row r="328" spans="1:6" x14ac:dyDescent="0.25">
      <c r="A328" t="s">
        <v>334</v>
      </c>
      <c r="B328">
        <v>7.6</v>
      </c>
      <c r="C328" t="s">
        <v>35</v>
      </c>
      <c r="D328" t="s">
        <v>5</v>
      </c>
      <c r="E328" t="s">
        <v>5</v>
      </c>
      <c r="F328">
        <f t="shared" si="5"/>
        <v>0</v>
      </c>
    </row>
    <row r="329" spans="1:6" x14ac:dyDescent="0.25">
      <c r="A329" t="s">
        <v>335</v>
      </c>
      <c r="B329">
        <v>6.8</v>
      </c>
      <c r="C329" t="s">
        <v>5</v>
      </c>
      <c r="D329" t="s">
        <v>5</v>
      </c>
      <c r="E329" t="s">
        <v>5</v>
      </c>
      <c r="F329">
        <f t="shared" si="5"/>
        <v>0</v>
      </c>
    </row>
    <row r="330" spans="1:6" x14ac:dyDescent="0.25">
      <c r="A330" t="s">
        <v>336</v>
      </c>
      <c r="B330">
        <v>7.5</v>
      </c>
      <c r="C330" t="s">
        <v>9</v>
      </c>
      <c r="D330" t="s">
        <v>5</v>
      </c>
      <c r="E330" t="s">
        <v>5</v>
      </c>
      <c r="F330">
        <f t="shared" si="5"/>
        <v>1</v>
      </c>
    </row>
    <row r="331" spans="1:6" x14ac:dyDescent="0.25">
      <c r="A331" t="s">
        <v>337</v>
      </c>
      <c r="B331">
        <v>9.1</v>
      </c>
      <c r="C331" t="s">
        <v>9</v>
      </c>
      <c r="D331" t="s">
        <v>5</v>
      </c>
      <c r="E331" t="s">
        <v>5</v>
      </c>
      <c r="F331">
        <f t="shared" si="5"/>
        <v>2</v>
      </c>
    </row>
    <row r="332" spans="1:6" x14ac:dyDescent="0.25">
      <c r="A332" t="s">
        <v>338</v>
      </c>
      <c r="B332">
        <v>10.9</v>
      </c>
      <c r="C332" t="s">
        <v>14</v>
      </c>
      <c r="D332" t="s">
        <v>5</v>
      </c>
      <c r="E332" t="s">
        <v>5</v>
      </c>
      <c r="F332">
        <f t="shared" si="5"/>
        <v>3</v>
      </c>
    </row>
    <row r="333" spans="1:6" x14ac:dyDescent="0.25">
      <c r="A333" t="s">
        <v>339</v>
      </c>
      <c r="B333">
        <v>11.8</v>
      </c>
      <c r="C333" t="s">
        <v>17</v>
      </c>
      <c r="D333" t="s">
        <v>5</v>
      </c>
      <c r="E333" t="s">
        <v>5</v>
      </c>
      <c r="F333">
        <f t="shared" si="5"/>
        <v>4</v>
      </c>
    </row>
    <row r="334" spans="1:6" x14ac:dyDescent="0.25">
      <c r="A334" t="s">
        <v>340</v>
      </c>
      <c r="B334">
        <v>11.5</v>
      </c>
      <c r="C334" t="s">
        <v>18</v>
      </c>
      <c r="D334" t="s">
        <v>5</v>
      </c>
      <c r="E334" t="s">
        <v>5</v>
      </c>
      <c r="F334">
        <f t="shared" si="5"/>
        <v>0</v>
      </c>
    </row>
    <row r="335" spans="1:6" x14ac:dyDescent="0.25">
      <c r="A335" t="s">
        <v>341</v>
      </c>
      <c r="B335">
        <v>9.6999999999999993</v>
      </c>
      <c r="C335" t="s">
        <v>16</v>
      </c>
      <c r="D335" t="s">
        <v>5</v>
      </c>
      <c r="E335" t="s">
        <v>5</v>
      </c>
      <c r="F335">
        <f t="shared" si="5"/>
        <v>0</v>
      </c>
    </row>
    <row r="336" spans="1:6" x14ac:dyDescent="0.25">
      <c r="A336" t="s">
        <v>342</v>
      </c>
      <c r="B336">
        <v>6.9</v>
      </c>
      <c r="C336" t="s">
        <v>24</v>
      </c>
      <c r="D336" t="s">
        <v>5</v>
      </c>
      <c r="E336" t="s">
        <v>5</v>
      </c>
      <c r="F336">
        <f t="shared" si="5"/>
        <v>0</v>
      </c>
    </row>
    <row r="337" spans="1:6" x14ac:dyDescent="0.25">
      <c r="A337" t="s">
        <v>343</v>
      </c>
      <c r="B337">
        <v>3.8</v>
      </c>
      <c r="C337" t="s">
        <v>8</v>
      </c>
      <c r="D337" t="s">
        <v>5</v>
      </c>
      <c r="E337" t="s">
        <v>5</v>
      </c>
      <c r="F337">
        <f t="shared" si="5"/>
        <v>0</v>
      </c>
    </row>
    <row r="338" spans="1:6" x14ac:dyDescent="0.25">
      <c r="A338" t="s">
        <v>344</v>
      </c>
      <c r="B338">
        <v>1.2</v>
      </c>
      <c r="C338" t="s">
        <v>9</v>
      </c>
      <c r="D338" t="s">
        <v>5</v>
      </c>
      <c r="E338" t="s">
        <v>5</v>
      </c>
      <c r="F338">
        <f t="shared" si="5"/>
        <v>0</v>
      </c>
    </row>
    <row r="339" spans="1:6" x14ac:dyDescent="0.25">
      <c r="A339" t="s">
        <v>345</v>
      </c>
      <c r="B339">
        <v>0.1</v>
      </c>
      <c r="C339" t="s">
        <v>20</v>
      </c>
      <c r="D339" t="s">
        <v>5</v>
      </c>
      <c r="E339" t="s">
        <v>5</v>
      </c>
      <c r="F339">
        <f t="shared" si="5"/>
        <v>0</v>
      </c>
    </row>
    <row r="340" spans="1:6" x14ac:dyDescent="0.25">
      <c r="A340" t="s">
        <v>346</v>
      </c>
      <c r="B340">
        <v>0.6</v>
      </c>
      <c r="C340" t="s">
        <v>30</v>
      </c>
      <c r="D340" t="s">
        <v>5</v>
      </c>
      <c r="E340" t="s">
        <v>5</v>
      </c>
      <c r="F340">
        <f t="shared" si="5"/>
        <v>1</v>
      </c>
    </row>
    <row r="341" spans="1:6" x14ac:dyDescent="0.25">
      <c r="A341" t="s">
        <v>347</v>
      </c>
      <c r="B341">
        <v>2.8</v>
      </c>
      <c r="C341" t="s">
        <v>15</v>
      </c>
      <c r="D341" t="s">
        <v>5</v>
      </c>
      <c r="E341" t="s">
        <v>5</v>
      </c>
      <c r="F341">
        <f t="shared" si="5"/>
        <v>2</v>
      </c>
    </row>
    <row r="342" spans="1:6" x14ac:dyDescent="0.25">
      <c r="A342" t="s">
        <v>348</v>
      </c>
      <c r="B342">
        <v>6</v>
      </c>
      <c r="C342" t="s">
        <v>34</v>
      </c>
      <c r="D342" t="s">
        <v>5</v>
      </c>
      <c r="E342" t="s">
        <v>5</v>
      </c>
      <c r="F342">
        <f t="shared" si="5"/>
        <v>3</v>
      </c>
    </row>
    <row r="343" spans="1:6" x14ac:dyDescent="0.25">
      <c r="A343" t="s">
        <v>349</v>
      </c>
      <c r="B343">
        <v>9.3000000000000007</v>
      </c>
      <c r="C343" t="s">
        <v>5</v>
      </c>
      <c r="D343" t="s">
        <v>5</v>
      </c>
      <c r="E343" t="s">
        <v>5</v>
      </c>
      <c r="F343">
        <f t="shared" si="5"/>
        <v>4</v>
      </c>
    </row>
    <row r="344" spans="1:6" x14ac:dyDescent="0.25">
      <c r="A344" t="s">
        <v>350</v>
      </c>
      <c r="B344">
        <v>11.8</v>
      </c>
      <c r="C344" t="s">
        <v>8</v>
      </c>
      <c r="D344" t="s">
        <v>5</v>
      </c>
      <c r="E344" t="s">
        <v>5</v>
      </c>
      <c r="F344">
        <f t="shared" si="5"/>
        <v>5</v>
      </c>
    </row>
    <row r="345" spans="1:6" x14ac:dyDescent="0.25">
      <c r="A345" t="s">
        <v>351</v>
      </c>
      <c r="B345">
        <v>13.1</v>
      </c>
      <c r="C345" t="s">
        <v>11</v>
      </c>
      <c r="D345" t="s">
        <v>5</v>
      </c>
      <c r="E345" t="s">
        <v>5</v>
      </c>
      <c r="F345">
        <f t="shared" si="5"/>
        <v>6</v>
      </c>
    </row>
    <row r="346" spans="1:6" x14ac:dyDescent="0.25">
      <c r="A346" t="s">
        <v>352</v>
      </c>
      <c r="B346">
        <v>12.9</v>
      </c>
      <c r="C346" t="s">
        <v>8</v>
      </c>
      <c r="D346" t="s">
        <v>5</v>
      </c>
      <c r="E346" t="s">
        <v>5</v>
      </c>
      <c r="F346">
        <f t="shared" si="5"/>
        <v>0</v>
      </c>
    </row>
    <row r="347" spans="1:6" x14ac:dyDescent="0.25">
      <c r="A347" t="s">
        <v>353</v>
      </c>
      <c r="B347">
        <v>11.6</v>
      </c>
      <c r="C347" t="s">
        <v>9</v>
      </c>
      <c r="D347" t="s">
        <v>5</v>
      </c>
      <c r="E347" t="s">
        <v>5</v>
      </c>
      <c r="F347">
        <f t="shared" si="5"/>
        <v>0</v>
      </c>
    </row>
    <row r="348" spans="1:6" x14ac:dyDescent="0.25">
      <c r="A348" t="s">
        <v>354</v>
      </c>
      <c r="B348">
        <v>9.9</v>
      </c>
      <c r="C348" t="s">
        <v>10</v>
      </c>
      <c r="D348" t="s">
        <v>5</v>
      </c>
      <c r="E348" t="s">
        <v>5</v>
      </c>
      <c r="F348">
        <f t="shared" si="5"/>
        <v>0</v>
      </c>
    </row>
    <row r="349" spans="1:6" x14ac:dyDescent="0.25">
      <c r="A349" t="s">
        <v>355</v>
      </c>
      <c r="B349">
        <v>8.6999999999999993</v>
      </c>
      <c r="C349" t="s">
        <v>15</v>
      </c>
      <c r="D349" t="s">
        <v>5</v>
      </c>
      <c r="E349" t="s">
        <v>5</v>
      </c>
      <c r="F349">
        <f t="shared" si="5"/>
        <v>0</v>
      </c>
    </row>
    <row r="350" spans="1:6" x14ac:dyDescent="0.25">
      <c r="A350" t="s">
        <v>356</v>
      </c>
      <c r="B350">
        <v>8.8000000000000007</v>
      </c>
      <c r="C350" t="s">
        <v>27</v>
      </c>
      <c r="D350" t="s">
        <v>5</v>
      </c>
      <c r="E350" t="s">
        <v>5</v>
      </c>
      <c r="F350">
        <f t="shared" si="5"/>
        <v>1</v>
      </c>
    </row>
    <row r="351" spans="1:6" x14ac:dyDescent="0.25">
      <c r="A351" t="s">
        <v>357</v>
      </c>
      <c r="B351">
        <v>10.5</v>
      </c>
      <c r="C351" t="s">
        <v>20</v>
      </c>
      <c r="D351" t="s">
        <v>5</v>
      </c>
      <c r="E351" t="s">
        <v>5</v>
      </c>
      <c r="F351">
        <f t="shared" si="5"/>
        <v>2</v>
      </c>
    </row>
    <row r="352" spans="1:6" x14ac:dyDescent="0.25">
      <c r="A352" t="s">
        <v>358</v>
      </c>
      <c r="B352">
        <v>13.5</v>
      </c>
      <c r="C352" t="s">
        <v>8</v>
      </c>
      <c r="D352" t="s">
        <v>5</v>
      </c>
      <c r="E352" t="s">
        <v>5</v>
      </c>
      <c r="F352">
        <f t="shared" si="5"/>
        <v>3</v>
      </c>
    </row>
    <row r="353" spans="1:6" x14ac:dyDescent="0.25">
      <c r="A353" t="s">
        <v>359</v>
      </c>
      <c r="B353">
        <v>17.5</v>
      </c>
      <c r="C353" t="s">
        <v>25</v>
      </c>
      <c r="D353" t="s">
        <v>5</v>
      </c>
      <c r="E353" t="s">
        <v>5</v>
      </c>
      <c r="F353">
        <f t="shared" si="5"/>
        <v>4</v>
      </c>
    </row>
    <row r="354" spans="1:6" x14ac:dyDescent="0.25">
      <c r="A354" t="s">
        <v>360</v>
      </c>
      <c r="B354">
        <v>21.4</v>
      </c>
      <c r="C354" t="s">
        <v>11</v>
      </c>
      <c r="D354" t="s">
        <v>5</v>
      </c>
      <c r="E354" t="s">
        <v>5</v>
      </c>
      <c r="F354">
        <f t="shared" si="5"/>
        <v>5</v>
      </c>
    </row>
    <row r="355" spans="1:6" x14ac:dyDescent="0.25">
      <c r="A355" t="s">
        <v>361</v>
      </c>
      <c r="B355">
        <v>24.4</v>
      </c>
      <c r="C355" t="s">
        <v>11</v>
      </c>
      <c r="D355" t="s">
        <v>5</v>
      </c>
      <c r="E355" t="s">
        <v>5</v>
      </c>
      <c r="F355">
        <f t="shared" si="5"/>
        <v>6</v>
      </c>
    </row>
    <row r="356" spans="1:6" x14ac:dyDescent="0.25">
      <c r="A356" t="s">
        <v>362</v>
      </c>
      <c r="B356">
        <v>25.8</v>
      </c>
      <c r="C356" t="s">
        <v>17</v>
      </c>
      <c r="D356" t="s">
        <v>5</v>
      </c>
      <c r="E356" t="s">
        <v>5</v>
      </c>
      <c r="F356">
        <f t="shared" si="5"/>
        <v>7</v>
      </c>
    </row>
    <row r="357" spans="1:6" x14ac:dyDescent="0.25">
      <c r="A357" t="s">
        <v>363</v>
      </c>
      <c r="B357">
        <v>25.6</v>
      </c>
      <c r="C357" t="s">
        <v>32</v>
      </c>
      <c r="D357" t="s">
        <v>5</v>
      </c>
      <c r="E357" t="s">
        <v>5</v>
      </c>
      <c r="F357">
        <f t="shared" si="5"/>
        <v>0</v>
      </c>
    </row>
    <row r="358" spans="1:6" x14ac:dyDescent="0.25">
      <c r="A358" t="s">
        <v>364</v>
      </c>
      <c r="B358">
        <v>24.1</v>
      </c>
      <c r="C358" t="s">
        <v>5</v>
      </c>
      <c r="D358" t="s">
        <v>5</v>
      </c>
      <c r="E358" t="s">
        <v>5</v>
      </c>
      <c r="F358">
        <f t="shared" si="5"/>
        <v>0</v>
      </c>
    </row>
    <row r="359" spans="1:6" x14ac:dyDescent="0.25">
      <c r="A359" t="s">
        <v>365</v>
      </c>
      <c r="B359">
        <v>22</v>
      </c>
      <c r="C359" t="s">
        <v>11</v>
      </c>
      <c r="D359" t="s">
        <v>5</v>
      </c>
      <c r="E359" t="s">
        <v>5</v>
      </c>
      <c r="F359">
        <f t="shared" si="5"/>
        <v>0</v>
      </c>
    </row>
    <row r="360" spans="1:6" x14ac:dyDescent="0.25">
      <c r="A360" t="s">
        <v>366</v>
      </c>
      <c r="B360">
        <v>20.3</v>
      </c>
      <c r="C360" t="s">
        <v>11</v>
      </c>
      <c r="D360" t="s">
        <v>5</v>
      </c>
      <c r="E360" t="s">
        <v>5</v>
      </c>
      <c r="F360">
        <f t="shared" si="5"/>
        <v>0</v>
      </c>
    </row>
    <row r="361" spans="1:6" x14ac:dyDescent="0.25">
      <c r="A361" t="s">
        <v>367</v>
      </c>
      <c r="B361">
        <v>19.600000000000001</v>
      </c>
      <c r="C361" t="s">
        <v>8</v>
      </c>
      <c r="D361" t="s">
        <v>5</v>
      </c>
      <c r="E361" t="s">
        <v>5</v>
      </c>
      <c r="F361">
        <f t="shared" si="5"/>
        <v>0</v>
      </c>
    </row>
    <row r="362" spans="1:6" x14ac:dyDescent="0.25">
      <c r="A362" t="s">
        <v>368</v>
      </c>
      <c r="B362">
        <v>20.3</v>
      </c>
      <c r="C362" t="s">
        <v>17</v>
      </c>
      <c r="D362" t="s">
        <v>5</v>
      </c>
      <c r="E362" t="s">
        <v>5</v>
      </c>
      <c r="F362">
        <f t="shared" si="5"/>
        <v>1</v>
      </c>
    </row>
    <row r="363" spans="1:6" x14ac:dyDescent="0.25">
      <c r="A363" t="s">
        <v>369</v>
      </c>
      <c r="B363">
        <v>22.3</v>
      </c>
      <c r="C363" t="s">
        <v>21</v>
      </c>
      <c r="D363" t="s">
        <v>5</v>
      </c>
      <c r="E363" t="s">
        <v>5</v>
      </c>
      <c r="F363">
        <f t="shared" si="5"/>
        <v>2</v>
      </c>
    </row>
    <row r="364" spans="1:6" x14ac:dyDescent="0.25">
      <c r="A364" t="s">
        <v>370</v>
      </c>
      <c r="B364">
        <v>25</v>
      </c>
      <c r="C364" t="s">
        <v>9</v>
      </c>
      <c r="D364" t="s">
        <v>5</v>
      </c>
      <c r="E364" t="s">
        <v>5</v>
      </c>
      <c r="F364">
        <f t="shared" si="5"/>
        <v>3</v>
      </c>
    </row>
    <row r="365" spans="1:6" x14ac:dyDescent="0.25">
      <c r="A365" t="s">
        <v>371</v>
      </c>
      <c r="B365">
        <v>27.5</v>
      </c>
      <c r="C365" t="s">
        <v>11</v>
      </c>
      <c r="D365" t="s">
        <v>5</v>
      </c>
      <c r="E365" t="s">
        <v>5</v>
      </c>
      <c r="F365">
        <f t="shared" si="5"/>
        <v>4</v>
      </c>
    </row>
    <row r="366" spans="1:6" x14ac:dyDescent="0.25">
      <c r="A366" t="s">
        <v>372</v>
      </c>
      <c r="B366">
        <v>29.1</v>
      </c>
      <c r="C366" t="s">
        <v>27</v>
      </c>
      <c r="D366" t="s">
        <v>5</v>
      </c>
      <c r="E366" t="s">
        <v>5</v>
      </c>
      <c r="F366">
        <f t="shared" si="5"/>
        <v>5</v>
      </c>
    </row>
    <row r="367" spans="1:6" x14ac:dyDescent="0.25">
      <c r="A367" t="s">
        <v>373</v>
      </c>
      <c r="B367">
        <v>29</v>
      </c>
      <c r="C367" t="s">
        <v>9</v>
      </c>
      <c r="D367" t="s">
        <v>5</v>
      </c>
      <c r="E367" t="s">
        <v>5</v>
      </c>
      <c r="F367">
        <f t="shared" si="5"/>
        <v>0</v>
      </c>
    </row>
    <row r="368" spans="1:6" x14ac:dyDescent="0.25">
      <c r="A368" t="s">
        <v>374</v>
      </c>
      <c r="B368">
        <v>27.2</v>
      </c>
      <c r="C368" t="s">
        <v>28</v>
      </c>
      <c r="D368" t="s">
        <v>5</v>
      </c>
      <c r="E368" t="s">
        <v>5</v>
      </c>
      <c r="F368">
        <f t="shared" si="5"/>
        <v>0</v>
      </c>
    </row>
    <row r="369" spans="1:6" x14ac:dyDescent="0.25">
      <c r="A369" t="s">
        <v>375</v>
      </c>
      <c r="B369">
        <v>24.1</v>
      </c>
      <c r="C369" t="s">
        <v>26</v>
      </c>
      <c r="D369" t="s">
        <v>5</v>
      </c>
      <c r="E369" t="s">
        <v>5</v>
      </c>
      <c r="F369">
        <f t="shared" si="5"/>
        <v>0</v>
      </c>
    </row>
    <row r="370" spans="1:6" x14ac:dyDescent="0.25">
      <c r="A370" t="s">
        <v>376</v>
      </c>
      <c r="B370">
        <v>20.399999999999999</v>
      </c>
      <c r="C370" t="s">
        <v>31</v>
      </c>
      <c r="D370" t="s">
        <v>5</v>
      </c>
      <c r="E370" t="s">
        <v>5</v>
      </c>
      <c r="F370">
        <f t="shared" si="5"/>
        <v>0</v>
      </c>
    </row>
    <row r="371" spans="1:6" x14ac:dyDescent="0.25">
      <c r="A371" t="s">
        <v>377</v>
      </c>
      <c r="B371">
        <v>17.100000000000001</v>
      </c>
      <c r="C371" t="s">
        <v>31</v>
      </c>
      <c r="D371" t="s">
        <v>5</v>
      </c>
      <c r="E371" t="s">
        <v>5</v>
      </c>
      <c r="F371">
        <f t="shared" si="5"/>
        <v>0</v>
      </c>
    </row>
    <row r="372" spans="1:6" x14ac:dyDescent="0.25">
      <c r="A372" t="s">
        <v>378</v>
      </c>
      <c r="B372">
        <v>14.9</v>
      </c>
      <c r="C372" t="s">
        <v>5</v>
      </c>
      <c r="D372" t="s">
        <v>5</v>
      </c>
      <c r="E372" t="s">
        <v>5</v>
      </c>
      <c r="F372">
        <f t="shared" si="5"/>
        <v>0</v>
      </c>
    </row>
    <row r="373" spans="1:6" x14ac:dyDescent="0.25">
      <c r="A373" t="s">
        <v>379</v>
      </c>
      <c r="B373">
        <v>14.1</v>
      </c>
      <c r="C373" t="s">
        <v>10</v>
      </c>
      <c r="D373" t="s">
        <v>5</v>
      </c>
      <c r="E373" t="s">
        <v>5</v>
      </c>
      <c r="F373">
        <f t="shared" si="5"/>
        <v>0</v>
      </c>
    </row>
    <row r="374" spans="1:6" x14ac:dyDescent="0.25">
      <c r="A374" t="s">
        <v>380</v>
      </c>
      <c r="B374">
        <v>14.8</v>
      </c>
      <c r="C374" t="s">
        <v>14</v>
      </c>
      <c r="D374" t="s">
        <v>5</v>
      </c>
      <c r="E374" t="s">
        <v>5</v>
      </c>
      <c r="F374">
        <f t="shared" si="5"/>
        <v>1</v>
      </c>
    </row>
    <row r="375" spans="1:6" x14ac:dyDescent="0.25">
      <c r="A375" t="s">
        <v>381</v>
      </c>
      <c r="B375">
        <v>16.3</v>
      </c>
      <c r="C375" t="s">
        <v>14</v>
      </c>
      <c r="D375" t="s">
        <v>5</v>
      </c>
      <c r="E375" t="s">
        <v>5</v>
      </c>
      <c r="F375">
        <f t="shared" si="5"/>
        <v>2</v>
      </c>
    </row>
    <row r="376" spans="1:6" x14ac:dyDescent="0.25">
      <c r="A376" t="s">
        <v>382</v>
      </c>
      <c r="B376">
        <v>17.7</v>
      </c>
      <c r="C376" t="s">
        <v>15</v>
      </c>
      <c r="D376" t="s">
        <v>5</v>
      </c>
      <c r="E376" t="s">
        <v>5</v>
      </c>
      <c r="F376">
        <f t="shared" si="5"/>
        <v>3</v>
      </c>
    </row>
    <row r="377" spans="1:6" x14ac:dyDescent="0.25">
      <c r="A377" t="s">
        <v>383</v>
      </c>
      <c r="B377">
        <v>18.3</v>
      </c>
      <c r="C377" t="s">
        <v>10</v>
      </c>
      <c r="D377" t="s">
        <v>5</v>
      </c>
      <c r="E377" t="s">
        <v>5</v>
      </c>
      <c r="F377">
        <f t="shared" si="5"/>
        <v>4</v>
      </c>
    </row>
    <row r="378" spans="1:6" x14ac:dyDescent="0.25">
      <c r="A378" t="s">
        <v>384</v>
      </c>
      <c r="B378">
        <v>17.5</v>
      </c>
      <c r="C378" t="s">
        <v>14</v>
      </c>
      <c r="D378" t="s">
        <v>5</v>
      </c>
      <c r="E378" t="s">
        <v>5</v>
      </c>
      <c r="F378">
        <f t="shared" si="5"/>
        <v>0</v>
      </c>
    </row>
    <row r="379" spans="1:6" x14ac:dyDescent="0.25">
      <c r="A379" t="s">
        <v>385</v>
      </c>
      <c r="B379">
        <v>15.1</v>
      </c>
      <c r="C379" t="s">
        <v>16</v>
      </c>
      <c r="D379" t="s">
        <v>5</v>
      </c>
      <c r="E379" t="s">
        <v>5</v>
      </c>
      <c r="F379">
        <f t="shared" si="5"/>
        <v>0</v>
      </c>
    </row>
    <row r="380" spans="1:6" x14ac:dyDescent="0.25">
      <c r="A380" t="s">
        <v>386</v>
      </c>
      <c r="B380">
        <v>11.6</v>
      </c>
      <c r="C380" t="s">
        <v>17</v>
      </c>
      <c r="D380" t="s">
        <v>5</v>
      </c>
      <c r="E380" t="s">
        <v>5</v>
      </c>
      <c r="F380">
        <f t="shared" si="5"/>
        <v>0</v>
      </c>
    </row>
    <row r="381" spans="1:6" x14ac:dyDescent="0.25">
      <c r="A381" t="s">
        <v>387</v>
      </c>
      <c r="B381">
        <v>7.7</v>
      </c>
      <c r="C381" t="s">
        <v>13</v>
      </c>
      <c r="D381" t="s">
        <v>5</v>
      </c>
      <c r="E381" t="s">
        <v>5</v>
      </c>
      <c r="F381">
        <f t="shared" si="5"/>
        <v>0</v>
      </c>
    </row>
    <row r="382" spans="1:6" x14ac:dyDescent="0.25">
      <c r="A382" t="s">
        <v>388</v>
      </c>
      <c r="B382">
        <v>4.4000000000000004</v>
      </c>
      <c r="C382" t="s">
        <v>30</v>
      </c>
      <c r="D382" t="s">
        <v>5</v>
      </c>
      <c r="E382" t="s">
        <v>5</v>
      </c>
      <c r="F382">
        <f t="shared" si="5"/>
        <v>0</v>
      </c>
    </row>
    <row r="383" spans="1:6" x14ac:dyDescent="0.25">
      <c r="A383" t="s">
        <v>389</v>
      </c>
      <c r="B383">
        <v>2.2999999999999998</v>
      </c>
      <c r="C383" t="s">
        <v>25</v>
      </c>
      <c r="D383" t="s">
        <v>5</v>
      </c>
      <c r="E383" t="s">
        <v>5</v>
      </c>
      <c r="F383">
        <f t="shared" si="5"/>
        <v>0</v>
      </c>
    </row>
    <row r="384" spans="1:6" x14ac:dyDescent="0.25">
      <c r="A384" t="s">
        <v>390</v>
      </c>
      <c r="B384">
        <v>2</v>
      </c>
      <c r="C384" t="s">
        <v>25</v>
      </c>
      <c r="D384" t="s">
        <v>5</v>
      </c>
      <c r="E384" t="s">
        <v>5</v>
      </c>
      <c r="F384">
        <f t="shared" si="5"/>
        <v>0</v>
      </c>
    </row>
    <row r="385" spans="1:6" x14ac:dyDescent="0.25">
      <c r="A385" t="s">
        <v>391</v>
      </c>
      <c r="B385">
        <v>3.2</v>
      </c>
      <c r="C385" t="s">
        <v>36</v>
      </c>
      <c r="D385" t="s">
        <v>5</v>
      </c>
      <c r="E385" t="s">
        <v>5</v>
      </c>
      <c r="F385">
        <f t="shared" si="5"/>
        <v>1</v>
      </c>
    </row>
    <row r="386" spans="1:6" x14ac:dyDescent="0.25">
      <c r="A386" t="s">
        <v>392</v>
      </c>
      <c r="B386">
        <v>5.5</v>
      </c>
      <c r="C386" t="s">
        <v>5</v>
      </c>
      <c r="D386" t="s">
        <v>5</v>
      </c>
      <c r="E386" t="s">
        <v>5</v>
      </c>
      <c r="F386">
        <f t="shared" si="5"/>
        <v>2</v>
      </c>
    </row>
    <row r="387" spans="1:6" x14ac:dyDescent="0.25">
      <c r="A387" t="s">
        <v>393</v>
      </c>
      <c r="B387">
        <v>7.9</v>
      </c>
      <c r="C387" t="s">
        <v>8</v>
      </c>
      <c r="D387" t="s">
        <v>5</v>
      </c>
      <c r="E387" t="s">
        <v>5</v>
      </c>
      <c r="F387">
        <f t="shared" si="5"/>
        <v>3</v>
      </c>
    </row>
    <row r="388" spans="1:6" x14ac:dyDescent="0.25">
      <c r="A388" t="s">
        <v>394</v>
      </c>
      <c r="B388">
        <v>9.6</v>
      </c>
      <c r="C388" t="s">
        <v>9</v>
      </c>
      <c r="D388" t="s">
        <v>5</v>
      </c>
      <c r="E388" t="s">
        <v>5</v>
      </c>
      <c r="F388">
        <f t="shared" ref="F388:F451" si="6">IF(B388&gt;B387,F387+1,0)</f>
        <v>4</v>
      </c>
    </row>
    <row r="389" spans="1:6" x14ac:dyDescent="0.25">
      <c r="A389" t="s">
        <v>395</v>
      </c>
      <c r="B389">
        <v>10</v>
      </c>
      <c r="C389" t="s">
        <v>10</v>
      </c>
      <c r="D389" t="s">
        <v>5</v>
      </c>
      <c r="E389" t="s">
        <v>5</v>
      </c>
      <c r="F389">
        <f t="shared" si="6"/>
        <v>5</v>
      </c>
    </row>
    <row r="390" spans="1:6" x14ac:dyDescent="0.25">
      <c r="A390" t="s">
        <v>396</v>
      </c>
      <c r="B390">
        <v>9</v>
      </c>
      <c r="C390" t="s">
        <v>9</v>
      </c>
      <c r="D390" t="s">
        <v>5</v>
      </c>
      <c r="E390" t="s">
        <v>5</v>
      </c>
      <c r="F390">
        <f t="shared" si="6"/>
        <v>0</v>
      </c>
    </row>
    <row r="391" spans="1:6" x14ac:dyDescent="0.25">
      <c r="A391" t="s">
        <v>397</v>
      </c>
      <c r="B391">
        <v>6.9</v>
      </c>
      <c r="C391" t="s">
        <v>13</v>
      </c>
      <c r="D391" t="s">
        <v>5</v>
      </c>
      <c r="E391" t="s">
        <v>5</v>
      </c>
      <c r="F391">
        <f t="shared" si="6"/>
        <v>0</v>
      </c>
    </row>
    <row r="392" spans="1:6" x14ac:dyDescent="0.25">
      <c r="A392" t="s">
        <v>398</v>
      </c>
      <c r="B392">
        <v>4.5</v>
      </c>
      <c r="C392" t="s">
        <v>10</v>
      </c>
      <c r="D392" t="s">
        <v>5</v>
      </c>
      <c r="E392" t="s">
        <v>5</v>
      </c>
      <c r="F392">
        <f t="shared" si="6"/>
        <v>0</v>
      </c>
    </row>
    <row r="393" spans="1:6" x14ac:dyDescent="0.25">
      <c r="A393" t="s">
        <v>399</v>
      </c>
      <c r="B393">
        <v>2.8</v>
      </c>
      <c r="C393" t="s">
        <v>17</v>
      </c>
      <c r="D393" t="s">
        <v>5</v>
      </c>
      <c r="E393" t="s">
        <v>5</v>
      </c>
      <c r="F393">
        <f t="shared" si="6"/>
        <v>0</v>
      </c>
    </row>
    <row r="394" spans="1:6" x14ac:dyDescent="0.25">
      <c r="A394" t="s">
        <v>400</v>
      </c>
      <c r="B394">
        <v>2.2999999999999998</v>
      </c>
      <c r="C394" t="s">
        <v>24</v>
      </c>
      <c r="D394" t="s">
        <v>5</v>
      </c>
      <c r="E394" t="s">
        <v>5</v>
      </c>
      <c r="F394">
        <f t="shared" si="6"/>
        <v>0</v>
      </c>
    </row>
    <row r="395" spans="1:6" x14ac:dyDescent="0.25">
      <c r="A395" t="s">
        <v>401</v>
      </c>
      <c r="B395">
        <v>3.6</v>
      </c>
      <c r="C395" t="s">
        <v>8</v>
      </c>
      <c r="D395" t="s">
        <v>5</v>
      </c>
      <c r="E395" t="s">
        <v>5</v>
      </c>
      <c r="F395">
        <f t="shared" si="6"/>
        <v>1</v>
      </c>
    </row>
    <row r="396" spans="1:6" x14ac:dyDescent="0.25">
      <c r="A396" t="s">
        <v>402</v>
      </c>
      <c r="B396">
        <v>6.4</v>
      </c>
      <c r="C396" t="s">
        <v>15</v>
      </c>
      <c r="D396" t="s">
        <v>5</v>
      </c>
      <c r="E396" t="s">
        <v>5</v>
      </c>
      <c r="F396">
        <f t="shared" si="6"/>
        <v>2</v>
      </c>
    </row>
    <row r="397" spans="1:6" x14ac:dyDescent="0.25">
      <c r="A397" t="s">
        <v>403</v>
      </c>
      <c r="B397">
        <v>10.199999999999999</v>
      </c>
      <c r="C397" t="s">
        <v>17</v>
      </c>
      <c r="D397" t="s">
        <v>5</v>
      </c>
      <c r="E397" t="s">
        <v>5</v>
      </c>
      <c r="F397">
        <f t="shared" si="6"/>
        <v>3</v>
      </c>
    </row>
    <row r="398" spans="1:6" x14ac:dyDescent="0.25">
      <c r="A398" t="s">
        <v>404</v>
      </c>
      <c r="B398">
        <v>14</v>
      </c>
      <c r="C398" t="s">
        <v>22</v>
      </c>
      <c r="D398" t="s">
        <v>5</v>
      </c>
      <c r="E398" t="s">
        <v>5</v>
      </c>
      <c r="F398">
        <f t="shared" si="6"/>
        <v>4</v>
      </c>
    </row>
    <row r="399" spans="1:6" x14ac:dyDescent="0.25">
      <c r="A399" t="s">
        <v>405</v>
      </c>
      <c r="B399">
        <v>17.100000000000001</v>
      </c>
      <c r="C399" t="s">
        <v>36</v>
      </c>
      <c r="D399" t="s">
        <v>5</v>
      </c>
      <c r="E399" t="s">
        <v>5</v>
      </c>
      <c r="F399">
        <f t="shared" si="6"/>
        <v>5</v>
      </c>
    </row>
    <row r="400" spans="1:6" x14ac:dyDescent="0.25">
      <c r="A400" t="s">
        <v>406</v>
      </c>
      <c r="B400">
        <v>18.7</v>
      </c>
      <c r="C400" t="s">
        <v>5</v>
      </c>
      <c r="D400" t="s">
        <v>5</v>
      </c>
      <c r="E400" t="s">
        <v>5</v>
      </c>
      <c r="F400">
        <f t="shared" si="6"/>
        <v>6</v>
      </c>
    </row>
    <row r="401" spans="1:6" x14ac:dyDescent="0.25">
      <c r="A401" t="s">
        <v>407</v>
      </c>
      <c r="B401">
        <v>18.8</v>
      </c>
      <c r="C401" t="s">
        <v>12</v>
      </c>
      <c r="D401" t="s">
        <v>5</v>
      </c>
      <c r="E401" t="s">
        <v>5</v>
      </c>
      <c r="F401">
        <f t="shared" si="6"/>
        <v>7</v>
      </c>
    </row>
    <row r="402" spans="1:6" x14ac:dyDescent="0.25">
      <c r="A402" t="s">
        <v>408</v>
      </c>
      <c r="B402">
        <v>17.7</v>
      </c>
      <c r="C402" t="s">
        <v>9</v>
      </c>
      <c r="D402" t="s">
        <v>5</v>
      </c>
      <c r="E402" t="s">
        <v>5</v>
      </c>
      <c r="F402">
        <f t="shared" si="6"/>
        <v>0</v>
      </c>
    </row>
    <row r="403" spans="1:6" x14ac:dyDescent="0.25">
      <c r="A403" t="s">
        <v>409</v>
      </c>
      <c r="B403">
        <v>16.100000000000001</v>
      </c>
      <c r="C403" t="s">
        <v>9</v>
      </c>
      <c r="D403" t="s">
        <v>5</v>
      </c>
      <c r="E403" t="s">
        <v>5</v>
      </c>
      <c r="F403">
        <f t="shared" si="6"/>
        <v>0</v>
      </c>
    </row>
    <row r="404" spans="1:6" x14ac:dyDescent="0.25">
      <c r="A404" t="s">
        <v>410</v>
      </c>
      <c r="B404">
        <v>14.9</v>
      </c>
      <c r="C404" t="s">
        <v>16</v>
      </c>
      <c r="D404" t="s">
        <v>5</v>
      </c>
      <c r="E404" t="s">
        <v>5</v>
      </c>
      <c r="F404">
        <f t="shared" si="6"/>
        <v>0</v>
      </c>
    </row>
    <row r="405" spans="1:6" x14ac:dyDescent="0.25">
      <c r="A405" t="s">
        <v>411</v>
      </c>
      <c r="B405">
        <v>14.9</v>
      </c>
      <c r="C405" t="s">
        <v>9</v>
      </c>
      <c r="D405" t="s">
        <v>5</v>
      </c>
      <c r="E405" t="s">
        <v>5</v>
      </c>
      <c r="F405">
        <f t="shared" si="6"/>
        <v>0</v>
      </c>
    </row>
    <row r="406" spans="1:6" x14ac:dyDescent="0.25">
      <c r="A406" t="s">
        <v>412</v>
      </c>
      <c r="B406">
        <v>16.3</v>
      </c>
      <c r="C406" t="s">
        <v>10</v>
      </c>
      <c r="D406" t="s">
        <v>5</v>
      </c>
      <c r="E406" t="s">
        <v>5</v>
      </c>
      <c r="F406">
        <f t="shared" si="6"/>
        <v>1</v>
      </c>
    </row>
    <row r="407" spans="1:6" x14ac:dyDescent="0.25">
      <c r="A407" t="s">
        <v>413</v>
      </c>
      <c r="B407">
        <v>19.100000000000001</v>
      </c>
      <c r="C407" t="s">
        <v>19</v>
      </c>
      <c r="D407" t="s">
        <v>5</v>
      </c>
      <c r="E407" t="s">
        <v>5</v>
      </c>
      <c r="F407">
        <f t="shared" si="6"/>
        <v>2</v>
      </c>
    </row>
    <row r="408" spans="1:6" x14ac:dyDescent="0.25">
      <c r="A408" t="s">
        <v>414</v>
      </c>
      <c r="B408">
        <v>22.7</v>
      </c>
      <c r="C408" t="s">
        <v>21</v>
      </c>
      <c r="D408" t="s">
        <v>5</v>
      </c>
      <c r="E408" t="s">
        <v>5</v>
      </c>
      <c r="F408">
        <f t="shared" si="6"/>
        <v>3</v>
      </c>
    </row>
    <row r="409" spans="1:6" x14ac:dyDescent="0.25">
      <c r="A409" t="s">
        <v>415</v>
      </c>
      <c r="B409">
        <v>26.1</v>
      </c>
      <c r="C409" t="s">
        <v>18</v>
      </c>
      <c r="D409" t="s">
        <v>5</v>
      </c>
      <c r="E409" t="s">
        <v>5</v>
      </c>
      <c r="F409">
        <f t="shared" si="6"/>
        <v>4</v>
      </c>
    </row>
    <row r="410" spans="1:6" x14ac:dyDescent="0.25">
      <c r="A410" t="s">
        <v>416</v>
      </c>
      <c r="B410">
        <v>28.6</v>
      </c>
      <c r="C410" t="s">
        <v>19</v>
      </c>
      <c r="D410" t="s">
        <v>5</v>
      </c>
      <c r="E410" t="s">
        <v>5</v>
      </c>
      <c r="F410">
        <f t="shared" si="6"/>
        <v>5</v>
      </c>
    </row>
    <row r="411" spans="1:6" x14ac:dyDescent="0.25">
      <c r="A411" t="s">
        <v>417</v>
      </c>
      <c r="B411">
        <v>29.5</v>
      </c>
      <c r="C411" t="s">
        <v>24</v>
      </c>
      <c r="D411" t="s">
        <v>5</v>
      </c>
      <c r="E411" t="s">
        <v>5</v>
      </c>
      <c r="F411">
        <f t="shared" si="6"/>
        <v>6</v>
      </c>
    </row>
    <row r="412" spans="1:6" x14ac:dyDescent="0.25">
      <c r="A412" t="s">
        <v>418</v>
      </c>
      <c r="B412">
        <v>28.6</v>
      </c>
      <c r="C412" t="s">
        <v>18</v>
      </c>
      <c r="D412" t="s">
        <v>5</v>
      </c>
      <c r="E412" t="s">
        <v>5</v>
      </c>
      <c r="F412">
        <f t="shared" si="6"/>
        <v>0</v>
      </c>
    </row>
    <row r="413" spans="1:6" x14ac:dyDescent="0.25">
      <c r="A413" t="s">
        <v>419</v>
      </c>
      <c r="B413">
        <v>26.4</v>
      </c>
      <c r="C413" t="s">
        <v>35</v>
      </c>
      <c r="D413" t="s">
        <v>5</v>
      </c>
      <c r="E413" t="s">
        <v>5</v>
      </c>
      <c r="F413">
        <f t="shared" si="6"/>
        <v>0</v>
      </c>
    </row>
    <row r="414" spans="1:6" x14ac:dyDescent="0.25">
      <c r="A414" t="s">
        <v>420</v>
      </c>
      <c r="B414">
        <v>23.6</v>
      </c>
      <c r="C414" t="s">
        <v>5</v>
      </c>
      <c r="D414" t="s">
        <v>5</v>
      </c>
      <c r="E414" t="s">
        <v>5</v>
      </c>
      <c r="F414">
        <f t="shared" si="6"/>
        <v>0</v>
      </c>
    </row>
    <row r="415" spans="1:6" x14ac:dyDescent="0.25">
      <c r="A415" t="s">
        <v>421</v>
      </c>
      <c r="B415">
        <v>21</v>
      </c>
      <c r="C415" t="s">
        <v>8</v>
      </c>
      <c r="D415" t="s">
        <v>5</v>
      </c>
      <c r="E415" t="s">
        <v>5</v>
      </c>
      <c r="F415">
        <f t="shared" si="6"/>
        <v>0</v>
      </c>
    </row>
    <row r="416" spans="1:6" x14ac:dyDescent="0.25">
      <c r="A416" t="s">
        <v>422</v>
      </c>
      <c r="B416">
        <v>19.600000000000001</v>
      </c>
      <c r="C416" t="s">
        <v>14</v>
      </c>
      <c r="D416" t="s">
        <v>5</v>
      </c>
      <c r="E416" t="s">
        <v>5</v>
      </c>
      <c r="F416">
        <f t="shared" si="6"/>
        <v>0</v>
      </c>
    </row>
    <row r="417" spans="1:6" x14ac:dyDescent="0.25">
      <c r="A417" t="s">
        <v>423</v>
      </c>
      <c r="B417">
        <v>19.5</v>
      </c>
      <c r="C417" t="s">
        <v>11</v>
      </c>
      <c r="D417" t="s">
        <v>5</v>
      </c>
      <c r="E417" t="s">
        <v>5</v>
      </c>
      <c r="F417">
        <f t="shared" si="6"/>
        <v>0</v>
      </c>
    </row>
    <row r="418" spans="1:6" x14ac:dyDescent="0.25">
      <c r="A418" t="s">
        <v>424</v>
      </c>
      <c r="B418">
        <v>20.7</v>
      </c>
      <c r="C418" t="s">
        <v>13</v>
      </c>
      <c r="D418" t="s">
        <v>5</v>
      </c>
      <c r="E418" t="s">
        <v>5</v>
      </c>
      <c r="F418">
        <f t="shared" si="6"/>
        <v>1</v>
      </c>
    </row>
    <row r="419" spans="1:6" x14ac:dyDescent="0.25">
      <c r="A419" t="s">
        <v>425</v>
      </c>
      <c r="B419">
        <v>22.7</v>
      </c>
      <c r="C419" t="s">
        <v>11</v>
      </c>
      <c r="D419" t="s">
        <v>5</v>
      </c>
      <c r="E419" t="s">
        <v>5</v>
      </c>
      <c r="F419">
        <f t="shared" si="6"/>
        <v>2</v>
      </c>
    </row>
    <row r="420" spans="1:6" x14ac:dyDescent="0.25">
      <c r="A420" t="s">
        <v>426</v>
      </c>
      <c r="B420">
        <v>24.5</v>
      </c>
      <c r="C420" t="s">
        <v>12</v>
      </c>
      <c r="D420" t="s">
        <v>5</v>
      </c>
      <c r="E420" t="s">
        <v>5</v>
      </c>
      <c r="F420">
        <f t="shared" si="6"/>
        <v>3</v>
      </c>
    </row>
    <row r="421" spans="1:6" x14ac:dyDescent="0.25">
      <c r="A421" t="s">
        <v>427</v>
      </c>
      <c r="B421">
        <v>25.4</v>
      </c>
      <c r="C421" t="s">
        <v>15</v>
      </c>
      <c r="D421" t="s">
        <v>5</v>
      </c>
      <c r="E421" t="s">
        <v>5</v>
      </c>
      <c r="F421">
        <f t="shared" si="6"/>
        <v>4</v>
      </c>
    </row>
    <row r="422" spans="1:6" x14ac:dyDescent="0.25">
      <c r="A422" t="s">
        <v>428</v>
      </c>
      <c r="B422">
        <v>24.8</v>
      </c>
      <c r="C422" t="s">
        <v>21</v>
      </c>
      <c r="D422" t="s">
        <v>5</v>
      </c>
      <c r="E422" t="s">
        <v>5</v>
      </c>
      <c r="F422">
        <f t="shared" si="6"/>
        <v>0</v>
      </c>
    </row>
    <row r="423" spans="1:6" x14ac:dyDescent="0.25">
      <c r="A423" t="s">
        <v>429</v>
      </c>
      <c r="B423">
        <v>22.5</v>
      </c>
      <c r="C423" t="s">
        <v>15</v>
      </c>
      <c r="D423" t="s">
        <v>5</v>
      </c>
      <c r="E423" t="s">
        <v>5</v>
      </c>
      <c r="F423">
        <f t="shared" si="6"/>
        <v>0</v>
      </c>
    </row>
    <row r="424" spans="1:6" x14ac:dyDescent="0.25">
      <c r="A424" t="s">
        <v>430</v>
      </c>
      <c r="B424">
        <v>18.899999999999999</v>
      </c>
      <c r="C424" t="s">
        <v>16</v>
      </c>
      <c r="D424" t="s">
        <v>5</v>
      </c>
      <c r="E424" t="s">
        <v>5</v>
      </c>
      <c r="F424">
        <f t="shared" si="6"/>
        <v>0</v>
      </c>
    </row>
    <row r="425" spans="1:6" x14ac:dyDescent="0.25">
      <c r="A425" t="s">
        <v>431</v>
      </c>
      <c r="B425">
        <v>14.8</v>
      </c>
      <c r="C425" t="s">
        <v>15</v>
      </c>
      <c r="D425" t="s">
        <v>5</v>
      </c>
      <c r="E425" t="s">
        <v>5</v>
      </c>
      <c r="F425">
        <f t="shared" si="6"/>
        <v>0</v>
      </c>
    </row>
    <row r="426" spans="1:6" x14ac:dyDescent="0.25">
      <c r="A426" t="s">
        <v>432</v>
      </c>
      <c r="B426">
        <v>11.2</v>
      </c>
      <c r="C426" t="s">
        <v>16</v>
      </c>
      <c r="D426" t="s">
        <v>5</v>
      </c>
      <c r="E426" t="s">
        <v>5</v>
      </c>
      <c r="F426">
        <f t="shared" si="6"/>
        <v>0</v>
      </c>
    </row>
    <row r="427" spans="1:6" x14ac:dyDescent="0.25">
      <c r="A427" t="s">
        <v>433</v>
      </c>
      <c r="B427">
        <v>8.8000000000000007</v>
      </c>
      <c r="C427" t="s">
        <v>22</v>
      </c>
      <c r="D427" t="s">
        <v>5</v>
      </c>
      <c r="E427" t="s">
        <v>5</v>
      </c>
      <c r="F427">
        <f t="shared" si="6"/>
        <v>0</v>
      </c>
    </row>
    <row r="428" spans="1:6" x14ac:dyDescent="0.25">
      <c r="A428" t="s">
        <v>434</v>
      </c>
      <c r="B428">
        <v>8</v>
      </c>
      <c r="C428" t="s">
        <v>5</v>
      </c>
      <c r="D428" t="s">
        <v>5</v>
      </c>
      <c r="E428" t="s">
        <v>5</v>
      </c>
      <c r="F428">
        <f t="shared" si="6"/>
        <v>0</v>
      </c>
    </row>
    <row r="429" spans="1:6" x14ac:dyDescent="0.25">
      <c r="A429" t="s">
        <v>435</v>
      </c>
      <c r="B429">
        <v>8.6</v>
      </c>
      <c r="C429" t="s">
        <v>9</v>
      </c>
      <c r="D429" t="s">
        <v>5</v>
      </c>
      <c r="E429" t="s">
        <v>5</v>
      </c>
      <c r="F429">
        <f t="shared" si="6"/>
        <v>1</v>
      </c>
    </row>
    <row r="430" spans="1:6" x14ac:dyDescent="0.25">
      <c r="A430" t="s">
        <v>436</v>
      </c>
      <c r="B430">
        <v>10.199999999999999</v>
      </c>
      <c r="C430" t="s">
        <v>12</v>
      </c>
      <c r="D430" t="s">
        <v>5</v>
      </c>
      <c r="E430" t="s">
        <v>5</v>
      </c>
      <c r="F430">
        <f t="shared" si="6"/>
        <v>2</v>
      </c>
    </row>
    <row r="431" spans="1:6" x14ac:dyDescent="0.25">
      <c r="A431" t="s">
        <v>437</v>
      </c>
      <c r="B431">
        <v>11.8</v>
      </c>
      <c r="C431" t="s">
        <v>12</v>
      </c>
      <c r="D431" t="s">
        <v>5</v>
      </c>
      <c r="E431" t="s">
        <v>5</v>
      </c>
      <c r="F431">
        <f t="shared" si="6"/>
        <v>3</v>
      </c>
    </row>
    <row r="432" spans="1:6" x14ac:dyDescent="0.25">
      <c r="A432" t="s">
        <v>438</v>
      </c>
      <c r="B432">
        <v>12.7</v>
      </c>
      <c r="C432" t="s">
        <v>15</v>
      </c>
      <c r="D432" t="s">
        <v>5</v>
      </c>
      <c r="E432" t="s">
        <v>5</v>
      </c>
      <c r="F432">
        <f t="shared" si="6"/>
        <v>4</v>
      </c>
    </row>
    <row r="433" spans="1:6" x14ac:dyDescent="0.25">
      <c r="A433" t="s">
        <v>439</v>
      </c>
      <c r="B433">
        <v>12.2</v>
      </c>
      <c r="C433" t="s">
        <v>14</v>
      </c>
      <c r="D433" t="s">
        <v>5</v>
      </c>
      <c r="E433" t="s">
        <v>5</v>
      </c>
      <c r="F433">
        <f t="shared" si="6"/>
        <v>0</v>
      </c>
    </row>
    <row r="434" spans="1:6" x14ac:dyDescent="0.25">
      <c r="A434" t="s">
        <v>440</v>
      </c>
      <c r="B434">
        <v>10.3</v>
      </c>
      <c r="C434" t="s">
        <v>18</v>
      </c>
      <c r="D434" t="s">
        <v>5</v>
      </c>
      <c r="E434" t="s">
        <v>5</v>
      </c>
      <c r="F434">
        <f t="shared" si="6"/>
        <v>0</v>
      </c>
    </row>
    <row r="435" spans="1:6" x14ac:dyDescent="0.25">
      <c r="A435" t="s">
        <v>441</v>
      </c>
      <c r="B435">
        <v>7.4</v>
      </c>
      <c r="C435" t="s">
        <v>24</v>
      </c>
      <c r="D435" t="s">
        <v>5</v>
      </c>
      <c r="E435" t="s">
        <v>5</v>
      </c>
      <c r="F435">
        <f t="shared" si="6"/>
        <v>0</v>
      </c>
    </row>
    <row r="436" spans="1:6" x14ac:dyDescent="0.25">
      <c r="A436" t="s">
        <v>442</v>
      </c>
      <c r="B436">
        <v>4.0999999999999996</v>
      </c>
      <c r="C436" t="s">
        <v>24</v>
      </c>
      <c r="D436" t="s">
        <v>5</v>
      </c>
      <c r="E436" t="s">
        <v>5</v>
      </c>
      <c r="F436">
        <f t="shared" si="6"/>
        <v>0</v>
      </c>
    </row>
    <row r="437" spans="1:6" x14ac:dyDescent="0.25">
      <c r="A437" t="s">
        <v>443</v>
      </c>
      <c r="B437">
        <v>1.4</v>
      </c>
      <c r="C437" t="s">
        <v>16</v>
      </c>
      <c r="D437" t="s">
        <v>5</v>
      </c>
      <c r="E437" t="s">
        <v>5</v>
      </c>
      <c r="F437">
        <f t="shared" si="6"/>
        <v>0</v>
      </c>
    </row>
    <row r="438" spans="1:6" x14ac:dyDescent="0.25">
      <c r="A438" t="s">
        <v>444</v>
      </c>
      <c r="B438">
        <v>0.1</v>
      </c>
      <c r="C438" t="s">
        <v>31</v>
      </c>
      <c r="D438" t="s">
        <v>5</v>
      </c>
      <c r="E438" t="s">
        <v>5</v>
      </c>
      <c r="F438">
        <f t="shared" si="6"/>
        <v>0</v>
      </c>
    </row>
    <row r="439" spans="1:6" x14ac:dyDescent="0.25">
      <c r="A439" t="s">
        <v>445</v>
      </c>
      <c r="B439">
        <v>0.5</v>
      </c>
      <c r="C439" t="s">
        <v>26</v>
      </c>
      <c r="D439" t="s">
        <v>5</v>
      </c>
      <c r="E439" t="s">
        <v>5</v>
      </c>
      <c r="F439">
        <f t="shared" si="6"/>
        <v>1</v>
      </c>
    </row>
    <row r="440" spans="1:6" x14ac:dyDescent="0.25">
      <c r="A440" t="s">
        <v>446</v>
      </c>
      <c r="B440">
        <v>2.5</v>
      </c>
      <c r="C440" t="s">
        <v>9</v>
      </c>
      <c r="D440" t="s">
        <v>5</v>
      </c>
      <c r="E440" t="s">
        <v>5</v>
      </c>
      <c r="F440">
        <f t="shared" si="6"/>
        <v>2</v>
      </c>
    </row>
    <row r="441" spans="1:6" x14ac:dyDescent="0.25">
      <c r="A441" t="s">
        <v>447</v>
      </c>
      <c r="B441">
        <v>5.5</v>
      </c>
      <c r="C441" t="s">
        <v>24</v>
      </c>
      <c r="D441" t="s">
        <v>5</v>
      </c>
      <c r="E441" t="s">
        <v>5</v>
      </c>
      <c r="F441">
        <f t="shared" si="6"/>
        <v>3</v>
      </c>
    </row>
    <row r="442" spans="1:6" x14ac:dyDescent="0.25">
      <c r="A442" t="s">
        <v>448</v>
      </c>
      <c r="B442">
        <v>8.6999999999999993</v>
      </c>
      <c r="C442" t="s">
        <v>22</v>
      </c>
      <c r="D442" t="s">
        <v>5</v>
      </c>
      <c r="E442" t="s">
        <v>5</v>
      </c>
      <c r="F442">
        <f t="shared" si="6"/>
        <v>4</v>
      </c>
    </row>
    <row r="443" spans="1:6" x14ac:dyDescent="0.25">
      <c r="A443" t="s">
        <v>449</v>
      </c>
      <c r="B443">
        <v>11.1</v>
      </c>
      <c r="C443" t="s">
        <v>5</v>
      </c>
      <c r="D443" t="s">
        <v>5</v>
      </c>
      <c r="E443" t="s">
        <v>5</v>
      </c>
      <c r="F443">
        <f t="shared" si="6"/>
        <v>5</v>
      </c>
    </row>
    <row r="444" spans="1:6" x14ac:dyDescent="0.25">
      <c r="A444" t="s">
        <v>450</v>
      </c>
      <c r="B444">
        <v>12.2</v>
      </c>
      <c r="C444" t="s">
        <v>11</v>
      </c>
      <c r="D444" t="s">
        <v>5</v>
      </c>
      <c r="E444" t="s">
        <v>5</v>
      </c>
      <c r="F444">
        <f t="shared" si="6"/>
        <v>6</v>
      </c>
    </row>
    <row r="445" spans="1:6" x14ac:dyDescent="0.25">
      <c r="A445" t="s">
        <v>451</v>
      </c>
      <c r="B445">
        <v>11.9</v>
      </c>
      <c r="C445" t="s">
        <v>8</v>
      </c>
      <c r="D445" t="s">
        <v>5</v>
      </c>
      <c r="E445" t="s">
        <v>5</v>
      </c>
      <c r="F445">
        <f t="shared" si="6"/>
        <v>0</v>
      </c>
    </row>
    <row r="446" spans="1:6" x14ac:dyDescent="0.25">
      <c r="A446" t="s">
        <v>452</v>
      </c>
      <c r="B446">
        <v>10.5</v>
      </c>
      <c r="C446" t="s">
        <v>8</v>
      </c>
      <c r="D446" t="s">
        <v>5</v>
      </c>
      <c r="E446" t="s">
        <v>5</v>
      </c>
      <c r="F446">
        <f t="shared" si="6"/>
        <v>0</v>
      </c>
    </row>
    <row r="447" spans="1:6" x14ac:dyDescent="0.25">
      <c r="A447" t="s">
        <v>453</v>
      </c>
      <c r="B447">
        <v>8.8000000000000007</v>
      </c>
      <c r="C447" t="s">
        <v>14</v>
      </c>
      <c r="D447" t="s">
        <v>5</v>
      </c>
      <c r="E447" t="s">
        <v>5</v>
      </c>
      <c r="F447">
        <f t="shared" si="6"/>
        <v>0</v>
      </c>
    </row>
    <row r="448" spans="1:6" x14ac:dyDescent="0.25">
      <c r="A448" t="s">
        <v>454</v>
      </c>
      <c r="B448">
        <v>7.5</v>
      </c>
      <c r="C448" t="s">
        <v>13</v>
      </c>
      <c r="D448" t="s">
        <v>5</v>
      </c>
      <c r="E448" t="s">
        <v>5</v>
      </c>
      <c r="F448" s="11">
        <f t="shared" si="6"/>
        <v>0</v>
      </c>
    </row>
    <row r="449" spans="1:6" x14ac:dyDescent="0.25">
      <c r="A449" t="s">
        <v>455</v>
      </c>
      <c r="B449">
        <v>7.6</v>
      </c>
      <c r="C449" t="s">
        <v>13</v>
      </c>
      <c r="D449" t="s">
        <v>5</v>
      </c>
      <c r="E449" t="s">
        <v>5</v>
      </c>
      <c r="F449" s="10">
        <f t="shared" si="6"/>
        <v>1</v>
      </c>
    </row>
    <row r="450" spans="1:6" x14ac:dyDescent="0.25">
      <c r="A450" t="s">
        <v>456</v>
      </c>
      <c r="B450">
        <v>9.1999999999999993</v>
      </c>
      <c r="C450" t="s">
        <v>9</v>
      </c>
      <c r="D450" t="s">
        <v>5</v>
      </c>
      <c r="E450" t="s">
        <v>5</v>
      </c>
      <c r="F450" s="10">
        <f t="shared" si="6"/>
        <v>2</v>
      </c>
    </row>
    <row r="451" spans="1:6" x14ac:dyDescent="0.25">
      <c r="A451" t="s">
        <v>457</v>
      </c>
      <c r="B451">
        <v>12.3</v>
      </c>
      <c r="C451" t="s">
        <v>16</v>
      </c>
      <c r="D451" t="s">
        <v>5</v>
      </c>
      <c r="E451" t="s">
        <v>5</v>
      </c>
      <c r="F451" s="10">
        <f t="shared" si="6"/>
        <v>3</v>
      </c>
    </row>
    <row r="452" spans="1:6" x14ac:dyDescent="0.25">
      <c r="A452" t="s">
        <v>458</v>
      </c>
      <c r="B452">
        <v>16.3</v>
      </c>
      <c r="C452" t="s">
        <v>27</v>
      </c>
      <c r="D452" t="s">
        <v>5</v>
      </c>
      <c r="E452" t="s">
        <v>5</v>
      </c>
      <c r="F452" s="10">
        <f t="shared" ref="F452:F501" si="7">IF(B452&gt;B451,F451+1,0)</f>
        <v>4</v>
      </c>
    </row>
    <row r="453" spans="1:6" x14ac:dyDescent="0.25">
      <c r="A453" t="s">
        <v>459</v>
      </c>
      <c r="B453">
        <v>20.2</v>
      </c>
      <c r="C453" t="s">
        <v>22</v>
      </c>
      <c r="D453" t="s">
        <v>5</v>
      </c>
      <c r="E453" t="s">
        <v>5</v>
      </c>
      <c r="F453" s="10">
        <f t="shared" si="7"/>
        <v>5</v>
      </c>
    </row>
    <row r="454" spans="1:6" x14ac:dyDescent="0.25">
      <c r="A454" t="s">
        <v>460</v>
      </c>
      <c r="B454">
        <v>23.2</v>
      </c>
      <c r="C454" t="s">
        <v>16</v>
      </c>
      <c r="D454" t="s">
        <v>5</v>
      </c>
      <c r="E454" t="s">
        <v>5</v>
      </c>
      <c r="F454" s="10">
        <f t="shared" si="7"/>
        <v>6</v>
      </c>
    </row>
    <row r="455" spans="1:6" x14ac:dyDescent="0.25">
      <c r="A455" t="s">
        <v>461</v>
      </c>
      <c r="B455">
        <v>24.8</v>
      </c>
      <c r="C455" t="s">
        <v>29</v>
      </c>
      <c r="D455" t="s">
        <v>5</v>
      </c>
      <c r="E455" t="s">
        <v>5</v>
      </c>
      <c r="F455" s="10">
        <f t="shared" si="7"/>
        <v>7</v>
      </c>
    </row>
    <row r="456" spans="1:6" x14ac:dyDescent="0.25">
      <c r="A456" t="s">
        <v>462</v>
      </c>
      <c r="B456">
        <v>24.9</v>
      </c>
      <c r="C456" t="s">
        <v>19</v>
      </c>
      <c r="D456" t="s">
        <v>5</v>
      </c>
      <c r="E456" t="s">
        <v>5</v>
      </c>
      <c r="F456" s="10">
        <f t="shared" si="7"/>
        <v>8</v>
      </c>
    </row>
    <row r="457" spans="1:6" x14ac:dyDescent="0.25">
      <c r="A457" t="s">
        <v>463</v>
      </c>
      <c r="B457">
        <v>23.3</v>
      </c>
      <c r="C457" t="s">
        <v>17</v>
      </c>
      <c r="D457" t="s">
        <v>5</v>
      </c>
      <c r="E457" t="s">
        <v>5</v>
      </c>
      <c r="F457">
        <f t="shared" si="7"/>
        <v>0</v>
      </c>
    </row>
    <row r="458" spans="1:6" x14ac:dyDescent="0.25">
      <c r="A458" t="s">
        <v>464</v>
      </c>
      <c r="B458">
        <v>21.3</v>
      </c>
      <c r="C458" t="s">
        <v>13</v>
      </c>
      <c r="D458" t="s">
        <v>5</v>
      </c>
      <c r="E458" t="s">
        <v>5</v>
      </c>
      <c r="F458">
        <f t="shared" si="7"/>
        <v>0</v>
      </c>
    </row>
    <row r="459" spans="1:6" x14ac:dyDescent="0.25">
      <c r="A459" t="s">
        <v>465</v>
      </c>
      <c r="B459">
        <v>19.7</v>
      </c>
      <c r="C459" t="s">
        <v>23</v>
      </c>
      <c r="D459" t="s">
        <v>5</v>
      </c>
      <c r="E459" t="s">
        <v>5</v>
      </c>
      <c r="F459">
        <f t="shared" si="7"/>
        <v>0</v>
      </c>
    </row>
    <row r="460" spans="1:6" x14ac:dyDescent="0.25">
      <c r="A460" t="s">
        <v>466</v>
      </c>
      <c r="B460">
        <v>19.100000000000001</v>
      </c>
      <c r="C460" t="s">
        <v>31</v>
      </c>
      <c r="D460" t="s">
        <v>5</v>
      </c>
      <c r="E460" t="s">
        <v>5</v>
      </c>
      <c r="F460">
        <f t="shared" si="7"/>
        <v>0</v>
      </c>
    </row>
    <row r="461" spans="1:6" x14ac:dyDescent="0.25">
      <c r="A461" t="s">
        <v>467</v>
      </c>
      <c r="B461">
        <v>20</v>
      </c>
      <c r="C461" t="s">
        <v>5</v>
      </c>
      <c r="D461" t="s">
        <v>5</v>
      </c>
      <c r="E461" t="s">
        <v>5</v>
      </c>
      <c r="F461">
        <f t="shared" si="7"/>
        <v>1</v>
      </c>
    </row>
    <row r="462" spans="1:6" x14ac:dyDescent="0.25">
      <c r="A462" t="s">
        <v>468</v>
      </c>
      <c r="B462">
        <v>22.1</v>
      </c>
      <c r="C462" t="s">
        <v>8</v>
      </c>
      <c r="D462" t="s">
        <v>5</v>
      </c>
      <c r="E462" t="s">
        <v>5</v>
      </c>
      <c r="F462">
        <f t="shared" si="7"/>
        <v>2</v>
      </c>
    </row>
    <row r="463" spans="1:6" x14ac:dyDescent="0.25">
      <c r="A463" t="s">
        <v>469</v>
      </c>
      <c r="B463">
        <v>25</v>
      </c>
      <c r="C463" t="s">
        <v>11</v>
      </c>
      <c r="D463" t="s">
        <v>5</v>
      </c>
      <c r="E463" t="s">
        <v>5</v>
      </c>
      <c r="F463">
        <f t="shared" si="7"/>
        <v>3</v>
      </c>
    </row>
    <row r="464" spans="1:6" x14ac:dyDescent="0.25">
      <c r="A464" t="s">
        <v>470</v>
      </c>
      <c r="B464">
        <v>27.7</v>
      </c>
      <c r="C464" t="s">
        <v>8</v>
      </c>
      <c r="D464" t="s">
        <v>5</v>
      </c>
      <c r="E464" t="s">
        <v>5</v>
      </c>
      <c r="F464">
        <f t="shared" si="7"/>
        <v>4</v>
      </c>
    </row>
    <row r="465" spans="1:6" x14ac:dyDescent="0.25">
      <c r="A465" t="s">
        <v>471</v>
      </c>
      <c r="B465">
        <v>29.4</v>
      </c>
      <c r="C465" t="s">
        <v>21</v>
      </c>
      <c r="D465" t="s">
        <v>5</v>
      </c>
      <c r="E465" t="s">
        <v>5</v>
      </c>
      <c r="F465">
        <f t="shared" si="7"/>
        <v>5</v>
      </c>
    </row>
    <row r="466" spans="1:6" x14ac:dyDescent="0.25">
      <c r="A466" t="s">
        <v>472</v>
      </c>
      <c r="B466">
        <v>29.5</v>
      </c>
      <c r="C466" t="s">
        <v>21</v>
      </c>
      <c r="D466" t="s">
        <v>5</v>
      </c>
      <c r="E466" t="s">
        <v>5</v>
      </c>
      <c r="F466">
        <f t="shared" si="7"/>
        <v>6</v>
      </c>
    </row>
    <row r="467" spans="1:6" x14ac:dyDescent="0.25">
      <c r="A467" t="s">
        <v>473</v>
      </c>
      <c r="B467">
        <v>27.8</v>
      </c>
      <c r="C467" t="s">
        <v>15</v>
      </c>
      <c r="D467" t="s">
        <v>5</v>
      </c>
      <c r="E467" t="s">
        <v>5</v>
      </c>
      <c r="F467">
        <f t="shared" si="7"/>
        <v>0</v>
      </c>
    </row>
    <row r="468" spans="1:6" x14ac:dyDescent="0.25">
      <c r="A468" t="s">
        <v>474</v>
      </c>
      <c r="B468">
        <v>24.9</v>
      </c>
      <c r="C468" t="s">
        <v>23</v>
      </c>
      <c r="D468" t="s">
        <v>5</v>
      </c>
      <c r="E468" t="s">
        <v>5</v>
      </c>
      <c r="F468">
        <f t="shared" si="7"/>
        <v>0</v>
      </c>
    </row>
    <row r="469" spans="1:6" x14ac:dyDescent="0.25">
      <c r="A469" t="s">
        <v>475</v>
      </c>
      <c r="B469">
        <v>21.3</v>
      </c>
      <c r="C469" t="s">
        <v>27</v>
      </c>
      <c r="D469" t="s">
        <v>5</v>
      </c>
      <c r="E469" t="s">
        <v>5</v>
      </c>
      <c r="F469">
        <f t="shared" si="7"/>
        <v>0</v>
      </c>
    </row>
    <row r="470" spans="1:6" x14ac:dyDescent="0.25">
      <c r="A470" t="s">
        <v>476</v>
      </c>
      <c r="B470">
        <v>18.100000000000001</v>
      </c>
      <c r="C470" t="s">
        <v>20</v>
      </c>
      <c r="D470" t="s">
        <v>5</v>
      </c>
      <c r="E470" t="s">
        <v>5</v>
      </c>
      <c r="F470">
        <f t="shared" si="7"/>
        <v>0</v>
      </c>
    </row>
    <row r="471" spans="1:6" x14ac:dyDescent="0.25">
      <c r="A471" t="s">
        <v>477</v>
      </c>
      <c r="B471">
        <v>15.9</v>
      </c>
      <c r="C471" t="s">
        <v>13</v>
      </c>
      <c r="D471" t="s">
        <v>5</v>
      </c>
      <c r="E471" t="s">
        <v>5</v>
      </c>
      <c r="F471">
        <f t="shared" si="7"/>
        <v>0</v>
      </c>
    </row>
    <row r="472" spans="1:6" x14ac:dyDescent="0.25">
      <c r="A472" t="s">
        <v>478</v>
      </c>
      <c r="B472">
        <v>15.3</v>
      </c>
      <c r="C472" t="s">
        <v>16</v>
      </c>
      <c r="D472" t="s">
        <v>5</v>
      </c>
      <c r="E472" t="s">
        <v>5</v>
      </c>
      <c r="F472">
        <f t="shared" si="7"/>
        <v>0</v>
      </c>
    </row>
    <row r="473" spans="1:6" x14ac:dyDescent="0.25">
      <c r="A473" t="s">
        <v>479</v>
      </c>
      <c r="B473">
        <v>16</v>
      </c>
      <c r="C473" t="s">
        <v>12</v>
      </c>
      <c r="D473" t="s">
        <v>5</v>
      </c>
      <c r="E473" t="s">
        <v>5</v>
      </c>
      <c r="F473">
        <f t="shared" si="7"/>
        <v>1</v>
      </c>
    </row>
    <row r="474" spans="1:6" x14ac:dyDescent="0.25">
      <c r="A474" t="s">
        <v>480</v>
      </c>
      <c r="B474">
        <v>17.5</v>
      </c>
      <c r="C474" t="s">
        <v>33</v>
      </c>
      <c r="D474" t="s">
        <v>5</v>
      </c>
      <c r="E474" t="s">
        <v>5</v>
      </c>
      <c r="F474">
        <f t="shared" si="7"/>
        <v>2</v>
      </c>
    </row>
    <row r="475" spans="1:6" x14ac:dyDescent="0.25">
      <c r="A475" t="s">
        <v>481</v>
      </c>
      <c r="B475">
        <v>19</v>
      </c>
      <c r="C475" t="s">
        <v>5</v>
      </c>
      <c r="D475" t="s">
        <v>5</v>
      </c>
      <c r="E475" t="s">
        <v>5</v>
      </c>
      <c r="F475">
        <f t="shared" si="7"/>
        <v>3</v>
      </c>
    </row>
    <row r="476" spans="1:6" x14ac:dyDescent="0.25">
      <c r="A476" t="s">
        <v>482</v>
      </c>
      <c r="B476">
        <v>19.5</v>
      </c>
      <c r="C476" t="s">
        <v>9</v>
      </c>
      <c r="D476" t="s">
        <v>5</v>
      </c>
      <c r="E476" t="s">
        <v>5</v>
      </c>
      <c r="F476">
        <f t="shared" si="7"/>
        <v>4</v>
      </c>
    </row>
    <row r="477" spans="1:6" x14ac:dyDescent="0.25">
      <c r="A477" t="s">
        <v>483</v>
      </c>
      <c r="B477">
        <v>18.7</v>
      </c>
      <c r="C477" t="s">
        <v>14</v>
      </c>
      <c r="D477" t="s">
        <v>5</v>
      </c>
      <c r="E477" t="s">
        <v>5</v>
      </c>
      <c r="F477">
        <f t="shared" si="7"/>
        <v>0</v>
      </c>
    </row>
    <row r="478" spans="1:6" x14ac:dyDescent="0.25">
      <c r="A478" t="s">
        <v>484</v>
      </c>
      <c r="B478">
        <v>16.3</v>
      </c>
      <c r="C478" t="s">
        <v>12</v>
      </c>
      <c r="D478" t="s">
        <v>5</v>
      </c>
      <c r="E478" t="s">
        <v>5</v>
      </c>
      <c r="F478">
        <f t="shared" si="7"/>
        <v>0</v>
      </c>
    </row>
    <row r="479" spans="1:6" x14ac:dyDescent="0.25">
      <c r="A479" t="s">
        <v>485</v>
      </c>
      <c r="B479">
        <v>12.7</v>
      </c>
      <c r="C479" t="s">
        <v>14</v>
      </c>
      <c r="D479" t="s">
        <v>5</v>
      </c>
      <c r="E479" t="s">
        <v>5</v>
      </c>
      <c r="F479">
        <f t="shared" si="7"/>
        <v>0</v>
      </c>
    </row>
    <row r="480" spans="1:6" x14ac:dyDescent="0.25">
      <c r="A480" t="s">
        <v>486</v>
      </c>
      <c r="B480">
        <v>8.8000000000000007</v>
      </c>
      <c r="C480" t="s">
        <v>16</v>
      </c>
      <c r="D480" t="s">
        <v>5</v>
      </c>
      <c r="E480" t="s">
        <v>5</v>
      </c>
      <c r="F480">
        <f t="shared" si="7"/>
        <v>0</v>
      </c>
    </row>
    <row r="481" spans="1:6" x14ac:dyDescent="0.25">
      <c r="A481" t="s">
        <v>487</v>
      </c>
      <c r="B481">
        <v>5.3</v>
      </c>
      <c r="C481" t="s">
        <v>9</v>
      </c>
      <c r="D481" t="s">
        <v>5</v>
      </c>
      <c r="E481" t="s">
        <v>5</v>
      </c>
      <c r="F481">
        <f t="shared" si="7"/>
        <v>0</v>
      </c>
    </row>
    <row r="482" spans="1:6" x14ac:dyDescent="0.25">
      <c r="A482" t="s">
        <v>488</v>
      </c>
      <c r="B482">
        <v>3.2</v>
      </c>
      <c r="C482" t="s">
        <v>16</v>
      </c>
      <c r="D482" t="s">
        <v>5</v>
      </c>
      <c r="E482" t="s">
        <v>5</v>
      </c>
      <c r="F482">
        <f t="shared" si="7"/>
        <v>0</v>
      </c>
    </row>
    <row r="483" spans="1:6" x14ac:dyDescent="0.25">
      <c r="A483" t="s">
        <v>489</v>
      </c>
      <c r="B483">
        <v>2.7</v>
      </c>
      <c r="C483" t="s">
        <v>16</v>
      </c>
      <c r="D483" t="s">
        <v>5</v>
      </c>
      <c r="E483" t="s">
        <v>5</v>
      </c>
      <c r="F483">
        <f t="shared" si="7"/>
        <v>0</v>
      </c>
    </row>
    <row r="484" spans="1:6" x14ac:dyDescent="0.25">
      <c r="A484" t="s">
        <v>490</v>
      </c>
      <c r="B484">
        <v>3.9</v>
      </c>
      <c r="C484" t="s">
        <v>15</v>
      </c>
      <c r="D484" t="s">
        <v>5</v>
      </c>
      <c r="E484" t="s">
        <v>5</v>
      </c>
      <c r="F484">
        <f t="shared" si="7"/>
        <v>1</v>
      </c>
    </row>
    <row r="485" spans="1:6" x14ac:dyDescent="0.25">
      <c r="A485" t="s">
        <v>491</v>
      </c>
      <c r="B485">
        <v>6</v>
      </c>
      <c r="C485" t="s">
        <v>27</v>
      </c>
      <c r="D485" t="s">
        <v>5</v>
      </c>
      <c r="E485" t="s">
        <v>5</v>
      </c>
      <c r="F485">
        <f t="shared" si="7"/>
        <v>2</v>
      </c>
    </row>
    <row r="486" spans="1:6" x14ac:dyDescent="0.25">
      <c r="A486" t="s">
        <v>492</v>
      </c>
      <c r="B486">
        <v>8.1999999999999993</v>
      </c>
      <c r="C486" t="s">
        <v>22</v>
      </c>
      <c r="D486" t="s">
        <v>5</v>
      </c>
      <c r="E486" t="s">
        <v>5</v>
      </c>
      <c r="F486">
        <f t="shared" si="7"/>
        <v>3</v>
      </c>
    </row>
    <row r="487" spans="1:6" x14ac:dyDescent="0.25">
      <c r="A487" t="s">
        <v>493</v>
      </c>
      <c r="B487">
        <v>9.6999999999999993</v>
      </c>
      <c r="C487" t="s">
        <v>22</v>
      </c>
      <c r="D487" t="s">
        <v>5</v>
      </c>
      <c r="E487" t="s">
        <v>5</v>
      </c>
      <c r="F487">
        <f t="shared" si="7"/>
        <v>4</v>
      </c>
    </row>
    <row r="488" spans="1:6" x14ac:dyDescent="0.25">
      <c r="A488" t="s">
        <v>494</v>
      </c>
      <c r="B488">
        <v>10</v>
      </c>
      <c r="C488" t="s">
        <v>17</v>
      </c>
      <c r="D488" t="s">
        <v>5</v>
      </c>
      <c r="E488" t="s">
        <v>5</v>
      </c>
      <c r="F488">
        <f t="shared" si="7"/>
        <v>5</v>
      </c>
    </row>
    <row r="489" spans="1:6" x14ac:dyDescent="0.25">
      <c r="A489" t="s">
        <v>495</v>
      </c>
      <c r="B489">
        <v>8.8000000000000007</v>
      </c>
      <c r="C489" t="s">
        <v>26</v>
      </c>
      <c r="D489" t="s">
        <v>5</v>
      </c>
      <c r="E489" t="s">
        <v>5</v>
      </c>
      <c r="F489">
        <f t="shared" si="7"/>
        <v>0</v>
      </c>
    </row>
    <row r="490" spans="1:6" x14ac:dyDescent="0.25">
      <c r="A490" t="s">
        <v>496</v>
      </c>
      <c r="B490">
        <v>6.6</v>
      </c>
      <c r="C490" t="s">
        <v>25</v>
      </c>
      <c r="D490" t="s">
        <v>5</v>
      </c>
      <c r="E490" t="s">
        <v>5</v>
      </c>
      <c r="F490">
        <f t="shared" si="7"/>
        <v>0</v>
      </c>
    </row>
    <row r="491" spans="1:6" x14ac:dyDescent="0.25">
      <c r="A491" t="s">
        <v>497</v>
      </c>
      <c r="B491">
        <v>4.0999999999999996</v>
      </c>
      <c r="C491" t="s">
        <v>5</v>
      </c>
      <c r="D491" t="s">
        <v>5</v>
      </c>
      <c r="E491" t="s">
        <v>5</v>
      </c>
      <c r="F491">
        <f t="shared" si="7"/>
        <v>0</v>
      </c>
    </row>
    <row r="492" spans="1:6" x14ac:dyDescent="0.25">
      <c r="A492" t="s">
        <v>498</v>
      </c>
      <c r="B492">
        <v>2.2000000000000002</v>
      </c>
      <c r="C492" t="s">
        <v>8</v>
      </c>
      <c r="D492" t="s">
        <v>5</v>
      </c>
      <c r="E492" t="s">
        <v>5</v>
      </c>
      <c r="F492">
        <f t="shared" si="7"/>
        <v>0</v>
      </c>
    </row>
    <row r="493" spans="1:6" x14ac:dyDescent="0.25">
      <c r="A493" t="s">
        <v>499</v>
      </c>
      <c r="B493">
        <v>1.6</v>
      </c>
      <c r="C493" t="s">
        <v>11</v>
      </c>
      <c r="D493" t="s">
        <v>5</v>
      </c>
      <c r="E493" t="s">
        <v>5</v>
      </c>
      <c r="F493">
        <f t="shared" si="7"/>
        <v>0</v>
      </c>
    </row>
    <row r="494" spans="1:6" x14ac:dyDescent="0.25">
      <c r="A494" t="s">
        <v>500</v>
      </c>
      <c r="B494">
        <v>2.7</v>
      </c>
      <c r="C494" t="s">
        <v>8</v>
      </c>
      <c r="D494" t="s">
        <v>5</v>
      </c>
      <c r="E494" t="s">
        <v>5</v>
      </c>
      <c r="F494">
        <f t="shared" si="7"/>
        <v>1</v>
      </c>
    </row>
    <row r="495" spans="1:6" x14ac:dyDescent="0.25">
      <c r="A495" t="s">
        <v>501</v>
      </c>
      <c r="B495">
        <v>5.4</v>
      </c>
      <c r="C495" t="s">
        <v>18</v>
      </c>
      <c r="D495" t="s">
        <v>5</v>
      </c>
      <c r="E495" t="s">
        <v>5</v>
      </c>
      <c r="F495">
        <f t="shared" si="7"/>
        <v>2</v>
      </c>
    </row>
    <row r="496" spans="1:6" x14ac:dyDescent="0.25">
      <c r="A496" t="s">
        <v>502</v>
      </c>
      <c r="B496">
        <v>9.1</v>
      </c>
      <c r="C496" t="s">
        <v>17</v>
      </c>
      <c r="D496" t="s">
        <v>5</v>
      </c>
      <c r="E496" t="s">
        <v>5</v>
      </c>
      <c r="F496">
        <f t="shared" si="7"/>
        <v>3</v>
      </c>
    </row>
    <row r="497" spans="1:6" x14ac:dyDescent="0.25">
      <c r="A497" t="s">
        <v>503</v>
      </c>
      <c r="B497">
        <v>12.9</v>
      </c>
      <c r="C497" t="s">
        <v>15</v>
      </c>
      <c r="D497" t="s">
        <v>5</v>
      </c>
      <c r="E497" t="s">
        <v>5</v>
      </c>
      <c r="F497">
        <f t="shared" si="7"/>
        <v>4</v>
      </c>
    </row>
    <row r="498" spans="1:6" x14ac:dyDescent="0.25">
      <c r="A498" t="s">
        <v>504</v>
      </c>
      <c r="B498">
        <v>15.9</v>
      </c>
      <c r="C498" t="s">
        <v>26</v>
      </c>
      <c r="D498" t="s">
        <v>5</v>
      </c>
      <c r="E498" t="s">
        <v>5</v>
      </c>
      <c r="F498">
        <f t="shared" si="7"/>
        <v>5</v>
      </c>
    </row>
    <row r="499" spans="1:6" x14ac:dyDescent="0.25">
      <c r="A499" t="s">
        <v>505</v>
      </c>
      <c r="B499">
        <v>17.5</v>
      </c>
      <c r="C499" t="s">
        <v>20</v>
      </c>
      <c r="D499" t="s">
        <v>5</v>
      </c>
      <c r="E499" t="s">
        <v>5</v>
      </c>
      <c r="F499">
        <f t="shared" si="7"/>
        <v>6</v>
      </c>
    </row>
    <row r="500" spans="1:6" x14ac:dyDescent="0.25">
      <c r="A500" t="s">
        <v>506</v>
      </c>
      <c r="B500">
        <v>17.5</v>
      </c>
      <c r="C500" t="s">
        <v>15</v>
      </c>
      <c r="D500" t="s">
        <v>5</v>
      </c>
      <c r="E500" t="s">
        <v>5</v>
      </c>
      <c r="F500">
        <f t="shared" si="7"/>
        <v>0</v>
      </c>
    </row>
    <row r="501" spans="1:6" x14ac:dyDescent="0.25">
      <c r="A501" t="s">
        <v>507</v>
      </c>
      <c r="B501">
        <v>16.399999999999999</v>
      </c>
      <c r="C501" t="s">
        <v>19</v>
      </c>
      <c r="D501" t="s">
        <v>5</v>
      </c>
      <c r="E501" t="s">
        <v>5</v>
      </c>
      <c r="F501">
        <f t="shared" si="7"/>
        <v>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A1F5-18B9-4431-9D90-551451F14F28}">
  <dimension ref="A1:AD301"/>
  <sheetViews>
    <sheetView zoomScale="115" zoomScaleNormal="115" workbookViewId="0">
      <selection activeCell="M14" sqref="M14"/>
    </sheetView>
  </sheetViews>
  <sheetFormatPr defaultRowHeight="15" x14ac:dyDescent="0.25"/>
  <cols>
    <col min="1" max="1" width="14.85546875" customWidth="1"/>
    <col min="2" max="2" width="14" customWidth="1"/>
    <col min="3" max="3" width="12" customWidth="1"/>
    <col min="4" max="4" width="18.28515625" customWidth="1"/>
    <col min="5" max="5" width="16.5703125" customWidth="1"/>
    <col min="9" max="9" width="13.85546875" customWidth="1"/>
    <col min="10" max="10" width="14.5703125" customWidth="1"/>
    <col min="13" max="13" width="9.42578125" bestFit="1" customWidth="1"/>
  </cols>
  <sheetData>
    <row r="1" spans="1:10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10" x14ac:dyDescent="0.25">
      <c r="A2" s="3">
        <v>1</v>
      </c>
      <c r="B2" s="1">
        <v>19</v>
      </c>
      <c r="C2" s="1">
        <v>0</v>
      </c>
      <c r="D2" s="1" t="s">
        <v>5</v>
      </c>
      <c r="E2" s="4">
        <v>0</v>
      </c>
    </row>
    <row r="3" spans="1:10" x14ac:dyDescent="0.25">
      <c r="A3" s="5">
        <v>2</v>
      </c>
      <c r="B3" s="2">
        <v>22</v>
      </c>
      <c r="C3" s="2">
        <v>1</v>
      </c>
      <c r="D3" s="2" t="s">
        <v>6</v>
      </c>
      <c r="E3" s="6">
        <v>1</v>
      </c>
    </row>
    <row r="4" spans="1:10" x14ac:dyDescent="0.25">
      <c r="A4" s="3">
        <v>3</v>
      </c>
      <c r="B4" s="1">
        <v>23.6</v>
      </c>
      <c r="C4" s="1">
        <v>4</v>
      </c>
      <c r="D4" s="1" t="s">
        <v>6</v>
      </c>
      <c r="E4" s="4">
        <v>1</v>
      </c>
    </row>
    <row r="5" spans="1:10" x14ac:dyDescent="0.25">
      <c r="A5" s="5">
        <v>4</v>
      </c>
      <c r="B5" s="2">
        <v>23.6</v>
      </c>
      <c r="C5" s="2">
        <v>4</v>
      </c>
      <c r="D5" s="2" t="s">
        <v>6</v>
      </c>
      <c r="E5" s="6">
        <v>1</v>
      </c>
    </row>
    <row r="6" spans="1:10" x14ac:dyDescent="0.25">
      <c r="A6" s="3">
        <v>5</v>
      </c>
      <c r="B6" s="1">
        <v>22.3</v>
      </c>
      <c r="C6" s="1">
        <v>10</v>
      </c>
      <c r="D6" s="1" t="s">
        <v>6</v>
      </c>
      <c r="E6" s="4">
        <v>2</v>
      </c>
    </row>
    <row r="7" spans="1:10" x14ac:dyDescent="0.25">
      <c r="A7" s="5">
        <v>6</v>
      </c>
      <c r="B7" s="2">
        <v>20.399999999999999</v>
      </c>
      <c r="C7" s="2">
        <v>8</v>
      </c>
      <c r="D7" s="2" t="s">
        <v>6</v>
      </c>
      <c r="E7" s="6">
        <v>2</v>
      </c>
    </row>
    <row r="8" spans="1:10" x14ac:dyDescent="0.25">
      <c r="A8" s="3">
        <v>7</v>
      </c>
      <c r="B8" s="1">
        <v>18.899999999999999</v>
      </c>
      <c r="C8" s="1">
        <v>10</v>
      </c>
      <c r="D8" s="1" t="s">
        <v>6</v>
      </c>
      <c r="E8" s="4">
        <v>2</v>
      </c>
    </row>
    <row r="9" spans="1:10" x14ac:dyDescent="0.25">
      <c r="A9" s="5">
        <v>8</v>
      </c>
      <c r="B9" s="2">
        <v>18.5</v>
      </c>
      <c r="C9" s="2">
        <v>11</v>
      </c>
      <c r="D9" s="2" t="s">
        <v>6</v>
      </c>
      <c r="E9" s="6">
        <v>3</v>
      </c>
      <c r="I9" t="s">
        <v>520</v>
      </c>
      <c r="J9" t="s">
        <v>519</v>
      </c>
    </row>
    <row r="10" spans="1:10" x14ac:dyDescent="0.25">
      <c r="A10" s="3">
        <v>9</v>
      </c>
      <c r="B10" s="1">
        <v>19.5</v>
      </c>
      <c r="C10" s="1">
        <v>14</v>
      </c>
      <c r="D10" s="1" t="s">
        <v>6</v>
      </c>
      <c r="E10" s="4">
        <v>3</v>
      </c>
      <c r="I10" t="s">
        <v>509</v>
      </c>
      <c r="J10" s="17">
        <f>AVERAGEIFS(C3:C301,D3:D301, "C",E3:E301, 1)</f>
        <v>3.45</v>
      </c>
    </row>
    <row r="11" spans="1:10" x14ac:dyDescent="0.25">
      <c r="A11" s="5">
        <v>10</v>
      </c>
      <c r="B11" s="2">
        <v>21.8</v>
      </c>
      <c r="C11" s="2">
        <v>15</v>
      </c>
      <c r="D11" s="2" t="s">
        <v>6</v>
      </c>
      <c r="E11" s="6">
        <v>3</v>
      </c>
      <c r="I11" t="s">
        <v>510</v>
      </c>
      <c r="J11" s="17">
        <f>AVERAGEIFS(C3:C301,D3:D301, "C",E3:E301, 2)</f>
        <v>7.2820512820512819</v>
      </c>
    </row>
    <row r="12" spans="1:10" x14ac:dyDescent="0.25">
      <c r="A12" s="3">
        <v>11</v>
      </c>
      <c r="B12" s="1">
        <v>24.8</v>
      </c>
      <c r="C12" s="1">
        <v>3</v>
      </c>
      <c r="D12" s="1" t="s">
        <v>6</v>
      </c>
      <c r="E12" s="4">
        <v>4</v>
      </c>
      <c r="I12" t="s">
        <v>511</v>
      </c>
      <c r="J12" s="17">
        <f>AVERAGEIFS(C3:C301,D3:D301, "C",E3:E301, 3)</f>
        <v>9.0512820512820511</v>
      </c>
    </row>
    <row r="13" spans="1:10" x14ac:dyDescent="0.25">
      <c r="A13" s="5">
        <v>12</v>
      </c>
      <c r="B13" s="2">
        <v>27.7</v>
      </c>
      <c r="C13" s="2">
        <v>23</v>
      </c>
      <c r="D13" s="2" t="s">
        <v>6</v>
      </c>
      <c r="E13" s="6">
        <v>4</v>
      </c>
      <c r="I13" t="s">
        <v>512</v>
      </c>
      <c r="J13" s="17">
        <f>AVERAGEIFS(C3:C301,D3:D301, "C",E3:E301, 4)</f>
        <v>11.578947368421053</v>
      </c>
    </row>
    <row r="14" spans="1:10" x14ac:dyDescent="0.25">
      <c r="A14" s="3">
        <v>13</v>
      </c>
      <c r="B14" s="1">
        <v>29.5</v>
      </c>
      <c r="C14" s="1">
        <v>17</v>
      </c>
      <c r="D14" s="1" t="s">
        <v>6</v>
      </c>
      <c r="E14" s="4">
        <v>4</v>
      </c>
      <c r="I14" t="s">
        <v>513</v>
      </c>
      <c r="J14" s="17">
        <f>AVERAGEIFS(C3:C301,D3:D301, "C",E3:E301, 5)</f>
        <v>19.399999999999999</v>
      </c>
    </row>
    <row r="15" spans="1:10" x14ac:dyDescent="0.25">
      <c r="A15" s="5">
        <v>14</v>
      </c>
      <c r="B15" s="2">
        <v>29.8</v>
      </c>
      <c r="C15" s="2">
        <v>15</v>
      </c>
      <c r="D15" s="2" t="s">
        <v>6</v>
      </c>
      <c r="E15" s="6">
        <v>5</v>
      </c>
      <c r="I15" t="s">
        <v>514</v>
      </c>
      <c r="J15" s="17">
        <f>AVERAGEIFS(C3:C301,D3:D301, "S",E3:E301, 1)</f>
        <v>3.7272727272727271</v>
      </c>
    </row>
    <row r="16" spans="1:10" x14ac:dyDescent="0.25">
      <c r="A16" s="3">
        <v>15</v>
      </c>
      <c r="B16" s="1">
        <v>28.3</v>
      </c>
      <c r="C16" s="1">
        <v>22</v>
      </c>
      <c r="D16" s="1" t="s">
        <v>6</v>
      </c>
      <c r="E16" s="4">
        <v>5</v>
      </c>
      <c r="I16" t="s">
        <v>515</v>
      </c>
      <c r="J16" s="17">
        <f>AVERAGEIFS(C3:C301,D3:D301, "S",E3:E301, 2)</f>
        <v>6.5238095238095237</v>
      </c>
    </row>
    <row r="17" spans="1:12" x14ac:dyDescent="0.25">
      <c r="A17" s="5">
        <v>16</v>
      </c>
      <c r="B17" s="2">
        <v>25.5</v>
      </c>
      <c r="C17" s="2">
        <v>0</v>
      </c>
      <c r="D17" s="2" t="s">
        <v>5</v>
      </c>
      <c r="E17" s="6">
        <v>0</v>
      </c>
      <c r="I17" t="s">
        <v>516</v>
      </c>
      <c r="J17" s="17">
        <f>AVERAGEIFS(C3:C301,D3:D301, "S",E3:E301, 3)</f>
        <v>10.285714285714286</v>
      </c>
    </row>
    <row r="18" spans="1:12" x14ac:dyDescent="0.25">
      <c r="A18" s="3">
        <v>17</v>
      </c>
      <c r="B18" s="1">
        <v>22</v>
      </c>
      <c r="C18" s="1">
        <v>2</v>
      </c>
      <c r="D18" s="1" t="s">
        <v>6</v>
      </c>
      <c r="E18" s="4">
        <v>1</v>
      </c>
      <c r="I18" t="s">
        <v>517</v>
      </c>
      <c r="J18" s="17">
        <f>AVERAGEIFS(C3:C301,D3:D301, "S",E3:E301, 4)</f>
        <v>15</v>
      </c>
    </row>
    <row r="19" spans="1:12" x14ac:dyDescent="0.25">
      <c r="A19" s="5">
        <v>18</v>
      </c>
      <c r="B19" s="2">
        <v>18.899999999999999</v>
      </c>
      <c r="C19" s="2">
        <v>1</v>
      </c>
      <c r="D19" s="2" t="s">
        <v>6</v>
      </c>
      <c r="E19" s="6">
        <v>1</v>
      </c>
      <c r="I19" t="s">
        <v>518</v>
      </c>
      <c r="J19" s="17">
        <f>AVERAGEIFS(C3:C301,D3:D301, "S",E3:E301, 5)</f>
        <v>19.642857142857142</v>
      </c>
    </row>
    <row r="20" spans="1:12" x14ac:dyDescent="0.25">
      <c r="A20" s="3">
        <v>19</v>
      </c>
      <c r="B20" s="1">
        <v>16.899999999999999</v>
      </c>
      <c r="C20" s="1">
        <v>1</v>
      </c>
      <c r="D20" s="1" t="s">
        <v>6</v>
      </c>
      <c r="E20" s="4">
        <v>1</v>
      </c>
    </row>
    <row r="21" spans="1:12" x14ac:dyDescent="0.25">
      <c r="A21" s="5">
        <v>20</v>
      </c>
      <c r="B21" s="2">
        <v>16.3</v>
      </c>
      <c r="C21" s="2">
        <v>12</v>
      </c>
      <c r="D21" s="2" t="s">
        <v>6</v>
      </c>
      <c r="E21" s="6">
        <v>2</v>
      </c>
    </row>
    <row r="22" spans="1:12" x14ac:dyDescent="0.25">
      <c r="A22" s="3">
        <v>21</v>
      </c>
      <c r="B22" s="1">
        <v>17.100000000000001</v>
      </c>
      <c r="C22" s="1">
        <v>11</v>
      </c>
      <c r="D22" s="1" t="s">
        <v>6</v>
      </c>
      <c r="E22" s="4">
        <v>2</v>
      </c>
    </row>
    <row r="23" spans="1:12" x14ac:dyDescent="0.25">
      <c r="A23" s="5">
        <v>22</v>
      </c>
      <c r="B23" s="2">
        <v>18.7</v>
      </c>
      <c r="C23" s="2">
        <v>6</v>
      </c>
      <c r="D23" s="2" t="s">
        <v>6</v>
      </c>
      <c r="E23" s="6">
        <v>2</v>
      </c>
    </row>
    <row r="24" spans="1:12" x14ac:dyDescent="0.25">
      <c r="A24" s="3">
        <v>23</v>
      </c>
      <c r="B24" s="1">
        <v>20.2</v>
      </c>
      <c r="C24" s="1">
        <v>18</v>
      </c>
      <c r="D24" s="1" t="s">
        <v>6</v>
      </c>
      <c r="E24" s="4">
        <v>2</v>
      </c>
    </row>
    <row r="25" spans="1:12" x14ac:dyDescent="0.25">
      <c r="A25" s="5">
        <v>24</v>
      </c>
      <c r="B25" s="2">
        <v>20.8</v>
      </c>
      <c r="C25" s="2">
        <v>15</v>
      </c>
      <c r="D25" s="2" t="s">
        <v>6</v>
      </c>
      <c r="E25" s="6">
        <v>3</v>
      </c>
      <c r="L25" s="16"/>
    </row>
    <row r="26" spans="1:12" x14ac:dyDescent="0.25">
      <c r="A26" s="3">
        <v>25</v>
      </c>
      <c r="B26" s="1">
        <v>19.899999999999999</v>
      </c>
      <c r="C26" s="1">
        <v>5</v>
      </c>
      <c r="D26" s="1" t="s">
        <v>6</v>
      </c>
      <c r="E26" s="4">
        <v>3</v>
      </c>
    </row>
    <row r="27" spans="1:12" x14ac:dyDescent="0.25">
      <c r="A27" s="5">
        <v>26</v>
      </c>
      <c r="B27" s="2">
        <v>17.5</v>
      </c>
      <c r="C27" s="2">
        <v>19</v>
      </c>
      <c r="D27" s="2" t="s">
        <v>6</v>
      </c>
      <c r="E27" s="6">
        <v>4</v>
      </c>
    </row>
    <row r="28" spans="1:12" x14ac:dyDescent="0.25">
      <c r="A28" s="3">
        <v>27</v>
      </c>
      <c r="B28" s="1">
        <v>13.9</v>
      </c>
      <c r="C28" s="1">
        <v>18</v>
      </c>
      <c r="D28" s="1" t="s">
        <v>6</v>
      </c>
      <c r="E28" s="4">
        <v>4</v>
      </c>
    </row>
    <row r="29" spans="1:12" x14ac:dyDescent="0.25">
      <c r="A29" s="5">
        <v>28</v>
      </c>
      <c r="B29" s="2">
        <v>9.9</v>
      </c>
      <c r="C29" s="2">
        <v>4</v>
      </c>
      <c r="D29" s="2" t="s">
        <v>6</v>
      </c>
      <c r="E29" s="6">
        <v>4</v>
      </c>
    </row>
    <row r="30" spans="1:12" x14ac:dyDescent="0.25">
      <c r="A30" s="3">
        <v>29</v>
      </c>
      <c r="B30" s="1">
        <v>6.4</v>
      </c>
      <c r="C30" s="1">
        <v>17</v>
      </c>
      <c r="D30" s="1" t="s">
        <v>6</v>
      </c>
      <c r="E30" s="4">
        <v>5</v>
      </c>
    </row>
    <row r="31" spans="1:12" x14ac:dyDescent="0.25">
      <c r="A31" s="5">
        <v>30</v>
      </c>
      <c r="B31" s="2">
        <v>4.2</v>
      </c>
      <c r="C31" s="2">
        <v>14</v>
      </c>
      <c r="D31" s="2" t="s">
        <v>6</v>
      </c>
      <c r="E31" s="6">
        <v>5</v>
      </c>
    </row>
    <row r="32" spans="1:12" x14ac:dyDescent="0.25">
      <c r="A32" s="3">
        <v>31</v>
      </c>
      <c r="B32" s="1">
        <v>3.6</v>
      </c>
      <c r="C32" s="1">
        <v>12</v>
      </c>
      <c r="D32" s="1" t="s">
        <v>6</v>
      </c>
      <c r="E32" s="4">
        <v>5</v>
      </c>
    </row>
    <row r="33" spans="1:5" x14ac:dyDescent="0.25">
      <c r="A33" s="5">
        <v>32</v>
      </c>
      <c r="B33" s="2">
        <v>4.5999999999999996</v>
      </c>
      <c r="C33" s="2">
        <v>11</v>
      </c>
      <c r="D33" s="2" t="s">
        <v>6</v>
      </c>
      <c r="E33" s="6">
        <v>5</v>
      </c>
    </row>
    <row r="34" spans="1:5" x14ac:dyDescent="0.25">
      <c r="A34" s="3">
        <v>33</v>
      </c>
      <c r="B34" s="1">
        <v>6.6</v>
      </c>
      <c r="C34" s="1">
        <v>17</v>
      </c>
      <c r="D34" s="1" t="s">
        <v>6</v>
      </c>
      <c r="E34" s="4">
        <v>5</v>
      </c>
    </row>
    <row r="35" spans="1:5" x14ac:dyDescent="0.25">
      <c r="A35" s="5">
        <v>34</v>
      </c>
      <c r="B35" s="2">
        <v>8.6999999999999993</v>
      </c>
      <c r="C35" s="2">
        <v>26</v>
      </c>
      <c r="D35" s="2" t="s">
        <v>6</v>
      </c>
      <c r="E35" s="6">
        <v>5</v>
      </c>
    </row>
    <row r="36" spans="1:5" x14ac:dyDescent="0.25">
      <c r="A36" s="3">
        <v>35</v>
      </c>
      <c r="B36" s="1">
        <v>10</v>
      </c>
      <c r="C36" s="1">
        <v>0</v>
      </c>
      <c r="D36" s="1" t="s">
        <v>5</v>
      </c>
      <c r="E36" s="4">
        <v>0</v>
      </c>
    </row>
    <row r="37" spans="1:5" x14ac:dyDescent="0.25">
      <c r="A37" s="5">
        <v>36</v>
      </c>
      <c r="B37" s="2">
        <v>10.1</v>
      </c>
      <c r="C37" s="2">
        <v>3</v>
      </c>
      <c r="D37" s="2" t="s">
        <v>6</v>
      </c>
      <c r="E37" s="6">
        <v>1</v>
      </c>
    </row>
    <row r="38" spans="1:5" x14ac:dyDescent="0.25">
      <c r="A38" s="3">
        <v>37</v>
      </c>
      <c r="B38" s="1">
        <v>8.8000000000000007</v>
      </c>
      <c r="C38" s="1">
        <v>3</v>
      </c>
      <c r="D38" s="1" t="s">
        <v>6</v>
      </c>
      <c r="E38" s="4">
        <v>1</v>
      </c>
    </row>
    <row r="39" spans="1:5" x14ac:dyDescent="0.25">
      <c r="A39" s="5">
        <v>38</v>
      </c>
      <c r="B39" s="2">
        <v>6.4</v>
      </c>
      <c r="C39" s="2">
        <v>5</v>
      </c>
      <c r="D39" s="2" t="s">
        <v>6</v>
      </c>
      <c r="E39" s="6">
        <v>1</v>
      </c>
    </row>
    <row r="40" spans="1:5" x14ac:dyDescent="0.25">
      <c r="A40" s="3">
        <v>39</v>
      </c>
      <c r="B40" s="1">
        <v>3.8</v>
      </c>
      <c r="C40" s="1">
        <v>11</v>
      </c>
      <c r="D40" s="1" t="s">
        <v>6</v>
      </c>
      <c r="E40" s="4">
        <v>2</v>
      </c>
    </row>
    <row r="41" spans="1:5" x14ac:dyDescent="0.25">
      <c r="A41" s="5">
        <v>40</v>
      </c>
      <c r="B41" s="2">
        <v>1.7</v>
      </c>
      <c r="C41" s="2">
        <v>6</v>
      </c>
      <c r="D41" s="2" t="s">
        <v>6</v>
      </c>
      <c r="E41" s="6">
        <v>2</v>
      </c>
    </row>
    <row r="42" spans="1:5" x14ac:dyDescent="0.25">
      <c r="A42" s="3">
        <v>41</v>
      </c>
      <c r="B42" s="1">
        <v>1</v>
      </c>
      <c r="C42" s="1">
        <v>3</v>
      </c>
      <c r="D42" s="1" t="s">
        <v>6</v>
      </c>
      <c r="E42" s="4">
        <v>2</v>
      </c>
    </row>
    <row r="43" spans="1:5" x14ac:dyDescent="0.25">
      <c r="A43" s="5">
        <v>42</v>
      </c>
      <c r="B43" s="2">
        <v>2</v>
      </c>
      <c r="C43" s="2">
        <v>17</v>
      </c>
      <c r="D43" s="2" t="s">
        <v>6</v>
      </c>
      <c r="E43" s="6">
        <v>3</v>
      </c>
    </row>
    <row r="44" spans="1:5" x14ac:dyDescent="0.25">
      <c r="A44" s="3">
        <v>43</v>
      </c>
      <c r="B44" s="1">
        <v>4.5999999999999996</v>
      </c>
      <c r="C44" s="1">
        <v>5</v>
      </c>
      <c r="D44" s="1" t="s">
        <v>6</v>
      </c>
      <c r="E44" s="4">
        <v>3</v>
      </c>
    </row>
    <row r="45" spans="1:5" x14ac:dyDescent="0.25">
      <c r="A45" s="5">
        <v>44</v>
      </c>
      <c r="B45" s="2">
        <v>8.1999999999999993</v>
      </c>
      <c r="C45" s="2">
        <v>8</v>
      </c>
      <c r="D45" s="2" t="s">
        <v>6</v>
      </c>
      <c r="E45" s="6">
        <v>3</v>
      </c>
    </row>
    <row r="46" spans="1:5" x14ac:dyDescent="0.25">
      <c r="A46" s="3">
        <v>45</v>
      </c>
      <c r="B46" s="1">
        <v>11.8</v>
      </c>
      <c r="C46" s="1">
        <v>2</v>
      </c>
      <c r="D46" s="1" t="s">
        <v>6</v>
      </c>
      <c r="E46" s="4">
        <v>4</v>
      </c>
    </row>
    <row r="47" spans="1:5" x14ac:dyDescent="0.25">
      <c r="A47" s="5">
        <v>46</v>
      </c>
      <c r="B47" s="2">
        <v>14.7</v>
      </c>
      <c r="C47" s="2">
        <v>1</v>
      </c>
      <c r="D47" s="2" t="s">
        <v>6</v>
      </c>
      <c r="E47" s="6">
        <v>4</v>
      </c>
    </row>
    <row r="48" spans="1:5" x14ac:dyDescent="0.25">
      <c r="A48" s="3">
        <v>47</v>
      </c>
      <c r="B48" s="1">
        <v>16.3</v>
      </c>
      <c r="C48" s="1">
        <v>11</v>
      </c>
      <c r="D48" s="1" t="s">
        <v>6</v>
      </c>
      <c r="E48" s="4">
        <v>4</v>
      </c>
    </row>
    <row r="49" spans="1:5" x14ac:dyDescent="0.25">
      <c r="A49" s="5">
        <v>48</v>
      </c>
      <c r="B49" s="2">
        <v>16.3</v>
      </c>
      <c r="C49" s="2">
        <v>25</v>
      </c>
      <c r="D49" s="2" t="s">
        <v>6</v>
      </c>
      <c r="E49" s="6">
        <v>5</v>
      </c>
    </row>
    <row r="50" spans="1:5" x14ac:dyDescent="0.25">
      <c r="A50" s="3">
        <v>49</v>
      </c>
      <c r="B50" s="1">
        <v>15.2</v>
      </c>
      <c r="C50" s="1">
        <v>0</v>
      </c>
      <c r="D50" s="1" t="s">
        <v>5</v>
      </c>
      <c r="E50" s="4">
        <v>0</v>
      </c>
    </row>
    <row r="51" spans="1:5" x14ac:dyDescent="0.25">
      <c r="A51" s="5">
        <v>50</v>
      </c>
      <c r="B51" s="2">
        <v>13.6</v>
      </c>
      <c r="C51" s="2">
        <v>2</v>
      </c>
      <c r="D51" s="2" t="s">
        <v>6</v>
      </c>
      <c r="E51" s="6">
        <v>1</v>
      </c>
    </row>
    <row r="52" spans="1:5" x14ac:dyDescent="0.25">
      <c r="A52" s="3">
        <v>51</v>
      </c>
      <c r="B52" s="1">
        <v>12.5</v>
      </c>
      <c r="C52" s="1">
        <v>3</v>
      </c>
      <c r="D52" s="1" t="s">
        <v>6</v>
      </c>
      <c r="E52" s="4">
        <v>1</v>
      </c>
    </row>
    <row r="53" spans="1:5" x14ac:dyDescent="0.25">
      <c r="A53" s="5">
        <v>52</v>
      </c>
      <c r="B53" s="2">
        <v>12.5</v>
      </c>
      <c r="C53" s="2">
        <v>2</v>
      </c>
      <c r="D53" s="2" t="s">
        <v>6</v>
      </c>
      <c r="E53" s="6">
        <v>1</v>
      </c>
    </row>
    <row r="54" spans="1:5" x14ac:dyDescent="0.25">
      <c r="A54" s="3">
        <v>53</v>
      </c>
      <c r="B54" s="1">
        <v>14.1</v>
      </c>
      <c r="C54" s="1">
        <v>4</v>
      </c>
      <c r="D54" s="1" t="s">
        <v>6</v>
      </c>
      <c r="E54" s="4">
        <v>2</v>
      </c>
    </row>
    <row r="55" spans="1:5" x14ac:dyDescent="0.25">
      <c r="A55" s="5">
        <v>54</v>
      </c>
      <c r="B55" s="2">
        <v>17.100000000000001</v>
      </c>
      <c r="C55" s="2">
        <v>5</v>
      </c>
      <c r="D55" s="2" t="s">
        <v>6</v>
      </c>
      <c r="E55" s="6">
        <v>2</v>
      </c>
    </row>
    <row r="56" spans="1:5" x14ac:dyDescent="0.25">
      <c r="A56" s="3">
        <v>55</v>
      </c>
      <c r="B56" s="1">
        <v>20.9</v>
      </c>
      <c r="C56" s="1">
        <v>9</v>
      </c>
      <c r="D56" s="1" t="s">
        <v>6</v>
      </c>
      <c r="E56" s="4">
        <v>2</v>
      </c>
    </row>
    <row r="57" spans="1:5" x14ac:dyDescent="0.25">
      <c r="A57" s="5">
        <v>56</v>
      </c>
      <c r="B57" s="2">
        <v>24.5</v>
      </c>
      <c r="C57" s="2">
        <v>2</v>
      </c>
      <c r="D57" s="2" t="s">
        <v>6</v>
      </c>
      <c r="E57" s="6">
        <v>3</v>
      </c>
    </row>
    <row r="58" spans="1:5" x14ac:dyDescent="0.25">
      <c r="A58" s="3">
        <v>57</v>
      </c>
      <c r="B58" s="1">
        <v>27.3</v>
      </c>
      <c r="C58" s="1">
        <v>16</v>
      </c>
      <c r="D58" s="1" t="s">
        <v>6</v>
      </c>
      <c r="E58" s="4">
        <v>3</v>
      </c>
    </row>
    <row r="59" spans="1:5" x14ac:dyDescent="0.25">
      <c r="A59" s="5">
        <v>58</v>
      </c>
      <c r="B59" s="2">
        <v>28.4</v>
      </c>
      <c r="C59" s="2">
        <v>14</v>
      </c>
      <c r="D59" s="2" t="s">
        <v>6</v>
      </c>
      <c r="E59" s="6">
        <v>3</v>
      </c>
    </row>
    <row r="60" spans="1:5" x14ac:dyDescent="0.25">
      <c r="A60" s="3">
        <v>59</v>
      </c>
      <c r="B60" s="1">
        <v>27.8</v>
      </c>
      <c r="C60" s="1">
        <v>14</v>
      </c>
      <c r="D60" s="1" t="s">
        <v>6</v>
      </c>
      <c r="E60" s="4">
        <v>3</v>
      </c>
    </row>
    <row r="61" spans="1:5" x14ac:dyDescent="0.25">
      <c r="A61" s="5">
        <v>60</v>
      </c>
      <c r="B61" s="2">
        <v>25.9</v>
      </c>
      <c r="C61" s="2">
        <v>6</v>
      </c>
      <c r="D61" s="2" t="s">
        <v>6</v>
      </c>
      <c r="E61" s="6">
        <v>4</v>
      </c>
    </row>
    <row r="62" spans="1:5" x14ac:dyDescent="0.25">
      <c r="A62" s="3">
        <v>61</v>
      </c>
      <c r="B62" s="1">
        <v>23.4</v>
      </c>
      <c r="C62" s="1">
        <v>21</v>
      </c>
      <c r="D62" s="1" t="s">
        <v>6</v>
      </c>
      <c r="E62" s="4">
        <v>4</v>
      </c>
    </row>
    <row r="63" spans="1:5" x14ac:dyDescent="0.25">
      <c r="A63" s="5">
        <v>62</v>
      </c>
      <c r="B63" s="2">
        <v>21.2</v>
      </c>
      <c r="C63" s="2">
        <v>21</v>
      </c>
      <c r="D63" s="2" t="s">
        <v>6</v>
      </c>
      <c r="E63" s="6">
        <v>5</v>
      </c>
    </row>
    <row r="64" spans="1:5" x14ac:dyDescent="0.25">
      <c r="A64" s="3">
        <v>63</v>
      </c>
      <c r="B64" s="1">
        <v>20</v>
      </c>
      <c r="C64" s="1">
        <v>0</v>
      </c>
      <c r="D64" s="1" t="s">
        <v>5</v>
      </c>
      <c r="E64" s="4">
        <v>0</v>
      </c>
    </row>
    <row r="65" spans="1:5" x14ac:dyDescent="0.25">
      <c r="A65" s="5">
        <v>64</v>
      </c>
      <c r="B65" s="2">
        <v>20.3</v>
      </c>
      <c r="C65" s="2">
        <v>4</v>
      </c>
      <c r="D65" s="2" t="s">
        <v>6</v>
      </c>
      <c r="E65" s="6">
        <v>1</v>
      </c>
    </row>
    <row r="66" spans="1:5" x14ac:dyDescent="0.25">
      <c r="A66" s="3">
        <v>65</v>
      </c>
      <c r="B66" s="1">
        <v>21.8</v>
      </c>
      <c r="C66" s="1">
        <v>6</v>
      </c>
      <c r="D66" s="1" t="s">
        <v>6</v>
      </c>
      <c r="E66" s="4">
        <v>1</v>
      </c>
    </row>
    <row r="67" spans="1:5" x14ac:dyDescent="0.25">
      <c r="A67" s="5">
        <v>66</v>
      </c>
      <c r="B67" s="2">
        <v>24</v>
      </c>
      <c r="C67" s="2">
        <v>3</v>
      </c>
      <c r="D67" s="2" t="s">
        <v>6</v>
      </c>
      <c r="E67" s="6">
        <v>1</v>
      </c>
    </row>
    <row r="68" spans="1:5" x14ac:dyDescent="0.25">
      <c r="A68" s="3">
        <v>67</v>
      </c>
      <c r="B68" s="1">
        <v>26.1</v>
      </c>
      <c r="C68" s="1">
        <v>7</v>
      </c>
      <c r="D68" s="1" t="s">
        <v>6</v>
      </c>
      <c r="E68" s="4">
        <v>2</v>
      </c>
    </row>
    <row r="69" spans="1:5" x14ac:dyDescent="0.25">
      <c r="A69" s="5">
        <v>68</v>
      </c>
      <c r="B69" s="2">
        <v>27.3</v>
      </c>
      <c r="C69" s="2">
        <v>6</v>
      </c>
      <c r="D69" s="2" t="s">
        <v>6</v>
      </c>
      <c r="E69" s="6">
        <v>2</v>
      </c>
    </row>
    <row r="70" spans="1:5" x14ac:dyDescent="0.25">
      <c r="A70" s="3">
        <v>69</v>
      </c>
      <c r="B70" s="1">
        <v>26.8</v>
      </c>
      <c r="C70" s="1">
        <v>8</v>
      </c>
      <c r="D70" s="1" t="s">
        <v>6</v>
      </c>
      <c r="E70" s="4">
        <v>2</v>
      </c>
    </row>
    <row r="71" spans="1:5" x14ac:dyDescent="0.25">
      <c r="A71" s="5">
        <v>70</v>
      </c>
      <c r="B71" s="2">
        <v>24.7</v>
      </c>
      <c r="C71" s="2">
        <v>3</v>
      </c>
      <c r="D71" s="2" t="s">
        <v>6</v>
      </c>
      <c r="E71" s="6">
        <v>3</v>
      </c>
    </row>
    <row r="72" spans="1:5" x14ac:dyDescent="0.25">
      <c r="A72" s="3">
        <v>71</v>
      </c>
      <c r="B72" s="1">
        <v>21.2</v>
      </c>
      <c r="C72" s="1">
        <v>16</v>
      </c>
      <c r="D72" s="1" t="s">
        <v>6</v>
      </c>
      <c r="E72" s="4">
        <v>3</v>
      </c>
    </row>
    <row r="73" spans="1:5" x14ac:dyDescent="0.25">
      <c r="A73" s="5">
        <v>72</v>
      </c>
      <c r="B73" s="2">
        <v>17.3</v>
      </c>
      <c r="C73" s="2">
        <v>8</v>
      </c>
      <c r="D73" s="2" t="s">
        <v>6</v>
      </c>
      <c r="E73" s="6">
        <v>3</v>
      </c>
    </row>
    <row r="74" spans="1:5" x14ac:dyDescent="0.25">
      <c r="A74" s="3">
        <v>73</v>
      </c>
      <c r="B74" s="1">
        <v>13.7</v>
      </c>
      <c r="C74" s="1">
        <v>19</v>
      </c>
      <c r="D74" s="1" t="s">
        <v>6</v>
      </c>
      <c r="E74" s="4">
        <v>4</v>
      </c>
    </row>
    <row r="75" spans="1:5" x14ac:dyDescent="0.25">
      <c r="A75" s="5">
        <v>74</v>
      </c>
      <c r="B75" s="2">
        <v>11.3</v>
      </c>
      <c r="C75" s="2">
        <v>5</v>
      </c>
      <c r="D75" s="2" t="s">
        <v>6</v>
      </c>
      <c r="E75" s="6">
        <v>4</v>
      </c>
    </row>
    <row r="76" spans="1:5" x14ac:dyDescent="0.25">
      <c r="A76" s="3">
        <v>75</v>
      </c>
      <c r="B76" s="1">
        <v>10.5</v>
      </c>
      <c r="C76" s="1">
        <v>2</v>
      </c>
      <c r="D76" s="1" t="s">
        <v>6</v>
      </c>
      <c r="E76" s="4">
        <v>4</v>
      </c>
    </row>
    <row r="77" spans="1:5" x14ac:dyDescent="0.25">
      <c r="A77" s="5">
        <v>76</v>
      </c>
      <c r="B77" s="2">
        <v>11</v>
      </c>
      <c r="C77" s="2">
        <v>22</v>
      </c>
      <c r="D77" s="2" t="s">
        <v>6</v>
      </c>
      <c r="E77" s="6">
        <v>5</v>
      </c>
    </row>
    <row r="78" spans="1:5" x14ac:dyDescent="0.25">
      <c r="A78" s="3">
        <v>77</v>
      </c>
      <c r="B78" s="1">
        <v>12.5</v>
      </c>
      <c r="C78" s="1">
        <v>0</v>
      </c>
      <c r="D78" s="1" t="s">
        <v>5</v>
      </c>
      <c r="E78" s="4">
        <v>0</v>
      </c>
    </row>
    <row r="79" spans="1:5" x14ac:dyDescent="0.25">
      <c r="A79" s="5">
        <v>78</v>
      </c>
      <c r="B79" s="2">
        <v>14</v>
      </c>
      <c r="C79" s="2">
        <v>2</v>
      </c>
      <c r="D79" s="2" t="s">
        <v>6</v>
      </c>
      <c r="E79" s="6">
        <v>1</v>
      </c>
    </row>
    <row r="80" spans="1:5" x14ac:dyDescent="0.25">
      <c r="A80" s="3">
        <v>79</v>
      </c>
      <c r="B80" s="1">
        <v>14.7</v>
      </c>
      <c r="C80" s="1">
        <v>4</v>
      </c>
      <c r="D80" s="1" t="s">
        <v>6</v>
      </c>
      <c r="E80" s="4">
        <v>1</v>
      </c>
    </row>
    <row r="81" spans="1:5" x14ac:dyDescent="0.25">
      <c r="A81" s="5">
        <v>80</v>
      </c>
      <c r="B81" s="2">
        <v>14.1</v>
      </c>
      <c r="C81" s="2">
        <v>5</v>
      </c>
      <c r="D81" s="2" t="s">
        <v>7</v>
      </c>
      <c r="E81" s="6">
        <v>1</v>
      </c>
    </row>
    <row r="82" spans="1:5" x14ac:dyDescent="0.25">
      <c r="A82" s="3">
        <v>81</v>
      </c>
      <c r="B82" s="1">
        <v>11.9</v>
      </c>
      <c r="C82" s="1">
        <v>8</v>
      </c>
      <c r="D82" s="1" t="s">
        <v>6</v>
      </c>
      <c r="E82" s="4">
        <v>2</v>
      </c>
    </row>
    <row r="83" spans="1:5" x14ac:dyDescent="0.25">
      <c r="A83" s="5">
        <v>82</v>
      </c>
      <c r="B83" s="2">
        <v>8.6999999999999993</v>
      </c>
      <c r="C83" s="2">
        <v>6</v>
      </c>
      <c r="D83" s="2" t="s">
        <v>6</v>
      </c>
      <c r="E83" s="6">
        <v>2</v>
      </c>
    </row>
    <row r="84" spans="1:5" x14ac:dyDescent="0.25">
      <c r="A84" s="3">
        <v>83</v>
      </c>
      <c r="B84" s="1">
        <v>5.0999999999999996</v>
      </c>
      <c r="C84" s="1">
        <v>3</v>
      </c>
      <c r="D84" s="1" t="s">
        <v>6</v>
      </c>
      <c r="E84" s="4">
        <v>2</v>
      </c>
    </row>
    <row r="85" spans="1:5" x14ac:dyDescent="0.25">
      <c r="A85" s="5">
        <v>84</v>
      </c>
      <c r="B85" s="2">
        <v>2.2000000000000002</v>
      </c>
      <c r="C85" s="2">
        <v>1</v>
      </c>
      <c r="D85" s="2" t="s">
        <v>6</v>
      </c>
      <c r="E85" s="6">
        <v>3</v>
      </c>
    </row>
    <row r="86" spans="1:5" x14ac:dyDescent="0.25">
      <c r="A86" s="3">
        <v>85</v>
      </c>
      <c r="B86" s="1">
        <v>0.5</v>
      </c>
      <c r="C86" s="1">
        <v>5</v>
      </c>
      <c r="D86" s="1" t="s">
        <v>6</v>
      </c>
      <c r="E86" s="4">
        <v>3</v>
      </c>
    </row>
    <row r="87" spans="1:5" x14ac:dyDescent="0.25">
      <c r="A87" s="5">
        <v>86</v>
      </c>
      <c r="B87" s="2">
        <v>0.6</v>
      </c>
      <c r="C87" s="2">
        <v>13</v>
      </c>
      <c r="D87" s="2" t="s">
        <v>6</v>
      </c>
      <c r="E87" s="6">
        <v>3</v>
      </c>
    </row>
    <row r="88" spans="1:5" x14ac:dyDescent="0.25">
      <c r="A88" s="3">
        <v>87</v>
      </c>
      <c r="B88" s="1">
        <v>2.2999999999999998</v>
      </c>
      <c r="C88" s="1">
        <v>4</v>
      </c>
      <c r="D88" s="1" t="s">
        <v>6</v>
      </c>
      <c r="E88" s="4">
        <v>4</v>
      </c>
    </row>
    <row r="89" spans="1:5" x14ac:dyDescent="0.25">
      <c r="A89" s="5">
        <v>88</v>
      </c>
      <c r="B89" s="2">
        <v>5</v>
      </c>
      <c r="C89" s="2">
        <v>9</v>
      </c>
      <c r="D89" s="2" t="s">
        <v>6</v>
      </c>
      <c r="E89" s="6">
        <v>4</v>
      </c>
    </row>
    <row r="90" spans="1:5" x14ac:dyDescent="0.25">
      <c r="A90" s="3">
        <v>89</v>
      </c>
      <c r="B90" s="1">
        <v>7.9</v>
      </c>
      <c r="C90" s="1">
        <v>24</v>
      </c>
      <c r="D90" s="1" t="s">
        <v>6</v>
      </c>
      <c r="E90" s="4">
        <v>4</v>
      </c>
    </row>
    <row r="91" spans="1:5" x14ac:dyDescent="0.25">
      <c r="A91" s="5">
        <v>90</v>
      </c>
      <c r="B91" s="2">
        <v>10</v>
      </c>
      <c r="C91" s="2">
        <v>15</v>
      </c>
      <c r="D91" s="2" t="s">
        <v>6</v>
      </c>
      <c r="E91" s="6">
        <v>5</v>
      </c>
    </row>
    <row r="92" spans="1:5" x14ac:dyDescent="0.25">
      <c r="A92" s="3">
        <v>91</v>
      </c>
      <c r="B92" s="1">
        <v>10.9</v>
      </c>
      <c r="C92" s="1">
        <v>29</v>
      </c>
      <c r="D92" s="1" t="s">
        <v>6</v>
      </c>
      <c r="E92" s="4">
        <v>5</v>
      </c>
    </row>
    <row r="93" spans="1:5" x14ac:dyDescent="0.25">
      <c r="A93" s="5">
        <v>92</v>
      </c>
      <c r="B93" s="2">
        <v>10.3</v>
      </c>
      <c r="C93" s="2">
        <v>0</v>
      </c>
      <c r="D93" s="2" t="s">
        <v>5</v>
      </c>
      <c r="E93" s="6">
        <v>0</v>
      </c>
    </row>
    <row r="94" spans="1:5" x14ac:dyDescent="0.25">
      <c r="A94" s="3">
        <v>93</v>
      </c>
      <c r="B94" s="1">
        <v>8.6999999999999993</v>
      </c>
      <c r="C94" s="1">
        <v>1</v>
      </c>
      <c r="D94" s="1" t="s">
        <v>7</v>
      </c>
      <c r="E94" s="4">
        <v>1</v>
      </c>
    </row>
    <row r="95" spans="1:5" x14ac:dyDescent="0.25">
      <c r="A95" s="5">
        <v>94</v>
      </c>
      <c r="B95" s="2">
        <v>6.7</v>
      </c>
      <c r="C95" s="2">
        <v>3</v>
      </c>
      <c r="D95" s="2" t="s">
        <v>7</v>
      </c>
      <c r="E95" s="6">
        <v>1</v>
      </c>
    </row>
    <row r="96" spans="1:5" x14ac:dyDescent="0.25">
      <c r="A96" s="3">
        <v>95</v>
      </c>
      <c r="B96" s="1">
        <v>5.3</v>
      </c>
      <c r="C96" s="1">
        <v>6</v>
      </c>
      <c r="D96" s="1" t="s">
        <v>7</v>
      </c>
      <c r="E96" s="4">
        <v>1</v>
      </c>
    </row>
    <row r="97" spans="1:5" x14ac:dyDescent="0.25">
      <c r="A97" s="5">
        <v>96</v>
      </c>
      <c r="B97" s="2">
        <v>5.2</v>
      </c>
      <c r="C97" s="2">
        <v>3</v>
      </c>
      <c r="D97" s="2" t="s">
        <v>7</v>
      </c>
      <c r="E97" s="6">
        <v>2</v>
      </c>
    </row>
    <row r="98" spans="1:5" x14ac:dyDescent="0.25">
      <c r="A98" s="3">
        <v>97</v>
      </c>
      <c r="B98" s="1">
        <v>6.8</v>
      </c>
      <c r="C98" s="1">
        <v>2</v>
      </c>
      <c r="D98" s="1" t="s">
        <v>7</v>
      </c>
      <c r="E98" s="4">
        <v>2</v>
      </c>
    </row>
    <row r="99" spans="1:5" x14ac:dyDescent="0.25">
      <c r="A99" s="5">
        <v>98</v>
      </c>
      <c r="B99" s="2">
        <v>9.8000000000000007</v>
      </c>
      <c r="C99" s="2">
        <v>11</v>
      </c>
      <c r="D99" s="2" t="s">
        <v>7</v>
      </c>
      <c r="E99" s="6">
        <v>2</v>
      </c>
    </row>
    <row r="100" spans="1:5" x14ac:dyDescent="0.25">
      <c r="A100" s="3">
        <v>99</v>
      </c>
      <c r="B100" s="1">
        <v>13.7</v>
      </c>
      <c r="C100" s="1">
        <v>8</v>
      </c>
      <c r="D100" s="1" t="s">
        <v>7</v>
      </c>
      <c r="E100" s="4">
        <v>3</v>
      </c>
    </row>
    <row r="101" spans="1:5" x14ac:dyDescent="0.25">
      <c r="A101" s="5">
        <v>100</v>
      </c>
      <c r="B101" s="2">
        <v>17.7</v>
      </c>
      <c r="C101" s="2">
        <v>6</v>
      </c>
      <c r="D101" s="2" t="s">
        <v>7</v>
      </c>
      <c r="E101" s="6">
        <v>3</v>
      </c>
    </row>
    <row r="102" spans="1:5" x14ac:dyDescent="0.25">
      <c r="A102" s="3">
        <v>101</v>
      </c>
      <c r="B102" s="1">
        <v>20.8</v>
      </c>
      <c r="C102" s="1">
        <v>5</v>
      </c>
      <c r="D102" s="1" t="s">
        <v>7</v>
      </c>
      <c r="E102" s="4">
        <v>3</v>
      </c>
    </row>
    <row r="103" spans="1:5" x14ac:dyDescent="0.25">
      <c r="A103" s="5">
        <v>102</v>
      </c>
      <c r="B103" s="2">
        <v>22.4</v>
      </c>
      <c r="C103" s="2">
        <v>20</v>
      </c>
      <c r="D103" s="2" t="s">
        <v>7</v>
      </c>
      <c r="E103" s="6">
        <v>4</v>
      </c>
    </row>
    <row r="104" spans="1:5" x14ac:dyDescent="0.25">
      <c r="A104" s="3">
        <v>103</v>
      </c>
      <c r="B104" s="1">
        <v>22.5</v>
      </c>
      <c r="C104" s="1">
        <v>17</v>
      </c>
      <c r="D104" s="1" t="s">
        <v>7</v>
      </c>
      <c r="E104" s="4">
        <v>4</v>
      </c>
    </row>
    <row r="105" spans="1:5" x14ac:dyDescent="0.25">
      <c r="A105" s="5">
        <v>104</v>
      </c>
      <c r="B105" s="2">
        <v>21.2</v>
      </c>
      <c r="C105" s="2">
        <v>11</v>
      </c>
      <c r="D105" s="2" t="s">
        <v>7</v>
      </c>
      <c r="E105" s="6">
        <v>4</v>
      </c>
    </row>
    <row r="106" spans="1:5" x14ac:dyDescent="0.25">
      <c r="A106" s="3">
        <v>105</v>
      </c>
      <c r="B106" s="1">
        <v>19.5</v>
      </c>
      <c r="C106" s="1">
        <v>27</v>
      </c>
      <c r="D106" s="1" t="s">
        <v>7</v>
      </c>
      <c r="E106" s="4">
        <v>5</v>
      </c>
    </row>
    <row r="107" spans="1:5" x14ac:dyDescent="0.25">
      <c r="A107" s="5">
        <v>106</v>
      </c>
      <c r="B107" s="2">
        <v>18.100000000000001</v>
      </c>
      <c r="C107" s="2">
        <v>0</v>
      </c>
      <c r="D107" s="2" t="s">
        <v>5</v>
      </c>
      <c r="E107" s="6">
        <v>0</v>
      </c>
    </row>
    <row r="108" spans="1:5" x14ac:dyDescent="0.25">
      <c r="A108" s="3">
        <v>107</v>
      </c>
      <c r="B108" s="1">
        <v>17.8</v>
      </c>
      <c r="C108" s="1">
        <v>5</v>
      </c>
      <c r="D108" s="1" t="s">
        <v>6</v>
      </c>
      <c r="E108" s="4">
        <v>1</v>
      </c>
    </row>
    <row r="109" spans="1:5" x14ac:dyDescent="0.25">
      <c r="A109" s="5">
        <v>108</v>
      </c>
      <c r="B109" s="2">
        <v>18.899999999999999</v>
      </c>
      <c r="C109" s="2">
        <v>3</v>
      </c>
      <c r="D109" s="2" t="s">
        <v>6</v>
      </c>
      <c r="E109" s="6">
        <v>1</v>
      </c>
    </row>
    <row r="110" spans="1:5" x14ac:dyDescent="0.25">
      <c r="A110" s="3">
        <v>109</v>
      </c>
      <c r="B110" s="1">
        <v>21.3</v>
      </c>
      <c r="C110" s="1">
        <v>1</v>
      </c>
      <c r="D110" s="1" t="s">
        <v>6</v>
      </c>
      <c r="E110" s="4">
        <v>1</v>
      </c>
    </row>
    <row r="111" spans="1:5" x14ac:dyDescent="0.25">
      <c r="A111" s="5">
        <v>110</v>
      </c>
      <c r="B111" s="2">
        <v>24.5</v>
      </c>
      <c r="C111" s="2">
        <v>7</v>
      </c>
      <c r="D111" s="2" t="s">
        <v>6</v>
      </c>
      <c r="E111" s="6">
        <v>2</v>
      </c>
    </row>
    <row r="112" spans="1:5" x14ac:dyDescent="0.25">
      <c r="A112" s="3">
        <v>111</v>
      </c>
      <c r="B112" s="1">
        <v>27.5</v>
      </c>
      <c r="C112" s="1">
        <v>12</v>
      </c>
      <c r="D112" s="1" t="s">
        <v>6</v>
      </c>
      <c r="E112" s="4">
        <v>2</v>
      </c>
    </row>
    <row r="113" spans="1:5" x14ac:dyDescent="0.25">
      <c r="A113" s="5">
        <v>112</v>
      </c>
      <c r="B113" s="2">
        <v>29.5</v>
      </c>
      <c r="C113" s="2">
        <v>6</v>
      </c>
      <c r="D113" s="2" t="s">
        <v>6</v>
      </c>
      <c r="E113" s="6">
        <v>2</v>
      </c>
    </row>
    <row r="114" spans="1:5" x14ac:dyDescent="0.25">
      <c r="A114" s="3">
        <v>113</v>
      </c>
      <c r="B114" s="1">
        <v>29.9</v>
      </c>
      <c r="C114" s="1">
        <v>5</v>
      </c>
      <c r="D114" s="1" t="s">
        <v>6</v>
      </c>
      <c r="E114" s="4">
        <v>3</v>
      </c>
    </row>
    <row r="115" spans="1:5" x14ac:dyDescent="0.25">
      <c r="A115" s="5">
        <v>114</v>
      </c>
      <c r="B115" s="2">
        <v>28.6</v>
      </c>
      <c r="C115" s="2">
        <v>6</v>
      </c>
      <c r="D115" s="2" t="s">
        <v>6</v>
      </c>
      <c r="E115" s="6">
        <v>3</v>
      </c>
    </row>
    <row r="116" spans="1:5" x14ac:dyDescent="0.25">
      <c r="A116" s="3">
        <v>115</v>
      </c>
      <c r="B116" s="1">
        <v>25.9</v>
      </c>
      <c r="C116" s="1">
        <v>6</v>
      </c>
      <c r="D116" s="1" t="s">
        <v>6</v>
      </c>
      <c r="E116" s="4">
        <v>3</v>
      </c>
    </row>
    <row r="117" spans="1:5" x14ac:dyDescent="0.25">
      <c r="A117" s="5">
        <v>116</v>
      </c>
      <c r="B117" s="2">
        <v>22.6</v>
      </c>
      <c r="C117" s="2">
        <v>23</v>
      </c>
      <c r="D117" s="2" t="s">
        <v>6</v>
      </c>
      <c r="E117" s="6">
        <v>4</v>
      </c>
    </row>
    <row r="118" spans="1:5" x14ac:dyDescent="0.25">
      <c r="A118" s="3">
        <v>117</v>
      </c>
      <c r="B118" s="1">
        <v>19.7</v>
      </c>
      <c r="C118" s="1">
        <v>16</v>
      </c>
      <c r="D118" s="1" t="s">
        <v>6</v>
      </c>
      <c r="E118" s="4">
        <v>4</v>
      </c>
    </row>
    <row r="119" spans="1:5" x14ac:dyDescent="0.25">
      <c r="A119" s="5">
        <v>118</v>
      </c>
      <c r="B119" s="2">
        <v>17.8</v>
      </c>
      <c r="C119" s="2">
        <v>1</v>
      </c>
      <c r="D119" s="2" t="s">
        <v>6</v>
      </c>
      <c r="E119" s="6">
        <v>4</v>
      </c>
    </row>
    <row r="120" spans="1:5" x14ac:dyDescent="0.25">
      <c r="A120" s="3">
        <v>119</v>
      </c>
      <c r="B120" s="1">
        <v>17.3</v>
      </c>
      <c r="C120" s="1">
        <v>27</v>
      </c>
      <c r="D120" s="1" t="s">
        <v>6</v>
      </c>
      <c r="E120" s="4">
        <v>5</v>
      </c>
    </row>
    <row r="121" spans="1:5" x14ac:dyDescent="0.25">
      <c r="A121" s="5">
        <v>120</v>
      </c>
      <c r="B121" s="2">
        <v>18.2</v>
      </c>
      <c r="C121" s="2">
        <v>0</v>
      </c>
      <c r="D121" s="2" t="s">
        <v>5</v>
      </c>
      <c r="E121" s="6">
        <v>0</v>
      </c>
    </row>
    <row r="122" spans="1:5" x14ac:dyDescent="0.25">
      <c r="A122" s="3">
        <v>121</v>
      </c>
      <c r="B122" s="1">
        <v>19.8</v>
      </c>
      <c r="C122" s="1">
        <v>1</v>
      </c>
      <c r="D122" s="1" t="s">
        <v>6</v>
      </c>
      <c r="E122" s="4">
        <v>1</v>
      </c>
    </row>
    <row r="123" spans="1:5" x14ac:dyDescent="0.25">
      <c r="A123" s="5">
        <v>122</v>
      </c>
      <c r="B123" s="2">
        <v>21.4</v>
      </c>
      <c r="C123" s="2">
        <v>1</v>
      </c>
      <c r="D123" s="2" t="s">
        <v>6</v>
      </c>
      <c r="E123" s="6">
        <v>1</v>
      </c>
    </row>
    <row r="124" spans="1:5" x14ac:dyDescent="0.25">
      <c r="A124" s="3">
        <v>123</v>
      </c>
      <c r="B124" s="1">
        <v>22</v>
      </c>
      <c r="C124" s="1">
        <v>6</v>
      </c>
      <c r="D124" s="1" t="s">
        <v>6</v>
      </c>
      <c r="E124" s="4">
        <v>1</v>
      </c>
    </row>
    <row r="125" spans="1:5" x14ac:dyDescent="0.25">
      <c r="A125" s="5">
        <v>124</v>
      </c>
      <c r="B125" s="2">
        <v>21.2</v>
      </c>
      <c r="C125" s="2">
        <v>9</v>
      </c>
      <c r="D125" s="2" t="s">
        <v>6</v>
      </c>
      <c r="E125" s="6">
        <v>2</v>
      </c>
    </row>
    <row r="126" spans="1:5" x14ac:dyDescent="0.25">
      <c r="A126" s="3">
        <v>125</v>
      </c>
      <c r="B126" s="1">
        <v>18.8</v>
      </c>
      <c r="C126" s="1">
        <v>7</v>
      </c>
      <c r="D126" s="1" t="s">
        <v>6</v>
      </c>
      <c r="E126" s="4">
        <v>2</v>
      </c>
    </row>
    <row r="127" spans="1:5" x14ac:dyDescent="0.25">
      <c r="A127" s="5">
        <v>126</v>
      </c>
      <c r="B127" s="2">
        <v>15.2</v>
      </c>
      <c r="C127" s="2">
        <v>12</v>
      </c>
      <c r="D127" s="2" t="s">
        <v>6</v>
      </c>
      <c r="E127" s="6">
        <v>2</v>
      </c>
    </row>
    <row r="128" spans="1:5" x14ac:dyDescent="0.25">
      <c r="A128" s="3">
        <v>127</v>
      </c>
      <c r="B128" s="1">
        <v>11.1</v>
      </c>
      <c r="C128" s="1">
        <v>15</v>
      </c>
      <c r="D128" s="1" t="s">
        <v>6</v>
      </c>
      <c r="E128" s="4">
        <v>3</v>
      </c>
    </row>
    <row r="129" spans="1:5" x14ac:dyDescent="0.25">
      <c r="A129" s="5">
        <v>128</v>
      </c>
      <c r="B129" s="2">
        <v>7.5</v>
      </c>
      <c r="C129" s="2">
        <v>10</v>
      </c>
      <c r="D129" s="2" t="s">
        <v>6</v>
      </c>
      <c r="E129" s="6">
        <v>3</v>
      </c>
    </row>
    <row r="130" spans="1:5" x14ac:dyDescent="0.25">
      <c r="A130" s="3">
        <v>129</v>
      </c>
      <c r="B130" s="1">
        <v>5.2</v>
      </c>
      <c r="C130" s="1">
        <v>5</v>
      </c>
      <c r="D130" s="1" t="s">
        <v>6</v>
      </c>
      <c r="E130" s="4">
        <v>3</v>
      </c>
    </row>
    <row r="131" spans="1:5" x14ac:dyDescent="0.25">
      <c r="A131" s="5">
        <v>130</v>
      </c>
      <c r="B131" s="2">
        <v>4.5999999999999996</v>
      </c>
      <c r="C131" s="2">
        <v>23</v>
      </c>
      <c r="D131" s="2" t="s">
        <v>6</v>
      </c>
      <c r="E131" s="6">
        <v>4</v>
      </c>
    </row>
    <row r="132" spans="1:5" x14ac:dyDescent="0.25">
      <c r="A132" s="3">
        <v>131</v>
      </c>
      <c r="B132" s="1">
        <v>5.5</v>
      </c>
      <c r="C132" s="1">
        <v>11</v>
      </c>
      <c r="D132" s="1" t="s">
        <v>6</v>
      </c>
      <c r="E132" s="4">
        <v>4</v>
      </c>
    </row>
    <row r="133" spans="1:5" x14ac:dyDescent="0.25">
      <c r="A133" s="5">
        <v>132</v>
      </c>
      <c r="B133" s="2">
        <v>7.3</v>
      </c>
      <c r="C133" s="2">
        <v>23</v>
      </c>
      <c r="D133" s="2" t="s">
        <v>6</v>
      </c>
      <c r="E133" s="6">
        <v>4</v>
      </c>
    </row>
    <row r="134" spans="1:5" x14ac:dyDescent="0.25">
      <c r="A134" s="3">
        <v>133</v>
      </c>
      <c r="B134" s="1">
        <v>9.3000000000000007</v>
      </c>
      <c r="C134" s="1">
        <v>16</v>
      </c>
      <c r="D134" s="1" t="s">
        <v>6</v>
      </c>
      <c r="E134" s="4">
        <v>5</v>
      </c>
    </row>
    <row r="135" spans="1:5" x14ac:dyDescent="0.25">
      <c r="A135" s="5">
        <v>134</v>
      </c>
      <c r="B135" s="2">
        <v>10.5</v>
      </c>
      <c r="C135" s="2">
        <v>21</v>
      </c>
      <c r="D135" s="2" t="s">
        <v>6</v>
      </c>
      <c r="E135" s="6">
        <v>5</v>
      </c>
    </row>
    <row r="136" spans="1:5" x14ac:dyDescent="0.25">
      <c r="A136" s="3">
        <v>135</v>
      </c>
      <c r="B136" s="1">
        <v>10.4</v>
      </c>
      <c r="C136" s="1">
        <v>0</v>
      </c>
      <c r="D136" s="1" t="s">
        <v>5</v>
      </c>
      <c r="E136" s="4">
        <v>0</v>
      </c>
    </row>
    <row r="137" spans="1:5" x14ac:dyDescent="0.25">
      <c r="A137" s="5">
        <v>136</v>
      </c>
      <c r="B137" s="2">
        <v>9</v>
      </c>
      <c r="C137" s="2">
        <v>4</v>
      </c>
      <c r="D137" s="2" t="s">
        <v>7</v>
      </c>
      <c r="E137" s="6">
        <v>1</v>
      </c>
    </row>
    <row r="138" spans="1:5" x14ac:dyDescent="0.25">
      <c r="A138" s="3">
        <v>137</v>
      </c>
      <c r="B138" s="1">
        <v>6.4</v>
      </c>
      <c r="C138" s="1">
        <v>3</v>
      </c>
      <c r="D138" s="1" t="s">
        <v>7</v>
      </c>
      <c r="E138" s="4">
        <v>1</v>
      </c>
    </row>
    <row r="139" spans="1:5" x14ac:dyDescent="0.25">
      <c r="A139" s="5">
        <v>138</v>
      </c>
      <c r="B139" s="2">
        <v>3.6</v>
      </c>
      <c r="C139" s="2">
        <v>3</v>
      </c>
      <c r="D139" s="2" t="s">
        <v>7</v>
      </c>
      <c r="E139" s="6">
        <v>1</v>
      </c>
    </row>
    <row r="140" spans="1:5" x14ac:dyDescent="0.25">
      <c r="A140" s="3">
        <v>139</v>
      </c>
      <c r="B140" s="1">
        <v>1.4</v>
      </c>
      <c r="C140" s="1">
        <v>4</v>
      </c>
      <c r="D140" s="1" t="s">
        <v>7</v>
      </c>
      <c r="E140" s="4">
        <v>2</v>
      </c>
    </row>
    <row r="141" spans="1:5" x14ac:dyDescent="0.25">
      <c r="A141" s="5">
        <v>140</v>
      </c>
      <c r="B141" s="2">
        <v>0.5</v>
      </c>
      <c r="C141" s="2">
        <v>5</v>
      </c>
      <c r="D141" s="2" t="s">
        <v>7</v>
      </c>
      <c r="E141" s="6">
        <v>2</v>
      </c>
    </row>
    <row r="142" spans="1:5" x14ac:dyDescent="0.25">
      <c r="A142" s="3">
        <v>141</v>
      </c>
      <c r="B142" s="1">
        <v>1.4</v>
      </c>
      <c r="C142" s="1">
        <v>1</v>
      </c>
      <c r="D142" s="1" t="s">
        <v>7</v>
      </c>
      <c r="E142" s="4">
        <v>2</v>
      </c>
    </row>
    <row r="143" spans="1:5" x14ac:dyDescent="0.25">
      <c r="A143" s="5">
        <v>142</v>
      </c>
      <c r="B143" s="2">
        <v>3.9</v>
      </c>
      <c r="C143" s="2">
        <v>3</v>
      </c>
      <c r="D143" s="2" t="s">
        <v>7</v>
      </c>
      <c r="E143" s="6">
        <v>3</v>
      </c>
    </row>
    <row r="144" spans="1:5" x14ac:dyDescent="0.25">
      <c r="A144" s="3">
        <v>143</v>
      </c>
      <c r="B144" s="1">
        <v>7.3</v>
      </c>
      <c r="C144" s="1">
        <v>13</v>
      </c>
      <c r="D144" s="1" t="s">
        <v>7</v>
      </c>
      <c r="E144" s="4">
        <v>3</v>
      </c>
    </row>
    <row r="145" spans="1:5" x14ac:dyDescent="0.25">
      <c r="A145" s="5">
        <v>144</v>
      </c>
      <c r="B145" s="2">
        <v>10.9</v>
      </c>
      <c r="C145" s="2">
        <v>12</v>
      </c>
      <c r="D145" s="2" t="s">
        <v>7</v>
      </c>
      <c r="E145" s="6">
        <v>3</v>
      </c>
    </row>
    <row r="146" spans="1:5" x14ac:dyDescent="0.25">
      <c r="A146" s="3">
        <v>145</v>
      </c>
      <c r="B146" s="1">
        <v>13.7</v>
      </c>
      <c r="C146" s="1">
        <v>9</v>
      </c>
      <c r="D146" s="1" t="s">
        <v>7</v>
      </c>
      <c r="E146" s="4">
        <v>4</v>
      </c>
    </row>
    <row r="147" spans="1:5" x14ac:dyDescent="0.25">
      <c r="A147" s="5">
        <v>146</v>
      </c>
      <c r="B147" s="2">
        <v>15.1</v>
      </c>
      <c r="C147" s="2">
        <v>21</v>
      </c>
      <c r="D147" s="2" t="s">
        <v>7</v>
      </c>
      <c r="E147" s="6">
        <v>4</v>
      </c>
    </row>
    <row r="148" spans="1:5" x14ac:dyDescent="0.25">
      <c r="A148" s="3">
        <v>147</v>
      </c>
      <c r="B148" s="1">
        <v>15.1</v>
      </c>
      <c r="C148" s="1">
        <v>14</v>
      </c>
      <c r="D148" s="1" t="s">
        <v>7</v>
      </c>
      <c r="E148" s="4">
        <v>4</v>
      </c>
    </row>
    <row r="149" spans="1:5" x14ac:dyDescent="0.25">
      <c r="A149" s="5">
        <v>148</v>
      </c>
      <c r="B149" s="2">
        <v>13.9</v>
      </c>
      <c r="C149" s="2">
        <v>11</v>
      </c>
      <c r="D149" s="2" t="s">
        <v>7</v>
      </c>
      <c r="E149" s="6">
        <v>5</v>
      </c>
    </row>
    <row r="150" spans="1:5" x14ac:dyDescent="0.25">
      <c r="A150" s="3">
        <v>149</v>
      </c>
      <c r="B150" s="1">
        <v>12.3</v>
      </c>
      <c r="C150" s="1">
        <v>20</v>
      </c>
      <c r="D150" s="1" t="s">
        <v>7</v>
      </c>
      <c r="E150" s="4">
        <v>5</v>
      </c>
    </row>
    <row r="151" spans="1:5" x14ac:dyDescent="0.25">
      <c r="A151" s="5">
        <v>150</v>
      </c>
      <c r="B151" s="2">
        <v>11.2</v>
      </c>
      <c r="C151" s="2">
        <v>0</v>
      </c>
      <c r="D151" s="2" t="s">
        <v>5</v>
      </c>
      <c r="E151" s="6">
        <v>0</v>
      </c>
    </row>
    <row r="152" spans="1:5" x14ac:dyDescent="0.25">
      <c r="A152" s="3">
        <v>151</v>
      </c>
      <c r="B152" s="1">
        <v>11.3</v>
      </c>
      <c r="C152" s="1">
        <v>6</v>
      </c>
      <c r="D152" s="1" t="s">
        <v>6</v>
      </c>
      <c r="E152" s="4">
        <v>1</v>
      </c>
    </row>
    <row r="153" spans="1:5" x14ac:dyDescent="0.25">
      <c r="A153" s="5">
        <v>152</v>
      </c>
      <c r="B153" s="2">
        <v>12.9</v>
      </c>
      <c r="C153" s="2">
        <v>3</v>
      </c>
      <c r="D153" s="2" t="s">
        <v>6</v>
      </c>
      <c r="E153" s="6">
        <v>1</v>
      </c>
    </row>
    <row r="154" spans="1:5" x14ac:dyDescent="0.25">
      <c r="A154" s="3">
        <v>153</v>
      </c>
      <c r="B154" s="1">
        <v>16</v>
      </c>
      <c r="C154" s="1">
        <v>6</v>
      </c>
      <c r="D154" s="1" t="s">
        <v>6</v>
      </c>
      <c r="E154" s="4">
        <v>1</v>
      </c>
    </row>
    <row r="155" spans="1:5" x14ac:dyDescent="0.25">
      <c r="A155" s="5">
        <v>154</v>
      </c>
      <c r="B155" s="2">
        <v>19.8</v>
      </c>
      <c r="C155" s="2">
        <v>2</v>
      </c>
      <c r="D155" s="2" t="s">
        <v>6</v>
      </c>
      <c r="E155" s="6">
        <v>2</v>
      </c>
    </row>
    <row r="156" spans="1:5" x14ac:dyDescent="0.25">
      <c r="A156" s="3">
        <v>155</v>
      </c>
      <c r="B156" s="1">
        <v>23.6</v>
      </c>
      <c r="C156" s="1">
        <v>11</v>
      </c>
      <c r="D156" s="1" t="s">
        <v>6</v>
      </c>
      <c r="E156" s="4">
        <v>2</v>
      </c>
    </row>
    <row r="157" spans="1:5" x14ac:dyDescent="0.25">
      <c r="A157" s="5">
        <v>156</v>
      </c>
      <c r="B157" s="2">
        <v>26.4</v>
      </c>
      <c r="C157" s="2">
        <v>11</v>
      </c>
      <c r="D157" s="2" t="s">
        <v>6</v>
      </c>
      <c r="E157" s="6">
        <v>2</v>
      </c>
    </row>
    <row r="158" spans="1:5" x14ac:dyDescent="0.25">
      <c r="A158" s="3">
        <v>157</v>
      </c>
      <c r="B158" s="1">
        <v>27.7</v>
      </c>
      <c r="C158" s="1">
        <v>5</v>
      </c>
      <c r="D158" s="1" t="s">
        <v>6</v>
      </c>
      <c r="E158" s="4">
        <v>3</v>
      </c>
    </row>
    <row r="159" spans="1:5" x14ac:dyDescent="0.25">
      <c r="A159" s="5">
        <v>158</v>
      </c>
      <c r="B159" s="2">
        <v>27.2</v>
      </c>
      <c r="C159" s="2">
        <v>18</v>
      </c>
      <c r="D159" s="2" t="s">
        <v>6</v>
      </c>
      <c r="E159" s="6">
        <v>3</v>
      </c>
    </row>
    <row r="160" spans="1:5" x14ac:dyDescent="0.25">
      <c r="A160" s="3">
        <v>159</v>
      </c>
      <c r="B160" s="1">
        <v>25.5</v>
      </c>
      <c r="C160" s="1">
        <v>5</v>
      </c>
      <c r="D160" s="1" t="s">
        <v>6</v>
      </c>
      <c r="E160" s="4">
        <v>3</v>
      </c>
    </row>
    <row r="161" spans="1:5" x14ac:dyDescent="0.25">
      <c r="A161" s="5">
        <v>160</v>
      </c>
      <c r="B161" s="2">
        <v>23.1</v>
      </c>
      <c r="C161" s="2">
        <v>8</v>
      </c>
      <c r="D161" s="2" t="s">
        <v>6</v>
      </c>
      <c r="E161" s="6">
        <v>4</v>
      </c>
    </row>
    <row r="162" spans="1:5" x14ac:dyDescent="0.25">
      <c r="A162" s="3">
        <v>161</v>
      </c>
      <c r="B162" s="1">
        <v>21</v>
      </c>
      <c r="C162" s="1">
        <v>22</v>
      </c>
      <c r="D162" s="1" t="s">
        <v>6</v>
      </c>
      <c r="E162" s="4">
        <v>4</v>
      </c>
    </row>
    <row r="163" spans="1:5" x14ac:dyDescent="0.25">
      <c r="A163" s="5">
        <v>162</v>
      </c>
      <c r="B163" s="2">
        <v>20</v>
      </c>
      <c r="C163" s="2">
        <v>19</v>
      </c>
      <c r="D163" s="2" t="s">
        <v>6</v>
      </c>
      <c r="E163" s="6">
        <v>4</v>
      </c>
    </row>
    <row r="164" spans="1:5" x14ac:dyDescent="0.25">
      <c r="A164" s="3">
        <v>163</v>
      </c>
      <c r="B164" s="1">
        <v>20.399999999999999</v>
      </c>
      <c r="C164" s="1">
        <v>23</v>
      </c>
      <c r="D164" s="1" t="s">
        <v>6</v>
      </c>
      <c r="E164" s="4">
        <v>5</v>
      </c>
    </row>
    <row r="165" spans="1:5" x14ac:dyDescent="0.25">
      <c r="A165" s="5">
        <v>164</v>
      </c>
      <c r="B165" s="2">
        <v>22.1</v>
      </c>
      <c r="C165" s="2">
        <v>0</v>
      </c>
      <c r="D165" s="2" t="s">
        <v>5</v>
      </c>
      <c r="E165" s="6">
        <v>0</v>
      </c>
    </row>
    <row r="166" spans="1:5" x14ac:dyDescent="0.25">
      <c r="A166" s="3">
        <v>165</v>
      </c>
      <c r="B166" s="1">
        <v>24.5</v>
      </c>
      <c r="C166" s="1">
        <v>1</v>
      </c>
      <c r="D166" s="1" t="s">
        <v>7</v>
      </c>
      <c r="E166" s="4">
        <v>1</v>
      </c>
    </row>
    <row r="167" spans="1:5" x14ac:dyDescent="0.25">
      <c r="A167" s="5">
        <v>166</v>
      </c>
      <c r="B167" s="2">
        <v>26.8</v>
      </c>
      <c r="C167" s="2">
        <v>2</v>
      </c>
      <c r="D167" s="2" t="s">
        <v>7</v>
      </c>
      <c r="E167" s="6">
        <v>1</v>
      </c>
    </row>
    <row r="168" spans="1:5" x14ac:dyDescent="0.25">
      <c r="A168" s="3">
        <v>167</v>
      </c>
      <c r="B168" s="1">
        <v>28</v>
      </c>
      <c r="C168" s="1">
        <v>4</v>
      </c>
      <c r="D168" s="1" t="s">
        <v>7</v>
      </c>
      <c r="E168" s="4">
        <v>1</v>
      </c>
    </row>
    <row r="169" spans="1:5" x14ac:dyDescent="0.25">
      <c r="A169" s="5">
        <v>168</v>
      </c>
      <c r="B169" s="2">
        <v>27.7</v>
      </c>
      <c r="C169" s="2">
        <v>8</v>
      </c>
      <c r="D169" s="2" t="s">
        <v>7</v>
      </c>
      <c r="E169" s="6">
        <v>2</v>
      </c>
    </row>
    <row r="170" spans="1:5" x14ac:dyDescent="0.25">
      <c r="A170" s="3">
        <v>169</v>
      </c>
      <c r="B170" s="1">
        <v>25.6</v>
      </c>
      <c r="C170" s="1">
        <v>4</v>
      </c>
      <c r="D170" s="1" t="s">
        <v>7</v>
      </c>
      <c r="E170" s="4">
        <v>2</v>
      </c>
    </row>
    <row r="171" spans="1:5" x14ac:dyDescent="0.25">
      <c r="A171" s="5">
        <v>170</v>
      </c>
      <c r="B171" s="2">
        <v>22.3</v>
      </c>
      <c r="C171" s="2">
        <v>7</v>
      </c>
      <c r="D171" s="2" t="s">
        <v>7</v>
      </c>
      <c r="E171" s="6">
        <v>2</v>
      </c>
    </row>
    <row r="172" spans="1:5" x14ac:dyDescent="0.25">
      <c r="A172" s="3">
        <v>171</v>
      </c>
      <c r="B172" s="1">
        <v>18.399999999999999</v>
      </c>
      <c r="C172" s="1">
        <v>6</v>
      </c>
      <c r="D172" s="1" t="s">
        <v>7</v>
      </c>
      <c r="E172" s="4">
        <v>3</v>
      </c>
    </row>
    <row r="173" spans="1:5" x14ac:dyDescent="0.25">
      <c r="A173" s="5">
        <v>172</v>
      </c>
      <c r="B173" s="2">
        <v>14.9</v>
      </c>
      <c r="C173" s="2">
        <v>18</v>
      </c>
      <c r="D173" s="2" t="s">
        <v>7</v>
      </c>
      <c r="E173" s="6">
        <v>3</v>
      </c>
    </row>
    <row r="174" spans="1:5" x14ac:dyDescent="0.25">
      <c r="A174" s="3">
        <v>173</v>
      </c>
      <c r="B174" s="1">
        <v>12.5</v>
      </c>
      <c r="C174" s="1">
        <v>6</v>
      </c>
      <c r="D174" s="1" t="s">
        <v>7</v>
      </c>
      <c r="E174" s="4">
        <v>3</v>
      </c>
    </row>
    <row r="175" spans="1:5" x14ac:dyDescent="0.25">
      <c r="A175" s="5">
        <v>174</v>
      </c>
      <c r="B175" s="2">
        <v>11.7</v>
      </c>
      <c r="C175" s="2">
        <v>20</v>
      </c>
      <c r="D175" s="2" t="s">
        <v>7</v>
      </c>
      <c r="E175" s="6">
        <v>4</v>
      </c>
    </row>
    <row r="176" spans="1:5" x14ac:dyDescent="0.25">
      <c r="A176" s="3">
        <v>175</v>
      </c>
      <c r="B176" s="1">
        <v>12.3</v>
      </c>
      <c r="C176" s="1">
        <v>14</v>
      </c>
      <c r="D176" s="1" t="s">
        <v>7</v>
      </c>
      <c r="E176" s="4">
        <v>4</v>
      </c>
    </row>
    <row r="177" spans="1:30" x14ac:dyDescent="0.25">
      <c r="A177" s="5">
        <v>176</v>
      </c>
      <c r="B177" s="2">
        <v>13.7</v>
      </c>
      <c r="C177" s="2">
        <v>22</v>
      </c>
      <c r="D177" s="2" t="s">
        <v>7</v>
      </c>
      <c r="E177" s="6">
        <v>4</v>
      </c>
    </row>
    <row r="178" spans="1:30" x14ac:dyDescent="0.25">
      <c r="A178" s="3">
        <v>177</v>
      </c>
      <c r="B178" s="1">
        <v>15.2</v>
      </c>
      <c r="C178" s="1">
        <v>23</v>
      </c>
      <c r="D178" s="1" t="s">
        <v>7</v>
      </c>
      <c r="E178" s="4">
        <v>5</v>
      </c>
    </row>
    <row r="179" spans="1:30" x14ac:dyDescent="0.25">
      <c r="A179" s="5">
        <v>178</v>
      </c>
      <c r="B179" s="2">
        <v>15.9</v>
      </c>
      <c r="C179" s="2">
        <v>0</v>
      </c>
      <c r="D179" s="2" t="s">
        <v>5</v>
      </c>
      <c r="E179" s="6">
        <v>0</v>
      </c>
    </row>
    <row r="180" spans="1:30" x14ac:dyDescent="0.25">
      <c r="A180" s="3">
        <v>179</v>
      </c>
      <c r="B180" s="1">
        <v>15.1</v>
      </c>
      <c r="C180" s="1">
        <v>1</v>
      </c>
      <c r="D180" s="1" t="s">
        <v>6</v>
      </c>
      <c r="E180" s="4">
        <v>1</v>
      </c>
      <c r="W180" s="11"/>
      <c r="X180" s="11"/>
      <c r="Y180" s="11"/>
      <c r="Z180" s="11"/>
      <c r="AA180" s="11"/>
      <c r="AB180" s="11"/>
      <c r="AC180" s="11"/>
      <c r="AD180" s="11"/>
    </row>
    <row r="181" spans="1:30" x14ac:dyDescent="0.25">
      <c r="A181" s="5">
        <v>180</v>
      </c>
      <c r="B181" s="2">
        <v>12.9</v>
      </c>
      <c r="C181" s="2">
        <v>1</v>
      </c>
      <c r="D181" s="2" t="s">
        <v>6</v>
      </c>
      <c r="E181" s="6">
        <v>1</v>
      </c>
      <c r="W181" s="11"/>
      <c r="X181" s="11"/>
      <c r="Y181" s="11"/>
      <c r="Z181" s="11"/>
      <c r="AA181" s="11"/>
      <c r="AB181" s="11"/>
      <c r="AC181" s="11"/>
      <c r="AD181" s="11"/>
    </row>
    <row r="182" spans="1:30" x14ac:dyDescent="0.25">
      <c r="A182" s="3">
        <v>181</v>
      </c>
      <c r="B182" s="1">
        <v>9.6</v>
      </c>
      <c r="C182" s="1">
        <v>1</v>
      </c>
      <c r="D182" s="1" t="s">
        <v>6</v>
      </c>
      <c r="E182" s="4">
        <v>1</v>
      </c>
      <c r="W182" s="11"/>
      <c r="X182" s="11"/>
      <c r="Y182" s="11"/>
      <c r="Z182" s="11"/>
      <c r="AA182" s="11"/>
      <c r="AB182" s="11"/>
      <c r="AC182" s="11"/>
      <c r="AD182" s="11"/>
    </row>
    <row r="183" spans="1:30" x14ac:dyDescent="0.25">
      <c r="A183" s="5">
        <v>182</v>
      </c>
      <c r="B183" s="2">
        <v>5.9</v>
      </c>
      <c r="C183" s="2">
        <v>2</v>
      </c>
      <c r="D183" s="2" t="s">
        <v>6</v>
      </c>
      <c r="E183" s="6">
        <v>2</v>
      </c>
    </row>
    <row r="184" spans="1:30" x14ac:dyDescent="0.25">
      <c r="A184" s="3">
        <v>183</v>
      </c>
      <c r="B184" s="1">
        <v>2.8</v>
      </c>
      <c r="C184" s="1">
        <v>6</v>
      </c>
      <c r="D184" s="1" t="s">
        <v>6</v>
      </c>
      <c r="E184" s="4">
        <v>2</v>
      </c>
    </row>
    <row r="185" spans="1:30" x14ac:dyDescent="0.25">
      <c r="A185" s="5">
        <v>184</v>
      </c>
      <c r="B185" s="2">
        <v>1</v>
      </c>
      <c r="C185" s="2">
        <v>9</v>
      </c>
      <c r="D185" s="2" t="s">
        <v>6</v>
      </c>
      <c r="E185" s="6">
        <v>2</v>
      </c>
    </row>
    <row r="186" spans="1:30" x14ac:dyDescent="0.25">
      <c r="A186" s="3">
        <v>185</v>
      </c>
      <c r="B186" s="1">
        <v>0.9</v>
      </c>
      <c r="C186" s="1">
        <v>6</v>
      </c>
      <c r="D186" s="1" t="s">
        <v>6</v>
      </c>
      <c r="E186" s="4">
        <v>3</v>
      </c>
    </row>
    <row r="187" spans="1:30" x14ac:dyDescent="0.25">
      <c r="A187" s="5">
        <v>186</v>
      </c>
      <c r="B187" s="2">
        <v>2.5</v>
      </c>
      <c r="C187" s="2">
        <v>1</v>
      </c>
      <c r="D187" s="2" t="s">
        <v>6</v>
      </c>
      <c r="E187" s="6">
        <v>3</v>
      </c>
    </row>
    <row r="188" spans="1:30" x14ac:dyDescent="0.25">
      <c r="A188" s="3">
        <v>187</v>
      </c>
      <c r="B188" s="1">
        <v>5</v>
      </c>
      <c r="C188" s="1">
        <v>3</v>
      </c>
      <c r="D188" s="1" t="s">
        <v>6</v>
      </c>
      <c r="E188" s="4">
        <v>3</v>
      </c>
    </row>
    <row r="189" spans="1:30" x14ac:dyDescent="0.25">
      <c r="A189" s="5">
        <v>188</v>
      </c>
      <c r="B189" s="2">
        <v>7.7</v>
      </c>
      <c r="C189" s="2">
        <v>7</v>
      </c>
      <c r="D189" s="2" t="s">
        <v>6</v>
      </c>
      <c r="E189" s="6">
        <v>4</v>
      </c>
    </row>
    <row r="190" spans="1:30" x14ac:dyDescent="0.25">
      <c r="A190" s="3">
        <v>189</v>
      </c>
      <c r="B190" s="1">
        <v>9.6999999999999993</v>
      </c>
      <c r="C190" s="1">
        <v>6</v>
      </c>
      <c r="D190" s="1" t="s">
        <v>6</v>
      </c>
      <c r="E190" s="4">
        <v>4</v>
      </c>
    </row>
    <row r="191" spans="1:30" x14ac:dyDescent="0.25">
      <c r="A191" s="5">
        <v>190</v>
      </c>
      <c r="B191" s="2">
        <v>10.4</v>
      </c>
      <c r="C191" s="2">
        <v>3</v>
      </c>
      <c r="D191" s="2" t="s">
        <v>6</v>
      </c>
      <c r="E191" s="6">
        <v>4</v>
      </c>
    </row>
    <row r="192" spans="1:30" x14ac:dyDescent="0.25">
      <c r="A192" s="3">
        <v>191</v>
      </c>
      <c r="B192" s="1">
        <v>9.6999999999999993</v>
      </c>
      <c r="C192" s="1">
        <v>22</v>
      </c>
      <c r="D192" s="1" t="s">
        <v>6</v>
      </c>
      <c r="E192" s="4">
        <v>5</v>
      </c>
    </row>
    <row r="193" spans="1:5" x14ac:dyDescent="0.25">
      <c r="A193" s="5">
        <v>192</v>
      </c>
      <c r="B193" s="2">
        <v>8</v>
      </c>
      <c r="C193" s="2">
        <v>0</v>
      </c>
      <c r="D193" s="2" t="s">
        <v>5</v>
      </c>
      <c r="E193" s="6">
        <v>0</v>
      </c>
    </row>
    <row r="194" spans="1:5" x14ac:dyDescent="0.25">
      <c r="A194" s="3">
        <v>193</v>
      </c>
      <c r="B194" s="1">
        <v>5.9</v>
      </c>
      <c r="C194" s="1">
        <v>3</v>
      </c>
      <c r="D194" s="1" t="s">
        <v>7</v>
      </c>
      <c r="E194" s="4">
        <v>1</v>
      </c>
    </row>
    <row r="195" spans="1:5" x14ac:dyDescent="0.25">
      <c r="A195" s="5">
        <v>194</v>
      </c>
      <c r="B195" s="2">
        <v>4.4000000000000004</v>
      </c>
      <c r="C195" s="2">
        <v>4</v>
      </c>
      <c r="D195" s="2" t="s">
        <v>7</v>
      </c>
      <c r="E195" s="6">
        <v>1</v>
      </c>
    </row>
    <row r="196" spans="1:5" x14ac:dyDescent="0.25">
      <c r="A196" s="3">
        <v>195</v>
      </c>
      <c r="B196" s="1">
        <v>4.2</v>
      </c>
      <c r="C196" s="1">
        <v>6</v>
      </c>
      <c r="D196" s="1" t="s">
        <v>7</v>
      </c>
      <c r="E196" s="4">
        <v>1</v>
      </c>
    </row>
    <row r="197" spans="1:5" x14ac:dyDescent="0.25">
      <c r="A197" s="5">
        <v>196</v>
      </c>
      <c r="B197" s="2">
        <v>5.6</v>
      </c>
      <c r="C197" s="2">
        <v>8</v>
      </c>
      <c r="D197" s="2" t="s">
        <v>7</v>
      </c>
      <c r="E197" s="6">
        <v>2</v>
      </c>
    </row>
    <row r="198" spans="1:5" x14ac:dyDescent="0.25">
      <c r="A198" s="3">
        <v>197</v>
      </c>
      <c r="B198" s="1">
        <v>8.6</v>
      </c>
      <c r="C198" s="1">
        <v>12</v>
      </c>
      <c r="D198" s="1" t="s">
        <v>7</v>
      </c>
      <c r="E198" s="4">
        <v>2</v>
      </c>
    </row>
    <row r="199" spans="1:5" x14ac:dyDescent="0.25">
      <c r="A199" s="5">
        <v>198</v>
      </c>
      <c r="B199" s="2">
        <v>12.5</v>
      </c>
      <c r="C199" s="2">
        <v>9</v>
      </c>
      <c r="D199" s="2" t="s">
        <v>7</v>
      </c>
      <c r="E199" s="6">
        <v>2</v>
      </c>
    </row>
    <row r="200" spans="1:5" x14ac:dyDescent="0.25">
      <c r="A200" s="3">
        <v>199</v>
      </c>
      <c r="B200" s="1">
        <v>16.399999999999999</v>
      </c>
      <c r="C200" s="1">
        <v>14</v>
      </c>
      <c r="D200" s="1" t="s">
        <v>7</v>
      </c>
      <c r="E200" s="4">
        <v>3</v>
      </c>
    </row>
    <row r="201" spans="1:5" x14ac:dyDescent="0.25">
      <c r="A201" s="5">
        <v>200</v>
      </c>
      <c r="B201" s="2">
        <v>19.5</v>
      </c>
      <c r="C201" s="2">
        <v>12</v>
      </c>
      <c r="D201" s="2" t="s">
        <v>7</v>
      </c>
      <c r="E201" s="6">
        <v>3</v>
      </c>
    </row>
    <row r="202" spans="1:5" x14ac:dyDescent="0.25">
      <c r="A202" s="3">
        <v>201</v>
      </c>
      <c r="B202" s="1">
        <v>21.2</v>
      </c>
      <c r="C202" s="1">
        <v>1</v>
      </c>
      <c r="D202" s="1" t="s">
        <v>7</v>
      </c>
      <c r="E202" s="4">
        <v>3</v>
      </c>
    </row>
    <row r="203" spans="1:5" x14ac:dyDescent="0.25">
      <c r="A203" s="5">
        <v>202</v>
      </c>
      <c r="B203" s="2">
        <v>21.3</v>
      </c>
      <c r="C203" s="2">
        <v>11</v>
      </c>
      <c r="D203" s="2" t="s">
        <v>7</v>
      </c>
      <c r="E203" s="6">
        <v>4</v>
      </c>
    </row>
    <row r="204" spans="1:5" x14ac:dyDescent="0.25">
      <c r="A204" s="3">
        <v>203</v>
      </c>
      <c r="B204" s="1">
        <v>20.100000000000001</v>
      </c>
      <c r="C204" s="1">
        <v>6</v>
      </c>
      <c r="D204" s="1" t="s">
        <v>7</v>
      </c>
      <c r="E204" s="4">
        <v>4</v>
      </c>
    </row>
    <row r="205" spans="1:5" x14ac:dyDescent="0.25">
      <c r="A205" s="5">
        <v>204</v>
      </c>
      <c r="B205" s="2">
        <v>18.399999999999999</v>
      </c>
      <c r="C205" s="2">
        <v>3</v>
      </c>
      <c r="D205" s="2" t="s">
        <v>7</v>
      </c>
      <c r="E205" s="6">
        <v>4</v>
      </c>
    </row>
    <row r="206" spans="1:5" x14ac:dyDescent="0.25">
      <c r="A206" s="3">
        <v>205</v>
      </c>
      <c r="B206" s="1">
        <v>17.100000000000001</v>
      </c>
      <c r="C206" s="1">
        <v>15</v>
      </c>
      <c r="D206" s="1" t="s">
        <v>7</v>
      </c>
      <c r="E206" s="4">
        <v>5</v>
      </c>
    </row>
    <row r="207" spans="1:5" x14ac:dyDescent="0.25">
      <c r="A207" s="5">
        <v>206</v>
      </c>
      <c r="B207" s="2">
        <v>16.899999999999999</v>
      </c>
      <c r="C207" s="2">
        <v>16</v>
      </c>
      <c r="D207" s="2" t="s">
        <v>7</v>
      </c>
      <c r="E207" s="6">
        <v>5</v>
      </c>
    </row>
    <row r="208" spans="1:5" x14ac:dyDescent="0.25">
      <c r="A208" s="3">
        <v>207</v>
      </c>
      <c r="B208" s="1">
        <v>18.2</v>
      </c>
      <c r="C208" s="1">
        <v>17</v>
      </c>
      <c r="D208" s="1" t="s">
        <v>7</v>
      </c>
      <c r="E208" s="4">
        <v>5</v>
      </c>
    </row>
    <row r="209" spans="1:30" x14ac:dyDescent="0.25">
      <c r="A209" s="5">
        <v>208</v>
      </c>
      <c r="B209" s="2">
        <v>20.7</v>
      </c>
      <c r="C209" s="2">
        <v>18</v>
      </c>
      <c r="D209" s="2" t="s">
        <v>7</v>
      </c>
      <c r="E209" s="6">
        <v>5</v>
      </c>
    </row>
    <row r="210" spans="1:30" x14ac:dyDescent="0.25">
      <c r="A210" s="3">
        <v>209</v>
      </c>
      <c r="B210" s="1">
        <v>24</v>
      </c>
      <c r="C210" s="1">
        <v>13</v>
      </c>
      <c r="D210" s="1" t="s">
        <v>7</v>
      </c>
      <c r="E210" s="4">
        <v>5</v>
      </c>
    </row>
    <row r="211" spans="1:30" x14ac:dyDescent="0.25">
      <c r="A211" s="5">
        <v>210</v>
      </c>
      <c r="B211" s="2">
        <v>27.2</v>
      </c>
      <c r="C211" s="2">
        <v>27</v>
      </c>
      <c r="D211" s="2" t="s">
        <v>7</v>
      </c>
      <c r="E211" s="6">
        <v>5</v>
      </c>
    </row>
    <row r="212" spans="1:30" x14ac:dyDescent="0.25">
      <c r="A212" s="3">
        <v>211</v>
      </c>
      <c r="B212" s="1">
        <v>29.4</v>
      </c>
      <c r="C212" s="1">
        <v>0</v>
      </c>
      <c r="D212" s="1" t="s">
        <v>5</v>
      </c>
      <c r="E212" s="4">
        <v>0</v>
      </c>
    </row>
    <row r="213" spans="1:30" x14ac:dyDescent="0.25">
      <c r="A213" s="5">
        <v>212</v>
      </c>
      <c r="B213" s="2">
        <v>29.9</v>
      </c>
      <c r="C213" s="2">
        <v>2</v>
      </c>
      <c r="D213" s="2" t="s">
        <v>6</v>
      </c>
      <c r="E213" s="6">
        <v>1</v>
      </c>
      <c r="W213" s="11"/>
      <c r="X213" s="11"/>
      <c r="Y213" s="11"/>
      <c r="Z213" s="11"/>
      <c r="AA213" s="11"/>
      <c r="AB213" s="11"/>
      <c r="AC213" s="11"/>
      <c r="AD213" s="11"/>
    </row>
    <row r="214" spans="1:30" x14ac:dyDescent="0.25">
      <c r="A214" s="3">
        <v>213</v>
      </c>
      <c r="B214" s="1">
        <v>28.8</v>
      </c>
      <c r="C214" s="1">
        <v>4</v>
      </c>
      <c r="D214" s="1" t="s">
        <v>6</v>
      </c>
      <c r="E214" s="4">
        <v>1</v>
      </c>
      <c r="W214" s="11"/>
      <c r="X214" s="15"/>
      <c r="Y214" s="15"/>
      <c r="Z214" s="15"/>
      <c r="AA214" s="15"/>
      <c r="AB214" s="15"/>
      <c r="AC214" s="11"/>
      <c r="AD214" s="11"/>
    </row>
    <row r="215" spans="1:30" x14ac:dyDescent="0.25">
      <c r="A215" s="5">
        <v>214</v>
      </c>
      <c r="B215" s="2">
        <v>26.2</v>
      </c>
      <c r="C215" s="2">
        <v>2</v>
      </c>
      <c r="D215" s="2" t="s">
        <v>6</v>
      </c>
      <c r="E215" s="6">
        <v>1</v>
      </c>
      <c r="W215" s="11"/>
      <c r="X215" s="11"/>
      <c r="Y215" s="11"/>
      <c r="Z215" s="11"/>
      <c r="AA215" s="11"/>
      <c r="AB215" s="11"/>
      <c r="AC215" s="11"/>
      <c r="AD215" s="11"/>
    </row>
    <row r="216" spans="1:30" x14ac:dyDescent="0.25">
      <c r="A216" s="3">
        <v>215</v>
      </c>
      <c r="B216" s="1">
        <v>23.1</v>
      </c>
      <c r="C216" s="1">
        <v>11</v>
      </c>
      <c r="D216" s="1" t="s">
        <v>6</v>
      </c>
      <c r="E216" s="4">
        <v>1</v>
      </c>
      <c r="W216" s="11"/>
      <c r="X216" s="11"/>
      <c r="Y216" s="11"/>
      <c r="Z216" s="11"/>
      <c r="AA216" s="11"/>
      <c r="AB216" s="11"/>
      <c r="AC216" s="11"/>
      <c r="AD216" s="11"/>
    </row>
    <row r="217" spans="1:30" x14ac:dyDescent="0.25">
      <c r="A217" s="5">
        <v>216</v>
      </c>
      <c r="B217" s="2">
        <v>20.3</v>
      </c>
      <c r="C217" s="2">
        <v>1</v>
      </c>
      <c r="D217" s="2" t="s">
        <v>6</v>
      </c>
      <c r="E217" s="6">
        <v>2</v>
      </c>
      <c r="X217" s="12">
        <v>4</v>
      </c>
      <c r="Y217" s="13">
        <v>23.6</v>
      </c>
      <c r="Z217" s="13">
        <v>4</v>
      </c>
      <c r="AA217" s="13" t="s">
        <v>6</v>
      </c>
      <c r="AB217" s="14">
        <v>1</v>
      </c>
    </row>
    <row r="218" spans="1:30" x14ac:dyDescent="0.25">
      <c r="A218" s="3">
        <v>217</v>
      </c>
      <c r="B218" s="1">
        <v>18.5</v>
      </c>
      <c r="C218" s="1">
        <v>7</v>
      </c>
      <c r="D218" s="1" t="s">
        <v>6</v>
      </c>
      <c r="E218" s="4">
        <v>2</v>
      </c>
      <c r="X218" s="3">
        <v>17</v>
      </c>
      <c r="Y218" s="1">
        <v>22</v>
      </c>
      <c r="Z218" s="1">
        <v>2</v>
      </c>
      <c r="AA218" s="1" t="s">
        <v>6</v>
      </c>
      <c r="AB218" s="4">
        <v>1</v>
      </c>
    </row>
    <row r="219" spans="1:30" x14ac:dyDescent="0.25">
      <c r="A219" s="5">
        <v>218</v>
      </c>
      <c r="B219" s="2">
        <v>18.2</v>
      </c>
      <c r="C219" s="2">
        <v>10</v>
      </c>
      <c r="D219" s="2" t="s">
        <v>6</v>
      </c>
      <c r="E219" s="6">
        <v>3</v>
      </c>
      <c r="X219" s="5">
        <v>18</v>
      </c>
      <c r="Y219" s="2">
        <v>18.899999999999999</v>
      </c>
      <c r="Z219" s="2">
        <v>1</v>
      </c>
      <c r="AA219" s="2" t="s">
        <v>6</v>
      </c>
      <c r="AB219" s="6">
        <v>1</v>
      </c>
    </row>
    <row r="220" spans="1:30" x14ac:dyDescent="0.25">
      <c r="A220" s="3">
        <v>219</v>
      </c>
      <c r="B220" s="1">
        <v>19.100000000000001</v>
      </c>
      <c r="C220" s="1">
        <v>10</v>
      </c>
      <c r="D220" s="1" t="s">
        <v>6</v>
      </c>
      <c r="E220" s="4">
        <v>3</v>
      </c>
      <c r="X220" s="3">
        <v>19</v>
      </c>
      <c r="Y220" s="1">
        <v>16.899999999999999</v>
      </c>
      <c r="Z220" s="1">
        <v>1</v>
      </c>
      <c r="AA220" s="1" t="s">
        <v>6</v>
      </c>
      <c r="AB220" s="4">
        <v>1</v>
      </c>
    </row>
    <row r="221" spans="1:30" x14ac:dyDescent="0.25">
      <c r="A221" s="5">
        <v>220</v>
      </c>
      <c r="B221" s="2">
        <v>20.9</v>
      </c>
      <c r="C221" s="2">
        <v>1</v>
      </c>
      <c r="D221" s="2" t="s">
        <v>6</v>
      </c>
      <c r="E221" s="6">
        <v>3</v>
      </c>
      <c r="X221" s="5">
        <v>36</v>
      </c>
      <c r="Y221" s="2">
        <v>10.1</v>
      </c>
      <c r="Z221" s="2">
        <v>3</v>
      </c>
      <c r="AA221" s="2" t="s">
        <v>6</v>
      </c>
      <c r="AB221" s="6">
        <v>1</v>
      </c>
    </row>
    <row r="222" spans="1:30" x14ac:dyDescent="0.25">
      <c r="A222" s="3">
        <v>221</v>
      </c>
      <c r="B222" s="1">
        <v>22.5</v>
      </c>
      <c r="C222" s="1">
        <v>4</v>
      </c>
      <c r="D222" s="1" t="s">
        <v>6</v>
      </c>
      <c r="E222" s="4">
        <v>4</v>
      </c>
      <c r="X222" s="3">
        <v>37</v>
      </c>
      <c r="Y222" s="1">
        <v>8.8000000000000007</v>
      </c>
      <c r="Z222" s="1">
        <v>3</v>
      </c>
      <c r="AA222" s="1" t="s">
        <v>6</v>
      </c>
      <c r="AB222" s="4">
        <v>1</v>
      </c>
    </row>
    <row r="223" spans="1:30" x14ac:dyDescent="0.25">
      <c r="A223" s="5">
        <v>222</v>
      </c>
      <c r="B223" s="2">
        <v>23.2</v>
      </c>
      <c r="C223" s="2">
        <v>12</v>
      </c>
      <c r="D223" s="2" t="s">
        <v>6</v>
      </c>
      <c r="E223" s="6">
        <v>4</v>
      </c>
      <c r="X223" s="5">
        <v>38</v>
      </c>
      <c r="Y223" s="2">
        <v>6.4</v>
      </c>
      <c r="Z223" s="2">
        <v>5</v>
      </c>
      <c r="AA223" s="2" t="s">
        <v>6</v>
      </c>
      <c r="AB223" s="6">
        <v>1</v>
      </c>
    </row>
    <row r="224" spans="1:30" x14ac:dyDescent="0.25">
      <c r="A224" s="3">
        <v>223</v>
      </c>
      <c r="B224" s="1">
        <v>22.4</v>
      </c>
      <c r="C224" s="1">
        <v>7</v>
      </c>
      <c r="D224" s="1" t="s">
        <v>6</v>
      </c>
      <c r="E224" s="4">
        <v>4</v>
      </c>
      <c r="X224" s="5">
        <v>50</v>
      </c>
      <c r="Y224" s="2">
        <v>13.6</v>
      </c>
      <c r="Z224" s="2">
        <v>2</v>
      </c>
      <c r="AA224" s="2" t="s">
        <v>6</v>
      </c>
      <c r="AB224" s="6">
        <v>1</v>
      </c>
    </row>
    <row r="225" spans="1:28" x14ac:dyDescent="0.25">
      <c r="A225" s="5">
        <v>224</v>
      </c>
      <c r="B225" s="2">
        <v>20</v>
      </c>
      <c r="C225" s="2">
        <v>16</v>
      </c>
      <c r="D225" s="2" t="s">
        <v>6</v>
      </c>
      <c r="E225" s="6">
        <v>5</v>
      </c>
      <c r="X225" s="3">
        <v>51</v>
      </c>
      <c r="Y225" s="1">
        <v>12.5</v>
      </c>
      <c r="Z225" s="1">
        <v>3</v>
      </c>
      <c r="AA225" s="1" t="s">
        <v>6</v>
      </c>
      <c r="AB225" s="4">
        <v>1</v>
      </c>
    </row>
    <row r="226" spans="1:28" x14ac:dyDescent="0.25">
      <c r="A226" s="3">
        <v>225</v>
      </c>
      <c r="B226" s="1">
        <v>16.399999999999999</v>
      </c>
      <c r="C226" s="1">
        <v>24</v>
      </c>
      <c r="D226" s="1" t="s">
        <v>6</v>
      </c>
      <c r="E226" s="4">
        <v>5</v>
      </c>
      <c r="X226" s="5">
        <v>52</v>
      </c>
      <c r="Y226" s="2">
        <v>12.5</v>
      </c>
      <c r="Z226" s="2">
        <v>2</v>
      </c>
      <c r="AA226" s="2" t="s">
        <v>6</v>
      </c>
      <c r="AB226" s="6">
        <v>1</v>
      </c>
    </row>
    <row r="227" spans="1:28" x14ac:dyDescent="0.25">
      <c r="A227" s="5">
        <v>226</v>
      </c>
      <c r="B227" s="2">
        <v>12.3</v>
      </c>
      <c r="C227" s="2">
        <v>0</v>
      </c>
      <c r="D227" s="2" t="s">
        <v>5</v>
      </c>
      <c r="E227" s="6">
        <v>0</v>
      </c>
      <c r="X227" s="5">
        <v>64</v>
      </c>
      <c r="Y227" s="2">
        <v>20.3</v>
      </c>
      <c r="Z227" s="2">
        <v>4</v>
      </c>
      <c r="AA227" s="2" t="s">
        <v>6</v>
      </c>
      <c r="AB227" s="6">
        <v>1</v>
      </c>
    </row>
    <row r="228" spans="1:28" x14ac:dyDescent="0.25">
      <c r="A228" s="3">
        <v>227</v>
      </c>
      <c r="B228" s="1">
        <v>8.6999999999999993</v>
      </c>
      <c r="C228" s="1">
        <v>5</v>
      </c>
      <c r="D228" s="1" t="s">
        <v>7</v>
      </c>
      <c r="E228" s="4">
        <v>1</v>
      </c>
      <c r="X228" s="3">
        <v>65</v>
      </c>
      <c r="Y228" s="1">
        <v>21.8</v>
      </c>
      <c r="Z228" s="1">
        <v>6</v>
      </c>
      <c r="AA228" s="1" t="s">
        <v>6</v>
      </c>
      <c r="AB228" s="4">
        <v>1</v>
      </c>
    </row>
    <row r="229" spans="1:28" x14ac:dyDescent="0.25">
      <c r="A229" s="5">
        <v>228</v>
      </c>
      <c r="B229" s="2">
        <v>6.4</v>
      </c>
      <c r="C229" s="2">
        <v>1</v>
      </c>
      <c r="D229" s="2" t="s">
        <v>7</v>
      </c>
      <c r="E229" s="6">
        <v>1</v>
      </c>
      <c r="X229" s="5">
        <v>66</v>
      </c>
      <c r="Y229" s="2">
        <v>24</v>
      </c>
      <c r="Z229" s="2">
        <v>3</v>
      </c>
      <c r="AA229" s="2" t="s">
        <v>6</v>
      </c>
      <c r="AB229" s="6">
        <v>1</v>
      </c>
    </row>
    <row r="230" spans="1:28" x14ac:dyDescent="0.25">
      <c r="A230" s="3">
        <v>229</v>
      </c>
      <c r="B230" s="1">
        <v>5.6</v>
      </c>
      <c r="C230" s="1">
        <v>6</v>
      </c>
      <c r="D230" s="1" t="s">
        <v>7</v>
      </c>
      <c r="E230" s="4">
        <v>1</v>
      </c>
      <c r="X230" s="5">
        <v>78</v>
      </c>
      <c r="Y230" s="2">
        <v>14</v>
      </c>
      <c r="Z230" s="2">
        <v>2</v>
      </c>
      <c r="AA230" s="2" t="s">
        <v>6</v>
      </c>
      <c r="AB230" s="6">
        <v>1</v>
      </c>
    </row>
    <row r="231" spans="1:28" x14ac:dyDescent="0.25">
      <c r="A231" s="5">
        <v>230</v>
      </c>
      <c r="B231" s="2">
        <v>6.4</v>
      </c>
      <c r="C231" s="2">
        <v>12</v>
      </c>
      <c r="D231" s="2" t="s">
        <v>7</v>
      </c>
      <c r="E231" s="6">
        <v>2</v>
      </c>
      <c r="X231" s="3">
        <v>79</v>
      </c>
      <c r="Y231" s="1">
        <v>14.7</v>
      </c>
      <c r="Z231" s="1">
        <v>4</v>
      </c>
      <c r="AA231" s="1" t="s">
        <v>6</v>
      </c>
      <c r="AB231" s="4">
        <v>1</v>
      </c>
    </row>
    <row r="232" spans="1:28" x14ac:dyDescent="0.25">
      <c r="A232" s="3">
        <v>231</v>
      </c>
      <c r="B232" s="1">
        <v>8.1999999999999993</v>
      </c>
      <c r="C232" s="1">
        <v>3</v>
      </c>
      <c r="D232" s="1" t="s">
        <v>7</v>
      </c>
      <c r="E232" s="4">
        <v>2</v>
      </c>
      <c r="X232" s="3">
        <v>107</v>
      </c>
      <c r="Y232" s="1">
        <v>17.8</v>
      </c>
      <c r="Z232" s="1">
        <v>5</v>
      </c>
      <c r="AA232" s="1" t="s">
        <v>6</v>
      </c>
      <c r="AB232" s="4">
        <v>1</v>
      </c>
    </row>
    <row r="233" spans="1:28" x14ac:dyDescent="0.25">
      <c r="A233" s="5">
        <v>232</v>
      </c>
      <c r="B233" s="2">
        <v>10</v>
      </c>
      <c r="C233" s="2">
        <v>12</v>
      </c>
      <c r="D233" s="2" t="s">
        <v>7</v>
      </c>
      <c r="E233" s="6">
        <v>2</v>
      </c>
      <c r="X233" s="5">
        <v>108</v>
      </c>
      <c r="Y233" s="2">
        <v>18.899999999999999</v>
      </c>
      <c r="Z233" s="2">
        <v>3</v>
      </c>
      <c r="AA233" s="2" t="s">
        <v>6</v>
      </c>
      <c r="AB233" s="6">
        <v>1</v>
      </c>
    </row>
    <row r="234" spans="1:28" x14ac:dyDescent="0.25">
      <c r="A234" s="3">
        <v>233</v>
      </c>
      <c r="B234" s="1">
        <v>11.1</v>
      </c>
      <c r="C234" s="1">
        <v>17</v>
      </c>
      <c r="D234" s="1" t="s">
        <v>7</v>
      </c>
      <c r="E234" s="4">
        <v>3</v>
      </c>
      <c r="X234" s="3">
        <v>109</v>
      </c>
      <c r="Y234" s="1">
        <v>21.3</v>
      </c>
      <c r="Z234" s="1">
        <v>1</v>
      </c>
      <c r="AA234" s="1" t="s">
        <v>6</v>
      </c>
      <c r="AB234" s="4">
        <v>1</v>
      </c>
    </row>
    <row r="235" spans="1:28" x14ac:dyDescent="0.25">
      <c r="A235" s="5">
        <v>234</v>
      </c>
      <c r="B235" s="2">
        <v>10.9</v>
      </c>
      <c r="C235" s="2">
        <v>16</v>
      </c>
      <c r="D235" s="2" t="s">
        <v>7</v>
      </c>
      <c r="E235" s="6">
        <v>3</v>
      </c>
      <c r="X235" s="3">
        <v>121</v>
      </c>
      <c r="Y235" s="1">
        <v>19.8</v>
      </c>
      <c r="Z235" s="1">
        <v>1</v>
      </c>
      <c r="AA235" s="1" t="s">
        <v>6</v>
      </c>
      <c r="AB235" s="4">
        <v>1</v>
      </c>
    </row>
    <row r="236" spans="1:28" x14ac:dyDescent="0.25">
      <c r="A236" s="3">
        <v>235</v>
      </c>
      <c r="B236" s="1">
        <v>9.3000000000000007</v>
      </c>
      <c r="C236" s="1">
        <v>3</v>
      </c>
      <c r="D236" s="1" t="s">
        <v>7</v>
      </c>
      <c r="E236" s="4">
        <v>3</v>
      </c>
      <c r="X236" s="5">
        <v>122</v>
      </c>
      <c r="Y236" s="2">
        <v>21.4</v>
      </c>
      <c r="Z236" s="2">
        <v>1</v>
      </c>
      <c r="AA236" s="2" t="s">
        <v>6</v>
      </c>
      <c r="AB236" s="6">
        <v>1</v>
      </c>
    </row>
    <row r="237" spans="1:28" x14ac:dyDescent="0.25">
      <c r="A237" s="5">
        <v>236</v>
      </c>
      <c r="B237" s="2">
        <v>6.6</v>
      </c>
      <c r="C237" s="2">
        <v>21</v>
      </c>
      <c r="D237" s="2" t="s">
        <v>7</v>
      </c>
      <c r="E237" s="6">
        <v>4</v>
      </c>
      <c r="X237" s="3">
        <v>123</v>
      </c>
      <c r="Y237" s="1">
        <v>22</v>
      </c>
      <c r="Z237" s="1">
        <v>6</v>
      </c>
      <c r="AA237" s="1" t="s">
        <v>6</v>
      </c>
      <c r="AB237" s="4">
        <v>1</v>
      </c>
    </row>
    <row r="238" spans="1:28" x14ac:dyDescent="0.25">
      <c r="A238" s="3">
        <v>237</v>
      </c>
      <c r="B238" s="1">
        <v>3.6</v>
      </c>
      <c r="C238" s="1">
        <v>18</v>
      </c>
      <c r="D238" s="1" t="s">
        <v>7</v>
      </c>
      <c r="E238" s="4">
        <v>4</v>
      </c>
      <c r="X238" s="3">
        <v>151</v>
      </c>
      <c r="Y238" s="1">
        <v>11.3</v>
      </c>
      <c r="Z238" s="1">
        <v>6</v>
      </c>
      <c r="AA238" s="1" t="s">
        <v>6</v>
      </c>
      <c r="AB238" s="4">
        <v>1</v>
      </c>
    </row>
    <row r="239" spans="1:28" x14ac:dyDescent="0.25">
      <c r="A239" s="5">
        <v>238</v>
      </c>
      <c r="B239" s="2">
        <v>1.2</v>
      </c>
      <c r="C239" s="2">
        <v>13</v>
      </c>
      <c r="D239" s="2" t="s">
        <v>7</v>
      </c>
      <c r="E239" s="6">
        <v>4</v>
      </c>
      <c r="X239" s="5">
        <v>152</v>
      </c>
      <c r="Y239" s="2">
        <v>12.9</v>
      </c>
      <c r="Z239" s="2">
        <v>3</v>
      </c>
      <c r="AA239" s="2" t="s">
        <v>6</v>
      </c>
      <c r="AB239" s="6">
        <v>1</v>
      </c>
    </row>
    <row r="240" spans="1:28" x14ac:dyDescent="0.25">
      <c r="A240" s="3">
        <v>239</v>
      </c>
      <c r="B240" s="1">
        <v>0.2</v>
      </c>
      <c r="C240" s="1">
        <v>29</v>
      </c>
      <c r="D240" s="1" t="s">
        <v>7</v>
      </c>
      <c r="E240" s="4">
        <v>5</v>
      </c>
      <c r="X240" s="3">
        <v>153</v>
      </c>
      <c r="Y240" s="1">
        <v>16</v>
      </c>
      <c r="Z240" s="1">
        <v>6</v>
      </c>
      <c r="AA240" s="1" t="s">
        <v>6</v>
      </c>
      <c r="AB240" s="4">
        <v>1</v>
      </c>
    </row>
    <row r="241" spans="1:30" x14ac:dyDescent="0.25">
      <c r="A241" s="5">
        <v>240</v>
      </c>
      <c r="B241" s="2">
        <v>0.9</v>
      </c>
      <c r="C241" s="2">
        <v>0</v>
      </c>
      <c r="D241" s="2" t="s">
        <v>5</v>
      </c>
      <c r="E241" s="6">
        <v>0</v>
      </c>
      <c r="X241" s="3">
        <v>179</v>
      </c>
      <c r="Y241" s="1">
        <v>15.1</v>
      </c>
      <c r="Z241" s="1">
        <v>1</v>
      </c>
      <c r="AA241" s="1" t="s">
        <v>6</v>
      </c>
      <c r="AB241" s="4">
        <v>1</v>
      </c>
    </row>
    <row r="242" spans="1:30" x14ac:dyDescent="0.25">
      <c r="A242" s="3">
        <v>241</v>
      </c>
      <c r="B242" s="1">
        <v>3.2</v>
      </c>
      <c r="C242" s="1">
        <v>6</v>
      </c>
      <c r="D242" s="1" t="s">
        <v>7</v>
      </c>
      <c r="E242" s="4">
        <v>1</v>
      </c>
      <c r="X242" s="5">
        <v>180</v>
      </c>
      <c r="Y242" s="2">
        <v>12.9</v>
      </c>
      <c r="Z242" s="2">
        <v>1</v>
      </c>
      <c r="AA242" s="2" t="s">
        <v>6</v>
      </c>
      <c r="AB242" s="6">
        <v>1</v>
      </c>
    </row>
    <row r="243" spans="1:30" x14ac:dyDescent="0.25">
      <c r="A243" s="5">
        <v>242</v>
      </c>
      <c r="B243" s="2">
        <v>6.6</v>
      </c>
      <c r="C243" s="2">
        <v>5</v>
      </c>
      <c r="D243" s="2" t="s">
        <v>7</v>
      </c>
      <c r="E243" s="6">
        <v>1</v>
      </c>
      <c r="X243" s="3">
        <v>181</v>
      </c>
      <c r="Y243" s="1">
        <v>9.6</v>
      </c>
      <c r="Z243" s="1">
        <v>1</v>
      </c>
      <c r="AA243" s="1" t="s">
        <v>6</v>
      </c>
      <c r="AB243" s="4">
        <v>1</v>
      </c>
    </row>
    <row r="244" spans="1:30" x14ac:dyDescent="0.25">
      <c r="A244" s="3">
        <v>243</v>
      </c>
      <c r="B244" s="1">
        <v>10</v>
      </c>
      <c r="C244" s="1">
        <v>2</v>
      </c>
      <c r="D244" s="1" t="s">
        <v>7</v>
      </c>
      <c r="E244" s="4">
        <v>1</v>
      </c>
      <c r="X244" s="5">
        <v>212</v>
      </c>
      <c r="Y244" s="2">
        <v>29.9</v>
      </c>
      <c r="Z244" s="2">
        <v>2</v>
      </c>
      <c r="AA244" s="2" t="s">
        <v>6</v>
      </c>
      <c r="AB244" s="6">
        <v>1</v>
      </c>
    </row>
    <row r="245" spans="1:30" x14ac:dyDescent="0.25">
      <c r="A245" s="5">
        <v>244</v>
      </c>
      <c r="B245" s="2">
        <v>12.7</v>
      </c>
      <c r="C245" s="2">
        <v>8</v>
      </c>
      <c r="D245" s="2" t="s">
        <v>7</v>
      </c>
      <c r="E245" s="6">
        <v>2</v>
      </c>
      <c r="X245" s="3">
        <v>213</v>
      </c>
      <c r="Y245" s="1">
        <v>28.8</v>
      </c>
      <c r="Z245" s="1">
        <v>4</v>
      </c>
      <c r="AA245" s="1" t="s">
        <v>6</v>
      </c>
      <c r="AB245" s="4">
        <v>1</v>
      </c>
    </row>
    <row r="246" spans="1:30" x14ac:dyDescent="0.25">
      <c r="A246" s="3">
        <v>245</v>
      </c>
      <c r="B246" s="1">
        <v>14.1</v>
      </c>
      <c r="C246" s="1">
        <v>1</v>
      </c>
      <c r="D246" s="1" t="s">
        <v>7</v>
      </c>
      <c r="E246" s="4">
        <v>2</v>
      </c>
      <c r="X246" s="5">
        <v>214</v>
      </c>
      <c r="Y246" s="2">
        <v>26.2</v>
      </c>
      <c r="Z246" s="2">
        <v>2</v>
      </c>
      <c r="AA246" s="2" t="s">
        <v>6</v>
      </c>
      <c r="AB246" s="6">
        <v>1</v>
      </c>
    </row>
    <row r="247" spans="1:30" x14ac:dyDescent="0.25">
      <c r="A247" s="5">
        <v>246</v>
      </c>
      <c r="B247" s="2">
        <v>14</v>
      </c>
      <c r="C247" s="2">
        <v>11</v>
      </c>
      <c r="D247" s="2" t="s">
        <v>7</v>
      </c>
      <c r="E247" s="6">
        <v>2</v>
      </c>
      <c r="X247" s="3">
        <v>215</v>
      </c>
      <c r="Y247" s="1">
        <v>23.1</v>
      </c>
      <c r="Z247" s="1">
        <v>11</v>
      </c>
      <c r="AA247" s="1" t="s">
        <v>6</v>
      </c>
      <c r="AB247" s="4">
        <v>1</v>
      </c>
    </row>
    <row r="248" spans="1:30" x14ac:dyDescent="0.25">
      <c r="A248" s="3">
        <v>247</v>
      </c>
      <c r="B248" s="1">
        <v>12.7</v>
      </c>
      <c r="C248" s="1">
        <v>13</v>
      </c>
      <c r="D248" s="1" t="s">
        <v>7</v>
      </c>
      <c r="E248" s="4">
        <v>3</v>
      </c>
      <c r="X248" s="3">
        <v>255</v>
      </c>
      <c r="Y248" s="1">
        <v>25.4</v>
      </c>
      <c r="Z248" s="1">
        <v>3</v>
      </c>
      <c r="AA248" s="1" t="s">
        <v>6</v>
      </c>
      <c r="AB248" s="4">
        <v>1</v>
      </c>
    </row>
    <row r="249" spans="1:30" x14ac:dyDescent="0.25">
      <c r="A249" s="5">
        <v>248</v>
      </c>
      <c r="B249" s="2">
        <v>11.1</v>
      </c>
      <c r="C249" s="2">
        <v>18</v>
      </c>
      <c r="D249" s="2" t="s">
        <v>7</v>
      </c>
      <c r="E249" s="6">
        <v>3</v>
      </c>
      <c r="X249" s="5">
        <v>256</v>
      </c>
      <c r="Y249" s="2">
        <v>26.8</v>
      </c>
      <c r="Z249" s="2">
        <v>5</v>
      </c>
      <c r="AA249" s="2" t="s">
        <v>6</v>
      </c>
      <c r="AB249" s="6">
        <v>1</v>
      </c>
    </row>
    <row r="250" spans="1:30" x14ac:dyDescent="0.25">
      <c r="A250" s="3">
        <v>249</v>
      </c>
      <c r="B250" s="1">
        <v>10</v>
      </c>
      <c r="C250" s="1">
        <v>15</v>
      </c>
      <c r="D250" s="1" t="s">
        <v>7</v>
      </c>
      <c r="E250" s="4">
        <v>3</v>
      </c>
      <c r="X250" s="3">
        <v>257</v>
      </c>
      <c r="Y250" s="1">
        <v>26.5</v>
      </c>
      <c r="Z250" s="1">
        <v>5</v>
      </c>
      <c r="AA250" s="1" t="s">
        <v>6</v>
      </c>
      <c r="AB250" s="4">
        <v>1</v>
      </c>
    </row>
    <row r="251" spans="1:30" x14ac:dyDescent="0.25">
      <c r="A251" s="5">
        <v>250</v>
      </c>
      <c r="B251" s="2">
        <v>10.1</v>
      </c>
      <c r="C251" s="2">
        <v>12</v>
      </c>
      <c r="D251" s="2" t="s">
        <v>7</v>
      </c>
      <c r="E251" s="6">
        <v>4</v>
      </c>
      <c r="X251" s="3">
        <v>269</v>
      </c>
      <c r="Y251" s="1">
        <v>23.3</v>
      </c>
      <c r="Z251" s="1">
        <v>4</v>
      </c>
      <c r="AA251" s="1" t="s">
        <v>6</v>
      </c>
      <c r="AB251" s="4">
        <v>1</v>
      </c>
    </row>
    <row r="252" spans="1:30" x14ac:dyDescent="0.25">
      <c r="A252" s="3">
        <v>251</v>
      </c>
      <c r="B252" s="1">
        <v>11.7</v>
      </c>
      <c r="C252" s="1">
        <v>2</v>
      </c>
      <c r="D252" s="1" t="s">
        <v>7</v>
      </c>
      <c r="E252" s="4">
        <v>4</v>
      </c>
      <c r="X252" s="5">
        <v>270</v>
      </c>
      <c r="Y252" s="2">
        <v>19.5</v>
      </c>
      <c r="Z252" s="2">
        <v>6</v>
      </c>
      <c r="AA252" s="2" t="s">
        <v>6</v>
      </c>
      <c r="AB252" s="6">
        <v>1</v>
      </c>
    </row>
    <row r="253" spans="1:30" x14ac:dyDescent="0.25">
      <c r="A253" s="5">
        <v>252</v>
      </c>
      <c r="B253" s="2">
        <v>14.8</v>
      </c>
      <c r="C253" s="2">
        <v>21</v>
      </c>
      <c r="D253" s="2" t="s">
        <v>7</v>
      </c>
      <c r="E253" s="6">
        <v>4</v>
      </c>
      <c r="X253" s="3">
        <v>271</v>
      </c>
      <c r="Y253" s="1">
        <v>16</v>
      </c>
      <c r="Z253" s="1">
        <v>6</v>
      </c>
      <c r="AA253" s="1" t="s">
        <v>6</v>
      </c>
      <c r="AB253" s="4">
        <v>1</v>
      </c>
    </row>
    <row r="254" spans="1:30" x14ac:dyDescent="0.25">
      <c r="A254" s="3">
        <v>253</v>
      </c>
      <c r="B254" s="1">
        <v>18.7</v>
      </c>
      <c r="C254" s="1">
        <v>28</v>
      </c>
      <c r="D254" s="1" t="s">
        <v>7</v>
      </c>
      <c r="E254" s="4">
        <v>5</v>
      </c>
      <c r="X254" s="5">
        <v>300</v>
      </c>
      <c r="Y254" s="2">
        <v>19.899999999999999</v>
      </c>
      <c r="Z254" s="2">
        <v>5</v>
      </c>
      <c r="AA254" s="2" t="s">
        <v>6</v>
      </c>
      <c r="AB254" s="6">
        <v>1</v>
      </c>
    </row>
    <row r="255" spans="1:30" x14ac:dyDescent="0.25">
      <c r="A255" s="5">
        <v>254</v>
      </c>
      <c r="B255" s="2">
        <v>22.5</v>
      </c>
      <c r="C255" s="2">
        <v>0</v>
      </c>
      <c r="D255" s="2" t="s">
        <v>5</v>
      </c>
      <c r="E255" s="6">
        <v>0</v>
      </c>
    </row>
    <row r="256" spans="1:30" x14ac:dyDescent="0.25">
      <c r="A256" s="3">
        <v>255</v>
      </c>
      <c r="B256" s="1">
        <v>25.4</v>
      </c>
      <c r="C256" s="1">
        <v>3</v>
      </c>
      <c r="D256" s="1" t="s">
        <v>6</v>
      </c>
      <c r="E256" s="4">
        <v>1</v>
      </c>
      <c r="W256" s="11"/>
      <c r="X256" s="11"/>
      <c r="Y256" s="11"/>
      <c r="Z256" s="11"/>
      <c r="AA256" s="11"/>
      <c r="AB256" s="11"/>
      <c r="AC256" s="11"/>
      <c r="AD256" s="11"/>
    </row>
    <row r="257" spans="1:30" x14ac:dyDescent="0.25">
      <c r="A257" s="5">
        <v>256</v>
      </c>
      <c r="B257" s="2">
        <v>26.8</v>
      </c>
      <c r="C257" s="2">
        <v>5</v>
      </c>
      <c r="D257" s="2" t="s">
        <v>6</v>
      </c>
      <c r="E257" s="6">
        <v>1</v>
      </c>
      <c r="W257" s="11"/>
      <c r="X257" s="11"/>
      <c r="Y257" s="11"/>
      <c r="Z257" s="11"/>
      <c r="AA257" s="11"/>
      <c r="AB257" s="11"/>
      <c r="AC257" s="11"/>
      <c r="AD257" s="11"/>
    </row>
    <row r="258" spans="1:30" x14ac:dyDescent="0.25">
      <c r="A258" s="3">
        <v>257</v>
      </c>
      <c r="B258" s="1">
        <v>26.5</v>
      </c>
      <c r="C258" s="1">
        <v>5</v>
      </c>
      <c r="D258" s="1" t="s">
        <v>6</v>
      </c>
      <c r="E258" s="4">
        <v>1</v>
      </c>
      <c r="W258" s="11"/>
      <c r="X258" s="11"/>
      <c r="Y258" s="11"/>
      <c r="Z258" s="11"/>
      <c r="AA258" s="11"/>
      <c r="AB258" s="11"/>
      <c r="AC258" s="11"/>
      <c r="AD258" s="11"/>
    </row>
    <row r="259" spans="1:30" x14ac:dyDescent="0.25">
      <c r="A259" s="5">
        <v>258</v>
      </c>
      <c r="B259" s="2">
        <v>24.9</v>
      </c>
      <c r="C259" s="2">
        <v>7</v>
      </c>
      <c r="D259" s="2" t="s">
        <v>6</v>
      </c>
      <c r="E259" s="6">
        <v>2</v>
      </c>
    </row>
    <row r="260" spans="1:30" x14ac:dyDescent="0.25">
      <c r="A260" s="3">
        <v>259</v>
      </c>
      <c r="B260" s="1">
        <v>22.6</v>
      </c>
      <c r="C260" s="1">
        <v>1</v>
      </c>
      <c r="D260" s="1" t="s">
        <v>6</v>
      </c>
      <c r="E260" s="4">
        <v>2</v>
      </c>
    </row>
    <row r="261" spans="1:30" x14ac:dyDescent="0.25">
      <c r="A261" s="5">
        <v>260</v>
      </c>
      <c r="B261" s="2">
        <v>20.7</v>
      </c>
      <c r="C261" s="2">
        <v>6</v>
      </c>
      <c r="D261" s="2" t="s">
        <v>6</v>
      </c>
      <c r="E261" s="6">
        <v>2</v>
      </c>
    </row>
    <row r="262" spans="1:30" x14ac:dyDescent="0.25">
      <c r="A262" s="3">
        <v>261</v>
      </c>
      <c r="B262" s="1">
        <v>19.899999999999999</v>
      </c>
      <c r="C262" s="1">
        <v>6</v>
      </c>
      <c r="D262" s="1" t="s">
        <v>6</v>
      </c>
      <c r="E262" s="4">
        <v>3</v>
      </c>
    </row>
    <row r="263" spans="1:30" x14ac:dyDescent="0.25">
      <c r="A263" s="5">
        <v>262</v>
      </c>
      <c r="B263" s="2">
        <v>20.399999999999999</v>
      </c>
      <c r="C263" s="2">
        <v>10</v>
      </c>
      <c r="D263" s="2" t="s">
        <v>6</v>
      </c>
      <c r="E263" s="6">
        <v>3</v>
      </c>
    </row>
    <row r="264" spans="1:30" x14ac:dyDescent="0.25">
      <c r="A264" s="3">
        <v>263</v>
      </c>
      <c r="B264" s="1">
        <v>22.3</v>
      </c>
      <c r="C264" s="1">
        <v>16</v>
      </c>
      <c r="D264" s="1" t="s">
        <v>6</v>
      </c>
      <c r="E264" s="4">
        <v>3</v>
      </c>
    </row>
    <row r="265" spans="1:30" x14ac:dyDescent="0.25">
      <c r="A265" s="5">
        <v>264</v>
      </c>
      <c r="B265" s="2">
        <v>24.8</v>
      </c>
      <c r="C265" s="2">
        <v>9</v>
      </c>
      <c r="D265" s="2" t="s">
        <v>6</v>
      </c>
      <c r="E265" s="6">
        <v>4</v>
      </c>
    </row>
    <row r="266" spans="1:30" x14ac:dyDescent="0.25">
      <c r="A266" s="3">
        <v>265</v>
      </c>
      <c r="B266" s="1">
        <v>27.2</v>
      </c>
      <c r="C266" s="1">
        <v>18</v>
      </c>
      <c r="D266" s="1" t="s">
        <v>6</v>
      </c>
      <c r="E266" s="4">
        <v>4</v>
      </c>
    </row>
    <row r="267" spans="1:30" x14ac:dyDescent="0.25">
      <c r="A267" s="5">
        <v>266</v>
      </c>
      <c r="B267" s="2">
        <v>28.6</v>
      </c>
      <c r="C267" s="2">
        <v>4</v>
      </c>
      <c r="D267" s="2" t="s">
        <v>6</v>
      </c>
      <c r="E267" s="6">
        <v>4</v>
      </c>
    </row>
    <row r="268" spans="1:30" x14ac:dyDescent="0.25">
      <c r="A268" s="3">
        <v>267</v>
      </c>
      <c r="B268" s="1">
        <v>28.4</v>
      </c>
      <c r="C268" s="1">
        <v>22</v>
      </c>
      <c r="D268" s="1" t="s">
        <v>6</v>
      </c>
      <c r="E268" s="4">
        <v>5</v>
      </c>
    </row>
    <row r="269" spans="1:30" x14ac:dyDescent="0.25">
      <c r="A269" s="5">
        <v>268</v>
      </c>
      <c r="B269" s="2">
        <v>26.5</v>
      </c>
      <c r="C269" s="2">
        <v>0</v>
      </c>
      <c r="D269" s="2" t="s">
        <v>5</v>
      </c>
      <c r="E269" s="6">
        <v>0</v>
      </c>
    </row>
    <row r="270" spans="1:30" x14ac:dyDescent="0.25">
      <c r="A270" s="3">
        <v>269</v>
      </c>
      <c r="B270" s="1">
        <v>23.3</v>
      </c>
      <c r="C270" s="1">
        <v>4</v>
      </c>
      <c r="D270" s="1" t="s">
        <v>6</v>
      </c>
      <c r="E270" s="4">
        <v>1</v>
      </c>
      <c r="W270" s="11"/>
      <c r="X270" s="11"/>
      <c r="Y270" s="11"/>
      <c r="Z270" s="11"/>
      <c r="AA270" s="11"/>
      <c r="AB270" s="11"/>
      <c r="AC270" s="11"/>
      <c r="AD270" s="11"/>
    </row>
    <row r="271" spans="1:30" x14ac:dyDescent="0.25">
      <c r="A271" s="5">
        <v>270</v>
      </c>
      <c r="B271" s="2">
        <v>19.5</v>
      </c>
      <c r="C271" s="2">
        <v>6</v>
      </c>
      <c r="D271" s="2" t="s">
        <v>6</v>
      </c>
      <c r="E271" s="6">
        <v>1</v>
      </c>
      <c r="W271" s="11"/>
      <c r="X271" s="11"/>
      <c r="Y271" s="11"/>
      <c r="Z271" s="11"/>
      <c r="AA271" s="11"/>
      <c r="AB271" s="11"/>
      <c r="AC271" s="11"/>
      <c r="AD271" s="11"/>
    </row>
    <row r="272" spans="1:30" x14ac:dyDescent="0.25">
      <c r="A272" s="3">
        <v>271</v>
      </c>
      <c r="B272" s="1">
        <v>16</v>
      </c>
      <c r="C272" s="1">
        <v>6</v>
      </c>
      <c r="D272" s="1" t="s">
        <v>6</v>
      </c>
      <c r="E272" s="4">
        <v>1</v>
      </c>
    </row>
    <row r="273" spans="1:5" x14ac:dyDescent="0.25">
      <c r="A273" s="5">
        <v>272</v>
      </c>
      <c r="B273" s="2">
        <v>13.7</v>
      </c>
      <c r="C273" s="2">
        <v>9</v>
      </c>
      <c r="D273" s="2" t="s">
        <v>6</v>
      </c>
      <c r="E273" s="6">
        <v>2</v>
      </c>
    </row>
    <row r="274" spans="1:5" x14ac:dyDescent="0.25">
      <c r="A274" s="3">
        <v>273</v>
      </c>
      <c r="B274" s="1">
        <v>12.9</v>
      </c>
      <c r="C274" s="1">
        <v>7</v>
      </c>
      <c r="D274" s="1" t="s">
        <v>6</v>
      </c>
      <c r="E274" s="4">
        <v>2</v>
      </c>
    </row>
    <row r="275" spans="1:5" x14ac:dyDescent="0.25">
      <c r="A275" s="5">
        <v>274</v>
      </c>
      <c r="B275" s="2">
        <v>13.5</v>
      </c>
      <c r="C275" s="2">
        <v>1</v>
      </c>
      <c r="D275" s="2" t="s">
        <v>6</v>
      </c>
      <c r="E275" s="6">
        <v>2</v>
      </c>
    </row>
    <row r="276" spans="1:5" x14ac:dyDescent="0.25">
      <c r="A276" s="3">
        <v>275</v>
      </c>
      <c r="B276" s="1">
        <v>15</v>
      </c>
      <c r="C276" s="1">
        <v>18</v>
      </c>
      <c r="D276" s="1" t="s">
        <v>6</v>
      </c>
      <c r="E276" s="4">
        <v>3</v>
      </c>
    </row>
    <row r="277" spans="1:5" x14ac:dyDescent="0.25">
      <c r="A277" s="5">
        <v>276</v>
      </c>
      <c r="B277" s="2">
        <v>16.399999999999999</v>
      </c>
      <c r="C277" s="2">
        <v>13</v>
      </c>
      <c r="D277" s="2" t="s">
        <v>6</v>
      </c>
      <c r="E277" s="6">
        <v>3</v>
      </c>
    </row>
    <row r="278" spans="1:5" x14ac:dyDescent="0.25">
      <c r="A278" s="3">
        <v>277</v>
      </c>
      <c r="B278" s="1">
        <v>17.100000000000001</v>
      </c>
      <c r="C278" s="1">
        <v>2</v>
      </c>
      <c r="D278" s="1" t="s">
        <v>6</v>
      </c>
      <c r="E278" s="4">
        <v>3</v>
      </c>
    </row>
    <row r="279" spans="1:5" x14ac:dyDescent="0.25">
      <c r="A279" s="5">
        <v>278</v>
      </c>
      <c r="B279" s="2">
        <v>16.3</v>
      </c>
      <c r="C279" s="2">
        <v>10</v>
      </c>
      <c r="D279" s="2" t="s">
        <v>6</v>
      </c>
      <c r="E279" s="6">
        <v>4</v>
      </c>
    </row>
    <row r="280" spans="1:5" x14ac:dyDescent="0.25">
      <c r="A280" s="3">
        <v>279</v>
      </c>
      <c r="B280" s="1">
        <v>14</v>
      </c>
      <c r="C280" s="1">
        <v>6</v>
      </c>
      <c r="D280" s="1" t="s">
        <v>6</v>
      </c>
      <c r="E280" s="4">
        <v>4</v>
      </c>
    </row>
    <row r="281" spans="1:5" x14ac:dyDescent="0.25">
      <c r="A281" s="5">
        <v>280</v>
      </c>
      <c r="B281" s="2">
        <v>10.5</v>
      </c>
      <c r="C281" s="2">
        <v>20</v>
      </c>
      <c r="D281" s="2" t="s">
        <v>6</v>
      </c>
      <c r="E281" s="6">
        <v>4</v>
      </c>
    </row>
    <row r="282" spans="1:5" x14ac:dyDescent="0.25">
      <c r="A282" s="3">
        <v>281</v>
      </c>
      <c r="B282" s="1">
        <v>6.7</v>
      </c>
      <c r="C282" s="1">
        <v>17</v>
      </c>
      <c r="D282" s="1" t="s">
        <v>6</v>
      </c>
      <c r="E282" s="4">
        <v>5</v>
      </c>
    </row>
    <row r="283" spans="1:5" x14ac:dyDescent="0.25">
      <c r="A283" s="5">
        <v>282</v>
      </c>
      <c r="B283" s="2">
        <v>3.5</v>
      </c>
      <c r="C283" s="2">
        <v>13</v>
      </c>
      <c r="D283" s="2" t="s">
        <v>6</v>
      </c>
      <c r="E283" s="6">
        <v>5</v>
      </c>
    </row>
    <row r="284" spans="1:5" x14ac:dyDescent="0.25">
      <c r="A284" s="3">
        <v>283</v>
      </c>
      <c r="B284" s="1">
        <v>1.6</v>
      </c>
      <c r="C284" s="1">
        <v>18</v>
      </c>
      <c r="D284" s="1" t="s">
        <v>6</v>
      </c>
      <c r="E284" s="4">
        <v>5</v>
      </c>
    </row>
    <row r="285" spans="1:5" x14ac:dyDescent="0.25">
      <c r="A285" s="5">
        <v>284</v>
      </c>
      <c r="B285" s="2">
        <v>1.4</v>
      </c>
      <c r="C285" s="2">
        <v>20</v>
      </c>
      <c r="D285" s="2" t="s">
        <v>6</v>
      </c>
      <c r="E285" s="6">
        <v>5</v>
      </c>
    </row>
    <row r="286" spans="1:5" x14ac:dyDescent="0.25">
      <c r="A286" s="3">
        <v>285</v>
      </c>
      <c r="B286" s="1">
        <v>2.8</v>
      </c>
      <c r="C286" s="1">
        <v>0</v>
      </c>
      <c r="D286" s="1" t="s">
        <v>5</v>
      </c>
      <c r="E286" s="4">
        <v>0</v>
      </c>
    </row>
    <row r="287" spans="1:5" x14ac:dyDescent="0.25">
      <c r="A287" s="5">
        <v>286</v>
      </c>
      <c r="B287" s="2">
        <v>5.2</v>
      </c>
      <c r="C287" s="2">
        <v>6</v>
      </c>
      <c r="D287" s="2" t="s">
        <v>7</v>
      </c>
      <c r="E287" s="6">
        <v>1</v>
      </c>
    </row>
    <row r="288" spans="1:5" x14ac:dyDescent="0.25">
      <c r="A288" s="3">
        <v>287</v>
      </c>
      <c r="B288" s="1">
        <v>7.7</v>
      </c>
      <c r="C288" s="1">
        <v>5</v>
      </c>
      <c r="D288" s="1" t="s">
        <v>7</v>
      </c>
      <c r="E288" s="4">
        <v>1</v>
      </c>
    </row>
    <row r="289" spans="1:5" x14ac:dyDescent="0.25">
      <c r="A289" s="5">
        <v>288</v>
      </c>
      <c r="B289" s="2">
        <v>9.6</v>
      </c>
      <c r="C289" s="2">
        <v>1</v>
      </c>
      <c r="D289" s="2" t="s">
        <v>7</v>
      </c>
      <c r="E289" s="6">
        <v>1</v>
      </c>
    </row>
    <row r="290" spans="1:5" x14ac:dyDescent="0.25">
      <c r="A290" s="3">
        <v>289</v>
      </c>
      <c r="B290" s="1">
        <v>10.1</v>
      </c>
      <c r="C290" s="1">
        <v>8</v>
      </c>
      <c r="D290" s="1" t="s">
        <v>7</v>
      </c>
      <c r="E290" s="4">
        <v>2</v>
      </c>
    </row>
    <row r="291" spans="1:5" x14ac:dyDescent="0.25">
      <c r="A291" s="5">
        <v>290</v>
      </c>
      <c r="B291" s="2">
        <v>9.3000000000000007</v>
      </c>
      <c r="C291" s="2">
        <v>3</v>
      </c>
      <c r="D291" s="2" t="s">
        <v>7</v>
      </c>
      <c r="E291" s="6">
        <v>2</v>
      </c>
    </row>
    <row r="292" spans="1:5" x14ac:dyDescent="0.25">
      <c r="A292" s="3">
        <v>291</v>
      </c>
      <c r="B292" s="1">
        <v>7.4</v>
      </c>
      <c r="C292" s="1">
        <v>5</v>
      </c>
      <c r="D292" s="1" t="s">
        <v>7</v>
      </c>
      <c r="E292" s="4">
        <v>2</v>
      </c>
    </row>
    <row r="293" spans="1:5" x14ac:dyDescent="0.25">
      <c r="A293" s="5">
        <v>292</v>
      </c>
      <c r="B293" s="2">
        <v>5.0999999999999996</v>
      </c>
      <c r="C293" s="2">
        <v>17</v>
      </c>
      <c r="D293" s="2" t="s">
        <v>7</v>
      </c>
      <c r="E293" s="6">
        <v>3</v>
      </c>
    </row>
    <row r="294" spans="1:5" x14ac:dyDescent="0.25">
      <c r="A294" s="3">
        <v>293</v>
      </c>
      <c r="B294" s="1">
        <v>3.5</v>
      </c>
      <c r="C294" s="1">
        <v>9</v>
      </c>
      <c r="D294" s="1" t="s">
        <v>7</v>
      </c>
      <c r="E294" s="4">
        <v>3</v>
      </c>
    </row>
    <row r="295" spans="1:5" x14ac:dyDescent="0.25">
      <c r="A295" s="5">
        <v>294</v>
      </c>
      <c r="B295" s="2">
        <v>3.2</v>
      </c>
      <c r="C295" s="2">
        <v>4</v>
      </c>
      <c r="D295" s="2" t="s">
        <v>7</v>
      </c>
      <c r="E295" s="6">
        <v>3</v>
      </c>
    </row>
    <row r="296" spans="1:5" x14ac:dyDescent="0.25">
      <c r="A296" s="3">
        <v>295</v>
      </c>
      <c r="B296" s="1">
        <v>4.5999999999999996</v>
      </c>
      <c r="C296" s="1">
        <v>24</v>
      </c>
      <c r="D296" s="1" t="s">
        <v>7</v>
      </c>
      <c r="E296" s="4">
        <v>4</v>
      </c>
    </row>
    <row r="297" spans="1:5" x14ac:dyDescent="0.25">
      <c r="A297" s="5">
        <v>296</v>
      </c>
      <c r="B297" s="2">
        <v>7.5</v>
      </c>
      <c r="C297" s="2">
        <v>21</v>
      </c>
      <c r="D297" s="2" t="s">
        <v>7</v>
      </c>
      <c r="E297" s="6">
        <v>4</v>
      </c>
    </row>
    <row r="298" spans="1:5" x14ac:dyDescent="0.25">
      <c r="A298" s="3">
        <v>297</v>
      </c>
      <c r="B298" s="1">
        <v>11.3</v>
      </c>
      <c r="C298" s="1">
        <v>8</v>
      </c>
      <c r="D298" s="1" t="s">
        <v>7</v>
      </c>
      <c r="E298" s="4">
        <v>5</v>
      </c>
    </row>
    <row r="299" spans="1:5" x14ac:dyDescent="0.25">
      <c r="A299" s="5">
        <v>298</v>
      </c>
      <c r="B299" s="2">
        <v>15.2</v>
      </c>
      <c r="C299" s="2">
        <v>23</v>
      </c>
      <c r="D299" s="2" t="s">
        <v>7</v>
      </c>
      <c r="E299" s="6">
        <v>5</v>
      </c>
    </row>
    <row r="300" spans="1:5" x14ac:dyDescent="0.25">
      <c r="A300" s="3">
        <v>299</v>
      </c>
      <c r="B300" s="1">
        <v>18.3</v>
      </c>
      <c r="C300" s="1">
        <v>0</v>
      </c>
      <c r="D300" s="1" t="s">
        <v>5</v>
      </c>
      <c r="E300" s="4">
        <v>0</v>
      </c>
    </row>
    <row r="301" spans="1:5" x14ac:dyDescent="0.25">
      <c r="A301" s="5">
        <v>300</v>
      </c>
      <c r="B301" s="2">
        <v>19.899999999999999</v>
      </c>
      <c r="C301" s="2">
        <v>5</v>
      </c>
      <c r="D301" s="2" t="s">
        <v>6</v>
      </c>
      <c r="E301" s="6">
        <v>1</v>
      </c>
    </row>
  </sheetData>
  <autoFilter ref="A1:E301" xr:uid="{989EA1F5-18B9-4431-9D90-551451F14F28}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AE30-C632-4805-8A15-F8727E91AE19}">
  <dimension ref="A1:J504"/>
  <sheetViews>
    <sheetView topLeftCell="A287" zoomScale="145" zoomScaleNormal="145" workbookViewId="0">
      <selection activeCell="D1" sqref="D1:D301"/>
    </sheetView>
  </sheetViews>
  <sheetFormatPr defaultRowHeight="15" x14ac:dyDescent="0.25"/>
  <cols>
    <col min="1" max="1" width="8.42578125" bestFit="1" customWidth="1"/>
    <col min="2" max="2" width="14.7109375" bestFit="1" customWidth="1"/>
    <col min="3" max="3" width="8" bestFit="1" customWidth="1"/>
    <col min="4" max="4" width="16.140625" bestFit="1" customWidth="1"/>
    <col min="5" max="5" width="16.28515625" customWidth="1"/>
    <col min="9" max="9" width="15.85546875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25">
      <c r="A2">
        <v>1</v>
      </c>
      <c r="B2">
        <v>19</v>
      </c>
      <c r="C2">
        <v>0</v>
      </c>
      <c r="D2">
        <v>0</v>
      </c>
      <c r="E2">
        <v>0</v>
      </c>
    </row>
    <row r="3" spans="1:10" x14ac:dyDescent="0.25">
      <c r="A3">
        <v>2</v>
      </c>
      <c r="B3">
        <v>22</v>
      </c>
      <c r="C3">
        <v>1</v>
      </c>
      <c r="D3" t="str">
        <f>IF(E3=0,0,IF(E2&gt;0,D2,IF(B3&gt;=10,"C","S")))</f>
        <v>C</v>
      </c>
      <c r="E3">
        <f>IF(E2=0,1,IF(AND(E2=5,C2&gt;=20),0,IF(AND(E2=#REF!,E2&lt;5),E2+1,E2)))</f>
        <v>1</v>
      </c>
    </row>
    <row r="4" spans="1:10" x14ac:dyDescent="0.25">
      <c r="A4">
        <v>3</v>
      </c>
      <c r="B4">
        <v>23.6</v>
      </c>
      <c r="C4">
        <v>4</v>
      </c>
      <c r="D4" t="str">
        <f t="shared" ref="D4:D67" si="0">IF(E4=0,0,IF(E3&gt;0,D3,IF(B4&gt;=10,"C","S")))</f>
        <v>C</v>
      </c>
      <c r="E4">
        <f t="shared" ref="E4" si="1">IF(E3=0,1,IF(AND(E3=5,C3&gt;=20),0,IF(AND(E3=E1,E3&lt;5),E3+1,E3)))</f>
        <v>1</v>
      </c>
      <c r="I4" t="s">
        <v>521</v>
      </c>
    </row>
    <row r="5" spans="1:10" x14ac:dyDescent="0.25">
      <c r="A5">
        <v>4</v>
      </c>
      <c r="B5">
        <v>23.6</v>
      </c>
      <c r="C5">
        <v>4</v>
      </c>
      <c r="D5" t="str">
        <f t="shared" si="0"/>
        <v>C</v>
      </c>
      <c r="E5">
        <f>IF(E4=0,1,IF(AND(E4=5,C4&gt;=20),0,IF(AND(E4=E2,E4&lt;5),E4+1,E4)))</f>
        <v>1</v>
      </c>
      <c r="I5" t="s">
        <v>4</v>
      </c>
      <c r="J5" t="s">
        <v>522</v>
      </c>
    </row>
    <row r="6" spans="1:10" x14ac:dyDescent="0.25">
      <c r="A6">
        <v>5</v>
      </c>
      <c r="B6">
        <v>22.3</v>
      </c>
      <c r="C6">
        <v>10</v>
      </c>
      <c r="D6" t="str">
        <f t="shared" si="0"/>
        <v>C</v>
      </c>
      <c r="E6">
        <f t="shared" ref="E6:E69" si="2">IF(E5=0,1,IF(AND(E5=5,C5&gt;=20),0,IF(AND(E5=E3,E5&lt;5),E5+1,E5)))</f>
        <v>2</v>
      </c>
      <c r="I6">
        <v>0</v>
      </c>
      <c r="J6">
        <f t="shared" ref="J6:J11" si="3">COUNTIF(E2:E501,I6)</f>
        <v>34</v>
      </c>
    </row>
    <row r="7" spans="1:10" x14ac:dyDescent="0.25">
      <c r="A7">
        <v>6</v>
      </c>
      <c r="B7">
        <v>20.399999999999999</v>
      </c>
      <c r="C7">
        <v>8</v>
      </c>
      <c r="D7" t="str">
        <f t="shared" si="0"/>
        <v>C</v>
      </c>
      <c r="E7">
        <f t="shared" si="2"/>
        <v>2</v>
      </c>
      <c r="I7">
        <v>1</v>
      </c>
      <c r="J7">
        <f t="shared" si="3"/>
        <v>102</v>
      </c>
    </row>
    <row r="8" spans="1:10" x14ac:dyDescent="0.25">
      <c r="A8">
        <v>7</v>
      </c>
      <c r="B8">
        <v>18.899999999999999</v>
      </c>
      <c r="C8">
        <v>10</v>
      </c>
      <c r="D8" t="str">
        <f t="shared" si="0"/>
        <v>C</v>
      </c>
      <c r="E8">
        <f t="shared" si="2"/>
        <v>2</v>
      </c>
      <c r="I8">
        <v>2</v>
      </c>
      <c r="J8">
        <f t="shared" si="3"/>
        <v>102</v>
      </c>
    </row>
    <row r="9" spans="1:10" x14ac:dyDescent="0.25">
      <c r="A9">
        <v>8</v>
      </c>
      <c r="B9">
        <v>18.5</v>
      </c>
      <c r="C9">
        <v>11</v>
      </c>
      <c r="D9" t="str">
        <f t="shared" si="0"/>
        <v>C</v>
      </c>
      <c r="E9">
        <f t="shared" si="2"/>
        <v>3</v>
      </c>
      <c r="I9">
        <v>3</v>
      </c>
      <c r="J9">
        <f t="shared" si="3"/>
        <v>102</v>
      </c>
    </row>
    <row r="10" spans="1:10" x14ac:dyDescent="0.25">
      <c r="A10">
        <v>9</v>
      </c>
      <c r="B10">
        <v>19.5</v>
      </c>
      <c r="C10">
        <v>14</v>
      </c>
      <c r="D10" t="str">
        <f t="shared" si="0"/>
        <v>C</v>
      </c>
      <c r="E10">
        <f t="shared" si="2"/>
        <v>3</v>
      </c>
      <c r="I10">
        <v>4</v>
      </c>
      <c r="J10">
        <f t="shared" si="3"/>
        <v>100</v>
      </c>
    </row>
    <row r="11" spans="1:10" x14ac:dyDescent="0.25">
      <c r="A11">
        <v>10</v>
      </c>
      <c r="B11">
        <v>21.8</v>
      </c>
      <c r="C11">
        <v>15</v>
      </c>
      <c r="D11" t="str">
        <f t="shared" si="0"/>
        <v>C</v>
      </c>
      <c r="E11">
        <f t="shared" si="2"/>
        <v>3</v>
      </c>
      <c r="I11">
        <v>5</v>
      </c>
      <c r="J11">
        <f t="shared" si="3"/>
        <v>60</v>
      </c>
    </row>
    <row r="12" spans="1:10" x14ac:dyDescent="0.25">
      <c r="A12">
        <v>11</v>
      </c>
      <c r="B12">
        <v>24.8</v>
      </c>
      <c r="C12">
        <v>3</v>
      </c>
      <c r="D12" t="str">
        <f t="shared" si="0"/>
        <v>C</v>
      </c>
      <c r="E12">
        <f t="shared" si="2"/>
        <v>4</v>
      </c>
    </row>
    <row r="13" spans="1:10" x14ac:dyDescent="0.25">
      <c r="A13">
        <v>12</v>
      </c>
      <c r="B13">
        <v>27.7</v>
      </c>
      <c r="C13">
        <v>23</v>
      </c>
      <c r="D13" t="str">
        <f t="shared" si="0"/>
        <v>C</v>
      </c>
      <c r="E13">
        <f t="shared" si="2"/>
        <v>4</v>
      </c>
    </row>
    <row r="14" spans="1:10" x14ac:dyDescent="0.25">
      <c r="A14">
        <v>13</v>
      </c>
      <c r="B14">
        <v>29.5</v>
      </c>
      <c r="C14">
        <v>17</v>
      </c>
      <c r="D14" t="str">
        <f t="shared" si="0"/>
        <v>C</v>
      </c>
      <c r="E14">
        <f t="shared" si="2"/>
        <v>4</v>
      </c>
    </row>
    <row r="15" spans="1:10" x14ac:dyDescent="0.25">
      <c r="A15">
        <v>14</v>
      </c>
      <c r="B15">
        <v>29.8</v>
      </c>
      <c r="C15">
        <v>15</v>
      </c>
      <c r="D15" t="str">
        <f t="shared" si="0"/>
        <v>C</v>
      </c>
      <c r="E15">
        <f t="shared" si="2"/>
        <v>5</v>
      </c>
    </row>
    <row r="16" spans="1:10" x14ac:dyDescent="0.25">
      <c r="A16">
        <v>15</v>
      </c>
      <c r="B16">
        <v>28.3</v>
      </c>
      <c r="C16">
        <v>22</v>
      </c>
      <c r="D16" t="str">
        <f t="shared" si="0"/>
        <v>C</v>
      </c>
      <c r="E16">
        <f t="shared" si="2"/>
        <v>5</v>
      </c>
    </row>
    <row r="17" spans="1:5" x14ac:dyDescent="0.25">
      <c r="A17">
        <v>16</v>
      </c>
      <c r="B17">
        <v>25.5</v>
      </c>
      <c r="C17">
        <v>0</v>
      </c>
      <c r="D17">
        <f t="shared" si="0"/>
        <v>0</v>
      </c>
      <c r="E17">
        <f t="shared" si="2"/>
        <v>0</v>
      </c>
    </row>
    <row r="18" spans="1:5" x14ac:dyDescent="0.25">
      <c r="A18">
        <v>17</v>
      </c>
      <c r="B18">
        <v>22</v>
      </c>
      <c r="C18">
        <v>2</v>
      </c>
      <c r="D18" t="str">
        <f t="shared" si="0"/>
        <v>C</v>
      </c>
      <c r="E18">
        <f t="shared" si="2"/>
        <v>1</v>
      </c>
    </row>
    <row r="19" spans="1:5" x14ac:dyDescent="0.25">
      <c r="A19">
        <v>18</v>
      </c>
      <c r="B19">
        <v>18.899999999999999</v>
      </c>
      <c r="C19">
        <v>1</v>
      </c>
      <c r="D19" t="str">
        <f t="shared" si="0"/>
        <v>C</v>
      </c>
      <c r="E19">
        <f t="shared" si="2"/>
        <v>1</v>
      </c>
    </row>
    <row r="20" spans="1:5" x14ac:dyDescent="0.25">
      <c r="A20">
        <v>19</v>
      </c>
      <c r="B20">
        <v>16.899999999999999</v>
      </c>
      <c r="C20">
        <v>1</v>
      </c>
      <c r="D20" t="str">
        <f t="shared" si="0"/>
        <v>C</v>
      </c>
      <c r="E20">
        <f t="shared" si="2"/>
        <v>1</v>
      </c>
    </row>
    <row r="21" spans="1:5" x14ac:dyDescent="0.25">
      <c r="A21">
        <v>20</v>
      </c>
      <c r="B21">
        <v>16.3</v>
      </c>
      <c r="C21">
        <v>12</v>
      </c>
      <c r="D21" t="str">
        <f t="shared" si="0"/>
        <v>C</v>
      </c>
      <c r="E21">
        <f t="shared" si="2"/>
        <v>2</v>
      </c>
    </row>
    <row r="22" spans="1:5" x14ac:dyDescent="0.25">
      <c r="A22">
        <v>21</v>
      </c>
      <c r="B22">
        <v>17.100000000000001</v>
      </c>
      <c r="C22">
        <v>11</v>
      </c>
      <c r="D22" t="str">
        <f t="shared" si="0"/>
        <v>C</v>
      </c>
      <c r="E22">
        <f t="shared" si="2"/>
        <v>2</v>
      </c>
    </row>
    <row r="23" spans="1:5" x14ac:dyDescent="0.25">
      <c r="A23">
        <v>22</v>
      </c>
      <c r="B23">
        <v>18.7</v>
      </c>
      <c r="C23">
        <v>6</v>
      </c>
      <c r="D23" t="str">
        <f t="shared" si="0"/>
        <v>C</v>
      </c>
      <c r="E23">
        <f t="shared" si="2"/>
        <v>2</v>
      </c>
    </row>
    <row r="24" spans="1:5" x14ac:dyDescent="0.25">
      <c r="A24">
        <v>23</v>
      </c>
      <c r="B24">
        <v>20.2</v>
      </c>
      <c r="C24">
        <v>18</v>
      </c>
      <c r="D24" t="str">
        <f t="shared" si="0"/>
        <v>C</v>
      </c>
      <c r="E24">
        <f t="shared" si="2"/>
        <v>3</v>
      </c>
    </row>
    <row r="25" spans="1:5" x14ac:dyDescent="0.25">
      <c r="A25">
        <v>24</v>
      </c>
      <c r="B25">
        <v>20.8</v>
      </c>
      <c r="C25">
        <v>15</v>
      </c>
      <c r="D25" t="str">
        <f t="shared" si="0"/>
        <v>C</v>
      </c>
      <c r="E25">
        <f t="shared" si="2"/>
        <v>3</v>
      </c>
    </row>
    <row r="26" spans="1:5" x14ac:dyDescent="0.25">
      <c r="A26">
        <v>25</v>
      </c>
      <c r="B26">
        <v>19.899999999999999</v>
      </c>
      <c r="C26">
        <v>5</v>
      </c>
      <c r="D26" t="str">
        <f t="shared" si="0"/>
        <v>C</v>
      </c>
      <c r="E26">
        <f t="shared" si="2"/>
        <v>3</v>
      </c>
    </row>
    <row r="27" spans="1:5" x14ac:dyDescent="0.25">
      <c r="A27">
        <v>26</v>
      </c>
      <c r="B27">
        <v>17.5</v>
      </c>
      <c r="C27">
        <v>19</v>
      </c>
      <c r="D27" t="str">
        <f t="shared" si="0"/>
        <v>C</v>
      </c>
      <c r="E27">
        <f t="shared" si="2"/>
        <v>4</v>
      </c>
    </row>
    <row r="28" spans="1:5" x14ac:dyDescent="0.25">
      <c r="A28">
        <v>27</v>
      </c>
      <c r="B28">
        <v>13.9</v>
      </c>
      <c r="C28">
        <v>18</v>
      </c>
      <c r="D28" t="str">
        <f t="shared" si="0"/>
        <v>C</v>
      </c>
      <c r="E28">
        <f t="shared" si="2"/>
        <v>4</v>
      </c>
    </row>
    <row r="29" spans="1:5" x14ac:dyDescent="0.25">
      <c r="A29">
        <v>28</v>
      </c>
      <c r="B29">
        <v>9.9</v>
      </c>
      <c r="C29">
        <v>4</v>
      </c>
      <c r="D29" t="str">
        <f t="shared" si="0"/>
        <v>C</v>
      </c>
      <c r="E29">
        <f t="shared" si="2"/>
        <v>4</v>
      </c>
    </row>
    <row r="30" spans="1:5" x14ac:dyDescent="0.25">
      <c r="A30">
        <v>29</v>
      </c>
      <c r="B30">
        <v>6.4</v>
      </c>
      <c r="C30">
        <v>17</v>
      </c>
      <c r="D30" t="str">
        <f t="shared" si="0"/>
        <v>C</v>
      </c>
      <c r="E30">
        <f t="shared" si="2"/>
        <v>5</v>
      </c>
    </row>
    <row r="31" spans="1:5" x14ac:dyDescent="0.25">
      <c r="A31">
        <v>30</v>
      </c>
      <c r="B31">
        <v>4.2</v>
      </c>
      <c r="C31">
        <v>14</v>
      </c>
      <c r="D31" t="str">
        <f t="shared" si="0"/>
        <v>C</v>
      </c>
      <c r="E31">
        <f t="shared" si="2"/>
        <v>5</v>
      </c>
    </row>
    <row r="32" spans="1:5" x14ac:dyDescent="0.25">
      <c r="A32">
        <v>31</v>
      </c>
      <c r="B32">
        <v>3.6</v>
      </c>
      <c r="C32">
        <v>12</v>
      </c>
      <c r="D32" t="str">
        <f t="shared" si="0"/>
        <v>C</v>
      </c>
      <c r="E32">
        <f t="shared" si="2"/>
        <v>5</v>
      </c>
    </row>
    <row r="33" spans="1:5" x14ac:dyDescent="0.25">
      <c r="A33">
        <v>32</v>
      </c>
      <c r="B33">
        <v>4.5999999999999996</v>
      </c>
      <c r="C33">
        <v>11</v>
      </c>
      <c r="D33" t="str">
        <f t="shared" si="0"/>
        <v>C</v>
      </c>
      <c r="E33">
        <f t="shared" si="2"/>
        <v>5</v>
      </c>
    </row>
    <row r="34" spans="1:5" x14ac:dyDescent="0.25">
      <c r="A34">
        <v>33</v>
      </c>
      <c r="B34">
        <v>6.6</v>
      </c>
      <c r="C34">
        <v>17</v>
      </c>
      <c r="D34" t="str">
        <f t="shared" si="0"/>
        <v>C</v>
      </c>
      <c r="E34">
        <f t="shared" si="2"/>
        <v>5</v>
      </c>
    </row>
    <row r="35" spans="1:5" x14ac:dyDescent="0.25">
      <c r="A35">
        <v>34</v>
      </c>
      <c r="B35">
        <v>8.6999999999999993</v>
      </c>
      <c r="C35">
        <v>26</v>
      </c>
      <c r="D35" t="str">
        <f t="shared" si="0"/>
        <v>C</v>
      </c>
      <c r="E35">
        <f t="shared" si="2"/>
        <v>5</v>
      </c>
    </row>
    <row r="36" spans="1:5" x14ac:dyDescent="0.25">
      <c r="A36">
        <v>35</v>
      </c>
      <c r="B36">
        <v>10</v>
      </c>
      <c r="C36">
        <v>0</v>
      </c>
      <c r="D36">
        <f t="shared" si="0"/>
        <v>0</v>
      </c>
      <c r="E36">
        <f t="shared" si="2"/>
        <v>0</v>
      </c>
    </row>
    <row r="37" spans="1:5" x14ac:dyDescent="0.25">
      <c r="A37">
        <v>36</v>
      </c>
      <c r="B37">
        <v>10.1</v>
      </c>
      <c r="C37">
        <v>3</v>
      </c>
      <c r="D37" t="str">
        <f t="shared" si="0"/>
        <v>C</v>
      </c>
      <c r="E37">
        <f t="shared" si="2"/>
        <v>1</v>
      </c>
    </row>
    <row r="38" spans="1:5" x14ac:dyDescent="0.25">
      <c r="A38">
        <v>37</v>
      </c>
      <c r="B38">
        <v>8.8000000000000007</v>
      </c>
      <c r="C38">
        <v>3</v>
      </c>
      <c r="D38" t="str">
        <f t="shared" si="0"/>
        <v>C</v>
      </c>
      <c r="E38">
        <f t="shared" si="2"/>
        <v>1</v>
      </c>
    </row>
    <row r="39" spans="1:5" x14ac:dyDescent="0.25">
      <c r="A39">
        <v>38</v>
      </c>
      <c r="B39">
        <v>6.4</v>
      </c>
      <c r="C39">
        <v>5</v>
      </c>
      <c r="D39" t="str">
        <f t="shared" si="0"/>
        <v>C</v>
      </c>
      <c r="E39">
        <f t="shared" si="2"/>
        <v>1</v>
      </c>
    </row>
    <row r="40" spans="1:5" x14ac:dyDescent="0.25">
      <c r="A40">
        <v>39</v>
      </c>
      <c r="B40">
        <v>3.8</v>
      </c>
      <c r="C40">
        <v>11</v>
      </c>
      <c r="D40" t="str">
        <f t="shared" si="0"/>
        <v>C</v>
      </c>
      <c r="E40">
        <f t="shared" si="2"/>
        <v>2</v>
      </c>
    </row>
    <row r="41" spans="1:5" x14ac:dyDescent="0.25">
      <c r="A41">
        <v>40</v>
      </c>
      <c r="B41">
        <v>1.7</v>
      </c>
      <c r="C41">
        <v>6</v>
      </c>
      <c r="D41" t="str">
        <f t="shared" si="0"/>
        <v>C</v>
      </c>
      <c r="E41">
        <f t="shared" si="2"/>
        <v>2</v>
      </c>
    </row>
    <row r="42" spans="1:5" x14ac:dyDescent="0.25">
      <c r="A42">
        <v>41</v>
      </c>
      <c r="B42">
        <v>1</v>
      </c>
      <c r="C42">
        <v>3</v>
      </c>
      <c r="D42" t="str">
        <f t="shared" si="0"/>
        <v>C</v>
      </c>
      <c r="E42">
        <f t="shared" si="2"/>
        <v>2</v>
      </c>
    </row>
    <row r="43" spans="1:5" x14ac:dyDescent="0.25">
      <c r="A43">
        <v>42</v>
      </c>
      <c r="B43">
        <v>2</v>
      </c>
      <c r="C43">
        <v>17</v>
      </c>
      <c r="D43" t="str">
        <f t="shared" si="0"/>
        <v>C</v>
      </c>
      <c r="E43">
        <f t="shared" si="2"/>
        <v>3</v>
      </c>
    </row>
    <row r="44" spans="1:5" x14ac:dyDescent="0.25">
      <c r="A44">
        <v>43</v>
      </c>
      <c r="B44">
        <v>4.5999999999999996</v>
      </c>
      <c r="C44">
        <v>5</v>
      </c>
      <c r="D44" t="str">
        <f t="shared" si="0"/>
        <v>C</v>
      </c>
      <c r="E44">
        <f t="shared" si="2"/>
        <v>3</v>
      </c>
    </row>
    <row r="45" spans="1:5" x14ac:dyDescent="0.25">
      <c r="A45">
        <v>44</v>
      </c>
      <c r="B45">
        <v>8.1999999999999993</v>
      </c>
      <c r="C45">
        <v>8</v>
      </c>
      <c r="D45" t="str">
        <f t="shared" si="0"/>
        <v>C</v>
      </c>
      <c r="E45">
        <f t="shared" si="2"/>
        <v>3</v>
      </c>
    </row>
    <row r="46" spans="1:5" x14ac:dyDescent="0.25">
      <c r="A46">
        <v>45</v>
      </c>
      <c r="B46">
        <v>11.8</v>
      </c>
      <c r="C46">
        <v>2</v>
      </c>
      <c r="D46" t="str">
        <f t="shared" si="0"/>
        <v>C</v>
      </c>
      <c r="E46">
        <f t="shared" si="2"/>
        <v>4</v>
      </c>
    </row>
    <row r="47" spans="1:5" x14ac:dyDescent="0.25">
      <c r="A47">
        <v>46</v>
      </c>
      <c r="B47">
        <v>14.7</v>
      </c>
      <c r="C47">
        <v>1</v>
      </c>
      <c r="D47" t="str">
        <f t="shared" si="0"/>
        <v>C</v>
      </c>
      <c r="E47">
        <f t="shared" si="2"/>
        <v>4</v>
      </c>
    </row>
    <row r="48" spans="1:5" x14ac:dyDescent="0.25">
      <c r="A48">
        <v>47</v>
      </c>
      <c r="B48">
        <v>16.3</v>
      </c>
      <c r="C48">
        <v>11</v>
      </c>
      <c r="D48" t="str">
        <f t="shared" si="0"/>
        <v>C</v>
      </c>
      <c r="E48">
        <f t="shared" si="2"/>
        <v>4</v>
      </c>
    </row>
    <row r="49" spans="1:5" x14ac:dyDescent="0.25">
      <c r="A49">
        <v>48</v>
      </c>
      <c r="B49">
        <v>16.3</v>
      </c>
      <c r="C49">
        <v>25</v>
      </c>
      <c r="D49" t="str">
        <f t="shared" si="0"/>
        <v>C</v>
      </c>
      <c r="E49">
        <f t="shared" si="2"/>
        <v>5</v>
      </c>
    </row>
    <row r="50" spans="1:5" x14ac:dyDescent="0.25">
      <c r="A50">
        <v>49</v>
      </c>
      <c r="B50">
        <v>15.2</v>
      </c>
      <c r="C50">
        <v>0</v>
      </c>
      <c r="D50">
        <f t="shared" si="0"/>
        <v>0</v>
      </c>
      <c r="E50">
        <f t="shared" si="2"/>
        <v>0</v>
      </c>
    </row>
    <row r="51" spans="1:5" x14ac:dyDescent="0.25">
      <c r="A51">
        <v>50</v>
      </c>
      <c r="B51">
        <v>13.6</v>
      </c>
      <c r="C51">
        <v>2</v>
      </c>
      <c r="D51" t="str">
        <f t="shared" si="0"/>
        <v>C</v>
      </c>
      <c r="E51">
        <f t="shared" si="2"/>
        <v>1</v>
      </c>
    </row>
    <row r="52" spans="1:5" x14ac:dyDescent="0.25">
      <c r="A52">
        <v>51</v>
      </c>
      <c r="B52">
        <v>12.5</v>
      </c>
      <c r="C52">
        <v>3</v>
      </c>
      <c r="D52" t="str">
        <f t="shared" si="0"/>
        <v>C</v>
      </c>
      <c r="E52">
        <f t="shared" si="2"/>
        <v>1</v>
      </c>
    </row>
    <row r="53" spans="1:5" x14ac:dyDescent="0.25">
      <c r="A53">
        <v>52</v>
      </c>
      <c r="B53">
        <v>12.5</v>
      </c>
      <c r="C53">
        <v>2</v>
      </c>
      <c r="D53" t="str">
        <f t="shared" si="0"/>
        <v>C</v>
      </c>
      <c r="E53">
        <f t="shared" si="2"/>
        <v>1</v>
      </c>
    </row>
    <row r="54" spans="1:5" x14ac:dyDescent="0.25">
      <c r="A54">
        <v>53</v>
      </c>
      <c r="B54">
        <v>14.1</v>
      </c>
      <c r="C54">
        <v>4</v>
      </c>
      <c r="D54" t="str">
        <f t="shared" si="0"/>
        <v>C</v>
      </c>
      <c r="E54">
        <f t="shared" si="2"/>
        <v>2</v>
      </c>
    </row>
    <row r="55" spans="1:5" x14ac:dyDescent="0.25">
      <c r="A55">
        <v>54</v>
      </c>
      <c r="B55">
        <v>17.100000000000001</v>
      </c>
      <c r="C55">
        <v>5</v>
      </c>
      <c r="D55" t="str">
        <f t="shared" si="0"/>
        <v>C</v>
      </c>
      <c r="E55">
        <f t="shared" si="2"/>
        <v>2</v>
      </c>
    </row>
    <row r="56" spans="1:5" x14ac:dyDescent="0.25">
      <c r="A56">
        <v>55</v>
      </c>
      <c r="B56">
        <v>20.9</v>
      </c>
      <c r="C56">
        <v>9</v>
      </c>
      <c r="D56" t="str">
        <f t="shared" si="0"/>
        <v>C</v>
      </c>
      <c r="E56">
        <f t="shared" si="2"/>
        <v>2</v>
      </c>
    </row>
    <row r="57" spans="1:5" x14ac:dyDescent="0.25">
      <c r="A57">
        <v>56</v>
      </c>
      <c r="B57">
        <v>24.5</v>
      </c>
      <c r="C57">
        <v>2</v>
      </c>
      <c r="D57" t="str">
        <f t="shared" si="0"/>
        <v>C</v>
      </c>
      <c r="E57">
        <f t="shared" si="2"/>
        <v>3</v>
      </c>
    </row>
    <row r="58" spans="1:5" x14ac:dyDescent="0.25">
      <c r="A58">
        <v>57</v>
      </c>
      <c r="B58">
        <v>27.3</v>
      </c>
      <c r="C58">
        <v>16</v>
      </c>
      <c r="D58" t="str">
        <f t="shared" si="0"/>
        <v>C</v>
      </c>
      <c r="E58">
        <f t="shared" si="2"/>
        <v>3</v>
      </c>
    </row>
    <row r="59" spans="1:5" x14ac:dyDescent="0.25">
      <c r="A59">
        <v>58</v>
      </c>
      <c r="B59">
        <v>28.4</v>
      </c>
      <c r="C59">
        <v>14</v>
      </c>
      <c r="D59" t="str">
        <f t="shared" si="0"/>
        <v>C</v>
      </c>
      <c r="E59">
        <f t="shared" si="2"/>
        <v>3</v>
      </c>
    </row>
    <row r="60" spans="1:5" x14ac:dyDescent="0.25">
      <c r="A60">
        <v>59</v>
      </c>
      <c r="B60">
        <v>27.8</v>
      </c>
      <c r="C60">
        <v>14</v>
      </c>
      <c r="D60" t="str">
        <f t="shared" si="0"/>
        <v>C</v>
      </c>
      <c r="E60">
        <f t="shared" si="2"/>
        <v>4</v>
      </c>
    </row>
    <row r="61" spans="1:5" x14ac:dyDescent="0.25">
      <c r="A61">
        <v>60</v>
      </c>
      <c r="B61">
        <v>25.9</v>
      </c>
      <c r="C61">
        <v>6</v>
      </c>
      <c r="D61" t="str">
        <f t="shared" si="0"/>
        <v>C</v>
      </c>
      <c r="E61">
        <f t="shared" si="2"/>
        <v>4</v>
      </c>
    </row>
    <row r="62" spans="1:5" x14ac:dyDescent="0.25">
      <c r="A62">
        <v>61</v>
      </c>
      <c r="B62">
        <v>23.4</v>
      </c>
      <c r="C62">
        <v>21</v>
      </c>
      <c r="D62" t="str">
        <f t="shared" si="0"/>
        <v>C</v>
      </c>
      <c r="E62">
        <f t="shared" si="2"/>
        <v>4</v>
      </c>
    </row>
    <row r="63" spans="1:5" x14ac:dyDescent="0.25">
      <c r="A63">
        <v>62</v>
      </c>
      <c r="B63">
        <v>21.2</v>
      </c>
      <c r="C63">
        <v>21</v>
      </c>
      <c r="D63" t="str">
        <f t="shared" si="0"/>
        <v>C</v>
      </c>
      <c r="E63">
        <f t="shared" si="2"/>
        <v>5</v>
      </c>
    </row>
    <row r="64" spans="1:5" x14ac:dyDescent="0.25">
      <c r="A64">
        <v>63</v>
      </c>
      <c r="B64">
        <v>20</v>
      </c>
      <c r="C64">
        <v>0</v>
      </c>
      <c r="D64">
        <f t="shared" si="0"/>
        <v>0</v>
      </c>
      <c r="E64">
        <f t="shared" si="2"/>
        <v>0</v>
      </c>
    </row>
    <row r="65" spans="1:5" x14ac:dyDescent="0.25">
      <c r="A65">
        <v>64</v>
      </c>
      <c r="B65">
        <v>20.3</v>
      </c>
      <c r="C65">
        <v>4</v>
      </c>
      <c r="D65" t="str">
        <f t="shared" si="0"/>
        <v>C</v>
      </c>
      <c r="E65">
        <f t="shared" si="2"/>
        <v>1</v>
      </c>
    </row>
    <row r="66" spans="1:5" x14ac:dyDescent="0.25">
      <c r="A66">
        <v>65</v>
      </c>
      <c r="B66">
        <v>21.8</v>
      </c>
      <c r="C66">
        <v>6</v>
      </c>
      <c r="D66" t="str">
        <f t="shared" si="0"/>
        <v>C</v>
      </c>
      <c r="E66">
        <f t="shared" si="2"/>
        <v>1</v>
      </c>
    </row>
    <row r="67" spans="1:5" x14ac:dyDescent="0.25">
      <c r="A67">
        <v>66</v>
      </c>
      <c r="B67">
        <v>24</v>
      </c>
      <c r="C67">
        <v>3</v>
      </c>
      <c r="D67" t="str">
        <f t="shared" si="0"/>
        <v>C</v>
      </c>
      <c r="E67">
        <f t="shared" si="2"/>
        <v>1</v>
      </c>
    </row>
    <row r="68" spans="1:5" x14ac:dyDescent="0.25">
      <c r="A68">
        <v>67</v>
      </c>
      <c r="B68">
        <v>26.1</v>
      </c>
      <c r="C68">
        <v>7</v>
      </c>
      <c r="D68" t="str">
        <f t="shared" ref="D68:D131" si="4">IF(E68=0,0,IF(E67&gt;0,D67,IF(B68&gt;=10,"C","S")))</f>
        <v>C</v>
      </c>
      <c r="E68">
        <f t="shared" si="2"/>
        <v>2</v>
      </c>
    </row>
    <row r="69" spans="1:5" x14ac:dyDescent="0.25">
      <c r="A69">
        <v>68</v>
      </c>
      <c r="B69">
        <v>27.3</v>
      </c>
      <c r="C69">
        <v>6</v>
      </c>
      <c r="D69" t="str">
        <f t="shared" si="4"/>
        <v>C</v>
      </c>
      <c r="E69">
        <f t="shared" si="2"/>
        <v>2</v>
      </c>
    </row>
    <row r="70" spans="1:5" x14ac:dyDescent="0.25">
      <c r="A70">
        <v>69</v>
      </c>
      <c r="B70">
        <v>26.8</v>
      </c>
      <c r="C70">
        <v>8</v>
      </c>
      <c r="D70" t="str">
        <f t="shared" si="4"/>
        <v>C</v>
      </c>
      <c r="E70">
        <f t="shared" ref="E70:E133" si="5">IF(E69=0,1,IF(AND(E69=5,C69&gt;=20),0,IF(AND(E69=E67,E69&lt;5),E69+1,E69)))</f>
        <v>2</v>
      </c>
    </row>
    <row r="71" spans="1:5" x14ac:dyDescent="0.25">
      <c r="A71">
        <v>70</v>
      </c>
      <c r="B71">
        <v>24.7</v>
      </c>
      <c r="C71">
        <v>3</v>
      </c>
      <c r="D71" t="str">
        <f t="shared" si="4"/>
        <v>C</v>
      </c>
      <c r="E71">
        <f t="shared" si="5"/>
        <v>3</v>
      </c>
    </row>
    <row r="72" spans="1:5" x14ac:dyDescent="0.25">
      <c r="A72">
        <v>71</v>
      </c>
      <c r="B72">
        <v>21.2</v>
      </c>
      <c r="C72">
        <v>16</v>
      </c>
      <c r="D72" t="str">
        <f t="shared" si="4"/>
        <v>C</v>
      </c>
      <c r="E72">
        <f t="shared" si="5"/>
        <v>3</v>
      </c>
    </row>
    <row r="73" spans="1:5" x14ac:dyDescent="0.25">
      <c r="A73">
        <v>72</v>
      </c>
      <c r="B73">
        <v>17.3</v>
      </c>
      <c r="C73">
        <v>8</v>
      </c>
      <c r="D73" t="str">
        <f t="shared" si="4"/>
        <v>C</v>
      </c>
      <c r="E73">
        <f t="shared" si="5"/>
        <v>3</v>
      </c>
    </row>
    <row r="74" spans="1:5" x14ac:dyDescent="0.25">
      <c r="A74">
        <v>73</v>
      </c>
      <c r="B74">
        <v>13.7</v>
      </c>
      <c r="C74">
        <v>19</v>
      </c>
      <c r="D74" t="str">
        <f t="shared" si="4"/>
        <v>C</v>
      </c>
      <c r="E74">
        <f t="shared" si="5"/>
        <v>4</v>
      </c>
    </row>
    <row r="75" spans="1:5" x14ac:dyDescent="0.25">
      <c r="A75">
        <v>74</v>
      </c>
      <c r="B75">
        <v>11.3</v>
      </c>
      <c r="C75">
        <v>5</v>
      </c>
      <c r="D75" t="str">
        <f t="shared" si="4"/>
        <v>C</v>
      </c>
      <c r="E75">
        <f t="shared" si="5"/>
        <v>4</v>
      </c>
    </row>
    <row r="76" spans="1:5" x14ac:dyDescent="0.25">
      <c r="A76">
        <v>75</v>
      </c>
      <c r="B76">
        <v>10.5</v>
      </c>
      <c r="C76">
        <v>2</v>
      </c>
      <c r="D76" t="str">
        <f t="shared" si="4"/>
        <v>C</v>
      </c>
      <c r="E76">
        <f t="shared" si="5"/>
        <v>4</v>
      </c>
    </row>
    <row r="77" spans="1:5" x14ac:dyDescent="0.25">
      <c r="A77">
        <v>76</v>
      </c>
      <c r="B77">
        <v>11</v>
      </c>
      <c r="C77">
        <v>22</v>
      </c>
      <c r="D77" t="str">
        <f t="shared" si="4"/>
        <v>C</v>
      </c>
      <c r="E77">
        <f t="shared" si="5"/>
        <v>5</v>
      </c>
    </row>
    <row r="78" spans="1:5" x14ac:dyDescent="0.25">
      <c r="A78">
        <v>77</v>
      </c>
      <c r="B78">
        <v>12.5</v>
      </c>
      <c r="C78">
        <v>0</v>
      </c>
      <c r="D78">
        <f t="shared" si="4"/>
        <v>0</v>
      </c>
      <c r="E78">
        <f t="shared" si="5"/>
        <v>0</v>
      </c>
    </row>
    <row r="79" spans="1:5" x14ac:dyDescent="0.25">
      <c r="A79">
        <v>78</v>
      </c>
      <c r="B79">
        <v>14</v>
      </c>
      <c r="C79">
        <v>2</v>
      </c>
      <c r="D79" t="str">
        <f t="shared" si="4"/>
        <v>C</v>
      </c>
      <c r="E79">
        <f t="shared" si="5"/>
        <v>1</v>
      </c>
    </row>
    <row r="80" spans="1:5" x14ac:dyDescent="0.25">
      <c r="A80">
        <v>79</v>
      </c>
      <c r="B80">
        <v>14.7</v>
      </c>
      <c r="C80">
        <v>4</v>
      </c>
      <c r="D80" t="str">
        <f t="shared" si="4"/>
        <v>C</v>
      </c>
      <c r="E80">
        <f t="shared" si="5"/>
        <v>1</v>
      </c>
    </row>
    <row r="81" spans="1:5" x14ac:dyDescent="0.25">
      <c r="A81">
        <v>80</v>
      </c>
      <c r="B81">
        <v>14.1</v>
      </c>
      <c r="C81">
        <v>5</v>
      </c>
      <c r="D81" t="str">
        <f t="shared" si="4"/>
        <v>C</v>
      </c>
      <c r="E81">
        <f t="shared" si="5"/>
        <v>1</v>
      </c>
    </row>
    <row r="82" spans="1:5" x14ac:dyDescent="0.25">
      <c r="A82">
        <v>81</v>
      </c>
      <c r="B82">
        <v>11.9</v>
      </c>
      <c r="C82">
        <v>8</v>
      </c>
      <c r="D82" t="str">
        <f t="shared" si="4"/>
        <v>C</v>
      </c>
      <c r="E82">
        <f t="shared" si="5"/>
        <v>2</v>
      </c>
    </row>
    <row r="83" spans="1:5" x14ac:dyDescent="0.25">
      <c r="A83">
        <v>82</v>
      </c>
      <c r="B83">
        <v>8.6999999999999993</v>
      </c>
      <c r="C83">
        <v>6</v>
      </c>
      <c r="D83" t="str">
        <f t="shared" si="4"/>
        <v>C</v>
      </c>
      <c r="E83">
        <f t="shared" si="5"/>
        <v>2</v>
      </c>
    </row>
    <row r="84" spans="1:5" x14ac:dyDescent="0.25">
      <c r="A84">
        <v>83</v>
      </c>
      <c r="B84">
        <v>5.0999999999999996</v>
      </c>
      <c r="C84">
        <v>3</v>
      </c>
      <c r="D84" t="str">
        <f t="shared" si="4"/>
        <v>C</v>
      </c>
      <c r="E84">
        <f t="shared" si="5"/>
        <v>2</v>
      </c>
    </row>
    <row r="85" spans="1:5" x14ac:dyDescent="0.25">
      <c r="A85">
        <v>84</v>
      </c>
      <c r="B85">
        <v>2.2000000000000002</v>
      </c>
      <c r="C85">
        <v>1</v>
      </c>
      <c r="D85" t="str">
        <f t="shared" si="4"/>
        <v>C</v>
      </c>
      <c r="E85">
        <f t="shared" si="5"/>
        <v>3</v>
      </c>
    </row>
    <row r="86" spans="1:5" x14ac:dyDescent="0.25">
      <c r="A86">
        <v>85</v>
      </c>
      <c r="B86">
        <v>0.5</v>
      </c>
      <c r="C86">
        <v>5</v>
      </c>
      <c r="D86" t="str">
        <f t="shared" si="4"/>
        <v>C</v>
      </c>
      <c r="E86">
        <f t="shared" si="5"/>
        <v>3</v>
      </c>
    </row>
    <row r="87" spans="1:5" x14ac:dyDescent="0.25">
      <c r="A87">
        <v>86</v>
      </c>
      <c r="B87">
        <v>0.6</v>
      </c>
      <c r="C87">
        <v>13</v>
      </c>
      <c r="D87" t="str">
        <f t="shared" si="4"/>
        <v>C</v>
      </c>
      <c r="E87">
        <f t="shared" si="5"/>
        <v>3</v>
      </c>
    </row>
    <row r="88" spans="1:5" x14ac:dyDescent="0.25">
      <c r="A88">
        <v>87</v>
      </c>
      <c r="B88">
        <v>2.2999999999999998</v>
      </c>
      <c r="C88">
        <v>4</v>
      </c>
      <c r="D88" t="str">
        <f t="shared" si="4"/>
        <v>C</v>
      </c>
      <c r="E88">
        <f t="shared" si="5"/>
        <v>4</v>
      </c>
    </row>
    <row r="89" spans="1:5" x14ac:dyDescent="0.25">
      <c r="A89">
        <v>88</v>
      </c>
      <c r="B89">
        <v>5</v>
      </c>
      <c r="C89">
        <v>9</v>
      </c>
      <c r="D89" t="str">
        <f t="shared" si="4"/>
        <v>C</v>
      </c>
      <c r="E89">
        <f t="shared" si="5"/>
        <v>4</v>
      </c>
    </row>
    <row r="90" spans="1:5" x14ac:dyDescent="0.25">
      <c r="A90">
        <v>89</v>
      </c>
      <c r="B90">
        <v>7.9</v>
      </c>
      <c r="C90">
        <v>24</v>
      </c>
      <c r="D90" t="str">
        <f t="shared" si="4"/>
        <v>C</v>
      </c>
      <c r="E90">
        <f t="shared" si="5"/>
        <v>4</v>
      </c>
    </row>
    <row r="91" spans="1:5" x14ac:dyDescent="0.25">
      <c r="A91">
        <v>90</v>
      </c>
      <c r="B91">
        <v>10</v>
      </c>
      <c r="C91">
        <v>15</v>
      </c>
      <c r="D91" t="str">
        <f t="shared" si="4"/>
        <v>C</v>
      </c>
      <c r="E91">
        <f t="shared" si="5"/>
        <v>5</v>
      </c>
    </row>
    <row r="92" spans="1:5" x14ac:dyDescent="0.25">
      <c r="A92">
        <v>91</v>
      </c>
      <c r="B92">
        <v>10.9</v>
      </c>
      <c r="C92">
        <v>29</v>
      </c>
      <c r="D92" t="str">
        <f t="shared" si="4"/>
        <v>C</v>
      </c>
      <c r="E92">
        <f t="shared" si="5"/>
        <v>5</v>
      </c>
    </row>
    <row r="93" spans="1:5" x14ac:dyDescent="0.25">
      <c r="A93">
        <v>92</v>
      </c>
      <c r="B93">
        <v>10.3</v>
      </c>
      <c r="C93">
        <v>0</v>
      </c>
      <c r="D93">
        <f t="shared" si="4"/>
        <v>0</v>
      </c>
      <c r="E93">
        <f t="shared" si="5"/>
        <v>0</v>
      </c>
    </row>
    <row r="94" spans="1:5" x14ac:dyDescent="0.25">
      <c r="A94">
        <v>93</v>
      </c>
      <c r="B94">
        <v>8.6999999999999993</v>
      </c>
      <c r="C94">
        <v>1</v>
      </c>
      <c r="D94" t="str">
        <f t="shared" si="4"/>
        <v>S</v>
      </c>
      <c r="E94">
        <f t="shared" si="5"/>
        <v>1</v>
      </c>
    </row>
    <row r="95" spans="1:5" x14ac:dyDescent="0.25">
      <c r="A95">
        <v>94</v>
      </c>
      <c r="B95">
        <v>6.7</v>
      </c>
      <c r="C95">
        <v>3</v>
      </c>
      <c r="D95" t="str">
        <f t="shared" si="4"/>
        <v>S</v>
      </c>
      <c r="E95">
        <f t="shared" si="5"/>
        <v>1</v>
      </c>
    </row>
    <row r="96" spans="1:5" x14ac:dyDescent="0.25">
      <c r="A96">
        <v>95</v>
      </c>
      <c r="B96">
        <v>5.3</v>
      </c>
      <c r="C96">
        <v>6</v>
      </c>
      <c r="D96" t="str">
        <f t="shared" si="4"/>
        <v>S</v>
      </c>
      <c r="E96">
        <f t="shared" si="5"/>
        <v>1</v>
      </c>
    </row>
    <row r="97" spans="1:5" x14ac:dyDescent="0.25">
      <c r="A97">
        <v>96</v>
      </c>
      <c r="B97">
        <v>5.2</v>
      </c>
      <c r="C97">
        <v>3</v>
      </c>
      <c r="D97" t="str">
        <f t="shared" si="4"/>
        <v>S</v>
      </c>
      <c r="E97">
        <f t="shared" si="5"/>
        <v>2</v>
      </c>
    </row>
    <row r="98" spans="1:5" x14ac:dyDescent="0.25">
      <c r="A98">
        <v>97</v>
      </c>
      <c r="B98">
        <v>6.8</v>
      </c>
      <c r="C98">
        <v>2</v>
      </c>
      <c r="D98" t="str">
        <f t="shared" si="4"/>
        <v>S</v>
      </c>
      <c r="E98">
        <f t="shared" si="5"/>
        <v>2</v>
      </c>
    </row>
    <row r="99" spans="1:5" x14ac:dyDescent="0.25">
      <c r="A99">
        <v>98</v>
      </c>
      <c r="B99">
        <v>9.8000000000000007</v>
      </c>
      <c r="C99">
        <v>11</v>
      </c>
      <c r="D99" t="str">
        <f t="shared" si="4"/>
        <v>S</v>
      </c>
      <c r="E99">
        <f t="shared" si="5"/>
        <v>2</v>
      </c>
    </row>
    <row r="100" spans="1:5" x14ac:dyDescent="0.25">
      <c r="A100">
        <v>99</v>
      </c>
      <c r="B100">
        <v>13.7</v>
      </c>
      <c r="C100">
        <v>8</v>
      </c>
      <c r="D100" t="str">
        <f t="shared" si="4"/>
        <v>S</v>
      </c>
      <c r="E100">
        <f t="shared" si="5"/>
        <v>3</v>
      </c>
    </row>
    <row r="101" spans="1:5" x14ac:dyDescent="0.25">
      <c r="A101">
        <v>100</v>
      </c>
      <c r="B101">
        <v>17.7</v>
      </c>
      <c r="C101">
        <v>6</v>
      </c>
      <c r="D101" t="str">
        <f t="shared" si="4"/>
        <v>S</v>
      </c>
      <c r="E101">
        <f t="shared" si="5"/>
        <v>3</v>
      </c>
    </row>
    <row r="102" spans="1:5" x14ac:dyDescent="0.25">
      <c r="A102">
        <v>101</v>
      </c>
      <c r="B102">
        <v>20.8</v>
      </c>
      <c r="C102">
        <v>5</v>
      </c>
      <c r="D102" t="str">
        <f t="shared" si="4"/>
        <v>S</v>
      </c>
      <c r="E102">
        <f t="shared" si="5"/>
        <v>3</v>
      </c>
    </row>
    <row r="103" spans="1:5" x14ac:dyDescent="0.25">
      <c r="A103">
        <v>102</v>
      </c>
      <c r="B103">
        <v>22.4</v>
      </c>
      <c r="C103">
        <v>20</v>
      </c>
      <c r="D103" t="str">
        <f t="shared" si="4"/>
        <v>S</v>
      </c>
      <c r="E103">
        <f t="shared" si="5"/>
        <v>4</v>
      </c>
    </row>
    <row r="104" spans="1:5" x14ac:dyDescent="0.25">
      <c r="A104">
        <v>103</v>
      </c>
      <c r="B104">
        <v>22.5</v>
      </c>
      <c r="C104">
        <v>17</v>
      </c>
      <c r="D104" t="str">
        <f t="shared" si="4"/>
        <v>S</v>
      </c>
      <c r="E104">
        <f t="shared" si="5"/>
        <v>4</v>
      </c>
    </row>
    <row r="105" spans="1:5" x14ac:dyDescent="0.25">
      <c r="A105">
        <v>104</v>
      </c>
      <c r="B105">
        <v>21.2</v>
      </c>
      <c r="C105">
        <v>11</v>
      </c>
      <c r="D105" t="str">
        <f t="shared" si="4"/>
        <v>S</v>
      </c>
      <c r="E105">
        <f t="shared" si="5"/>
        <v>4</v>
      </c>
    </row>
    <row r="106" spans="1:5" x14ac:dyDescent="0.25">
      <c r="A106">
        <v>105</v>
      </c>
      <c r="B106">
        <v>19.5</v>
      </c>
      <c r="C106">
        <v>27</v>
      </c>
      <c r="D106" t="str">
        <f t="shared" si="4"/>
        <v>S</v>
      </c>
      <c r="E106">
        <f t="shared" si="5"/>
        <v>5</v>
      </c>
    </row>
    <row r="107" spans="1:5" x14ac:dyDescent="0.25">
      <c r="A107">
        <v>106</v>
      </c>
      <c r="B107">
        <v>18.100000000000001</v>
      </c>
      <c r="C107">
        <v>0</v>
      </c>
      <c r="D107">
        <f t="shared" si="4"/>
        <v>0</v>
      </c>
      <c r="E107">
        <f t="shared" si="5"/>
        <v>0</v>
      </c>
    </row>
    <row r="108" spans="1:5" x14ac:dyDescent="0.25">
      <c r="A108">
        <v>107</v>
      </c>
      <c r="B108">
        <v>17.8</v>
      </c>
      <c r="C108">
        <v>5</v>
      </c>
      <c r="D108" t="str">
        <f t="shared" si="4"/>
        <v>C</v>
      </c>
      <c r="E108">
        <f t="shared" si="5"/>
        <v>1</v>
      </c>
    </row>
    <row r="109" spans="1:5" x14ac:dyDescent="0.25">
      <c r="A109">
        <v>108</v>
      </c>
      <c r="B109">
        <v>18.899999999999999</v>
      </c>
      <c r="C109">
        <v>3</v>
      </c>
      <c r="D109" t="str">
        <f t="shared" si="4"/>
        <v>C</v>
      </c>
      <c r="E109">
        <f t="shared" si="5"/>
        <v>1</v>
      </c>
    </row>
    <row r="110" spans="1:5" x14ac:dyDescent="0.25">
      <c r="A110">
        <v>109</v>
      </c>
      <c r="B110">
        <v>21.3</v>
      </c>
      <c r="C110">
        <v>1</v>
      </c>
      <c r="D110" t="str">
        <f t="shared" si="4"/>
        <v>C</v>
      </c>
      <c r="E110">
        <f t="shared" si="5"/>
        <v>1</v>
      </c>
    </row>
    <row r="111" spans="1:5" x14ac:dyDescent="0.25">
      <c r="A111">
        <v>110</v>
      </c>
      <c r="B111">
        <v>24.5</v>
      </c>
      <c r="C111">
        <v>7</v>
      </c>
      <c r="D111" t="str">
        <f t="shared" si="4"/>
        <v>C</v>
      </c>
      <c r="E111">
        <f t="shared" si="5"/>
        <v>2</v>
      </c>
    </row>
    <row r="112" spans="1:5" x14ac:dyDescent="0.25">
      <c r="A112">
        <v>111</v>
      </c>
      <c r="B112">
        <v>27.5</v>
      </c>
      <c r="C112">
        <v>12</v>
      </c>
      <c r="D112" t="str">
        <f t="shared" si="4"/>
        <v>C</v>
      </c>
      <c r="E112">
        <f t="shared" si="5"/>
        <v>2</v>
      </c>
    </row>
    <row r="113" spans="1:5" x14ac:dyDescent="0.25">
      <c r="A113">
        <v>112</v>
      </c>
      <c r="B113">
        <v>29.5</v>
      </c>
      <c r="C113">
        <v>6</v>
      </c>
      <c r="D113" t="str">
        <f t="shared" si="4"/>
        <v>C</v>
      </c>
      <c r="E113">
        <f t="shared" si="5"/>
        <v>2</v>
      </c>
    </row>
    <row r="114" spans="1:5" x14ac:dyDescent="0.25">
      <c r="A114">
        <v>113</v>
      </c>
      <c r="B114">
        <v>29.9</v>
      </c>
      <c r="C114">
        <v>5</v>
      </c>
      <c r="D114" t="str">
        <f t="shared" si="4"/>
        <v>C</v>
      </c>
      <c r="E114">
        <f t="shared" si="5"/>
        <v>3</v>
      </c>
    </row>
    <row r="115" spans="1:5" x14ac:dyDescent="0.25">
      <c r="A115">
        <v>114</v>
      </c>
      <c r="B115">
        <v>28.6</v>
      </c>
      <c r="C115">
        <v>6</v>
      </c>
      <c r="D115" t="str">
        <f t="shared" si="4"/>
        <v>C</v>
      </c>
      <c r="E115">
        <f t="shared" si="5"/>
        <v>3</v>
      </c>
    </row>
    <row r="116" spans="1:5" x14ac:dyDescent="0.25">
      <c r="A116">
        <v>115</v>
      </c>
      <c r="B116">
        <v>25.9</v>
      </c>
      <c r="C116">
        <v>6</v>
      </c>
      <c r="D116" t="str">
        <f t="shared" si="4"/>
        <v>C</v>
      </c>
      <c r="E116">
        <f t="shared" si="5"/>
        <v>3</v>
      </c>
    </row>
    <row r="117" spans="1:5" x14ac:dyDescent="0.25">
      <c r="A117">
        <v>116</v>
      </c>
      <c r="B117">
        <v>22.6</v>
      </c>
      <c r="C117">
        <v>23</v>
      </c>
      <c r="D117" t="str">
        <f t="shared" si="4"/>
        <v>C</v>
      </c>
      <c r="E117">
        <f t="shared" si="5"/>
        <v>4</v>
      </c>
    </row>
    <row r="118" spans="1:5" x14ac:dyDescent="0.25">
      <c r="A118">
        <v>117</v>
      </c>
      <c r="B118">
        <v>19.7</v>
      </c>
      <c r="C118">
        <v>16</v>
      </c>
      <c r="D118" t="str">
        <f t="shared" si="4"/>
        <v>C</v>
      </c>
      <c r="E118">
        <f t="shared" si="5"/>
        <v>4</v>
      </c>
    </row>
    <row r="119" spans="1:5" x14ac:dyDescent="0.25">
      <c r="A119">
        <v>118</v>
      </c>
      <c r="B119">
        <v>17.8</v>
      </c>
      <c r="C119">
        <v>1</v>
      </c>
      <c r="D119" t="str">
        <f t="shared" si="4"/>
        <v>C</v>
      </c>
      <c r="E119">
        <f t="shared" si="5"/>
        <v>4</v>
      </c>
    </row>
    <row r="120" spans="1:5" x14ac:dyDescent="0.25">
      <c r="A120">
        <v>119</v>
      </c>
      <c r="B120">
        <v>17.3</v>
      </c>
      <c r="C120">
        <v>27</v>
      </c>
      <c r="D120" t="str">
        <f t="shared" si="4"/>
        <v>C</v>
      </c>
      <c r="E120">
        <f t="shared" si="5"/>
        <v>5</v>
      </c>
    </row>
    <row r="121" spans="1:5" x14ac:dyDescent="0.25">
      <c r="A121">
        <v>120</v>
      </c>
      <c r="B121">
        <v>18.2</v>
      </c>
      <c r="C121">
        <v>0</v>
      </c>
      <c r="D121">
        <f t="shared" si="4"/>
        <v>0</v>
      </c>
      <c r="E121">
        <f t="shared" si="5"/>
        <v>0</v>
      </c>
    </row>
    <row r="122" spans="1:5" x14ac:dyDescent="0.25">
      <c r="A122">
        <v>121</v>
      </c>
      <c r="B122">
        <v>19.8</v>
      </c>
      <c r="C122">
        <v>1</v>
      </c>
      <c r="D122" t="str">
        <f t="shared" si="4"/>
        <v>C</v>
      </c>
      <c r="E122">
        <f t="shared" si="5"/>
        <v>1</v>
      </c>
    </row>
    <row r="123" spans="1:5" x14ac:dyDescent="0.25">
      <c r="A123">
        <v>122</v>
      </c>
      <c r="B123">
        <v>21.4</v>
      </c>
      <c r="C123">
        <v>1</v>
      </c>
      <c r="D123" t="str">
        <f t="shared" si="4"/>
        <v>C</v>
      </c>
      <c r="E123">
        <f t="shared" si="5"/>
        <v>1</v>
      </c>
    </row>
    <row r="124" spans="1:5" x14ac:dyDescent="0.25">
      <c r="A124">
        <v>123</v>
      </c>
      <c r="B124">
        <v>22</v>
      </c>
      <c r="C124">
        <v>6</v>
      </c>
      <c r="D124" t="str">
        <f t="shared" si="4"/>
        <v>C</v>
      </c>
      <c r="E124">
        <f t="shared" si="5"/>
        <v>1</v>
      </c>
    </row>
    <row r="125" spans="1:5" x14ac:dyDescent="0.25">
      <c r="A125">
        <v>124</v>
      </c>
      <c r="B125">
        <v>21.2</v>
      </c>
      <c r="C125">
        <v>9</v>
      </c>
      <c r="D125" t="str">
        <f t="shared" si="4"/>
        <v>C</v>
      </c>
      <c r="E125">
        <f t="shared" si="5"/>
        <v>2</v>
      </c>
    </row>
    <row r="126" spans="1:5" x14ac:dyDescent="0.25">
      <c r="A126">
        <v>125</v>
      </c>
      <c r="B126">
        <v>18.8</v>
      </c>
      <c r="C126">
        <v>7</v>
      </c>
      <c r="D126" t="str">
        <f t="shared" si="4"/>
        <v>C</v>
      </c>
      <c r="E126">
        <f t="shared" si="5"/>
        <v>2</v>
      </c>
    </row>
    <row r="127" spans="1:5" x14ac:dyDescent="0.25">
      <c r="A127">
        <v>126</v>
      </c>
      <c r="B127">
        <v>15.2</v>
      </c>
      <c r="C127">
        <v>12</v>
      </c>
      <c r="D127" t="str">
        <f t="shared" si="4"/>
        <v>C</v>
      </c>
      <c r="E127">
        <f t="shared" si="5"/>
        <v>2</v>
      </c>
    </row>
    <row r="128" spans="1:5" x14ac:dyDescent="0.25">
      <c r="A128">
        <v>127</v>
      </c>
      <c r="B128">
        <v>11.1</v>
      </c>
      <c r="C128">
        <v>15</v>
      </c>
      <c r="D128" t="str">
        <f t="shared" si="4"/>
        <v>C</v>
      </c>
      <c r="E128">
        <f t="shared" si="5"/>
        <v>3</v>
      </c>
    </row>
    <row r="129" spans="1:5" x14ac:dyDescent="0.25">
      <c r="A129">
        <v>128</v>
      </c>
      <c r="B129">
        <v>7.5</v>
      </c>
      <c r="C129">
        <v>10</v>
      </c>
      <c r="D129" t="str">
        <f t="shared" si="4"/>
        <v>C</v>
      </c>
      <c r="E129">
        <f t="shared" si="5"/>
        <v>3</v>
      </c>
    </row>
    <row r="130" spans="1:5" x14ac:dyDescent="0.25">
      <c r="A130">
        <v>129</v>
      </c>
      <c r="B130">
        <v>5.2</v>
      </c>
      <c r="C130">
        <v>5</v>
      </c>
      <c r="D130" t="str">
        <f t="shared" si="4"/>
        <v>C</v>
      </c>
      <c r="E130">
        <f t="shared" si="5"/>
        <v>3</v>
      </c>
    </row>
    <row r="131" spans="1:5" x14ac:dyDescent="0.25">
      <c r="A131">
        <v>130</v>
      </c>
      <c r="B131">
        <v>4.5999999999999996</v>
      </c>
      <c r="C131">
        <v>23</v>
      </c>
      <c r="D131" t="str">
        <f t="shared" si="4"/>
        <v>C</v>
      </c>
      <c r="E131">
        <f t="shared" si="5"/>
        <v>4</v>
      </c>
    </row>
    <row r="132" spans="1:5" x14ac:dyDescent="0.25">
      <c r="A132">
        <v>131</v>
      </c>
      <c r="B132">
        <v>5.5</v>
      </c>
      <c r="C132">
        <v>11</v>
      </c>
      <c r="D132" t="str">
        <f t="shared" ref="D132:D195" si="6">IF(E132=0,0,IF(E131&gt;0,D131,IF(B132&gt;=10,"C","S")))</f>
        <v>C</v>
      </c>
      <c r="E132">
        <f t="shared" si="5"/>
        <v>4</v>
      </c>
    </row>
    <row r="133" spans="1:5" x14ac:dyDescent="0.25">
      <c r="A133">
        <v>132</v>
      </c>
      <c r="B133">
        <v>7.3</v>
      </c>
      <c r="C133">
        <v>23</v>
      </c>
      <c r="D133" t="str">
        <f t="shared" si="6"/>
        <v>C</v>
      </c>
      <c r="E133">
        <f t="shared" si="5"/>
        <v>4</v>
      </c>
    </row>
    <row r="134" spans="1:5" x14ac:dyDescent="0.25">
      <c r="A134">
        <v>133</v>
      </c>
      <c r="B134">
        <v>9.3000000000000007</v>
      </c>
      <c r="C134">
        <v>16</v>
      </c>
      <c r="D134" t="str">
        <f t="shared" si="6"/>
        <v>C</v>
      </c>
      <c r="E134">
        <f t="shared" ref="E134:E197" si="7">IF(E133=0,1,IF(AND(E133=5,C133&gt;=20),0,IF(AND(E133=E131,E133&lt;5),E133+1,E133)))</f>
        <v>5</v>
      </c>
    </row>
    <row r="135" spans="1:5" x14ac:dyDescent="0.25">
      <c r="A135">
        <v>134</v>
      </c>
      <c r="B135">
        <v>10.5</v>
      </c>
      <c r="C135">
        <v>21</v>
      </c>
      <c r="D135" t="str">
        <f t="shared" si="6"/>
        <v>C</v>
      </c>
      <c r="E135">
        <f t="shared" si="7"/>
        <v>5</v>
      </c>
    </row>
    <row r="136" spans="1:5" x14ac:dyDescent="0.25">
      <c r="A136">
        <v>135</v>
      </c>
      <c r="B136">
        <v>10.4</v>
      </c>
      <c r="C136">
        <v>0</v>
      </c>
      <c r="D136">
        <f t="shared" si="6"/>
        <v>0</v>
      </c>
      <c r="E136">
        <f t="shared" si="7"/>
        <v>0</v>
      </c>
    </row>
    <row r="137" spans="1:5" x14ac:dyDescent="0.25">
      <c r="A137">
        <v>136</v>
      </c>
      <c r="B137">
        <v>9</v>
      </c>
      <c r="C137">
        <v>4</v>
      </c>
      <c r="D137" t="str">
        <f t="shared" si="6"/>
        <v>S</v>
      </c>
      <c r="E137">
        <f t="shared" si="7"/>
        <v>1</v>
      </c>
    </row>
    <row r="138" spans="1:5" x14ac:dyDescent="0.25">
      <c r="A138">
        <v>137</v>
      </c>
      <c r="B138">
        <v>6.4</v>
      </c>
      <c r="C138">
        <v>3</v>
      </c>
      <c r="D138" t="str">
        <f t="shared" si="6"/>
        <v>S</v>
      </c>
      <c r="E138">
        <f t="shared" si="7"/>
        <v>1</v>
      </c>
    </row>
    <row r="139" spans="1:5" x14ac:dyDescent="0.25">
      <c r="A139">
        <v>138</v>
      </c>
      <c r="B139">
        <v>3.6</v>
      </c>
      <c r="C139">
        <v>3</v>
      </c>
      <c r="D139" t="str">
        <f t="shared" si="6"/>
        <v>S</v>
      </c>
      <c r="E139">
        <f t="shared" si="7"/>
        <v>1</v>
      </c>
    </row>
    <row r="140" spans="1:5" x14ac:dyDescent="0.25">
      <c r="A140">
        <v>139</v>
      </c>
      <c r="B140">
        <v>1.4</v>
      </c>
      <c r="C140">
        <v>4</v>
      </c>
      <c r="D140" t="str">
        <f t="shared" si="6"/>
        <v>S</v>
      </c>
      <c r="E140">
        <f t="shared" si="7"/>
        <v>2</v>
      </c>
    </row>
    <row r="141" spans="1:5" x14ac:dyDescent="0.25">
      <c r="A141">
        <v>140</v>
      </c>
      <c r="B141">
        <v>0.5</v>
      </c>
      <c r="C141">
        <v>5</v>
      </c>
      <c r="D141" t="str">
        <f t="shared" si="6"/>
        <v>S</v>
      </c>
      <c r="E141">
        <f t="shared" si="7"/>
        <v>2</v>
      </c>
    </row>
    <row r="142" spans="1:5" x14ac:dyDescent="0.25">
      <c r="A142">
        <v>141</v>
      </c>
      <c r="B142">
        <v>1.4</v>
      </c>
      <c r="C142">
        <v>1</v>
      </c>
      <c r="D142" t="str">
        <f t="shared" si="6"/>
        <v>S</v>
      </c>
      <c r="E142">
        <f t="shared" si="7"/>
        <v>2</v>
      </c>
    </row>
    <row r="143" spans="1:5" x14ac:dyDescent="0.25">
      <c r="A143">
        <v>142</v>
      </c>
      <c r="B143">
        <v>3.9</v>
      </c>
      <c r="C143">
        <v>3</v>
      </c>
      <c r="D143" t="str">
        <f t="shared" si="6"/>
        <v>S</v>
      </c>
      <c r="E143">
        <f t="shared" si="7"/>
        <v>3</v>
      </c>
    </row>
    <row r="144" spans="1:5" x14ac:dyDescent="0.25">
      <c r="A144">
        <v>143</v>
      </c>
      <c r="B144">
        <v>7.3</v>
      </c>
      <c r="C144">
        <v>13</v>
      </c>
      <c r="D144" t="str">
        <f t="shared" si="6"/>
        <v>S</v>
      </c>
      <c r="E144">
        <f t="shared" si="7"/>
        <v>3</v>
      </c>
    </row>
    <row r="145" spans="1:5" x14ac:dyDescent="0.25">
      <c r="A145">
        <v>144</v>
      </c>
      <c r="B145">
        <v>10.9</v>
      </c>
      <c r="C145">
        <v>12</v>
      </c>
      <c r="D145" t="str">
        <f t="shared" si="6"/>
        <v>S</v>
      </c>
      <c r="E145">
        <f t="shared" si="7"/>
        <v>3</v>
      </c>
    </row>
    <row r="146" spans="1:5" x14ac:dyDescent="0.25">
      <c r="A146">
        <v>145</v>
      </c>
      <c r="B146">
        <v>13.7</v>
      </c>
      <c r="C146">
        <v>9</v>
      </c>
      <c r="D146" t="str">
        <f t="shared" si="6"/>
        <v>S</v>
      </c>
      <c r="E146">
        <f t="shared" si="7"/>
        <v>4</v>
      </c>
    </row>
    <row r="147" spans="1:5" x14ac:dyDescent="0.25">
      <c r="A147">
        <v>146</v>
      </c>
      <c r="B147">
        <v>15.1</v>
      </c>
      <c r="C147">
        <v>21</v>
      </c>
      <c r="D147" t="str">
        <f t="shared" si="6"/>
        <v>S</v>
      </c>
      <c r="E147">
        <f t="shared" si="7"/>
        <v>4</v>
      </c>
    </row>
    <row r="148" spans="1:5" x14ac:dyDescent="0.25">
      <c r="A148">
        <v>147</v>
      </c>
      <c r="B148">
        <v>15.1</v>
      </c>
      <c r="C148">
        <v>14</v>
      </c>
      <c r="D148" t="str">
        <f t="shared" si="6"/>
        <v>S</v>
      </c>
      <c r="E148">
        <f t="shared" si="7"/>
        <v>4</v>
      </c>
    </row>
    <row r="149" spans="1:5" x14ac:dyDescent="0.25">
      <c r="A149">
        <v>148</v>
      </c>
      <c r="B149">
        <v>13.9</v>
      </c>
      <c r="C149">
        <v>11</v>
      </c>
      <c r="D149" t="str">
        <f t="shared" si="6"/>
        <v>S</v>
      </c>
      <c r="E149">
        <f t="shared" si="7"/>
        <v>5</v>
      </c>
    </row>
    <row r="150" spans="1:5" x14ac:dyDescent="0.25">
      <c r="A150">
        <v>149</v>
      </c>
      <c r="B150">
        <v>12.3</v>
      </c>
      <c r="C150">
        <v>20</v>
      </c>
      <c r="D150" t="str">
        <f t="shared" si="6"/>
        <v>S</v>
      </c>
      <c r="E150">
        <f t="shared" si="7"/>
        <v>5</v>
      </c>
    </row>
    <row r="151" spans="1:5" x14ac:dyDescent="0.25">
      <c r="A151">
        <v>150</v>
      </c>
      <c r="B151">
        <v>11.2</v>
      </c>
      <c r="C151">
        <v>0</v>
      </c>
      <c r="D151">
        <f t="shared" si="6"/>
        <v>0</v>
      </c>
      <c r="E151">
        <f t="shared" si="7"/>
        <v>0</v>
      </c>
    </row>
    <row r="152" spans="1:5" x14ac:dyDescent="0.25">
      <c r="A152">
        <v>151</v>
      </c>
      <c r="B152">
        <v>11.3</v>
      </c>
      <c r="C152">
        <v>6</v>
      </c>
      <c r="D152" t="str">
        <f t="shared" si="6"/>
        <v>C</v>
      </c>
      <c r="E152">
        <f t="shared" si="7"/>
        <v>1</v>
      </c>
    </row>
    <row r="153" spans="1:5" x14ac:dyDescent="0.25">
      <c r="A153">
        <v>152</v>
      </c>
      <c r="B153">
        <v>12.9</v>
      </c>
      <c r="C153">
        <v>3</v>
      </c>
      <c r="D153" t="str">
        <f t="shared" si="6"/>
        <v>C</v>
      </c>
      <c r="E153">
        <f t="shared" si="7"/>
        <v>1</v>
      </c>
    </row>
    <row r="154" spans="1:5" x14ac:dyDescent="0.25">
      <c r="A154">
        <v>153</v>
      </c>
      <c r="B154">
        <v>16</v>
      </c>
      <c r="C154">
        <v>6</v>
      </c>
      <c r="D154" t="str">
        <f t="shared" si="6"/>
        <v>C</v>
      </c>
      <c r="E154">
        <f t="shared" si="7"/>
        <v>1</v>
      </c>
    </row>
    <row r="155" spans="1:5" x14ac:dyDescent="0.25">
      <c r="A155">
        <v>154</v>
      </c>
      <c r="B155">
        <v>19.8</v>
      </c>
      <c r="C155">
        <v>2</v>
      </c>
      <c r="D155" t="str">
        <f t="shared" si="6"/>
        <v>C</v>
      </c>
      <c r="E155">
        <f t="shared" si="7"/>
        <v>2</v>
      </c>
    </row>
    <row r="156" spans="1:5" x14ac:dyDescent="0.25">
      <c r="A156">
        <v>155</v>
      </c>
      <c r="B156">
        <v>23.6</v>
      </c>
      <c r="C156">
        <v>11</v>
      </c>
      <c r="D156" t="str">
        <f t="shared" si="6"/>
        <v>C</v>
      </c>
      <c r="E156">
        <f t="shared" si="7"/>
        <v>2</v>
      </c>
    </row>
    <row r="157" spans="1:5" x14ac:dyDescent="0.25">
      <c r="A157">
        <v>156</v>
      </c>
      <c r="B157">
        <v>26.4</v>
      </c>
      <c r="C157">
        <v>11</v>
      </c>
      <c r="D157" t="str">
        <f t="shared" si="6"/>
        <v>C</v>
      </c>
      <c r="E157">
        <f t="shared" si="7"/>
        <v>2</v>
      </c>
    </row>
    <row r="158" spans="1:5" x14ac:dyDescent="0.25">
      <c r="A158">
        <v>157</v>
      </c>
      <c r="B158">
        <v>27.7</v>
      </c>
      <c r="C158">
        <v>5</v>
      </c>
      <c r="D158" t="str">
        <f t="shared" si="6"/>
        <v>C</v>
      </c>
      <c r="E158">
        <f t="shared" si="7"/>
        <v>3</v>
      </c>
    </row>
    <row r="159" spans="1:5" x14ac:dyDescent="0.25">
      <c r="A159">
        <v>158</v>
      </c>
      <c r="B159">
        <v>27.2</v>
      </c>
      <c r="C159">
        <v>18</v>
      </c>
      <c r="D159" t="str">
        <f t="shared" si="6"/>
        <v>C</v>
      </c>
      <c r="E159">
        <f t="shared" si="7"/>
        <v>3</v>
      </c>
    </row>
    <row r="160" spans="1:5" x14ac:dyDescent="0.25">
      <c r="A160">
        <v>159</v>
      </c>
      <c r="B160">
        <v>25.5</v>
      </c>
      <c r="C160">
        <v>5</v>
      </c>
      <c r="D160" t="str">
        <f t="shared" si="6"/>
        <v>C</v>
      </c>
      <c r="E160">
        <f t="shared" si="7"/>
        <v>3</v>
      </c>
    </row>
    <row r="161" spans="1:5" x14ac:dyDescent="0.25">
      <c r="A161">
        <v>160</v>
      </c>
      <c r="B161">
        <v>23.1</v>
      </c>
      <c r="C161">
        <v>8</v>
      </c>
      <c r="D161" t="str">
        <f t="shared" si="6"/>
        <v>C</v>
      </c>
      <c r="E161">
        <f t="shared" si="7"/>
        <v>4</v>
      </c>
    </row>
    <row r="162" spans="1:5" x14ac:dyDescent="0.25">
      <c r="A162">
        <v>161</v>
      </c>
      <c r="B162">
        <v>21</v>
      </c>
      <c r="C162">
        <v>22</v>
      </c>
      <c r="D162" t="str">
        <f t="shared" si="6"/>
        <v>C</v>
      </c>
      <c r="E162">
        <f t="shared" si="7"/>
        <v>4</v>
      </c>
    </row>
    <row r="163" spans="1:5" x14ac:dyDescent="0.25">
      <c r="A163">
        <v>162</v>
      </c>
      <c r="B163">
        <v>20</v>
      </c>
      <c r="C163">
        <v>19</v>
      </c>
      <c r="D163" t="str">
        <f t="shared" si="6"/>
        <v>C</v>
      </c>
      <c r="E163">
        <f t="shared" si="7"/>
        <v>4</v>
      </c>
    </row>
    <row r="164" spans="1:5" x14ac:dyDescent="0.25">
      <c r="A164">
        <v>163</v>
      </c>
      <c r="B164">
        <v>20.399999999999999</v>
      </c>
      <c r="C164">
        <v>23</v>
      </c>
      <c r="D164" t="str">
        <f t="shared" si="6"/>
        <v>C</v>
      </c>
      <c r="E164">
        <f t="shared" si="7"/>
        <v>5</v>
      </c>
    </row>
    <row r="165" spans="1:5" x14ac:dyDescent="0.25">
      <c r="A165">
        <v>164</v>
      </c>
      <c r="B165">
        <v>22.1</v>
      </c>
      <c r="C165">
        <v>0</v>
      </c>
      <c r="D165">
        <f t="shared" si="6"/>
        <v>0</v>
      </c>
      <c r="E165">
        <f t="shared" si="7"/>
        <v>0</v>
      </c>
    </row>
    <row r="166" spans="1:5" x14ac:dyDescent="0.25">
      <c r="A166">
        <v>165</v>
      </c>
      <c r="B166">
        <v>24.5</v>
      </c>
      <c r="C166">
        <v>1</v>
      </c>
      <c r="D166" t="str">
        <f t="shared" si="6"/>
        <v>C</v>
      </c>
      <c r="E166">
        <f t="shared" si="7"/>
        <v>1</v>
      </c>
    </row>
    <row r="167" spans="1:5" x14ac:dyDescent="0.25">
      <c r="A167">
        <v>166</v>
      </c>
      <c r="B167">
        <v>26.8</v>
      </c>
      <c r="C167">
        <v>2</v>
      </c>
      <c r="D167" t="str">
        <f t="shared" si="6"/>
        <v>C</v>
      </c>
      <c r="E167">
        <f t="shared" si="7"/>
        <v>1</v>
      </c>
    </row>
    <row r="168" spans="1:5" x14ac:dyDescent="0.25">
      <c r="A168">
        <v>167</v>
      </c>
      <c r="B168">
        <v>28</v>
      </c>
      <c r="C168">
        <v>4</v>
      </c>
      <c r="D168" t="str">
        <f t="shared" si="6"/>
        <v>C</v>
      </c>
      <c r="E168">
        <f t="shared" si="7"/>
        <v>1</v>
      </c>
    </row>
    <row r="169" spans="1:5" x14ac:dyDescent="0.25">
      <c r="A169">
        <v>168</v>
      </c>
      <c r="B169">
        <v>27.7</v>
      </c>
      <c r="C169">
        <v>8</v>
      </c>
      <c r="D169" t="str">
        <f t="shared" si="6"/>
        <v>C</v>
      </c>
      <c r="E169">
        <f t="shared" si="7"/>
        <v>2</v>
      </c>
    </row>
    <row r="170" spans="1:5" x14ac:dyDescent="0.25">
      <c r="A170">
        <v>169</v>
      </c>
      <c r="B170">
        <v>25.6</v>
      </c>
      <c r="C170">
        <v>4</v>
      </c>
      <c r="D170" t="str">
        <f t="shared" si="6"/>
        <v>C</v>
      </c>
      <c r="E170">
        <f t="shared" si="7"/>
        <v>2</v>
      </c>
    </row>
    <row r="171" spans="1:5" x14ac:dyDescent="0.25">
      <c r="A171">
        <v>170</v>
      </c>
      <c r="B171">
        <v>22.3</v>
      </c>
      <c r="C171">
        <v>7</v>
      </c>
      <c r="D171" t="str">
        <f t="shared" si="6"/>
        <v>C</v>
      </c>
      <c r="E171">
        <f t="shared" si="7"/>
        <v>2</v>
      </c>
    </row>
    <row r="172" spans="1:5" x14ac:dyDescent="0.25">
      <c r="A172">
        <v>171</v>
      </c>
      <c r="B172">
        <v>18.399999999999999</v>
      </c>
      <c r="C172">
        <v>6</v>
      </c>
      <c r="D172" t="str">
        <f t="shared" si="6"/>
        <v>C</v>
      </c>
      <c r="E172">
        <f t="shared" si="7"/>
        <v>3</v>
      </c>
    </row>
    <row r="173" spans="1:5" x14ac:dyDescent="0.25">
      <c r="A173">
        <v>172</v>
      </c>
      <c r="B173">
        <v>14.9</v>
      </c>
      <c r="C173">
        <v>18</v>
      </c>
      <c r="D173" t="str">
        <f t="shared" si="6"/>
        <v>C</v>
      </c>
      <c r="E173">
        <f t="shared" si="7"/>
        <v>3</v>
      </c>
    </row>
    <row r="174" spans="1:5" x14ac:dyDescent="0.25">
      <c r="A174">
        <v>173</v>
      </c>
      <c r="B174">
        <v>12.5</v>
      </c>
      <c r="C174">
        <v>6</v>
      </c>
      <c r="D174" t="str">
        <f t="shared" si="6"/>
        <v>C</v>
      </c>
      <c r="E174">
        <f t="shared" si="7"/>
        <v>3</v>
      </c>
    </row>
    <row r="175" spans="1:5" x14ac:dyDescent="0.25">
      <c r="A175">
        <v>174</v>
      </c>
      <c r="B175">
        <v>11.7</v>
      </c>
      <c r="C175">
        <v>20</v>
      </c>
      <c r="D175" t="str">
        <f t="shared" si="6"/>
        <v>C</v>
      </c>
      <c r="E175">
        <f t="shared" si="7"/>
        <v>4</v>
      </c>
    </row>
    <row r="176" spans="1:5" x14ac:dyDescent="0.25">
      <c r="A176">
        <v>175</v>
      </c>
      <c r="B176">
        <v>12.3</v>
      </c>
      <c r="C176">
        <v>14</v>
      </c>
      <c r="D176" t="str">
        <f t="shared" si="6"/>
        <v>C</v>
      </c>
      <c r="E176">
        <f t="shared" si="7"/>
        <v>4</v>
      </c>
    </row>
    <row r="177" spans="1:5" x14ac:dyDescent="0.25">
      <c r="A177">
        <v>176</v>
      </c>
      <c r="B177">
        <v>13.7</v>
      </c>
      <c r="C177">
        <v>22</v>
      </c>
      <c r="D177" t="str">
        <f t="shared" si="6"/>
        <v>C</v>
      </c>
      <c r="E177">
        <f t="shared" si="7"/>
        <v>4</v>
      </c>
    </row>
    <row r="178" spans="1:5" x14ac:dyDescent="0.25">
      <c r="A178">
        <v>177</v>
      </c>
      <c r="B178">
        <v>15.2</v>
      </c>
      <c r="C178">
        <v>23</v>
      </c>
      <c r="D178" t="str">
        <f t="shared" si="6"/>
        <v>C</v>
      </c>
      <c r="E178">
        <f t="shared" si="7"/>
        <v>5</v>
      </c>
    </row>
    <row r="179" spans="1:5" x14ac:dyDescent="0.25">
      <c r="A179">
        <v>178</v>
      </c>
      <c r="B179">
        <v>15.9</v>
      </c>
      <c r="C179">
        <v>0</v>
      </c>
      <c r="D179">
        <f t="shared" si="6"/>
        <v>0</v>
      </c>
      <c r="E179">
        <f t="shared" si="7"/>
        <v>0</v>
      </c>
    </row>
    <row r="180" spans="1:5" x14ac:dyDescent="0.25">
      <c r="A180">
        <v>179</v>
      </c>
      <c r="B180">
        <v>15.1</v>
      </c>
      <c r="C180">
        <v>1</v>
      </c>
      <c r="D180" t="str">
        <f t="shared" si="6"/>
        <v>C</v>
      </c>
      <c r="E180">
        <f t="shared" si="7"/>
        <v>1</v>
      </c>
    </row>
    <row r="181" spans="1:5" x14ac:dyDescent="0.25">
      <c r="A181">
        <v>180</v>
      </c>
      <c r="B181">
        <v>12.9</v>
      </c>
      <c r="C181">
        <v>1</v>
      </c>
      <c r="D181" t="str">
        <f t="shared" si="6"/>
        <v>C</v>
      </c>
      <c r="E181">
        <f t="shared" si="7"/>
        <v>1</v>
      </c>
    </row>
    <row r="182" spans="1:5" x14ac:dyDescent="0.25">
      <c r="A182">
        <v>181</v>
      </c>
      <c r="B182">
        <v>9.6</v>
      </c>
      <c r="C182">
        <v>1</v>
      </c>
      <c r="D182" t="str">
        <f t="shared" si="6"/>
        <v>C</v>
      </c>
      <c r="E182">
        <f t="shared" si="7"/>
        <v>1</v>
      </c>
    </row>
    <row r="183" spans="1:5" x14ac:dyDescent="0.25">
      <c r="A183">
        <v>182</v>
      </c>
      <c r="B183">
        <v>5.9</v>
      </c>
      <c r="C183">
        <v>2</v>
      </c>
      <c r="D183" t="str">
        <f t="shared" si="6"/>
        <v>C</v>
      </c>
      <c r="E183">
        <f t="shared" si="7"/>
        <v>2</v>
      </c>
    </row>
    <row r="184" spans="1:5" x14ac:dyDescent="0.25">
      <c r="A184">
        <v>183</v>
      </c>
      <c r="B184">
        <v>2.8</v>
      </c>
      <c r="C184">
        <v>6</v>
      </c>
      <c r="D184" t="str">
        <f t="shared" si="6"/>
        <v>C</v>
      </c>
      <c r="E184">
        <f t="shared" si="7"/>
        <v>2</v>
      </c>
    </row>
    <row r="185" spans="1:5" x14ac:dyDescent="0.25">
      <c r="A185">
        <v>184</v>
      </c>
      <c r="B185">
        <v>1</v>
      </c>
      <c r="C185">
        <v>9</v>
      </c>
      <c r="D185" t="str">
        <f t="shared" si="6"/>
        <v>C</v>
      </c>
      <c r="E185">
        <f t="shared" si="7"/>
        <v>2</v>
      </c>
    </row>
    <row r="186" spans="1:5" x14ac:dyDescent="0.25">
      <c r="A186">
        <v>185</v>
      </c>
      <c r="B186">
        <v>0.9</v>
      </c>
      <c r="C186">
        <v>6</v>
      </c>
      <c r="D186" t="str">
        <f t="shared" si="6"/>
        <v>C</v>
      </c>
      <c r="E186">
        <f t="shared" si="7"/>
        <v>3</v>
      </c>
    </row>
    <row r="187" spans="1:5" x14ac:dyDescent="0.25">
      <c r="A187">
        <v>186</v>
      </c>
      <c r="B187">
        <v>2.5</v>
      </c>
      <c r="C187">
        <v>1</v>
      </c>
      <c r="D187" t="str">
        <f t="shared" si="6"/>
        <v>C</v>
      </c>
      <c r="E187">
        <f t="shared" si="7"/>
        <v>3</v>
      </c>
    </row>
    <row r="188" spans="1:5" x14ac:dyDescent="0.25">
      <c r="A188">
        <v>187</v>
      </c>
      <c r="B188">
        <v>5</v>
      </c>
      <c r="C188">
        <v>3</v>
      </c>
      <c r="D188" t="str">
        <f t="shared" si="6"/>
        <v>C</v>
      </c>
      <c r="E188">
        <f t="shared" si="7"/>
        <v>3</v>
      </c>
    </row>
    <row r="189" spans="1:5" x14ac:dyDescent="0.25">
      <c r="A189">
        <v>188</v>
      </c>
      <c r="B189">
        <v>7.7</v>
      </c>
      <c r="C189">
        <v>7</v>
      </c>
      <c r="D189" t="str">
        <f t="shared" si="6"/>
        <v>C</v>
      </c>
      <c r="E189">
        <f t="shared" si="7"/>
        <v>4</v>
      </c>
    </row>
    <row r="190" spans="1:5" x14ac:dyDescent="0.25">
      <c r="A190">
        <v>189</v>
      </c>
      <c r="B190">
        <v>9.6999999999999993</v>
      </c>
      <c r="C190">
        <v>6</v>
      </c>
      <c r="D190" t="str">
        <f t="shared" si="6"/>
        <v>C</v>
      </c>
      <c r="E190">
        <f t="shared" si="7"/>
        <v>4</v>
      </c>
    </row>
    <row r="191" spans="1:5" x14ac:dyDescent="0.25">
      <c r="A191">
        <v>190</v>
      </c>
      <c r="B191">
        <v>10.4</v>
      </c>
      <c r="C191">
        <v>3</v>
      </c>
      <c r="D191" t="str">
        <f t="shared" si="6"/>
        <v>C</v>
      </c>
      <c r="E191">
        <f t="shared" si="7"/>
        <v>4</v>
      </c>
    </row>
    <row r="192" spans="1:5" x14ac:dyDescent="0.25">
      <c r="A192">
        <v>191</v>
      </c>
      <c r="B192">
        <v>9.6999999999999993</v>
      </c>
      <c r="C192">
        <v>22</v>
      </c>
      <c r="D192" t="str">
        <f t="shared" si="6"/>
        <v>C</v>
      </c>
      <c r="E192">
        <f t="shared" si="7"/>
        <v>5</v>
      </c>
    </row>
    <row r="193" spans="1:5" x14ac:dyDescent="0.25">
      <c r="A193">
        <v>192</v>
      </c>
      <c r="B193">
        <v>8</v>
      </c>
      <c r="C193">
        <v>0</v>
      </c>
      <c r="D193">
        <f t="shared" si="6"/>
        <v>0</v>
      </c>
      <c r="E193">
        <f t="shared" si="7"/>
        <v>0</v>
      </c>
    </row>
    <row r="194" spans="1:5" x14ac:dyDescent="0.25">
      <c r="A194">
        <v>193</v>
      </c>
      <c r="B194">
        <v>5.9</v>
      </c>
      <c r="C194">
        <v>3</v>
      </c>
      <c r="D194" t="str">
        <f t="shared" si="6"/>
        <v>S</v>
      </c>
      <c r="E194">
        <f t="shared" si="7"/>
        <v>1</v>
      </c>
    </row>
    <row r="195" spans="1:5" x14ac:dyDescent="0.25">
      <c r="A195">
        <v>194</v>
      </c>
      <c r="B195">
        <v>4.4000000000000004</v>
      </c>
      <c r="C195">
        <v>4</v>
      </c>
      <c r="D195" t="str">
        <f t="shared" si="6"/>
        <v>S</v>
      </c>
      <c r="E195">
        <f t="shared" si="7"/>
        <v>1</v>
      </c>
    </row>
    <row r="196" spans="1:5" x14ac:dyDescent="0.25">
      <c r="A196">
        <v>195</v>
      </c>
      <c r="B196">
        <v>4.2</v>
      </c>
      <c r="C196">
        <v>6</v>
      </c>
      <c r="D196" t="str">
        <f t="shared" ref="D196:D259" si="8">IF(E196=0,0,IF(E195&gt;0,D195,IF(B196&gt;=10,"C","S")))</f>
        <v>S</v>
      </c>
      <c r="E196">
        <f t="shared" si="7"/>
        <v>1</v>
      </c>
    </row>
    <row r="197" spans="1:5" x14ac:dyDescent="0.25">
      <c r="A197">
        <v>196</v>
      </c>
      <c r="B197">
        <v>5.6</v>
      </c>
      <c r="C197">
        <v>8</v>
      </c>
      <c r="D197" t="str">
        <f t="shared" si="8"/>
        <v>S</v>
      </c>
      <c r="E197">
        <f t="shared" si="7"/>
        <v>2</v>
      </c>
    </row>
    <row r="198" spans="1:5" x14ac:dyDescent="0.25">
      <c r="A198">
        <v>197</v>
      </c>
      <c r="B198">
        <v>8.6</v>
      </c>
      <c r="C198">
        <v>12</v>
      </c>
      <c r="D198" t="str">
        <f t="shared" si="8"/>
        <v>S</v>
      </c>
      <c r="E198">
        <f t="shared" ref="E198:E261" si="9">IF(E197=0,1,IF(AND(E197=5,C197&gt;=20),0,IF(AND(E197=E195,E197&lt;5),E197+1,E197)))</f>
        <v>2</v>
      </c>
    </row>
    <row r="199" spans="1:5" x14ac:dyDescent="0.25">
      <c r="A199">
        <v>198</v>
      </c>
      <c r="B199">
        <v>12.5</v>
      </c>
      <c r="C199">
        <v>9</v>
      </c>
      <c r="D199" t="str">
        <f t="shared" si="8"/>
        <v>S</v>
      </c>
      <c r="E199">
        <f t="shared" si="9"/>
        <v>2</v>
      </c>
    </row>
    <row r="200" spans="1:5" x14ac:dyDescent="0.25">
      <c r="A200">
        <v>199</v>
      </c>
      <c r="B200">
        <v>16.399999999999999</v>
      </c>
      <c r="C200">
        <v>14</v>
      </c>
      <c r="D200" t="str">
        <f t="shared" si="8"/>
        <v>S</v>
      </c>
      <c r="E200">
        <f t="shared" si="9"/>
        <v>3</v>
      </c>
    </row>
    <row r="201" spans="1:5" x14ac:dyDescent="0.25">
      <c r="A201">
        <v>200</v>
      </c>
      <c r="B201">
        <v>19.5</v>
      </c>
      <c r="C201">
        <v>12</v>
      </c>
      <c r="D201" t="str">
        <f t="shared" si="8"/>
        <v>S</v>
      </c>
      <c r="E201">
        <f t="shared" si="9"/>
        <v>3</v>
      </c>
    </row>
    <row r="202" spans="1:5" x14ac:dyDescent="0.25">
      <c r="A202">
        <v>201</v>
      </c>
      <c r="B202">
        <v>21.2</v>
      </c>
      <c r="C202">
        <v>1</v>
      </c>
      <c r="D202" t="str">
        <f t="shared" si="8"/>
        <v>S</v>
      </c>
      <c r="E202">
        <f t="shared" si="9"/>
        <v>3</v>
      </c>
    </row>
    <row r="203" spans="1:5" x14ac:dyDescent="0.25">
      <c r="A203">
        <v>202</v>
      </c>
      <c r="B203">
        <v>21.3</v>
      </c>
      <c r="C203">
        <v>11</v>
      </c>
      <c r="D203" t="str">
        <f t="shared" si="8"/>
        <v>S</v>
      </c>
      <c r="E203">
        <f t="shared" si="9"/>
        <v>4</v>
      </c>
    </row>
    <row r="204" spans="1:5" x14ac:dyDescent="0.25">
      <c r="A204">
        <v>203</v>
      </c>
      <c r="B204">
        <v>20.100000000000001</v>
      </c>
      <c r="C204">
        <v>6</v>
      </c>
      <c r="D204" t="str">
        <f t="shared" si="8"/>
        <v>S</v>
      </c>
      <c r="E204">
        <f t="shared" si="9"/>
        <v>4</v>
      </c>
    </row>
    <row r="205" spans="1:5" x14ac:dyDescent="0.25">
      <c r="A205">
        <v>204</v>
      </c>
      <c r="B205">
        <v>18.399999999999999</v>
      </c>
      <c r="C205">
        <v>3</v>
      </c>
      <c r="D205" t="str">
        <f t="shared" si="8"/>
        <v>S</v>
      </c>
      <c r="E205">
        <f t="shared" si="9"/>
        <v>4</v>
      </c>
    </row>
    <row r="206" spans="1:5" x14ac:dyDescent="0.25">
      <c r="A206">
        <v>205</v>
      </c>
      <c r="B206">
        <v>17.100000000000001</v>
      </c>
      <c r="C206">
        <v>15</v>
      </c>
      <c r="D206" t="str">
        <f t="shared" si="8"/>
        <v>S</v>
      </c>
      <c r="E206">
        <f t="shared" si="9"/>
        <v>5</v>
      </c>
    </row>
    <row r="207" spans="1:5" x14ac:dyDescent="0.25">
      <c r="A207">
        <v>206</v>
      </c>
      <c r="B207">
        <v>16.899999999999999</v>
      </c>
      <c r="C207">
        <v>16</v>
      </c>
      <c r="D207" t="str">
        <f t="shared" si="8"/>
        <v>S</v>
      </c>
      <c r="E207">
        <f t="shared" si="9"/>
        <v>5</v>
      </c>
    </row>
    <row r="208" spans="1:5" x14ac:dyDescent="0.25">
      <c r="A208">
        <v>207</v>
      </c>
      <c r="B208">
        <v>18.2</v>
      </c>
      <c r="C208">
        <v>17</v>
      </c>
      <c r="D208" t="str">
        <f t="shared" si="8"/>
        <v>S</v>
      </c>
      <c r="E208">
        <f t="shared" si="9"/>
        <v>5</v>
      </c>
    </row>
    <row r="209" spans="1:5" x14ac:dyDescent="0.25">
      <c r="A209">
        <v>208</v>
      </c>
      <c r="B209">
        <v>20.7</v>
      </c>
      <c r="C209">
        <v>18</v>
      </c>
      <c r="D209" t="str">
        <f t="shared" si="8"/>
        <v>S</v>
      </c>
      <c r="E209">
        <f t="shared" si="9"/>
        <v>5</v>
      </c>
    </row>
    <row r="210" spans="1:5" x14ac:dyDescent="0.25">
      <c r="A210">
        <v>209</v>
      </c>
      <c r="B210">
        <v>24</v>
      </c>
      <c r="C210">
        <v>13</v>
      </c>
      <c r="D210" t="str">
        <f t="shared" si="8"/>
        <v>S</v>
      </c>
      <c r="E210">
        <f t="shared" si="9"/>
        <v>5</v>
      </c>
    </row>
    <row r="211" spans="1:5" x14ac:dyDescent="0.25">
      <c r="A211">
        <v>210</v>
      </c>
      <c r="B211">
        <v>27.2</v>
      </c>
      <c r="C211">
        <v>27</v>
      </c>
      <c r="D211" t="str">
        <f t="shared" si="8"/>
        <v>S</v>
      </c>
      <c r="E211">
        <f t="shared" si="9"/>
        <v>5</v>
      </c>
    </row>
    <row r="212" spans="1:5" x14ac:dyDescent="0.25">
      <c r="A212">
        <v>211</v>
      </c>
      <c r="B212">
        <v>29.4</v>
      </c>
      <c r="C212">
        <v>0</v>
      </c>
      <c r="D212">
        <f t="shared" si="8"/>
        <v>0</v>
      </c>
      <c r="E212">
        <f t="shared" si="9"/>
        <v>0</v>
      </c>
    </row>
    <row r="213" spans="1:5" x14ac:dyDescent="0.25">
      <c r="A213">
        <v>212</v>
      </c>
      <c r="B213">
        <v>29.9</v>
      </c>
      <c r="C213">
        <v>2</v>
      </c>
      <c r="D213" t="str">
        <f t="shared" si="8"/>
        <v>C</v>
      </c>
      <c r="E213">
        <f t="shared" si="9"/>
        <v>1</v>
      </c>
    </row>
    <row r="214" spans="1:5" x14ac:dyDescent="0.25">
      <c r="A214">
        <v>213</v>
      </c>
      <c r="B214">
        <v>28.8</v>
      </c>
      <c r="C214">
        <v>4</v>
      </c>
      <c r="D214" t="str">
        <f t="shared" si="8"/>
        <v>C</v>
      </c>
      <c r="E214">
        <f t="shared" si="9"/>
        <v>1</v>
      </c>
    </row>
    <row r="215" spans="1:5" x14ac:dyDescent="0.25">
      <c r="A215">
        <v>214</v>
      </c>
      <c r="B215">
        <v>26.2</v>
      </c>
      <c r="C215">
        <v>2</v>
      </c>
      <c r="D215" t="str">
        <f t="shared" si="8"/>
        <v>C</v>
      </c>
      <c r="E215">
        <f t="shared" si="9"/>
        <v>1</v>
      </c>
    </row>
    <row r="216" spans="1:5" x14ac:dyDescent="0.25">
      <c r="A216">
        <v>215</v>
      </c>
      <c r="B216">
        <v>23.1</v>
      </c>
      <c r="C216">
        <v>11</v>
      </c>
      <c r="D216" t="str">
        <f t="shared" si="8"/>
        <v>C</v>
      </c>
      <c r="E216">
        <f t="shared" si="9"/>
        <v>2</v>
      </c>
    </row>
    <row r="217" spans="1:5" x14ac:dyDescent="0.25">
      <c r="A217">
        <v>216</v>
      </c>
      <c r="B217">
        <v>20.3</v>
      </c>
      <c r="C217">
        <v>1</v>
      </c>
      <c r="D217" t="str">
        <f t="shared" si="8"/>
        <v>C</v>
      </c>
      <c r="E217">
        <f t="shared" si="9"/>
        <v>2</v>
      </c>
    </row>
    <row r="218" spans="1:5" x14ac:dyDescent="0.25">
      <c r="A218">
        <v>217</v>
      </c>
      <c r="B218">
        <v>18.5</v>
      </c>
      <c r="C218">
        <v>7</v>
      </c>
      <c r="D218" t="str">
        <f t="shared" si="8"/>
        <v>C</v>
      </c>
      <c r="E218">
        <f t="shared" si="9"/>
        <v>2</v>
      </c>
    </row>
    <row r="219" spans="1:5" x14ac:dyDescent="0.25">
      <c r="A219">
        <v>218</v>
      </c>
      <c r="B219">
        <v>18.2</v>
      </c>
      <c r="C219">
        <v>10</v>
      </c>
      <c r="D219" t="str">
        <f t="shared" si="8"/>
        <v>C</v>
      </c>
      <c r="E219">
        <f t="shared" si="9"/>
        <v>3</v>
      </c>
    </row>
    <row r="220" spans="1:5" x14ac:dyDescent="0.25">
      <c r="A220">
        <v>219</v>
      </c>
      <c r="B220">
        <v>19.100000000000001</v>
      </c>
      <c r="C220">
        <v>10</v>
      </c>
      <c r="D220" t="str">
        <f t="shared" si="8"/>
        <v>C</v>
      </c>
      <c r="E220">
        <f t="shared" si="9"/>
        <v>3</v>
      </c>
    </row>
    <row r="221" spans="1:5" x14ac:dyDescent="0.25">
      <c r="A221">
        <v>220</v>
      </c>
      <c r="B221">
        <v>20.9</v>
      </c>
      <c r="C221">
        <v>1</v>
      </c>
      <c r="D221" t="str">
        <f t="shared" si="8"/>
        <v>C</v>
      </c>
      <c r="E221">
        <f t="shared" si="9"/>
        <v>3</v>
      </c>
    </row>
    <row r="222" spans="1:5" x14ac:dyDescent="0.25">
      <c r="A222">
        <v>221</v>
      </c>
      <c r="B222">
        <v>22.5</v>
      </c>
      <c r="C222">
        <v>4</v>
      </c>
      <c r="D222" t="str">
        <f t="shared" si="8"/>
        <v>C</v>
      </c>
      <c r="E222">
        <f t="shared" si="9"/>
        <v>4</v>
      </c>
    </row>
    <row r="223" spans="1:5" x14ac:dyDescent="0.25">
      <c r="A223">
        <v>222</v>
      </c>
      <c r="B223">
        <v>23.2</v>
      </c>
      <c r="C223">
        <v>12</v>
      </c>
      <c r="D223" t="str">
        <f t="shared" si="8"/>
        <v>C</v>
      </c>
      <c r="E223">
        <f t="shared" si="9"/>
        <v>4</v>
      </c>
    </row>
    <row r="224" spans="1:5" x14ac:dyDescent="0.25">
      <c r="A224">
        <v>223</v>
      </c>
      <c r="B224">
        <v>22.4</v>
      </c>
      <c r="C224">
        <v>7</v>
      </c>
      <c r="D224" t="str">
        <f t="shared" si="8"/>
        <v>C</v>
      </c>
      <c r="E224">
        <f t="shared" si="9"/>
        <v>4</v>
      </c>
    </row>
    <row r="225" spans="1:5" x14ac:dyDescent="0.25">
      <c r="A225">
        <v>224</v>
      </c>
      <c r="B225">
        <v>20</v>
      </c>
      <c r="C225">
        <v>16</v>
      </c>
      <c r="D225" t="str">
        <f t="shared" si="8"/>
        <v>C</v>
      </c>
      <c r="E225">
        <f t="shared" si="9"/>
        <v>5</v>
      </c>
    </row>
    <row r="226" spans="1:5" x14ac:dyDescent="0.25">
      <c r="A226">
        <v>225</v>
      </c>
      <c r="B226">
        <v>16.399999999999999</v>
      </c>
      <c r="C226">
        <v>24</v>
      </c>
      <c r="D226" t="str">
        <f t="shared" si="8"/>
        <v>C</v>
      </c>
      <c r="E226">
        <f t="shared" si="9"/>
        <v>5</v>
      </c>
    </row>
    <row r="227" spans="1:5" x14ac:dyDescent="0.25">
      <c r="A227">
        <v>226</v>
      </c>
      <c r="B227">
        <v>12.3</v>
      </c>
      <c r="C227">
        <v>0</v>
      </c>
      <c r="D227">
        <f t="shared" si="8"/>
        <v>0</v>
      </c>
      <c r="E227">
        <f t="shared" si="9"/>
        <v>0</v>
      </c>
    </row>
    <row r="228" spans="1:5" x14ac:dyDescent="0.25">
      <c r="A228">
        <v>227</v>
      </c>
      <c r="B228">
        <v>8.6999999999999993</v>
      </c>
      <c r="C228">
        <v>5</v>
      </c>
      <c r="D228" t="str">
        <f t="shared" si="8"/>
        <v>S</v>
      </c>
      <c r="E228">
        <f t="shared" si="9"/>
        <v>1</v>
      </c>
    </row>
    <row r="229" spans="1:5" x14ac:dyDescent="0.25">
      <c r="A229">
        <v>228</v>
      </c>
      <c r="B229">
        <v>6.4</v>
      </c>
      <c r="C229">
        <v>1</v>
      </c>
      <c r="D229" t="str">
        <f t="shared" si="8"/>
        <v>S</v>
      </c>
      <c r="E229">
        <f t="shared" si="9"/>
        <v>1</v>
      </c>
    </row>
    <row r="230" spans="1:5" x14ac:dyDescent="0.25">
      <c r="A230">
        <v>229</v>
      </c>
      <c r="B230">
        <v>5.6</v>
      </c>
      <c r="C230">
        <v>6</v>
      </c>
      <c r="D230" t="str">
        <f t="shared" si="8"/>
        <v>S</v>
      </c>
      <c r="E230">
        <f t="shared" si="9"/>
        <v>1</v>
      </c>
    </row>
    <row r="231" spans="1:5" x14ac:dyDescent="0.25">
      <c r="A231">
        <v>230</v>
      </c>
      <c r="B231">
        <v>6.4</v>
      </c>
      <c r="C231">
        <v>12</v>
      </c>
      <c r="D231" t="str">
        <f t="shared" si="8"/>
        <v>S</v>
      </c>
      <c r="E231">
        <f t="shared" si="9"/>
        <v>2</v>
      </c>
    </row>
    <row r="232" spans="1:5" x14ac:dyDescent="0.25">
      <c r="A232">
        <v>231</v>
      </c>
      <c r="B232">
        <v>8.1999999999999993</v>
      </c>
      <c r="C232">
        <v>3</v>
      </c>
      <c r="D232" t="str">
        <f t="shared" si="8"/>
        <v>S</v>
      </c>
      <c r="E232">
        <f t="shared" si="9"/>
        <v>2</v>
      </c>
    </row>
    <row r="233" spans="1:5" x14ac:dyDescent="0.25">
      <c r="A233">
        <v>232</v>
      </c>
      <c r="B233">
        <v>10</v>
      </c>
      <c r="C233">
        <v>12</v>
      </c>
      <c r="D233" t="str">
        <f t="shared" si="8"/>
        <v>S</v>
      </c>
      <c r="E233">
        <f t="shared" si="9"/>
        <v>2</v>
      </c>
    </row>
    <row r="234" spans="1:5" x14ac:dyDescent="0.25">
      <c r="A234">
        <v>233</v>
      </c>
      <c r="B234">
        <v>11.1</v>
      </c>
      <c r="C234">
        <v>17</v>
      </c>
      <c r="D234" t="str">
        <f t="shared" si="8"/>
        <v>S</v>
      </c>
      <c r="E234">
        <f t="shared" si="9"/>
        <v>3</v>
      </c>
    </row>
    <row r="235" spans="1:5" x14ac:dyDescent="0.25">
      <c r="A235">
        <v>234</v>
      </c>
      <c r="B235">
        <v>10.9</v>
      </c>
      <c r="C235">
        <v>16</v>
      </c>
      <c r="D235" t="str">
        <f t="shared" si="8"/>
        <v>S</v>
      </c>
      <c r="E235">
        <f t="shared" si="9"/>
        <v>3</v>
      </c>
    </row>
    <row r="236" spans="1:5" x14ac:dyDescent="0.25">
      <c r="A236">
        <v>235</v>
      </c>
      <c r="B236">
        <v>9.3000000000000007</v>
      </c>
      <c r="C236">
        <v>3</v>
      </c>
      <c r="D236" t="str">
        <f t="shared" si="8"/>
        <v>S</v>
      </c>
      <c r="E236">
        <f t="shared" si="9"/>
        <v>3</v>
      </c>
    </row>
    <row r="237" spans="1:5" x14ac:dyDescent="0.25">
      <c r="A237">
        <v>236</v>
      </c>
      <c r="B237">
        <v>6.6</v>
      </c>
      <c r="C237">
        <v>21</v>
      </c>
      <c r="D237" t="str">
        <f t="shared" si="8"/>
        <v>S</v>
      </c>
      <c r="E237">
        <f t="shared" si="9"/>
        <v>4</v>
      </c>
    </row>
    <row r="238" spans="1:5" x14ac:dyDescent="0.25">
      <c r="A238">
        <v>237</v>
      </c>
      <c r="B238">
        <v>3.6</v>
      </c>
      <c r="C238">
        <v>18</v>
      </c>
      <c r="D238" t="str">
        <f t="shared" si="8"/>
        <v>S</v>
      </c>
      <c r="E238">
        <f t="shared" si="9"/>
        <v>4</v>
      </c>
    </row>
    <row r="239" spans="1:5" x14ac:dyDescent="0.25">
      <c r="A239">
        <v>238</v>
      </c>
      <c r="B239">
        <v>1.2</v>
      </c>
      <c r="C239">
        <v>13</v>
      </c>
      <c r="D239" t="str">
        <f t="shared" si="8"/>
        <v>S</v>
      </c>
      <c r="E239">
        <f t="shared" si="9"/>
        <v>4</v>
      </c>
    </row>
    <row r="240" spans="1:5" x14ac:dyDescent="0.25">
      <c r="A240">
        <v>239</v>
      </c>
      <c r="B240">
        <v>0.2</v>
      </c>
      <c r="C240">
        <v>29</v>
      </c>
      <c r="D240" t="str">
        <f t="shared" si="8"/>
        <v>S</v>
      </c>
      <c r="E240">
        <f t="shared" si="9"/>
        <v>5</v>
      </c>
    </row>
    <row r="241" spans="1:5" x14ac:dyDescent="0.25">
      <c r="A241">
        <v>240</v>
      </c>
      <c r="B241">
        <v>0.9</v>
      </c>
      <c r="C241">
        <v>0</v>
      </c>
      <c r="D241">
        <f t="shared" si="8"/>
        <v>0</v>
      </c>
      <c r="E241">
        <f t="shared" si="9"/>
        <v>0</v>
      </c>
    </row>
    <row r="242" spans="1:5" x14ac:dyDescent="0.25">
      <c r="A242">
        <v>241</v>
      </c>
      <c r="B242">
        <v>3.2</v>
      </c>
      <c r="C242">
        <v>6</v>
      </c>
      <c r="D242" t="str">
        <f t="shared" si="8"/>
        <v>S</v>
      </c>
      <c r="E242">
        <f t="shared" si="9"/>
        <v>1</v>
      </c>
    </row>
    <row r="243" spans="1:5" x14ac:dyDescent="0.25">
      <c r="A243">
        <v>242</v>
      </c>
      <c r="B243">
        <v>6.6</v>
      </c>
      <c r="C243">
        <v>5</v>
      </c>
      <c r="D243" t="str">
        <f t="shared" si="8"/>
        <v>S</v>
      </c>
      <c r="E243">
        <f t="shared" si="9"/>
        <v>1</v>
      </c>
    </row>
    <row r="244" spans="1:5" x14ac:dyDescent="0.25">
      <c r="A244">
        <v>243</v>
      </c>
      <c r="B244">
        <v>10</v>
      </c>
      <c r="C244">
        <v>2</v>
      </c>
      <c r="D244" t="str">
        <f t="shared" si="8"/>
        <v>S</v>
      </c>
      <c r="E244">
        <f t="shared" si="9"/>
        <v>1</v>
      </c>
    </row>
    <row r="245" spans="1:5" x14ac:dyDescent="0.25">
      <c r="A245">
        <v>244</v>
      </c>
      <c r="B245">
        <v>12.7</v>
      </c>
      <c r="C245">
        <v>8</v>
      </c>
      <c r="D245" t="str">
        <f t="shared" si="8"/>
        <v>S</v>
      </c>
      <c r="E245">
        <f t="shared" si="9"/>
        <v>2</v>
      </c>
    </row>
    <row r="246" spans="1:5" x14ac:dyDescent="0.25">
      <c r="A246">
        <v>245</v>
      </c>
      <c r="B246">
        <v>14.1</v>
      </c>
      <c r="C246">
        <v>1</v>
      </c>
      <c r="D246" t="str">
        <f t="shared" si="8"/>
        <v>S</v>
      </c>
      <c r="E246">
        <f t="shared" si="9"/>
        <v>2</v>
      </c>
    </row>
    <row r="247" spans="1:5" x14ac:dyDescent="0.25">
      <c r="A247">
        <v>246</v>
      </c>
      <c r="B247">
        <v>14</v>
      </c>
      <c r="C247">
        <v>11</v>
      </c>
      <c r="D247" t="str">
        <f t="shared" si="8"/>
        <v>S</v>
      </c>
      <c r="E247">
        <f t="shared" si="9"/>
        <v>2</v>
      </c>
    </row>
    <row r="248" spans="1:5" x14ac:dyDescent="0.25">
      <c r="A248">
        <v>247</v>
      </c>
      <c r="B248">
        <v>12.7</v>
      </c>
      <c r="C248">
        <v>13</v>
      </c>
      <c r="D248" t="str">
        <f t="shared" si="8"/>
        <v>S</v>
      </c>
      <c r="E248">
        <f t="shared" si="9"/>
        <v>3</v>
      </c>
    </row>
    <row r="249" spans="1:5" x14ac:dyDescent="0.25">
      <c r="A249">
        <v>248</v>
      </c>
      <c r="B249">
        <v>11.1</v>
      </c>
      <c r="C249">
        <v>18</v>
      </c>
      <c r="D249" t="str">
        <f t="shared" si="8"/>
        <v>S</v>
      </c>
      <c r="E249">
        <f t="shared" si="9"/>
        <v>3</v>
      </c>
    </row>
    <row r="250" spans="1:5" x14ac:dyDescent="0.25">
      <c r="A250">
        <v>249</v>
      </c>
      <c r="B250">
        <v>10</v>
      </c>
      <c r="C250">
        <v>15</v>
      </c>
      <c r="D250" t="str">
        <f t="shared" si="8"/>
        <v>S</v>
      </c>
      <c r="E250">
        <f t="shared" si="9"/>
        <v>3</v>
      </c>
    </row>
    <row r="251" spans="1:5" x14ac:dyDescent="0.25">
      <c r="A251">
        <v>250</v>
      </c>
      <c r="B251">
        <v>10.1</v>
      </c>
      <c r="C251">
        <v>12</v>
      </c>
      <c r="D251" t="str">
        <f t="shared" si="8"/>
        <v>S</v>
      </c>
      <c r="E251">
        <f t="shared" si="9"/>
        <v>4</v>
      </c>
    </row>
    <row r="252" spans="1:5" x14ac:dyDescent="0.25">
      <c r="A252">
        <v>251</v>
      </c>
      <c r="B252">
        <v>11.7</v>
      </c>
      <c r="C252">
        <v>2</v>
      </c>
      <c r="D252" t="str">
        <f t="shared" si="8"/>
        <v>S</v>
      </c>
      <c r="E252">
        <f t="shared" si="9"/>
        <v>4</v>
      </c>
    </row>
    <row r="253" spans="1:5" x14ac:dyDescent="0.25">
      <c r="A253">
        <v>252</v>
      </c>
      <c r="B253">
        <v>14.8</v>
      </c>
      <c r="C253">
        <v>21</v>
      </c>
      <c r="D253" t="str">
        <f t="shared" si="8"/>
        <v>S</v>
      </c>
      <c r="E253">
        <f t="shared" si="9"/>
        <v>4</v>
      </c>
    </row>
    <row r="254" spans="1:5" x14ac:dyDescent="0.25">
      <c r="A254">
        <v>253</v>
      </c>
      <c r="B254">
        <v>18.7</v>
      </c>
      <c r="C254">
        <v>28</v>
      </c>
      <c r="D254" t="str">
        <f t="shared" si="8"/>
        <v>S</v>
      </c>
      <c r="E254">
        <f t="shared" si="9"/>
        <v>5</v>
      </c>
    </row>
    <row r="255" spans="1:5" x14ac:dyDescent="0.25">
      <c r="A255">
        <v>254</v>
      </c>
      <c r="B255">
        <v>22.5</v>
      </c>
      <c r="C255">
        <v>0</v>
      </c>
      <c r="D255">
        <f t="shared" si="8"/>
        <v>0</v>
      </c>
      <c r="E255">
        <f t="shared" si="9"/>
        <v>0</v>
      </c>
    </row>
    <row r="256" spans="1:5" x14ac:dyDescent="0.25">
      <c r="A256">
        <v>255</v>
      </c>
      <c r="B256">
        <v>25.4</v>
      </c>
      <c r="C256">
        <v>3</v>
      </c>
      <c r="D256" t="str">
        <f t="shared" si="8"/>
        <v>C</v>
      </c>
      <c r="E256">
        <f t="shared" si="9"/>
        <v>1</v>
      </c>
    </row>
    <row r="257" spans="1:5" x14ac:dyDescent="0.25">
      <c r="A257">
        <v>256</v>
      </c>
      <c r="B257">
        <v>26.8</v>
      </c>
      <c r="C257">
        <v>5</v>
      </c>
      <c r="D257" t="str">
        <f t="shared" si="8"/>
        <v>C</v>
      </c>
      <c r="E257">
        <f t="shared" si="9"/>
        <v>1</v>
      </c>
    </row>
    <row r="258" spans="1:5" x14ac:dyDescent="0.25">
      <c r="A258">
        <v>257</v>
      </c>
      <c r="B258">
        <v>26.5</v>
      </c>
      <c r="C258">
        <v>5</v>
      </c>
      <c r="D258" t="str">
        <f t="shared" si="8"/>
        <v>C</v>
      </c>
      <c r="E258">
        <f t="shared" si="9"/>
        <v>1</v>
      </c>
    </row>
    <row r="259" spans="1:5" x14ac:dyDescent="0.25">
      <c r="A259">
        <v>258</v>
      </c>
      <c r="B259">
        <v>24.9</v>
      </c>
      <c r="C259">
        <v>7</v>
      </c>
      <c r="D259" t="str">
        <f t="shared" si="8"/>
        <v>C</v>
      </c>
      <c r="E259">
        <f t="shared" si="9"/>
        <v>2</v>
      </c>
    </row>
    <row r="260" spans="1:5" x14ac:dyDescent="0.25">
      <c r="A260">
        <v>259</v>
      </c>
      <c r="B260">
        <v>22.6</v>
      </c>
      <c r="C260">
        <v>1</v>
      </c>
      <c r="D260" t="str">
        <f t="shared" ref="D260:D323" si="10">IF(E260=0,0,IF(E259&gt;0,D259,IF(B260&gt;=10,"C","S")))</f>
        <v>C</v>
      </c>
      <c r="E260">
        <f t="shared" si="9"/>
        <v>2</v>
      </c>
    </row>
    <row r="261" spans="1:5" x14ac:dyDescent="0.25">
      <c r="A261">
        <v>260</v>
      </c>
      <c r="B261">
        <v>20.7</v>
      </c>
      <c r="C261">
        <v>6</v>
      </c>
      <c r="D261" t="str">
        <f t="shared" si="10"/>
        <v>C</v>
      </c>
      <c r="E261">
        <f t="shared" si="9"/>
        <v>2</v>
      </c>
    </row>
    <row r="262" spans="1:5" x14ac:dyDescent="0.25">
      <c r="A262">
        <v>261</v>
      </c>
      <c r="B262">
        <v>19.899999999999999</v>
      </c>
      <c r="C262">
        <v>6</v>
      </c>
      <c r="D262" t="str">
        <f t="shared" si="10"/>
        <v>C</v>
      </c>
      <c r="E262">
        <f t="shared" ref="E262:E325" si="11">IF(E261=0,1,IF(AND(E261=5,C261&gt;=20),0,IF(AND(E261=E259,E261&lt;5),E261+1,E261)))</f>
        <v>3</v>
      </c>
    </row>
    <row r="263" spans="1:5" x14ac:dyDescent="0.25">
      <c r="A263">
        <v>262</v>
      </c>
      <c r="B263">
        <v>20.399999999999999</v>
      </c>
      <c r="C263">
        <v>10</v>
      </c>
      <c r="D263" t="str">
        <f t="shared" si="10"/>
        <v>C</v>
      </c>
      <c r="E263">
        <f t="shared" si="11"/>
        <v>3</v>
      </c>
    </row>
    <row r="264" spans="1:5" x14ac:dyDescent="0.25">
      <c r="A264">
        <v>263</v>
      </c>
      <c r="B264">
        <v>22.3</v>
      </c>
      <c r="C264">
        <v>16</v>
      </c>
      <c r="D264" t="str">
        <f t="shared" si="10"/>
        <v>C</v>
      </c>
      <c r="E264">
        <f t="shared" si="11"/>
        <v>3</v>
      </c>
    </row>
    <row r="265" spans="1:5" x14ac:dyDescent="0.25">
      <c r="A265">
        <v>264</v>
      </c>
      <c r="B265">
        <v>24.8</v>
      </c>
      <c r="C265">
        <v>9</v>
      </c>
      <c r="D265" t="str">
        <f t="shared" si="10"/>
        <v>C</v>
      </c>
      <c r="E265">
        <f t="shared" si="11"/>
        <v>4</v>
      </c>
    </row>
    <row r="266" spans="1:5" x14ac:dyDescent="0.25">
      <c r="A266">
        <v>265</v>
      </c>
      <c r="B266">
        <v>27.2</v>
      </c>
      <c r="C266">
        <v>18</v>
      </c>
      <c r="D266" t="str">
        <f t="shared" si="10"/>
        <v>C</v>
      </c>
      <c r="E266">
        <f t="shared" si="11"/>
        <v>4</v>
      </c>
    </row>
    <row r="267" spans="1:5" x14ac:dyDescent="0.25">
      <c r="A267">
        <v>266</v>
      </c>
      <c r="B267">
        <v>28.6</v>
      </c>
      <c r="C267">
        <v>4</v>
      </c>
      <c r="D267" t="str">
        <f t="shared" si="10"/>
        <v>C</v>
      </c>
      <c r="E267">
        <f t="shared" si="11"/>
        <v>4</v>
      </c>
    </row>
    <row r="268" spans="1:5" x14ac:dyDescent="0.25">
      <c r="A268">
        <v>267</v>
      </c>
      <c r="B268">
        <v>28.4</v>
      </c>
      <c r="C268">
        <v>22</v>
      </c>
      <c r="D268" t="str">
        <f t="shared" si="10"/>
        <v>C</v>
      </c>
      <c r="E268">
        <f t="shared" si="11"/>
        <v>5</v>
      </c>
    </row>
    <row r="269" spans="1:5" x14ac:dyDescent="0.25">
      <c r="A269">
        <v>268</v>
      </c>
      <c r="B269">
        <v>26.5</v>
      </c>
      <c r="C269">
        <v>0</v>
      </c>
      <c r="D269">
        <f t="shared" si="10"/>
        <v>0</v>
      </c>
      <c r="E269">
        <f t="shared" si="11"/>
        <v>0</v>
      </c>
    </row>
    <row r="270" spans="1:5" x14ac:dyDescent="0.25">
      <c r="A270">
        <v>269</v>
      </c>
      <c r="B270">
        <v>23.3</v>
      </c>
      <c r="C270">
        <v>4</v>
      </c>
      <c r="D270" t="str">
        <f t="shared" si="10"/>
        <v>C</v>
      </c>
      <c r="E270">
        <f t="shared" si="11"/>
        <v>1</v>
      </c>
    </row>
    <row r="271" spans="1:5" x14ac:dyDescent="0.25">
      <c r="A271">
        <v>270</v>
      </c>
      <c r="B271">
        <v>19.5</v>
      </c>
      <c r="C271">
        <v>6</v>
      </c>
      <c r="D271" t="str">
        <f t="shared" si="10"/>
        <v>C</v>
      </c>
      <c r="E271">
        <f t="shared" si="11"/>
        <v>1</v>
      </c>
    </row>
    <row r="272" spans="1:5" x14ac:dyDescent="0.25">
      <c r="A272">
        <v>271</v>
      </c>
      <c r="B272">
        <v>16</v>
      </c>
      <c r="C272">
        <v>6</v>
      </c>
      <c r="D272" t="str">
        <f t="shared" si="10"/>
        <v>C</v>
      </c>
      <c r="E272">
        <f t="shared" si="11"/>
        <v>1</v>
      </c>
    </row>
    <row r="273" spans="1:5" x14ac:dyDescent="0.25">
      <c r="A273">
        <v>272</v>
      </c>
      <c r="B273">
        <v>13.7</v>
      </c>
      <c r="C273">
        <v>9</v>
      </c>
      <c r="D273" t="str">
        <f t="shared" si="10"/>
        <v>C</v>
      </c>
      <c r="E273">
        <f t="shared" si="11"/>
        <v>2</v>
      </c>
    </row>
    <row r="274" spans="1:5" x14ac:dyDescent="0.25">
      <c r="A274">
        <v>273</v>
      </c>
      <c r="B274">
        <v>12.9</v>
      </c>
      <c r="C274">
        <v>7</v>
      </c>
      <c r="D274" t="str">
        <f t="shared" si="10"/>
        <v>C</v>
      </c>
      <c r="E274">
        <f t="shared" si="11"/>
        <v>2</v>
      </c>
    </row>
    <row r="275" spans="1:5" x14ac:dyDescent="0.25">
      <c r="A275">
        <v>274</v>
      </c>
      <c r="B275">
        <v>13.5</v>
      </c>
      <c r="C275">
        <v>1</v>
      </c>
      <c r="D275" t="str">
        <f t="shared" si="10"/>
        <v>C</v>
      </c>
      <c r="E275">
        <f t="shared" si="11"/>
        <v>2</v>
      </c>
    </row>
    <row r="276" spans="1:5" x14ac:dyDescent="0.25">
      <c r="A276">
        <v>275</v>
      </c>
      <c r="B276">
        <v>15</v>
      </c>
      <c r="C276">
        <v>18</v>
      </c>
      <c r="D276" t="str">
        <f t="shared" si="10"/>
        <v>C</v>
      </c>
      <c r="E276">
        <f t="shared" si="11"/>
        <v>3</v>
      </c>
    </row>
    <row r="277" spans="1:5" x14ac:dyDescent="0.25">
      <c r="A277">
        <v>276</v>
      </c>
      <c r="B277">
        <v>16.399999999999999</v>
      </c>
      <c r="C277">
        <v>13</v>
      </c>
      <c r="D277" t="str">
        <f t="shared" si="10"/>
        <v>C</v>
      </c>
      <c r="E277">
        <f t="shared" si="11"/>
        <v>3</v>
      </c>
    </row>
    <row r="278" spans="1:5" x14ac:dyDescent="0.25">
      <c r="A278">
        <v>277</v>
      </c>
      <c r="B278">
        <v>17.100000000000001</v>
      </c>
      <c r="C278">
        <v>2</v>
      </c>
      <c r="D278" t="str">
        <f t="shared" si="10"/>
        <v>C</v>
      </c>
      <c r="E278">
        <f t="shared" si="11"/>
        <v>3</v>
      </c>
    </row>
    <row r="279" spans="1:5" x14ac:dyDescent="0.25">
      <c r="A279">
        <v>278</v>
      </c>
      <c r="B279">
        <v>16.3</v>
      </c>
      <c r="C279">
        <v>10</v>
      </c>
      <c r="D279" t="str">
        <f t="shared" si="10"/>
        <v>C</v>
      </c>
      <c r="E279">
        <f t="shared" si="11"/>
        <v>4</v>
      </c>
    </row>
    <row r="280" spans="1:5" x14ac:dyDescent="0.25">
      <c r="A280">
        <v>279</v>
      </c>
      <c r="B280">
        <v>14</v>
      </c>
      <c r="C280">
        <v>6</v>
      </c>
      <c r="D280" t="str">
        <f t="shared" si="10"/>
        <v>C</v>
      </c>
      <c r="E280">
        <f t="shared" si="11"/>
        <v>4</v>
      </c>
    </row>
    <row r="281" spans="1:5" x14ac:dyDescent="0.25">
      <c r="A281">
        <v>280</v>
      </c>
      <c r="B281">
        <v>10.5</v>
      </c>
      <c r="C281">
        <v>20</v>
      </c>
      <c r="D281" t="str">
        <f t="shared" si="10"/>
        <v>C</v>
      </c>
      <c r="E281">
        <f t="shared" si="11"/>
        <v>4</v>
      </c>
    </row>
    <row r="282" spans="1:5" x14ac:dyDescent="0.25">
      <c r="A282">
        <v>281</v>
      </c>
      <c r="B282">
        <v>6.7</v>
      </c>
      <c r="C282">
        <v>17</v>
      </c>
      <c r="D282" t="str">
        <f t="shared" si="10"/>
        <v>C</v>
      </c>
      <c r="E282">
        <f t="shared" si="11"/>
        <v>5</v>
      </c>
    </row>
    <row r="283" spans="1:5" x14ac:dyDescent="0.25">
      <c r="A283">
        <v>282</v>
      </c>
      <c r="B283">
        <v>3.5</v>
      </c>
      <c r="C283">
        <v>13</v>
      </c>
      <c r="D283" t="str">
        <f t="shared" si="10"/>
        <v>C</v>
      </c>
      <c r="E283">
        <f t="shared" si="11"/>
        <v>5</v>
      </c>
    </row>
    <row r="284" spans="1:5" x14ac:dyDescent="0.25">
      <c r="A284">
        <v>283</v>
      </c>
      <c r="B284">
        <v>1.6</v>
      </c>
      <c r="C284">
        <v>18</v>
      </c>
      <c r="D284" t="str">
        <f t="shared" si="10"/>
        <v>C</v>
      </c>
      <c r="E284">
        <f t="shared" si="11"/>
        <v>5</v>
      </c>
    </row>
    <row r="285" spans="1:5" x14ac:dyDescent="0.25">
      <c r="A285">
        <v>284</v>
      </c>
      <c r="B285">
        <v>1.4</v>
      </c>
      <c r="C285">
        <v>20</v>
      </c>
      <c r="D285" t="str">
        <f t="shared" si="10"/>
        <v>C</v>
      </c>
      <c r="E285">
        <f t="shared" si="11"/>
        <v>5</v>
      </c>
    </row>
    <row r="286" spans="1:5" x14ac:dyDescent="0.25">
      <c r="A286">
        <v>285</v>
      </c>
      <c r="B286">
        <v>2.8</v>
      </c>
      <c r="C286">
        <v>0</v>
      </c>
      <c r="D286">
        <f t="shared" si="10"/>
        <v>0</v>
      </c>
      <c r="E286">
        <f t="shared" si="11"/>
        <v>0</v>
      </c>
    </row>
    <row r="287" spans="1:5" x14ac:dyDescent="0.25">
      <c r="A287">
        <v>286</v>
      </c>
      <c r="B287">
        <v>5.2</v>
      </c>
      <c r="C287">
        <v>6</v>
      </c>
      <c r="D287" t="str">
        <f t="shared" si="10"/>
        <v>S</v>
      </c>
      <c r="E287">
        <f t="shared" si="11"/>
        <v>1</v>
      </c>
    </row>
    <row r="288" spans="1:5" x14ac:dyDescent="0.25">
      <c r="A288">
        <v>287</v>
      </c>
      <c r="B288">
        <v>7.7</v>
      </c>
      <c r="C288">
        <v>5</v>
      </c>
      <c r="D288" t="str">
        <f t="shared" si="10"/>
        <v>S</v>
      </c>
      <c r="E288">
        <f t="shared" si="11"/>
        <v>1</v>
      </c>
    </row>
    <row r="289" spans="1:5" x14ac:dyDescent="0.25">
      <c r="A289">
        <v>288</v>
      </c>
      <c r="B289">
        <v>9.6</v>
      </c>
      <c r="C289">
        <v>1</v>
      </c>
      <c r="D289" t="str">
        <f t="shared" si="10"/>
        <v>S</v>
      </c>
      <c r="E289">
        <f t="shared" si="11"/>
        <v>1</v>
      </c>
    </row>
    <row r="290" spans="1:5" x14ac:dyDescent="0.25">
      <c r="A290">
        <v>289</v>
      </c>
      <c r="B290">
        <v>10.1</v>
      </c>
      <c r="C290">
        <v>8</v>
      </c>
      <c r="D290" t="str">
        <f t="shared" si="10"/>
        <v>S</v>
      </c>
      <c r="E290">
        <f t="shared" si="11"/>
        <v>2</v>
      </c>
    </row>
    <row r="291" spans="1:5" x14ac:dyDescent="0.25">
      <c r="A291">
        <v>290</v>
      </c>
      <c r="B291">
        <v>9.3000000000000007</v>
      </c>
      <c r="C291">
        <v>3</v>
      </c>
      <c r="D291" t="str">
        <f t="shared" si="10"/>
        <v>S</v>
      </c>
      <c r="E291">
        <f t="shared" si="11"/>
        <v>2</v>
      </c>
    </row>
    <row r="292" spans="1:5" x14ac:dyDescent="0.25">
      <c r="A292">
        <v>291</v>
      </c>
      <c r="B292">
        <v>7.4</v>
      </c>
      <c r="C292">
        <v>5</v>
      </c>
      <c r="D292" t="str">
        <f t="shared" si="10"/>
        <v>S</v>
      </c>
      <c r="E292">
        <f t="shared" si="11"/>
        <v>2</v>
      </c>
    </row>
    <row r="293" spans="1:5" x14ac:dyDescent="0.25">
      <c r="A293">
        <v>292</v>
      </c>
      <c r="B293">
        <v>5.0999999999999996</v>
      </c>
      <c r="C293">
        <v>17</v>
      </c>
      <c r="D293" t="str">
        <f t="shared" si="10"/>
        <v>S</v>
      </c>
      <c r="E293">
        <f t="shared" si="11"/>
        <v>3</v>
      </c>
    </row>
    <row r="294" spans="1:5" x14ac:dyDescent="0.25">
      <c r="A294">
        <v>293</v>
      </c>
      <c r="B294">
        <v>3.5</v>
      </c>
      <c r="C294">
        <v>9</v>
      </c>
      <c r="D294" t="str">
        <f t="shared" si="10"/>
        <v>S</v>
      </c>
      <c r="E294">
        <f t="shared" si="11"/>
        <v>3</v>
      </c>
    </row>
    <row r="295" spans="1:5" x14ac:dyDescent="0.25">
      <c r="A295">
        <v>294</v>
      </c>
      <c r="B295">
        <v>3.2</v>
      </c>
      <c r="C295">
        <v>4</v>
      </c>
      <c r="D295" t="str">
        <f t="shared" si="10"/>
        <v>S</v>
      </c>
      <c r="E295">
        <f t="shared" si="11"/>
        <v>3</v>
      </c>
    </row>
    <row r="296" spans="1:5" x14ac:dyDescent="0.25">
      <c r="A296">
        <v>295</v>
      </c>
      <c r="B296">
        <v>4.5999999999999996</v>
      </c>
      <c r="C296">
        <v>24</v>
      </c>
      <c r="D296" t="str">
        <f t="shared" si="10"/>
        <v>S</v>
      </c>
      <c r="E296">
        <f t="shared" si="11"/>
        <v>4</v>
      </c>
    </row>
    <row r="297" spans="1:5" x14ac:dyDescent="0.25">
      <c r="A297">
        <v>296</v>
      </c>
      <c r="B297">
        <v>7.5</v>
      </c>
      <c r="C297">
        <v>21</v>
      </c>
      <c r="D297" t="str">
        <f t="shared" si="10"/>
        <v>S</v>
      </c>
      <c r="E297">
        <f t="shared" si="11"/>
        <v>4</v>
      </c>
    </row>
    <row r="298" spans="1:5" x14ac:dyDescent="0.25">
      <c r="A298">
        <v>297</v>
      </c>
      <c r="B298">
        <v>11.3</v>
      </c>
      <c r="C298">
        <v>8</v>
      </c>
      <c r="D298" t="str">
        <f t="shared" si="10"/>
        <v>S</v>
      </c>
      <c r="E298">
        <f t="shared" si="11"/>
        <v>4</v>
      </c>
    </row>
    <row r="299" spans="1:5" x14ac:dyDescent="0.25">
      <c r="A299">
        <v>298</v>
      </c>
      <c r="B299">
        <v>15.2</v>
      </c>
      <c r="C299">
        <v>23</v>
      </c>
      <c r="D299" t="str">
        <f t="shared" si="10"/>
        <v>S</v>
      </c>
      <c r="E299">
        <f t="shared" si="11"/>
        <v>5</v>
      </c>
    </row>
    <row r="300" spans="1:5" x14ac:dyDescent="0.25">
      <c r="A300">
        <v>299</v>
      </c>
      <c r="B300">
        <v>18.3</v>
      </c>
      <c r="C300">
        <v>0</v>
      </c>
      <c r="D300">
        <f t="shared" si="10"/>
        <v>0</v>
      </c>
      <c r="E300">
        <f t="shared" si="11"/>
        <v>0</v>
      </c>
    </row>
    <row r="301" spans="1:5" x14ac:dyDescent="0.25">
      <c r="A301">
        <v>300</v>
      </c>
      <c r="B301">
        <v>19.899999999999999</v>
      </c>
      <c r="C301">
        <v>5</v>
      </c>
      <c r="D301" t="str">
        <f t="shared" si="10"/>
        <v>C</v>
      </c>
      <c r="E301">
        <f t="shared" si="11"/>
        <v>1</v>
      </c>
    </row>
    <row r="302" spans="1:5" x14ac:dyDescent="0.25">
      <c r="A302">
        <v>301</v>
      </c>
      <c r="B302">
        <v>20</v>
      </c>
      <c r="C302">
        <v>4</v>
      </c>
      <c r="D302" t="str">
        <f t="shared" si="10"/>
        <v>C</v>
      </c>
      <c r="E302">
        <f t="shared" si="11"/>
        <v>1</v>
      </c>
    </row>
    <row r="303" spans="1:5" x14ac:dyDescent="0.25">
      <c r="A303">
        <v>302</v>
      </c>
      <c r="B303">
        <v>18.899999999999999</v>
      </c>
      <c r="C303">
        <v>5</v>
      </c>
      <c r="D303" t="str">
        <f t="shared" si="10"/>
        <v>C</v>
      </c>
      <c r="E303">
        <f t="shared" si="11"/>
        <v>1</v>
      </c>
    </row>
    <row r="304" spans="1:5" x14ac:dyDescent="0.25">
      <c r="A304">
        <v>303</v>
      </c>
      <c r="B304">
        <v>17.3</v>
      </c>
      <c r="C304">
        <v>2</v>
      </c>
      <c r="D304" t="str">
        <f t="shared" si="10"/>
        <v>C</v>
      </c>
      <c r="E304">
        <f t="shared" si="11"/>
        <v>2</v>
      </c>
    </row>
    <row r="305" spans="1:5" x14ac:dyDescent="0.25">
      <c r="A305">
        <v>304</v>
      </c>
      <c r="B305">
        <v>16</v>
      </c>
      <c r="C305">
        <v>7</v>
      </c>
      <c r="D305" t="str">
        <f t="shared" si="10"/>
        <v>C</v>
      </c>
      <c r="E305">
        <f t="shared" si="11"/>
        <v>2</v>
      </c>
    </row>
    <row r="306" spans="1:5" x14ac:dyDescent="0.25">
      <c r="A306">
        <v>305</v>
      </c>
      <c r="B306">
        <v>15.9</v>
      </c>
      <c r="C306">
        <v>4</v>
      </c>
      <c r="D306" t="str">
        <f t="shared" si="10"/>
        <v>C</v>
      </c>
      <c r="E306">
        <f t="shared" si="11"/>
        <v>2</v>
      </c>
    </row>
    <row r="307" spans="1:5" x14ac:dyDescent="0.25">
      <c r="A307">
        <v>306</v>
      </c>
      <c r="B307">
        <v>17.3</v>
      </c>
      <c r="C307">
        <v>17</v>
      </c>
      <c r="D307" t="str">
        <f t="shared" si="10"/>
        <v>C</v>
      </c>
      <c r="E307">
        <f t="shared" si="11"/>
        <v>3</v>
      </c>
    </row>
    <row r="308" spans="1:5" x14ac:dyDescent="0.25">
      <c r="A308">
        <v>307</v>
      </c>
      <c r="B308">
        <v>20</v>
      </c>
      <c r="C308">
        <v>14</v>
      </c>
      <c r="D308" t="str">
        <f t="shared" si="10"/>
        <v>C</v>
      </c>
      <c r="E308">
        <f t="shared" si="11"/>
        <v>3</v>
      </c>
    </row>
    <row r="309" spans="1:5" x14ac:dyDescent="0.25">
      <c r="A309">
        <v>308</v>
      </c>
      <c r="B309">
        <v>23.4</v>
      </c>
      <c r="C309">
        <v>9</v>
      </c>
      <c r="D309" t="str">
        <f t="shared" si="10"/>
        <v>C</v>
      </c>
      <c r="E309">
        <f t="shared" si="11"/>
        <v>3</v>
      </c>
    </row>
    <row r="310" spans="1:5" x14ac:dyDescent="0.25">
      <c r="A310">
        <v>309</v>
      </c>
      <c r="B310">
        <v>26.8</v>
      </c>
      <c r="C310">
        <v>6</v>
      </c>
      <c r="D310" t="str">
        <f t="shared" si="10"/>
        <v>C</v>
      </c>
      <c r="E310">
        <f t="shared" si="11"/>
        <v>4</v>
      </c>
    </row>
    <row r="311" spans="1:5" x14ac:dyDescent="0.25">
      <c r="A311">
        <v>310</v>
      </c>
      <c r="B311">
        <v>29.1</v>
      </c>
      <c r="C311">
        <v>16</v>
      </c>
      <c r="D311" t="str">
        <f t="shared" si="10"/>
        <v>C</v>
      </c>
      <c r="E311">
        <f t="shared" si="11"/>
        <v>4</v>
      </c>
    </row>
    <row r="312" spans="1:5" x14ac:dyDescent="0.25">
      <c r="A312">
        <v>311</v>
      </c>
      <c r="B312">
        <v>29.8</v>
      </c>
      <c r="C312">
        <v>2</v>
      </c>
      <c r="D312" t="str">
        <f t="shared" si="10"/>
        <v>C</v>
      </c>
      <c r="E312">
        <f t="shared" si="11"/>
        <v>4</v>
      </c>
    </row>
    <row r="313" spans="1:5" x14ac:dyDescent="0.25">
      <c r="A313">
        <v>312</v>
      </c>
      <c r="B313">
        <v>28.8</v>
      </c>
      <c r="C313">
        <v>25</v>
      </c>
      <c r="D313" t="str">
        <f t="shared" si="10"/>
        <v>C</v>
      </c>
      <c r="E313">
        <f t="shared" si="11"/>
        <v>5</v>
      </c>
    </row>
    <row r="314" spans="1:5" x14ac:dyDescent="0.25">
      <c r="A314">
        <v>313</v>
      </c>
      <c r="B314">
        <v>26.4</v>
      </c>
      <c r="C314">
        <v>0</v>
      </c>
      <c r="D314">
        <f t="shared" si="10"/>
        <v>0</v>
      </c>
      <c r="E314">
        <f t="shared" si="11"/>
        <v>0</v>
      </c>
    </row>
    <row r="315" spans="1:5" x14ac:dyDescent="0.25">
      <c r="A315">
        <v>314</v>
      </c>
      <c r="B315">
        <v>23.4</v>
      </c>
      <c r="C315">
        <v>3</v>
      </c>
      <c r="D315" t="str">
        <f t="shared" si="10"/>
        <v>C</v>
      </c>
      <c r="E315">
        <f t="shared" si="11"/>
        <v>1</v>
      </c>
    </row>
    <row r="316" spans="1:5" x14ac:dyDescent="0.25">
      <c r="A316">
        <v>315</v>
      </c>
      <c r="B316">
        <v>20.7</v>
      </c>
      <c r="C316">
        <v>4</v>
      </c>
      <c r="D316" t="str">
        <f t="shared" si="10"/>
        <v>C</v>
      </c>
      <c r="E316">
        <f t="shared" si="11"/>
        <v>1</v>
      </c>
    </row>
    <row r="317" spans="1:5" x14ac:dyDescent="0.25">
      <c r="A317">
        <v>316</v>
      </c>
      <c r="B317">
        <v>19.100000000000001</v>
      </c>
      <c r="C317">
        <v>6</v>
      </c>
      <c r="D317" t="str">
        <f t="shared" si="10"/>
        <v>C</v>
      </c>
      <c r="E317">
        <f t="shared" si="11"/>
        <v>1</v>
      </c>
    </row>
    <row r="318" spans="1:5" x14ac:dyDescent="0.25">
      <c r="A318">
        <v>317</v>
      </c>
      <c r="B318">
        <v>18.899999999999999</v>
      </c>
      <c r="C318">
        <v>6</v>
      </c>
      <c r="D318" t="str">
        <f t="shared" si="10"/>
        <v>C</v>
      </c>
      <c r="E318">
        <f t="shared" si="11"/>
        <v>2</v>
      </c>
    </row>
    <row r="319" spans="1:5" x14ac:dyDescent="0.25">
      <c r="A319">
        <v>318</v>
      </c>
      <c r="B319">
        <v>20</v>
      </c>
      <c r="C319">
        <v>5</v>
      </c>
      <c r="D319" t="str">
        <f t="shared" si="10"/>
        <v>C</v>
      </c>
      <c r="E319">
        <f t="shared" si="11"/>
        <v>2</v>
      </c>
    </row>
    <row r="320" spans="1:5" x14ac:dyDescent="0.25">
      <c r="A320">
        <v>319</v>
      </c>
      <c r="B320">
        <v>21.8</v>
      </c>
      <c r="C320">
        <v>4</v>
      </c>
      <c r="D320" t="str">
        <f t="shared" si="10"/>
        <v>C</v>
      </c>
      <c r="E320">
        <f t="shared" si="11"/>
        <v>2</v>
      </c>
    </row>
    <row r="321" spans="1:5" x14ac:dyDescent="0.25">
      <c r="A321">
        <v>320</v>
      </c>
      <c r="B321">
        <v>23.6</v>
      </c>
      <c r="C321">
        <v>7</v>
      </c>
      <c r="D321" t="str">
        <f t="shared" si="10"/>
        <v>C</v>
      </c>
      <c r="E321">
        <f t="shared" si="11"/>
        <v>3</v>
      </c>
    </row>
    <row r="322" spans="1:5" x14ac:dyDescent="0.25">
      <c r="A322">
        <v>321</v>
      </c>
      <c r="B322">
        <v>24.4</v>
      </c>
      <c r="C322">
        <v>12</v>
      </c>
      <c r="D322" t="str">
        <f t="shared" si="10"/>
        <v>C</v>
      </c>
      <c r="E322">
        <f t="shared" si="11"/>
        <v>3</v>
      </c>
    </row>
    <row r="323" spans="1:5" x14ac:dyDescent="0.25">
      <c r="A323">
        <v>322</v>
      </c>
      <c r="B323">
        <v>23.6</v>
      </c>
      <c r="C323">
        <v>5</v>
      </c>
      <c r="D323" t="str">
        <f t="shared" si="10"/>
        <v>C</v>
      </c>
      <c r="E323">
        <f t="shared" si="11"/>
        <v>3</v>
      </c>
    </row>
    <row r="324" spans="1:5" x14ac:dyDescent="0.25">
      <c r="A324">
        <v>323</v>
      </c>
      <c r="B324">
        <v>21.3</v>
      </c>
      <c r="C324">
        <v>3</v>
      </c>
      <c r="D324" t="str">
        <f t="shared" ref="D324:D387" si="12">IF(E324=0,0,IF(E323&gt;0,D323,IF(B324&gt;=10,"C","S")))</f>
        <v>C</v>
      </c>
      <c r="E324">
        <f t="shared" si="11"/>
        <v>4</v>
      </c>
    </row>
    <row r="325" spans="1:5" x14ac:dyDescent="0.25">
      <c r="A325">
        <v>324</v>
      </c>
      <c r="B325">
        <v>17.7</v>
      </c>
      <c r="C325">
        <v>21</v>
      </c>
      <c r="D325" t="str">
        <f t="shared" si="12"/>
        <v>C</v>
      </c>
      <c r="E325">
        <f t="shared" si="11"/>
        <v>4</v>
      </c>
    </row>
    <row r="326" spans="1:5" x14ac:dyDescent="0.25">
      <c r="A326">
        <v>325</v>
      </c>
      <c r="B326">
        <v>13.6</v>
      </c>
      <c r="C326">
        <v>18</v>
      </c>
      <c r="D326" t="str">
        <f t="shared" si="12"/>
        <v>C</v>
      </c>
      <c r="E326">
        <f t="shared" ref="E326:E389" si="13">IF(E325=0,1,IF(AND(E325=5,C325&gt;=20),0,IF(AND(E325=E323,E325&lt;5),E325+1,E325)))</f>
        <v>4</v>
      </c>
    </row>
    <row r="327" spans="1:5" x14ac:dyDescent="0.25">
      <c r="A327">
        <v>326</v>
      </c>
      <c r="B327">
        <v>10</v>
      </c>
      <c r="C327">
        <v>13</v>
      </c>
      <c r="D327" t="str">
        <f t="shared" si="12"/>
        <v>C</v>
      </c>
      <c r="E327">
        <f t="shared" si="13"/>
        <v>5</v>
      </c>
    </row>
    <row r="328" spans="1:5" x14ac:dyDescent="0.25">
      <c r="A328">
        <v>327</v>
      </c>
      <c r="B328">
        <v>7.6</v>
      </c>
      <c r="C328">
        <v>28</v>
      </c>
      <c r="D328" t="str">
        <f t="shared" si="12"/>
        <v>C</v>
      </c>
      <c r="E328">
        <f t="shared" si="13"/>
        <v>5</v>
      </c>
    </row>
    <row r="329" spans="1:5" x14ac:dyDescent="0.25">
      <c r="A329">
        <v>328</v>
      </c>
      <c r="B329">
        <v>6.8</v>
      </c>
      <c r="C329">
        <v>0</v>
      </c>
      <c r="D329">
        <f t="shared" si="12"/>
        <v>0</v>
      </c>
      <c r="E329">
        <f t="shared" si="13"/>
        <v>0</v>
      </c>
    </row>
    <row r="330" spans="1:5" x14ac:dyDescent="0.25">
      <c r="A330">
        <v>329</v>
      </c>
      <c r="B330">
        <v>7.5</v>
      </c>
      <c r="C330">
        <v>2</v>
      </c>
      <c r="D330" t="str">
        <f t="shared" si="12"/>
        <v>S</v>
      </c>
      <c r="E330">
        <f t="shared" si="13"/>
        <v>1</v>
      </c>
    </row>
    <row r="331" spans="1:5" x14ac:dyDescent="0.25">
      <c r="A331">
        <v>330</v>
      </c>
      <c r="B331">
        <v>9.1</v>
      </c>
      <c r="C331">
        <v>2</v>
      </c>
      <c r="D331" t="str">
        <f t="shared" si="12"/>
        <v>S</v>
      </c>
      <c r="E331">
        <f t="shared" si="13"/>
        <v>1</v>
      </c>
    </row>
    <row r="332" spans="1:5" x14ac:dyDescent="0.25">
      <c r="A332">
        <v>331</v>
      </c>
      <c r="B332">
        <v>10.9</v>
      </c>
      <c r="C332">
        <v>6</v>
      </c>
      <c r="D332" t="str">
        <f t="shared" si="12"/>
        <v>S</v>
      </c>
      <c r="E332">
        <f t="shared" si="13"/>
        <v>1</v>
      </c>
    </row>
    <row r="333" spans="1:5" x14ac:dyDescent="0.25">
      <c r="A333">
        <v>332</v>
      </c>
      <c r="B333">
        <v>11.8</v>
      </c>
      <c r="C333">
        <v>11</v>
      </c>
      <c r="D333" t="str">
        <f t="shared" si="12"/>
        <v>S</v>
      </c>
      <c r="E333">
        <f t="shared" si="13"/>
        <v>2</v>
      </c>
    </row>
    <row r="334" spans="1:5" x14ac:dyDescent="0.25">
      <c r="A334">
        <v>333</v>
      </c>
      <c r="B334">
        <v>11.5</v>
      </c>
      <c r="C334">
        <v>9</v>
      </c>
      <c r="D334" t="str">
        <f t="shared" si="12"/>
        <v>S</v>
      </c>
      <c r="E334">
        <f t="shared" si="13"/>
        <v>2</v>
      </c>
    </row>
    <row r="335" spans="1:5" x14ac:dyDescent="0.25">
      <c r="A335">
        <v>334</v>
      </c>
      <c r="B335">
        <v>9.6999999999999993</v>
      </c>
      <c r="C335">
        <v>7</v>
      </c>
      <c r="D335" t="str">
        <f t="shared" si="12"/>
        <v>S</v>
      </c>
      <c r="E335">
        <f t="shared" si="13"/>
        <v>2</v>
      </c>
    </row>
    <row r="336" spans="1:5" x14ac:dyDescent="0.25">
      <c r="A336">
        <v>335</v>
      </c>
      <c r="B336">
        <v>6.9</v>
      </c>
      <c r="C336">
        <v>17</v>
      </c>
      <c r="D336" t="str">
        <f t="shared" si="12"/>
        <v>S</v>
      </c>
      <c r="E336">
        <f t="shared" si="13"/>
        <v>3</v>
      </c>
    </row>
    <row r="337" spans="1:5" x14ac:dyDescent="0.25">
      <c r="A337">
        <v>336</v>
      </c>
      <c r="B337">
        <v>3.8</v>
      </c>
      <c r="C337">
        <v>1</v>
      </c>
      <c r="D337" t="str">
        <f t="shared" si="12"/>
        <v>S</v>
      </c>
      <c r="E337">
        <f t="shared" si="13"/>
        <v>3</v>
      </c>
    </row>
    <row r="338" spans="1:5" x14ac:dyDescent="0.25">
      <c r="A338">
        <v>337</v>
      </c>
      <c r="B338">
        <v>1.2</v>
      </c>
      <c r="C338">
        <v>2</v>
      </c>
      <c r="D338" t="str">
        <f t="shared" si="12"/>
        <v>S</v>
      </c>
      <c r="E338">
        <f t="shared" si="13"/>
        <v>3</v>
      </c>
    </row>
    <row r="339" spans="1:5" x14ac:dyDescent="0.25">
      <c r="A339">
        <v>338</v>
      </c>
      <c r="B339">
        <v>0.1</v>
      </c>
      <c r="C339">
        <v>15</v>
      </c>
      <c r="D339" t="str">
        <f t="shared" si="12"/>
        <v>S</v>
      </c>
      <c r="E339">
        <f t="shared" si="13"/>
        <v>4</v>
      </c>
    </row>
    <row r="340" spans="1:5" x14ac:dyDescent="0.25">
      <c r="A340">
        <v>339</v>
      </c>
      <c r="B340">
        <v>0.6</v>
      </c>
      <c r="C340">
        <v>21</v>
      </c>
      <c r="D340" t="str">
        <f t="shared" si="12"/>
        <v>S</v>
      </c>
      <c r="E340">
        <f t="shared" si="13"/>
        <v>4</v>
      </c>
    </row>
    <row r="341" spans="1:5" x14ac:dyDescent="0.25">
      <c r="A341">
        <v>340</v>
      </c>
      <c r="B341">
        <v>2.8</v>
      </c>
      <c r="C341">
        <v>8</v>
      </c>
      <c r="D341" t="str">
        <f t="shared" si="12"/>
        <v>S</v>
      </c>
      <c r="E341">
        <f t="shared" si="13"/>
        <v>4</v>
      </c>
    </row>
    <row r="342" spans="1:5" x14ac:dyDescent="0.25">
      <c r="A342">
        <v>341</v>
      </c>
      <c r="B342">
        <v>6</v>
      </c>
      <c r="C342">
        <v>27</v>
      </c>
      <c r="D342" t="str">
        <f t="shared" si="12"/>
        <v>S</v>
      </c>
      <c r="E342">
        <f t="shared" si="13"/>
        <v>5</v>
      </c>
    </row>
    <row r="343" spans="1:5" x14ac:dyDescent="0.25">
      <c r="A343">
        <v>342</v>
      </c>
      <c r="B343">
        <v>9.3000000000000007</v>
      </c>
      <c r="C343">
        <v>0</v>
      </c>
      <c r="D343">
        <f t="shared" si="12"/>
        <v>0</v>
      </c>
      <c r="E343">
        <f t="shared" si="13"/>
        <v>0</v>
      </c>
    </row>
    <row r="344" spans="1:5" x14ac:dyDescent="0.25">
      <c r="A344">
        <v>343</v>
      </c>
      <c r="B344">
        <v>11.8</v>
      </c>
      <c r="C344">
        <v>1</v>
      </c>
      <c r="D344" t="str">
        <f t="shared" si="12"/>
        <v>C</v>
      </c>
      <c r="E344">
        <f t="shared" si="13"/>
        <v>1</v>
      </c>
    </row>
    <row r="345" spans="1:5" x14ac:dyDescent="0.25">
      <c r="A345">
        <v>344</v>
      </c>
      <c r="B345">
        <v>13.1</v>
      </c>
      <c r="C345">
        <v>4</v>
      </c>
      <c r="D345" t="str">
        <f t="shared" si="12"/>
        <v>C</v>
      </c>
      <c r="E345">
        <f t="shared" si="13"/>
        <v>1</v>
      </c>
    </row>
    <row r="346" spans="1:5" x14ac:dyDescent="0.25">
      <c r="A346">
        <v>345</v>
      </c>
      <c r="B346">
        <v>12.9</v>
      </c>
      <c r="C346">
        <v>1</v>
      </c>
      <c r="D346" t="str">
        <f t="shared" si="12"/>
        <v>C</v>
      </c>
      <c r="E346">
        <f t="shared" si="13"/>
        <v>1</v>
      </c>
    </row>
    <row r="347" spans="1:5" x14ac:dyDescent="0.25">
      <c r="A347">
        <v>346</v>
      </c>
      <c r="B347">
        <v>11.6</v>
      </c>
      <c r="C347">
        <v>2</v>
      </c>
      <c r="D347" t="str">
        <f t="shared" si="12"/>
        <v>C</v>
      </c>
      <c r="E347">
        <f t="shared" si="13"/>
        <v>2</v>
      </c>
    </row>
    <row r="348" spans="1:5" x14ac:dyDescent="0.25">
      <c r="A348">
        <v>347</v>
      </c>
      <c r="B348">
        <v>9.9</v>
      </c>
      <c r="C348">
        <v>3</v>
      </c>
      <c r="D348" t="str">
        <f t="shared" si="12"/>
        <v>C</v>
      </c>
      <c r="E348">
        <f t="shared" si="13"/>
        <v>2</v>
      </c>
    </row>
    <row r="349" spans="1:5" x14ac:dyDescent="0.25">
      <c r="A349">
        <v>348</v>
      </c>
      <c r="B349">
        <v>8.6999999999999993</v>
      </c>
      <c r="C349">
        <v>8</v>
      </c>
      <c r="D349" t="str">
        <f t="shared" si="12"/>
        <v>C</v>
      </c>
      <c r="E349">
        <f t="shared" si="13"/>
        <v>2</v>
      </c>
    </row>
    <row r="350" spans="1:5" x14ac:dyDescent="0.25">
      <c r="A350">
        <v>349</v>
      </c>
      <c r="B350">
        <v>8.8000000000000007</v>
      </c>
      <c r="C350">
        <v>18</v>
      </c>
      <c r="D350" t="str">
        <f t="shared" si="12"/>
        <v>C</v>
      </c>
      <c r="E350">
        <f t="shared" si="13"/>
        <v>3</v>
      </c>
    </row>
    <row r="351" spans="1:5" x14ac:dyDescent="0.25">
      <c r="A351">
        <v>350</v>
      </c>
      <c r="B351">
        <v>10.5</v>
      </c>
      <c r="C351">
        <v>15</v>
      </c>
      <c r="D351" t="str">
        <f t="shared" si="12"/>
        <v>C</v>
      </c>
      <c r="E351">
        <f t="shared" si="13"/>
        <v>3</v>
      </c>
    </row>
    <row r="352" spans="1:5" x14ac:dyDescent="0.25">
      <c r="A352">
        <v>351</v>
      </c>
      <c r="B352">
        <v>13.5</v>
      </c>
      <c r="C352">
        <v>1</v>
      </c>
      <c r="D352" t="str">
        <f t="shared" si="12"/>
        <v>C</v>
      </c>
      <c r="E352">
        <f t="shared" si="13"/>
        <v>3</v>
      </c>
    </row>
    <row r="353" spans="1:5" x14ac:dyDescent="0.25">
      <c r="A353">
        <v>352</v>
      </c>
      <c r="B353">
        <v>17.5</v>
      </c>
      <c r="C353">
        <v>22</v>
      </c>
      <c r="D353" t="str">
        <f t="shared" si="12"/>
        <v>C</v>
      </c>
      <c r="E353">
        <f t="shared" si="13"/>
        <v>4</v>
      </c>
    </row>
    <row r="354" spans="1:5" x14ac:dyDescent="0.25">
      <c r="A354">
        <v>353</v>
      </c>
      <c r="B354">
        <v>21.4</v>
      </c>
      <c r="C354">
        <v>4</v>
      </c>
      <c r="D354" t="str">
        <f t="shared" si="12"/>
        <v>C</v>
      </c>
      <c r="E354">
        <f t="shared" si="13"/>
        <v>4</v>
      </c>
    </row>
    <row r="355" spans="1:5" x14ac:dyDescent="0.25">
      <c r="A355">
        <v>354</v>
      </c>
      <c r="B355">
        <v>24.4</v>
      </c>
      <c r="C355">
        <v>4</v>
      </c>
      <c r="D355" t="str">
        <f t="shared" si="12"/>
        <v>C</v>
      </c>
      <c r="E355">
        <f t="shared" si="13"/>
        <v>4</v>
      </c>
    </row>
    <row r="356" spans="1:5" x14ac:dyDescent="0.25">
      <c r="A356">
        <v>355</v>
      </c>
      <c r="B356">
        <v>25.8</v>
      </c>
      <c r="C356">
        <v>11</v>
      </c>
      <c r="D356" t="str">
        <f t="shared" si="12"/>
        <v>C</v>
      </c>
      <c r="E356">
        <f t="shared" si="13"/>
        <v>5</v>
      </c>
    </row>
    <row r="357" spans="1:5" x14ac:dyDescent="0.25">
      <c r="A357">
        <v>356</v>
      </c>
      <c r="B357">
        <v>25.6</v>
      </c>
      <c r="C357">
        <v>25</v>
      </c>
      <c r="D357" t="str">
        <f t="shared" si="12"/>
        <v>C</v>
      </c>
      <c r="E357">
        <f t="shared" si="13"/>
        <v>5</v>
      </c>
    </row>
    <row r="358" spans="1:5" x14ac:dyDescent="0.25">
      <c r="A358">
        <v>357</v>
      </c>
      <c r="B358">
        <v>24.1</v>
      </c>
      <c r="C358">
        <v>0</v>
      </c>
      <c r="D358">
        <f t="shared" si="12"/>
        <v>0</v>
      </c>
      <c r="E358">
        <f t="shared" si="13"/>
        <v>0</v>
      </c>
    </row>
    <row r="359" spans="1:5" x14ac:dyDescent="0.25">
      <c r="A359">
        <v>358</v>
      </c>
      <c r="B359">
        <v>22</v>
      </c>
      <c r="C359">
        <v>4</v>
      </c>
      <c r="D359" t="str">
        <f t="shared" si="12"/>
        <v>C</v>
      </c>
      <c r="E359">
        <f t="shared" si="13"/>
        <v>1</v>
      </c>
    </row>
    <row r="360" spans="1:5" x14ac:dyDescent="0.25">
      <c r="A360">
        <v>359</v>
      </c>
      <c r="B360">
        <v>20.3</v>
      </c>
      <c r="C360">
        <v>4</v>
      </c>
      <c r="D360" t="str">
        <f t="shared" si="12"/>
        <v>C</v>
      </c>
      <c r="E360">
        <f t="shared" si="13"/>
        <v>1</v>
      </c>
    </row>
    <row r="361" spans="1:5" x14ac:dyDescent="0.25">
      <c r="A361">
        <v>360</v>
      </c>
      <c r="B361">
        <v>19.600000000000001</v>
      </c>
      <c r="C361">
        <v>1</v>
      </c>
      <c r="D361" t="str">
        <f t="shared" si="12"/>
        <v>C</v>
      </c>
      <c r="E361">
        <f t="shared" si="13"/>
        <v>1</v>
      </c>
    </row>
    <row r="362" spans="1:5" x14ac:dyDescent="0.25">
      <c r="A362">
        <v>361</v>
      </c>
      <c r="B362">
        <v>20.3</v>
      </c>
      <c r="C362">
        <v>11</v>
      </c>
      <c r="D362" t="str">
        <f t="shared" si="12"/>
        <v>C</v>
      </c>
      <c r="E362">
        <f t="shared" si="13"/>
        <v>2</v>
      </c>
    </row>
    <row r="363" spans="1:5" x14ac:dyDescent="0.25">
      <c r="A363">
        <v>362</v>
      </c>
      <c r="B363">
        <v>22.3</v>
      </c>
      <c r="C363">
        <v>12</v>
      </c>
      <c r="D363" t="str">
        <f t="shared" si="12"/>
        <v>C</v>
      </c>
      <c r="E363">
        <f t="shared" si="13"/>
        <v>2</v>
      </c>
    </row>
    <row r="364" spans="1:5" x14ac:dyDescent="0.25">
      <c r="A364">
        <v>363</v>
      </c>
      <c r="B364">
        <v>25</v>
      </c>
      <c r="C364">
        <v>2</v>
      </c>
      <c r="D364" t="str">
        <f t="shared" si="12"/>
        <v>C</v>
      </c>
      <c r="E364">
        <f t="shared" si="13"/>
        <v>2</v>
      </c>
    </row>
    <row r="365" spans="1:5" x14ac:dyDescent="0.25">
      <c r="A365">
        <v>364</v>
      </c>
      <c r="B365">
        <v>27.5</v>
      </c>
      <c r="C365">
        <v>4</v>
      </c>
      <c r="D365" t="str">
        <f t="shared" si="12"/>
        <v>C</v>
      </c>
      <c r="E365">
        <f t="shared" si="13"/>
        <v>3</v>
      </c>
    </row>
    <row r="366" spans="1:5" x14ac:dyDescent="0.25">
      <c r="A366">
        <v>365</v>
      </c>
      <c r="B366">
        <v>29.1</v>
      </c>
      <c r="C366">
        <v>18</v>
      </c>
      <c r="D366" t="str">
        <f t="shared" si="12"/>
        <v>C</v>
      </c>
      <c r="E366">
        <f t="shared" si="13"/>
        <v>3</v>
      </c>
    </row>
    <row r="367" spans="1:5" x14ac:dyDescent="0.25">
      <c r="A367">
        <v>366</v>
      </c>
      <c r="B367">
        <v>29</v>
      </c>
      <c r="C367">
        <v>2</v>
      </c>
      <c r="D367" t="str">
        <f t="shared" si="12"/>
        <v>C</v>
      </c>
      <c r="E367">
        <f t="shared" si="13"/>
        <v>3</v>
      </c>
    </row>
    <row r="368" spans="1:5" x14ac:dyDescent="0.25">
      <c r="A368">
        <v>367</v>
      </c>
      <c r="B368">
        <v>27.2</v>
      </c>
      <c r="C368">
        <v>19</v>
      </c>
      <c r="D368" t="str">
        <f t="shared" si="12"/>
        <v>C</v>
      </c>
      <c r="E368">
        <f t="shared" si="13"/>
        <v>4</v>
      </c>
    </row>
    <row r="369" spans="1:5" x14ac:dyDescent="0.25">
      <c r="A369">
        <v>368</v>
      </c>
      <c r="B369">
        <v>24.1</v>
      </c>
      <c r="C369">
        <v>16</v>
      </c>
      <c r="D369" t="str">
        <f t="shared" si="12"/>
        <v>C</v>
      </c>
      <c r="E369">
        <f t="shared" si="13"/>
        <v>4</v>
      </c>
    </row>
    <row r="370" spans="1:5" x14ac:dyDescent="0.25">
      <c r="A370">
        <v>369</v>
      </c>
      <c r="B370">
        <v>20.399999999999999</v>
      </c>
      <c r="C370">
        <v>24</v>
      </c>
      <c r="D370" t="str">
        <f t="shared" si="12"/>
        <v>C</v>
      </c>
      <c r="E370">
        <f t="shared" si="13"/>
        <v>4</v>
      </c>
    </row>
    <row r="371" spans="1:5" x14ac:dyDescent="0.25">
      <c r="A371">
        <v>370</v>
      </c>
      <c r="B371">
        <v>17.100000000000001</v>
      </c>
      <c r="C371">
        <v>24</v>
      </c>
      <c r="D371" t="str">
        <f t="shared" si="12"/>
        <v>C</v>
      </c>
      <c r="E371">
        <f t="shared" si="13"/>
        <v>5</v>
      </c>
    </row>
    <row r="372" spans="1:5" x14ac:dyDescent="0.25">
      <c r="A372">
        <v>371</v>
      </c>
      <c r="B372">
        <v>14.9</v>
      </c>
      <c r="C372">
        <v>0</v>
      </c>
      <c r="D372">
        <f t="shared" si="12"/>
        <v>0</v>
      </c>
      <c r="E372">
        <f t="shared" si="13"/>
        <v>0</v>
      </c>
    </row>
    <row r="373" spans="1:5" x14ac:dyDescent="0.25">
      <c r="A373">
        <v>372</v>
      </c>
      <c r="B373">
        <v>14.1</v>
      </c>
      <c r="C373">
        <v>3</v>
      </c>
      <c r="D373" t="str">
        <f t="shared" si="12"/>
        <v>C</v>
      </c>
      <c r="E373">
        <f t="shared" si="13"/>
        <v>1</v>
      </c>
    </row>
    <row r="374" spans="1:5" x14ac:dyDescent="0.25">
      <c r="A374">
        <v>373</v>
      </c>
      <c r="B374">
        <v>14.8</v>
      </c>
      <c r="C374">
        <v>6</v>
      </c>
      <c r="D374" t="str">
        <f t="shared" si="12"/>
        <v>C</v>
      </c>
      <c r="E374">
        <f t="shared" si="13"/>
        <v>1</v>
      </c>
    </row>
    <row r="375" spans="1:5" x14ac:dyDescent="0.25">
      <c r="A375">
        <v>374</v>
      </c>
      <c r="B375">
        <v>16.3</v>
      </c>
      <c r="C375">
        <v>6</v>
      </c>
      <c r="D375" t="str">
        <f t="shared" si="12"/>
        <v>C</v>
      </c>
      <c r="E375">
        <f t="shared" si="13"/>
        <v>1</v>
      </c>
    </row>
    <row r="376" spans="1:5" x14ac:dyDescent="0.25">
      <c r="A376">
        <v>375</v>
      </c>
      <c r="B376">
        <v>17.7</v>
      </c>
      <c r="C376">
        <v>8</v>
      </c>
      <c r="D376" t="str">
        <f t="shared" si="12"/>
        <v>C</v>
      </c>
      <c r="E376">
        <f t="shared" si="13"/>
        <v>2</v>
      </c>
    </row>
    <row r="377" spans="1:5" x14ac:dyDescent="0.25">
      <c r="A377">
        <v>376</v>
      </c>
      <c r="B377">
        <v>18.3</v>
      </c>
      <c r="C377">
        <v>3</v>
      </c>
      <c r="D377" t="str">
        <f t="shared" si="12"/>
        <v>C</v>
      </c>
      <c r="E377">
        <f t="shared" si="13"/>
        <v>2</v>
      </c>
    </row>
    <row r="378" spans="1:5" x14ac:dyDescent="0.25">
      <c r="A378">
        <v>377</v>
      </c>
      <c r="B378">
        <v>17.5</v>
      </c>
      <c r="C378">
        <v>6</v>
      </c>
      <c r="D378" t="str">
        <f t="shared" si="12"/>
        <v>C</v>
      </c>
      <c r="E378">
        <f t="shared" si="13"/>
        <v>2</v>
      </c>
    </row>
    <row r="379" spans="1:5" x14ac:dyDescent="0.25">
      <c r="A379">
        <v>378</v>
      </c>
      <c r="B379">
        <v>15.1</v>
      </c>
      <c r="C379">
        <v>7</v>
      </c>
      <c r="D379" t="str">
        <f t="shared" si="12"/>
        <v>C</v>
      </c>
      <c r="E379">
        <f t="shared" si="13"/>
        <v>3</v>
      </c>
    </row>
    <row r="380" spans="1:5" x14ac:dyDescent="0.25">
      <c r="A380">
        <v>379</v>
      </c>
      <c r="B380">
        <v>11.6</v>
      </c>
      <c r="C380">
        <v>11</v>
      </c>
      <c r="D380" t="str">
        <f t="shared" si="12"/>
        <v>C</v>
      </c>
      <c r="E380">
        <f t="shared" si="13"/>
        <v>3</v>
      </c>
    </row>
    <row r="381" spans="1:5" x14ac:dyDescent="0.25">
      <c r="A381">
        <v>380</v>
      </c>
      <c r="B381">
        <v>7.7</v>
      </c>
      <c r="C381">
        <v>10</v>
      </c>
      <c r="D381" t="str">
        <f t="shared" si="12"/>
        <v>C</v>
      </c>
      <c r="E381">
        <f t="shared" si="13"/>
        <v>3</v>
      </c>
    </row>
    <row r="382" spans="1:5" x14ac:dyDescent="0.25">
      <c r="A382">
        <v>381</v>
      </c>
      <c r="B382">
        <v>4.4000000000000004</v>
      </c>
      <c r="C382">
        <v>21</v>
      </c>
      <c r="D382" t="str">
        <f t="shared" si="12"/>
        <v>C</v>
      </c>
      <c r="E382">
        <f t="shared" si="13"/>
        <v>4</v>
      </c>
    </row>
    <row r="383" spans="1:5" x14ac:dyDescent="0.25">
      <c r="A383">
        <v>382</v>
      </c>
      <c r="B383">
        <v>2.2999999999999998</v>
      </c>
      <c r="C383">
        <v>22</v>
      </c>
      <c r="D383" t="str">
        <f t="shared" si="12"/>
        <v>C</v>
      </c>
      <c r="E383">
        <f t="shared" si="13"/>
        <v>4</v>
      </c>
    </row>
    <row r="384" spans="1:5" x14ac:dyDescent="0.25">
      <c r="A384">
        <v>383</v>
      </c>
      <c r="B384">
        <v>2</v>
      </c>
      <c r="C384">
        <v>22</v>
      </c>
      <c r="D384" t="str">
        <f t="shared" si="12"/>
        <v>C</v>
      </c>
      <c r="E384">
        <f t="shared" si="13"/>
        <v>4</v>
      </c>
    </row>
    <row r="385" spans="1:5" x14ac:dyDescent="0.25">
      <c r="A385">
        <v>384</v>
      </c>
      <c r="B385">
        <v>3.2</v>
      </c>
      <c r="C385">
        <v>29</v>
      </c>
      <c r="D385" t="str">
        <f t="shared" si="12"/>
        <v>C</v>
      </c>
      <c r="E385">
        <f t="shared" si="13"/>
        <v>5</v>
      </c>
    </row>
    <row r="386" spans="1:5" x14ac:dyDescent="0.25">
      <c r="A386">
        <v>385</v>
      </c>
      <c r="B386">
        <v>5.5</v>
      </c>
      <c r="C386">
        <v>0</v>
      </c>
      <c r="D386">
        <f t="shared" si="12"/>
        <v>0</v>
      </c>
      <c r="E386">
        <f t="shared" si="13"/>
        <v>0</v>
      </c>
    </row>
    <row r="387" spans="1:5" x14ac:dyDescent="0.25">
      <c r="A387">
        <v>386</v>
      </c>
      <c r="B387">
        <v>7.9</v>
      </c>
      <c r="C387">
        <v>1</v>
      </c>
      <c r="D387" t="str">
        <f t="shared" si="12"/>
        <v>S</v>
      </c>
      <c r="E387">
        <f t="shared" si="13"/>
        <v>1</v>
      </c>
    </row>
    <row r="388" spans="1:5" x14ac:dyDescent="0.25">
      <c r="A388">
        <v>387</v>
      </c>
      <c r="B388">
        <v>9.6</v>
      </c>
      <c r="C388">
        <v>2</v>
      </c>
      <c r="D388" t="str">
        <f t="shared" ref="D388:D451" si="14">IF(E388=0,0,IF(E387&gt;0,D387,IF(B388&gt;=10,"C","S")))</f>
        <v>S</v>
      </c>
      <c r="E388">
        <f t="shared" si="13"/>
        <v>1</v>
      </c>
    </row>
    <row r="389" spans="1:5" x14ac:dyDescent="0.25">
      <c r="A389">
        <v>388</v>
      </c>
      <c r="B389">
        <v>10</v>
      </c>
      <c r="C389">
        <v>3</v>
      </c>
      <c r="D389" t="str">
        <f t="shared" si="14"/>
        <v>S</v>
      </c>
      <c r="E389">
        <f t="shared" si="13"/>
        <v>1</v>
      </c>
    </row>
    <row r="390" spans="1:5" x14ac:dyDescent="0.25">
      <c r="A390">
        <v>389</v>
      </c>
      <c r="B390">
        <v>9</v>
      </c>
      <c r="C390">
        <v>2</v>
      </c>
      <c r="D390" t="str">
        <f t="shared" si="14"/>
        <v>S</v>
      </c>
      <c r="E390">
        <f t="shared" ref="E390:E453" si="15">IF(E389=0,1,IF(AND(E389=5,C389&gt;=20),0,IF(AND(E389=E387,E389&lt;5),E389+1,E389)))</f>
        <v>2</v>
      </c>
    </row>
    <row r="391" spans="1:5" x14ac:dyDescent="0.25">
      <c r="A391">
        <v>390</v>
      </c>
      <c r="B391">
        <v>6.9</v>
      </c>
      <c r="C391">
        <v>10</v>
      </c>
      <c r="D391" t="str">
        <f t="shared" si="14"/>
        <v>S</v>
      </c>
      <c r="E391">
        <f t="shared" si="15"/>
        <v>2</v>
      </c>
    </row>
    <row r="392" spans="1:5" x14ac:dyDescent="0.25">
      <c r="A392">
        <v>391</v>
      </c>
      <c r="B392">
        <v>4.5</v>
      </c>
      <c r="C392">
        <v>3</v>
      </c>
      <c r="D392" t="str">
        <f t="shared" si="14"/>
        <v>S</v>
      </c>
      <c r="E392">
        <f t="shared" si="15"/>
        <v>2</v>
      </c>
    </row>
    <row r="393" spans="1:5" x14ac:dyDescent="0.25">
      <c r="A393">
        <v>392</v>
      </c>
      <c r="B393">
        <v>2.8</v>
      </c>
      <c r="C393">
        <v>11</v>
      </c>
      <c r="D393" t="str">
        <f t="shared" si="14"/>
        <v>S</v>
      </c>
      <c r="E393">
        <f t="shared" si="15"/>
        <v>3</v>
      </c>
    </row>
    <row r="394" spans="1:5" x14ac:dyDescent="0.25">
      <c r="A394">
        <v>393</v>
      </c>
      <c r="B394">
        <v>2.2999999999999998</v>
      </c>
      <c r="C394">
        <v>17</v>
      </c>
      <c r="D394" t="str">
        <f t="shared" si="14"/>
        <v>S</v>
      </c>
      <c r="E394">
        <f t="shared" si="15"/>
        <v>3</v>
      </c>
    </row>
    <row r="395" spans="1:5" x14ac:dyDescent="0.25">
      <c r="A395">
        <v>394</v>
      </c>
      <c r="B395">
        <v>3.6</v>
      </c>
      <c r="C395">
        <v>1</v>
      </c>
      <c r="D395" t="str">
        <f t="shared" si="14"/>
        <v>S</v>
      </c>
      <c r="E395">
        <f t="shared" si="15"/>
        <v>3</v>
      </c>
    </row>
    <row r="396" spans="1:5" x14ac:dyDescent="0.25">
      <c r="A396">
        <v>395</v>
      </c>
      <c r="B396">
        <v>6.4</v>
      </c>
      <c r="C396">
        <v>8</v>
      </c>
      <c r="D396" t="str">
        <f t="shared" si="14"/>
        <v>S</v>
      </c>
      <c r="E396">
        <f t="shared" si="15"/>
        <v>4</v>
      </c>
    </row>
    <row r="397" spans="1:5" x14ac:dyDescent="0.25">
      <c r="A397">
        <v>396</v>
      </c>
      <c r="B397">
        <v>10.199999999999999</v>
      </c>
      <c r="C397">
        <v>11</v>
      </c>
      <c r="D397" t="str">
        <f t="shared" si="14"/>
        <v>S</v>
      </c>
      <c r="E397">
        <f t="shared" si="15"/>
        <v>4</v>
      </c>
    </row>
    <row r="398" spans="1:5" x14ac:dyDescent="0.25">
      <c r="A398">
        <v>397</v>
      </c>
      <c r="B398">
        <v>14</v>
      </c>
      <c r="C398">
        <v>23</v>
      </c>
      <c r="D398" t="str">
        <f t="shared" si="14"/>
        <v>S</v>
      </c>
      <c r="E398">
        <f t="shared" si="15"/>
        <v>4</v>
      </c>
    </row>
    <row r="399" spans="1:5" x14ac:dyDescent="0.25">
      <c r="A399">
        <v>398</v>
      </c>
      <c r="B399">
        <v>17.100000000000001</v>
      </c>
      <c r="C399">
        <v>29</v>
      </c>
      <c r="D399" t="str">
        <f t="shared" si="14"/>
        <v>S</v>
      </c>
      <c r="E399">
        <f t="shared" si="15"/>
        <v>5</v>
      </c>
    </row>
    <row r="400" spans="1:5" x14ac:dyDescent="0.25">
      <c r="A400">
        <v>399</v>
      </c>
      <c r="B400">
        <v>18.7</v>
      </c>
      <c r="C400">
        <v>0</v>
      </c>
      <c r="D400">
        <f t="shared" si="14"/>
        <v>0</v>
      </c>
      <c r="E400">
        <f t="shared" si="15"/>
        <v>0</v>
      </c>
    </row>
    <row r="401" spans="1:5" x14ac:dyDescent="0.25">
      <c r="A401">
        <v>400</v>
      </c>
      <c r="B401">
        <v>18.8</v>
      </c>
      <c r="C401">
        <v>5</v>
      </c>
      <c r="D401" t="str">
        <f t="shared" si="14"/>
        <v>C</v>
      </c>
      <c r="E401">
        <f t="shared" si="15"/>
        <v>1</v>
      </c>
    </row>
    <row r="402" spans="1:5" x14ac:dyDescent="0.25">
      <c r="A402">
        <v>401</v>
      </c>
      <c r="B402">
        <v>17.7</v>
      </c>
      <c r="C402">
        <v>2</v>
      </c>
      <c r="D402" t="str">
        <f t="shared" si="14"/>
        <v>C</v>
      </c>
      <c r="E402">
        <f t="shared" si="15"/>
        <v>1</v>
      </c>
    </row>
    <row r="403" spans="1:5" x14ac:dyDescent="0.25">
      <c r="A403">
        <v>402</v>
      </c>
      <c r="B403">
        <v>16.100000000000001</v>
      </c>
      <c r="C403">
        <v>2</v>
      </c>
      <c r="D403" t="str">
        <f t="shared" si="14"/>
        <v>C</v>
      </c>
      <c r="E403">
        <f t="shared" si="15"/>
        <v>1</v>
      </c>
    </row>
    <row r="404" spans="1:5" x14ac:dyDescent="0.25">
      <c r="A404">
        <v>403</v>
      </c>
      <c r="B404">
        <v>14.9</v>
      </c>
      <c r="C404">
        <v>7</v>
      </c>
      <c r="D404" t="str">
        <f t="shared" si="14"/>
        <v>C</v>
      </c>
      <c r="E404">
        <f t="shared" si="15"/>
        <v>2</v>
      </c>
    </row>
    <row r="405" spans="1:5" x14ac:dyDescent="0.25">
      <c r="A405">
        <v>404</v>
      </c>
      <c r="B405">
        <v>14.9</v>
      </c>
      <c r="C405">
        <v>2</v>
      </c>
      <c r="D405" t="str">
        <f t="shared" si="14"/>
        <v>C</v>
      </c>
      <c r="E405">
        <f t="shared" si="15"/>
        <v>2</v>
      </c>
    </row>
    <row r="406" spans="1:5" x14ac:dyDescent="0.25">
      <c r="A406">
        <v>405</v>
      </c>
      <c r="B406">
        <v>16.3</v>
      </c>
      <c r="C406">
        <v>3</v>
      </c>
      <c r="D406" t="str">
        <f t="shared" si="14"/>
        <v>C</v>
      </c>
      <c r="E406">
        <f t="shared" si="15"/>
        <v>2</v>
      </c>
    </row>
    <row r="407" spans="1:5" x14ac:dyDescent="0.25">
      <c r="A407">
        <v>406</v>
      </c>
      <c r="B407">
        <v>19.100000000000001</v>
      </c>
      <c r="C407">
        <v>14</v>
      </c>
      <c r="D407" t="str">
        <f t="shared" si="14"/>
        <v>C</v>
      </c>
      <c r="E407">
        <f t="shared" si="15"/>
        <v>3</v>
      </c>
    </row>
    <row r="408" spans="1:5" x14ac:dyDescent="0.25">
      <c r="A408">
        <v>407</v>
      </c>
      <c r="B408">
        <v>22.7</v>
      </c>
      <c r="C408">
        <v>12</v>
      </c>
      <c r="D408" t="str">
        <f t="shared" si="14"/>
        <v>C</v>
      </c>
      <c r="E408">
        <f t="shared" si="15"/>
        <v>3</v>
      </c>
    </row>
    <row r="409" spans="1:5" x14ac:dyDescent="0.25">
      <c r="A409">
        <v>408</v>
      </c>
      <c r="B409">
        <v>26.1</v>
      </c>
      <c r="C409">
        <v>9</v>
      </c>
      <c r="D409" t="str">
        <f t="shared" si="14"/>
        <v>C</v>
      </c>
      <c r="E409">
        <f t="shared" si="15"/>
        <v>3</v>
      </c>
    </row>
    <row r="410" spans="1:5" x14ac:dyDescent="0.25">
      <c r="A410">
        <v>409</v>
      </c>
      <c r="B410">
        <v>28.6</v>
      </c>
      <c r="C410">
        <v>14</v>
      </c>
      <c r="D410" t="str">
        <f t="shared" si="14"/>
        <v>C</v>
      </c>
      <c r="E410">
        <f t="shared" si="15"/>
        <v>4</v>
      </c>
    </row>
    <row r="411" spans="1:5" x14ac:dyDescent="0.25">
      <c r="A411">
        <v>410</v>
      </c>
      <c r="B411">
        <v>29.5</v>
      </c>
      <c r="C411">
        <v>17</v>
      </c>
      <c r="D411" t="str">
        <f t="shared" si="14"/>
        <v>C</v>
      </c>
      <c r="E411">
        <f t="shared" si="15"/>
        <v>4</v>
      </c>
    </row>
    <row r="412" spans="1:5" x14ac:dyDescent="0.25">
      <c r="A412">
        <v>411</v>
      </c>
      <c r="B412">
        <v>28.6</v>
      </c>
      <c r="C412">
        <v>9</v>
      </c>
      <c r="D412" t="str">
        <f t="shared" si="14"/>
        <v>C</v>
      </c>
      <c r="E412">
        <f t="shared" si="15"/>
        <v>4</v>
      </c>
    </row>
    <row r="413" spans="1:5" x14ac:dyDescent="0.25">
      <c r="A413">
        <v>412</v>
      </c>
      <c r="B413">
        <v>26.4</v>
      </c>
      <c r="C413">
        <v>28</v>
      </c>
      <c r="D413" t="str">
        <f t="shared" si="14"/>
        <v>C</v>
      </c>
      <c r="E413">
        <f t="shared" si="15"/>
        <v>5</v>
      </c>
    </row>
    <row r="414" spans="1:5" x14ac:dyDescent="0.25">
      <c r="A414">
        <v>413</v>
      </c>
      <c r="B414">
        <v>23.6</v>
      </c>
      <c r="C414">
        <v>0</v>
      </c>
      <c r="D414">
        <f t="shared" si="14"/>
        <v>0</v>
      </c>
      <c r="E414">
        <f t="shared" si="15"/>
        <v>0</v>
      </c>
    </row>
    <row r="415" spans="1:5" x14ac:dyDescent="0.25">
      <c r="A415">
        <v>414</v>
      </c>
      <c r="B415">
        <v>21</v>
      </c>
      <c r="C415">
        <v>1</v>
      </c>
      <c r="D415" t="str">
        <f t="shared" si="14"/>
        <v>C</v>
      </c>
      <c r="E415">
        <f t="shared" si="15"/>
        <v>1</v>
      </c>
    </row>
    <row r="416" spans="1:5" x14ac:dyDescent="0.25">
      <c r="A416">
        <v>415</v>
      </c>
      <c r="B416">
        <v>19.600000000000001</v>
      </c>
      <c r="C416">
        <v>6</v>
      </c>
      <c r="D416" t="str">
        <f t="shared" si="14"/>
        <v>C</v>
      </c>
      <c r="E416">
        <f t="shared" si="15"/>
        <v>1</v>
      </c>
    </row>
    <row r="417" spans="1:5" x14ac:dyDescent="0.25">
      <c r="A417">
        <v>416</v>
      </c>
      <c r="B417">
        <v>19.5</v>
      </c>
      <c r="C417">
        <v>4</v>
      </c>
      <c r="D417" t="str">
        <f t="shared" si="14"/>
        <v>C</v>
      </c>
      <c r="E417">
        <f t="shared" si="15"/>
        <v>1</v>
      </c>
    </row>
    <row r="418" spans="1:5" x14ac:dyDescent="0.25">
      <c r="A418">
        <v>417</v>
      </c>
      <c r="B418">
        <v>20.7</v>
      </c>
      <c r="C418">
        <v>10</v>
      </c>
      <c r="D418" t="str">
        <f t="shared" si="14"/>
        <v>C</v>
      </c>
      <c r="E418">
        <f t="shared" si="15"/>
        <v>2</v>
      </c>
    </row>
    <row r="419" spans="1:5" x14ac:dyDescent="0.25">
      <c r="A419">
        <v>418</v>
      </c>
      <c r="B419">
        <v>22.7</v>
      </c>
      <c r="C419">
        <v>4</v>
      </c>
      <c r="D419" t="str">
        <f t="shared" si="14"/>
        <v>C</v>
      </c>
      <c r="E419">
        <f t="shared" si="15"/>
        <v>2</v>
      </c>
    </row>
    <row r="420" spans="1:5" x14ac:dyDescent="0.25">
      <c r="A420">
        <v>419</v>
      </c>
      <c r="B420">
        <v>24.5</v>
      </c>
      <c r="C420">
        <v>5</v>
      </c>
      <c r="D420" t="str">
        <f t="shared" si="14"/>
        <v>C</v>
      </c>
      <c r="E420">
        <f t="shared" si="15"/>
        <v>2</v>
      </c>
    </row>
    <row r="421" spans="1:5" x14ac:dyDescent="0.25">
      <c r="A421">
        <v>420</v>
      </c>
      <c r="B421">
        <v>25.4</v>
      </c>
      <c r="C421">
        <v>8</v>
      </c>
      <c r="D421" t="str">
        <f t="shared" si="14"/>
        <v>C</v>
      </c>
      <c r="E421">
        <f t="shared" si="15"/>
        <v>3</v>
      </c>
    </row>
    <row r="422" spans="1:5" x14ac:dyDescent="0.25">
      <c r="A422">
        <v>421</v>
      </c>
      <c r="B422">
        <v>24.8</v>
      </c>
      <c r="C422">
        <v>12</v>
      </c>
      <c r="D422" t="str">
        <f t="shared" si="14"/>
        <v>C</v>
      </c>
      <c r="E422">
        <f t="shared" si="15"/>
        <v>3</v>
      </c>
    </row>
    <row r="423" spans="1:5" x14ac:dyDescent="0.25">
      <c r="A423">
        <v>422</v>
      </c>
      <c r="B423">
        <v>22.5</v>
      </c>
      <c r="C423">
        <v>8</v>
      </c>
      <c r="D423" t="str">
        <f t="shared" si="14"/>
        <v>C</v>
      </c>
      <c r="E423">
        <f t="shared" si="15"/>
        <v>3</v>
      </c>
    </row>
    <row r="424" spans="1:5" x14ac:dyDescent="0.25">
      <c r="A424">
        <v>423</v>
      </c>
      <c r="B424">
        <v>18.899999999999999</v>
      </c>
      <c r="C424">
        <v>7</v>
      </c>
      <c r="D424" t="str">
        <f t="shared" si="14"/>
        <v>C</v>
      </c>
      <c r="E424">
        <f t="shared" si="15"/>
        <v>4</v>
      </c>
    </row>
    <row r="425" spans="1:5" x14ac:dyDescent="0.25">
      <c r="A425">
        <v>424</v>
      </c>
      <c r="B425">
        <v>14.8</v>
      </c>
      <c r="C425">
        <v>8</v>
      </c>
      <c r="D425" t="str">
        <f t="shared" si="14"/>
        <v>C</v>
      </c>
      <c r="E425">
        <f t="shared" si="15"/>
        <v>4</v>
      </c>
    </row>
    <row r="426" spans="1:5" x14ac:dyDescent="0.25">
      <c r="A426">
        <v>425</v>
      </c>
      <c r="B426">
        <v>11.2</v>
      </c>
      <c r="C426">
        <v>7</v>
      </c>
      <c r="D426" t="str">
        <f t="shared" si="14"/>
        <v>C</v>
      </c>
      <c r="E426">
        <f t="shared" si="15"/>
        <v>4</v>
      </c>
    </row>
    <row r="427" spans="1:5" x14ac:dyDescent="0.25">
      <c r="A427">
        <v>426</v>
      </c>
      <c r="B427">
        <v>8.8000000000000007</v>
      </c>
      <c r="C427">
        <v>23</v>
      </c>
      <c r="D427" t="str">
        <f t="shared" si="14"/>
        <v>C</v>
      </c>
      <c r="E427">
        <f t="shared" si="15"/>
        <v>5</v>
      </c>
    </row>
    <row r="428" spans="1:5" x14ac:dyDescent="0.25">
      <c r="A428">
        <v>427</v>
      </c>
      <c r="B428">
        <v>8</v>
      </c>
      <c r="C428">
        <v>0</v>
      </c>
      <c r="D428">
        <f t="shared" si="14"/>
        <v>0</v>
      </c>
      <c r="E428">
        <f t="shared" si="15"/>
        <v>0</v>
      </c>
    </row>
    <row r="429" spans="1:5" x14ac:dyDescent="0.25">
      <c r="A429">
        <v>428</v>
      </c>
      <c r="B429">
        <v>8.6</v>
      </c>
      <c r="C429">
        <v>2</v>
      </c>
      <c r="D429" t="str">
        <f t="shared" si="14"/>
        <v>S</v>
      </c>
      <c r="E429">
        <f t="shared" si="15"/>
        <v>1</v>
      </c>
    </row>
    <row r="430" spans="1:5" x14ac:dyDescent="0.25">
      <c r="A430">
        <v>429</v>
      </c>
      <c r="B430">
        <v>10.199999999999999</v>
      </c>
      <c r="C430">
        <v>5</v>
      </c>
      <c r="D430" t="str">
        <f t="shared" si="14"/>
        <v>S</v>
      </c>
      <c r="E430">
        <f t="shared" si="15"/>
        <v>1</v>
      </c>
    </row>
    <row r="431" spans="1:5" x14ac:dyDescent="0.25">
      <c r="A431">
        <v>430</v>
      </c>
      <c r="B431">
        <v>11.8</v>
      </c>
      <c r="C431">
        <v>5</v>
      </c>
      <c r="D431" t="str">
        <f t="shared" si="14"/>
        <v>S</v>
      </c>
      <c r="E431">
        <f t="shared" si="15"/>
        <v>1</v>
      </c>
    </row>
    <row r="432" spans="1:5" x14ac:dyDescent="0.25">
      <c r="A432">
        <v>431</v>
      </c>
      <c r="B432">
        <v>12.7</v>
      </c>
      <c r="C432">
        <v>8</v>
      </c>
      <c r="D432" t="str">
        <f t="shared" si="14"/>
        <v>S</v>
      </c>
      <c r="E432">
        <f t="shared" si="15"/>
        <v>2</v>
      </c>
    </row>
    <row r="433" spans="1:5" x14ac:dyDescent="0.25">
      <c r="A433">
        <v>432</v>
      </c>
      <c r="B433">
        <v>12.2</v>
      </c>
      <c r="C433">
        <v>6</v>
      </c>
      <c r="D433" t="str">
        <f t="shared" si="14"/>
        <v>S</v>
      </c>
      <c r="E433">
        <f t="shared" si="15"/>
        <v>2</v>
      </c>
    </row>
    <row r="434" spans="1:5" x14ac:dyDescent="0.25">
      <c r="A434">
        <v>433</v>
      </c>
      <c r="B434">
        <v>10.3</v>
      </c>
      <c r="C434">
        <v>9</v>
      </c>
      <c r="D434" t="str">
        <f t="shared" si="14"/>
        <v>S</v>
      </c>
      <c r="E434">
        <f t="shared" si="15"/>
        <v>2</v>
      </c>
    </row>
    <row r="435" spans="1:5" x14ac:dyDescent="0.25">
      <c r="A435">
        <v>434</v>
      </c>
      <c r="B435">
        <v>7.4</v>
      </c>
      <c r="C435">
        <v>17</v>
      </c>
      <c r="D435" t="str">
        <f t="shared" si="14"/>
        <v>S</v>
      </c>
      <c r="E435">
        <f t="shared" si="15"/>
        <v>3</v>
      </c>
    </row>
    <row r="436" spans="1:5" x14ac:dyDescent="0.25">
      <c r="A436">
        <v>435</v>
      </c>
      <c r="B436">
        <v>4.0999999999999996</v>
      </c>
      <c r="C436">
        <v>17</v>
      </c>
      <c r="D436" t="str">
        <f t="shared" si="14"/>
        <v>S</v>
      </c>
      <c r="E436">
        <f t="shared" si="15"/>
        <v>3</v>
      </c>
    </row>
    <row r="437" spans="1:5" x14ac:dyDescent="0.25">
      <c r="A437">
        <v>436</v>
      </c>
      <c r="B437">
        <v>1.4</v>
      </c>
      <c r="C437">
        <v>7</v>
      </c>
      <c r="D437" t="str">
        <f t="shared" si="14"/>
        <v>S</v>
      </c>
      <c r="E437">
        <f t="shared" si="15"/>
        <v>3</v>
      </c>
    </row>
    <row r="438" spans="1:5" x14ac:dyDescent="0.25">
      <c r="A438">
        <v>437</v>
      </c>
      <c r="B438">
        <v>0.1</v>
      </c>
      <c r="C438">
        <v>24</v>
      </c>
      <c r="D438" t="str">
        <f t="shared" si="14"/>
        <v>S</v>
      </c>
      <c r="E438">
        <f t="shared" si="15"/>
        <v>4</v>
      </c>
    </row>
    <row r="439" spans="1:5" x14ac:dyDescent="0.25">
      <c r="A439">
        <v>438</v>
      </c>
      <c r="B439">
        <v>0.5</v>
      </c>
      <c r="C439">
        <v>16</v>
      </c>
      <c r="D439" t="str">
        <f t="shared" si="14"/>
        <v>S</v>
      </c>
      <c r="E439">
        <f t="shared" si="15"/>
        <v>4</v>
      </c>
    </row>
    <row r="440" spans="1:5" x14ac:dyDescent="0.25">
      <c r="A440">
        <v>439</v>
      </c>
      <c r="B440">
        <v>2.5</v>
      </c>
      <c r="C440">
        <v>2</v>
      </c>
      <c r="D440" t="str">
        <f t="shared" si="14"/>
        <v>S</v>
      </c>
      <c r="E440">
        <f t="shared" si="15"/>
        <v>4</v>
      </c>
    </row>
    <row r="441" spans="1:5" x14ac:dyDescent="0.25">
      <c r="A441">
        <v>440</v>
      </c>
      <c r="B441">
        <v>5.5</v>
      </c>
      <c r="C441">
        <v>17</v>
      </c>
      <c r="D441" t="str">
        <f t="shared" si="14"/>
        <v>S</v>
      </c>
      <c r="E441">
        <f t="shared" si="15"/>
        <v>5</v>
      </c>
    </row>
    <row r="442" spans="1:5" x14ac:dyDescent="0.25">
      <c r="A442">
        <v>441</v>
      </c>
      <c r="B442">
        <v>8.6999999999999993</v>
      </c>
      <c r="C442">
        <v>23</v>
      </c>
      <c r="D442" t="str">
        <f t="shared" si="14"/>
        <v>S</v>
      </c>
      <c r="E442">
        <f t="shared" si="15"/>
        <v>5</v>
      </c>
    </row>
    <row r="443" spans="1:5" x14ac:dyDescent="0.25">
      <c r="A443">
        <v>442</v>
      </c>
      <c r="B443">
        <v>11.1</v>
      </c>
      <c r="C443">
        <v>0</v>
      </c>
      <c r="D443">
        <f t="shared" si="14"/>
        <v>0</v>
      </c>
      <c r="E443">
        <f t="shared" si="15"/>
        <v>0</v>
      </c>
    </row>
    <row r="444" spans="1:5" x14ac:dyDescent="0.25">
      <c r="A444">
        <v>443</v>
      </c>
      <c r="B444">
        <v>12.2</v>
      </c>
      <c r="C444">
        <v>4</v>
      </c>
      <c r="D444" t="str">
        <f t="shared" si="14"/>
        <v>C</v>
      </c>
      <c r="E444">
        <f t="shared" si="15"/>
        <v>1</v>
      </c>
    </row>
    <row r="445" spans="1:5" x14ac:dyDescent="0.25">
      <c r="A445">
        <v>444</v>
      </c>
      <c r="B445">
        <v>11.9</v>
      </c>
      <c r="C445">
        <v>1</v>
      </c>
      <c r="D445" t="str">
        <f t="shared" si="14"/>
        <v>C</v>
      </c>
      <c r="E445">
        <f t="shared" si="15"/>
        <v>1</v>
      </c>
    </row>
    <row r="446" spans="1:5" x14ac:dyDescent="0.25">
      <c r="A446">
        <v>445</v>
      </c>
      <c r="B446">
        <v>10.5</v>
      </c>
      <c r="C446">
        <v>1</v>
      </c>
      <c r="D446" t="str">
        <f t="shared" si="14"/>
        <v>C</v>
      </c>
      <c r="E446">
        <f t="shared" si="15"/>
        <v>1</v>
      </c>
    </row>
    <row r="447" spans="1:5" x14ac:dyDescent="0.25">
      <c r="A447">
        <v>446</v>
      </c>
      <c r="B447">
        <v>8.8000000000000007</v>
      </c>
      <c r="C447">
        <v>6</v>
      </c>
      <c r="D447" t="str">
        <f t="shared" si="14"/>
        <v>C</v>
      </c>
      <c r="E447">
        <f t="shared" si="15"/>
        <v>2</v>
      </c>
    </row>
    <row r="448" spans="1:5" x14ac:dyDescent="0.25">
      <c r="A448">
        <v>447</v>
      </c>
      <c r="B448">
        <v>7.5</v>
      </c>
      <c r="C448">
        <v>10</v>
      </c>
      <c r="D448" t="str">
        <f t="shared" si="14"/>
        <v>C</v>
      </c>
      <c r="E448">
        <f t="shared" si="15"/>
        <v>2</v>
      </c>
    </row>
    <row r="449" spans="1:5" x14ac:dyDescent="0.25">
      <c r="A449">
        <v>448</v>
      </c>
      <c r="B449">
        <v>7.6</v>
      </c>
      <c r="C449">
        <v>10</v>
      </c>
      <c r="D449" t="str">
        <f t="shared" si="14"/>
        <v>C</v>
      </c>
      <c r="E449">
        <f t="shared" si="15"/>
        <v>2</v>
      </c>
    </row>
    <row r="450" spans="1:5" x14ac:dyDescent="0.25">
      <c r="A450">
        <v>449</v>
      </c>
      <c r="B450">
        <v>9.1999999999999993</v>
      </c>
      <c r="C450">
        <v>2</v>
      </c>
      <c r="D450" t="str">
        <f t="shared" si="14"/>
        <v>C</v>
      </c>
      <c r="E450">
        <f t="shared" si="15"/>
        <v>3</v>
      </c>
    </row>
    <row r="451" spans="1:5" x14ac:dyDescent="0.25">
      <c r="A451">
        <v>450</v>
      </c>
      <c r="B451">
        <v>12.3</v>
      </c>
      <c r="C451">
        <v>7</v>
      </c>
      <c r="D451" t="str">
        <f t="shared" si="14"/>
        <v>C</v>
      </c>
      <c r="E451">
        <f t="shared" si="15"/>
        <v>3</v>
      </c>
    </row>
    <row r="452" spans="1:5" x14ac:dyDescent="0.25">
      <c r="A452">
        <v>451</v>
      </c>
      <c r="B452">
        <v>16.3</v>
      </c>
      <c r="C452">
        <v>18</v>
      </c>
      <c r="D452" t="str">
        <f t="shared" ref="D452:D501" si="16">IF(E452=0,0,IF(E451&gt;0,D451,IF(B452&gt;=10,"C","S")))</f>
        <v>C</v>
      </c>
      <c r="E452">
        <f t="shared" si="15"/>
        <v>3</v>
      </c>
    </row>
    <row r="453" spans="1:5" x14ac:dyDescent="0.25">
      <c r="A453">
        <v>452</v>
      </c>
      <c r="B453">
        <v>20.2</v>
      </c>
      <c r="C453">
        <v>23</v>
      </c>
      <c r="D453" t="str">
        <f t="shared" si="16"/>
        <v>C</v>
      </c>
      <c r="E453">
        <f t="shared" si="15"/>
        <v>4</v>
      </c>
    </row>
    <row r="454" spans="1:5" x14ac:dyDescent="0.25">
      <c r="A454">
        <v>453</v>
      </c>
      <c r="B454">
        <v>23.2</v>
      </c>
      <c r="C454">
        <v>7</v>
      </c>
      <c r="D454" t="str">
        <f t="shared" si="16"/>
        <v>C</v>
      </c>
      <c r="E454">
        <f t="shared" ref="E454:E501" si="17">IF(E453=0,1,IF(AND(E453=5,C453&gt;=20),0,IF(AND(E453=E451,E453&lt;5),E453+1,E453)))</f>
        <v>4</v>
      </c>
    </row>
    <row r="455" spans="1:5" x14ac:dyDescent="0.25">
      <c r="A455">
        <v>454</v>
      </c>
      <c r="B455">
        <v>24.8</v>
      </c>
      <c r="C455">
        <v>20</v>
      </c>
      <c r="D455" t="str">
        <f t="shared" si="16"/>
        <v>C</v>
      </c>
      <c r="E455">
        <f t="shared" si="17"/>
        <v>4</v>
      </c>
    </row>
    <row r="456" spans="1:5" x14ac:dyDescent="0.25">
      <c r="A456">
        <v>455</v>
      </c>
      <c r="B456">
        <v>24.9</v>
      </c>
      <c r="C456">
        <v>14</v>
      </c>
      <c r="D456" t="str">
        <f t="shared" si="16"/>
        <v>C</v>
      </c>
      <c r="E456">
        <f t="shared" si="17"/>
        <v>5</v>
      </c>
    </row>
    <row r="457" spans="1:5" x14ac:dyDescent="0.25">
      <c r="A457">
        <v>456</v>
      </c>
      <c r="B457">
        <v>23.3</v>
      </c>
      <c r="C457">
        <v>11</v>
      </c>
      <c r="D457" t="str">
        <f t="shared" si="16"/>
        <v>C</v>
      </c>
      <c r="E457">
        <f t="shared" si="17"/>
        <v>5</v>
      </c>
    </row>
    <row r="458" spans="1:5" x14ac:dyDescent="0.25">
      <c r="A458">
        <v>457</v>
      </c>
      <c r="B458">
        <v>21.3</v>
      </c>
      <c r="C458">
        <v>10</v>
      </c>
      <c r="D458" t="str">
        <f t="shared" si="16"/>
        <v>C</v>
      </c>
      <c r="E458">
        <f t="shared" si="17"/>
        <v>5</v>
      </c>
    </row>
    <row r="459" spans="1:5" x14ac:dyDescent="0.25">
      <c r="A459">
        <v>458</v>
      </c>
      <c r="B459">
        <v>19.7</v>
      </c>
      <c r="C459">
        <v>13</v>
      </c>
      <c r="D459" t="str">
        <f t="shared" si="16"/>
        <v>C</v>
      </c>
      <c r="E459">
        <f t="shared" si="17"/>
        <v>5</v>
      </c>
    </row>
    <row r="460" spans="1:5" x14ac:dyDescent="0.25">
      <c r="A460">
        <v>459</v>
      </c>
      <c r="B460">
        <v>19.100000000000001</v>
      </c>
      <c r="C460">
        <v>24</v>
      </c>
      <c r="D460" t="str">
        <f t="shared" si="16"/>
        <v>C</v>
      </c>
      <c r="E460">
        <f t="shared" si="17"/>
        <v>5</v>
      </c>
    </row>
    <row r="461" spans="1:5" x14ac:dyDescent="0.25">
      <c r="A461">
        <v>460</v>
      </c>
      <c r="B461">
        <v>20</v>
      </c>
      <c r="C461">
        <v>0</v>
      </c>
      <c r="D461">
        <f t="shared" si="16"/>
        <v>0</v>
      </c>
      <c r="E461">
        <f t="shared" si="17"/>
        <v>0</v>
      </c>
    </row>
    <row r="462" spans="1:5" x14ac:dyDescent="0.25">
      <c r="A462">
        <v>461</v>
      </c>
      <c r="B462">
        <v>22.1</v>
      </c>
      <c r="C462">
        <v>1</v>
      </c>
      <c r="D462" t="str">
        <f t="shared" si="16"/>
        <v>C</v>
      </c>
      <c r="E462">
        <f t="shared" si="17"/>
        <v>1</v>
      </c>
    </row>
    <row r="463" spans="1:5" x14ac:dyDescent="0.25">
      <c r="A463">
        <v>462</v>
      </c>
      <c r="B463">
        <v>25</v>
      </c>
      <c r="C463">
        <v>4</v>
      </c>
      <c r="D463" t="str">
        <f t="shared" si="16"/>
        <v>C</v>
      </c>
      <c r="E463">
        <f t="shared" si="17"/>
        <v>1</v>
      </c>
    </row>
    <row r="464" spans="1:5" x14ac:dyDescent="0.25">
      <c r="A464">
        <v>463</v>
      </c>
      <c r="B464">
        <v>27.7</v>
      </c>
      <c r="C464">
        <v>1</v>
      </c>
      <c r="D464" t="str">
        <f t="shared" si="16"/>
        <v>C</v>
      </c>
      <c r="E464">
        <f t="shared" si="17"/>
        <v>1</v>
      </c>
    </row>
    <row r="465" spans="1:5" x14ac:dyDescent="0.25">
      <c r="A465">
        <v>464</v>
      </c>
      <c r="B465">
        <v>29.4</v>
      </c>
      <c r="C465">
        <v>12</v>
      </c>
      <c r="D465" t="str">
        <f t="shared" si="16"/>
        <v>C</v>
      </c>
      <c r="E465">
        <f t="shared" si="17"/>
        <v>2</v>
      </c>
    </row>
    <row r="466" spans="1:5" x14ac:dyDescent="0.25">
      <c r="A466">
        <v>465</v>
      </c>
      <c r="B466">
        <v>29.5</v>
      </c>
      <c r="C466">
        <v>12</v>
      </c>
      <c r="D466" t="str">
        <f t="shared" si="16"/>
        <v>C</v>
      </c>
      <c r="E466">
        <f t="shared" si="17"/>
        <v>2</v>
      </c>
    </row>
    <row r="467" spans="1:5" x14ac:dyDescent="0.25">
      <c r="A467">
        <v>466</v>
      </c>
      <c r="B467">
        <v>27.8</v>
      </c>
      <c r="C467">
        <v>8</v>
      </c>
      <c r="D467" t="str">
        <f t="shared" si="16"/>
        <v>C</v>
      </c>
      <c r="E467">
        <f t="shared" si="17"/>
        <v>2</v>
      </c>
    </row>
    <row r="468" spans="1:5" x14ac:dyDescent="0.25">
      <c r="A468">
        <v>467</v>
      </c>
      <c r="B468">
        <v>24.9</v>
      </c>
      <c r="C468">
        <v>13</v>
      </c>
      <c r="D468" t="str">
        <f t="shared" si="16"/>
        <v>C</v>
      </c>
      <c r="E468">
        <f t="shared" si="17"/>
        <v>3</v>
      </c>
    </row>
    <row r="469" spans="1:5" x14ac:dyDescent="0.25">
      <c r="A469">
        <v>468</v>
      </c>
      <c r="B469">
        <v>21.3</v>
      </c>
      <c r="C469">
        <v>18</v>
      </c>
      <c r="D469" t="str">
        <f t="shared" si="16"/>
        <v>C</v>
      </c>
      <c r="E469">
        <f t="shared" si="17"/>
        <v>3</v>
      </c>
    </row>
    <row r="470" spans="1:5" x14ac:dyDescent="0.25">
      <c r="A470">
        <v>469</v>
      </c>
      <c r="B470">
        <v>18.100000000000001</v>
      </c>
      <c r="C470">
        <v>15</v>
      </c>
      <c r="D470" t="str">
        <f t="shared" si="16"/>
        <v>C</v>
      </c>
      <c r="E470">
        <f t="shared" si="17"/>
        <v>3</v>
      </c>
    </row>
    <row r="471" spans="1:5" x14ac:dyDescent="0.25">
      <c r="A471">
        <v>470</v>
      </c>
      <c r="B471">
        <v>15.9</v>
      </c>
      <c r="C471">
        <v>10</v>
      </c>
      <c r="D471" t="str">
        <f t="shared" si="16"/>
        <v>C</v>
      </c>
      <c r="E471">
        <f t="shared" si="17"/>
        <v>4</v>
      </c>
    </row>
    <row r="472" spans="1:5" x14ac:dyDescent="0.25">
      <c r="A472">
        <v>471</v>
      </c>
      <c r="B472">
        <v>15.3</v>
      </c>
      <c r="C472">
        <v>7</v>
      </c>
      <c r="D472" t="str">
        <f t="shared" si="16"/>
        <v>C</v>
      </c>
      <c r="E472">
        <f t="shared" si="17"/>
        <v>4</v>
      </c>
    </row>
    <row r="473" spans="1:5" x14ac:dyDescent="0.25">
      <c r="A473">
        <v>472</v>
      </c>
      <c r="B473">
        <v>16</v>
      </c>
      <c r="C473">
        <v>5</v>
      </c>
      <c r="D473" t="str">
        <f t="shared" si="16"/>
        <v>C</v>
      </c>
      <c r="E473">
        <f t="shared" si="17"/>
        <v>4</v>
      </c>
    </row>
    <row r="474" spans="1:5" x14ac:dyDescent="0.25">
      <c r="A474">
        <v>473</v>
      </c>
      <c r="B474">
        <v>17.5</v>
      </c>
      <c r="C474">
        <v>26</v>
      </c>
      <c r="D474" t="str">
        <f t="shared" si="16"/>
        <v>C</v>
      </c>
      <c r="E474">
        <f t="shared" si="17"/>
        <v>5</v>
      </c>
    </row>
    <row r="475" spans="1:5" x14ac:dyDescent="0.25">
      <c r="A475">
        <v>474</v>
      </c>
      <c r="B475">
        <v>19</v>
      </c>
      <c r="C475">
        <v>0</v>
      </c>
      <c r="D475">
        <f t="shared" si="16"/>
        <v>0</v>
      </c>
      <c r="E475">
        <f t="shared" si="17"/>
        <v>0</v>
      </c>
    </row>
    <row r="476" spans="1:5" x14ac:dyDescent="0.25">
      <c r="A476">
        <v>475</v>
      </c>
      <c r="B476">
        <v>19.5</v>
      </c>
      <c r="C476">
        <v>2</v>
      </c>
      <c r="D476" t="str">
        <f t="shared" si="16"/>
        <v>C</v>
      </c>
      <c r="E476">
        <f t="shared" si="17"/>
        <v>1</v>
      </c>
    </row>
    <row r="477" spans="1:5" x14ac:dyDescent="0.25">
      <c r="A477">
        <v>476</v>
      </c>
      <c r="B477">
        <v>18.7</v>
      </c>
      <c r="C477">
        <v>6</v>
      </c>
      <c r="D477" t="str">
        <f t="shared" si="16"/>
        <v>C</v>
      </c>
      <c r="E477">
        <f t="shared" si="17"/>
        <v>1</v>
      </c>
    </row>
    <row r="478" spans="1:5" x14ac:dyDescent="0.25">
      <c r="A478">
        <v>477</v>
      </c>
      <c r="B478">
        <v>16.3</v>
      </c>
      <c r="C478">
        <v>5</v>
      </c>
      <c r="D478" t="str">
        <f t="shared" si="16"/>
        <v>C</v>
      </c>
      <c r="E478">
        <f t="shared" si="17"/>
        <v>1</v>
      </c>
    </row>
    <row r="479" spans="1:5" x14ac:dyDescent="0.25">
      <c r="A479">
        <v>478</v>
      </c>
      <c r="B479">
        <v>12.7</v>
      </c>
      <c r="C479">
        <v>6</v>
      </c>
      <c r="D479" t="str">
        <f t="shared" si="16"/>
        <v>C</v>
      </c>
      <c r="E479">
        <f t="shared" si="17"/>
        <v>2</v>
      </c>
    </row>
    <row r="480" spans="1:5" x14ac:dyDescent="0.25">
      <c r="A480">
        <v>479</v>
      </c>
      <c r="B480">
        <v>8.8000000000000007</v>
      </c>
      <c r="C480">
        <v>7</v>
      </c>
      <c r="D480" t="str">
        <f t="shared" si="16"/>
        <v>C</v>
      </c>
      <c r="E480">
        <f t="shared" si="17"/>
        <v>2</v>
      </c>
    </row>
    <row r="481" spans="1:5" x14ac:dyDescent="0.25">
      <c r="A481">
        <v>480</v>
      </c>
      <c r="B481">
        <v>5.3</v>
      </c>
      <c r="C481">
        <v>2</v>
      </c>
      <c r="D481" t="str">
        <f t="shared" si="16"/>
        <v>C</v>
      </c>
      <c r="E481">
        <f t="shared" si="17"/>
        <v>2</v>
      </c>
    </row>
    <row r="482" spans="1:5" x14ac:dyDescent="0.25">
      <c r="A482">
        <v>481</v>
      </c>
      <c r="B482">
        <v>3.2</v>
      </c>
      <c r="C482">
        <v>7</v>
      </c>
      <c r="D482" t="str">
        <f t="shared" si="16"/>
        <v>C</v>
      </c>
      <c r="E482">
        <f t="shared" si="17"/>
        <v>3</v>
      </c>
    </row>
    <row r="483" spans="1:5" x14ac:dyDescent="0.25">
      <c r="A483">
        <v>482</v>
      </c>
      <c r="B483">
        <v>2.7</v>
      </c>
      <c r="C483">
        <v>7</v>
      </c>
      <c r="D483" t="str">
        <f t="shared" si="16"/>
        <v>C</v>
      </c>
      <c r="E483">
        <f t="shared" si="17"/>
        <v>3</v>
      </c>
    </row>
    <row r="484" spans="1:5" x14ac:dyDescent="0.25">
      <c r="A484">
        <v>483</v>
      </c>
      <c r="B484">
        <v>3.9</v>
      </c>
      <c r="C484">
        <v>8</v>
      </c>
      <c r="D484" t="str">
        <f t="shared" si="16"/>
        <v>C</v>
      </c>
      <c r="E484">
        <f t="shared" si="17"/>
        <v>3</v>
      </c>
    </row>
    <row r="485" spans="1:5" x14ac:dyDescent="0.25">
      <c r="A485">
        <v>484</v>
      </c>
      <c r="B485">
        <v>6</v>
      </c>
      <c r="C485">
        <v>18</v>
      </c>
      <c r="D485" t="str">
        <f t="shared" si="16"/>
        <v>C</v>
      </c>
      <c r="E485">
        <f t="shared" si="17"/>
        <v>4</v>
      </c>
    </row>
    <row r="486" spans="1:5" x14ac:dyDescent="0.25">
      <c r="A486">
        <v>485</v>
      </c>
      <c r="B486">
        <v>8.1999999999999993</v>
      </c>
      <c r="C486">
        <v>23</v>
      </c>
      <c r="D486" t="str">
        <f t="shared" si="16"/>
        <v>C</v>
      </c>
      <c r="E486">
        <f t="shared" si="17"/>
        <v>4</v>
      </c>
    </row>
    <row r="487" spans="1:5" x14ac:dyDescent="0.25">
      <c r="A487">
        <v>486</v>
      </c>
      <c r="B487">
        <v>9.6999999999999993</v>
      </c>
      <c r="C487">
        <v>23</v>
      </c>
      <c r="D487" t="str">
        <f t="shared" si="16"/>
        <v>C</v>
      </c>
      <c r="E487">
        <f t="shared" si="17"/>
        <v>4</v>
      </c>
    </row>
    <row r="488" spans="1:5" x14ac:dyDescent="0.25">
      <c r="A488">
        <v>487</v>
      </c>
      <c r="B488">
        <v>10</v>
      </c>
      <c r="C488">
        <v>11</v>
      </c>
      <c r="D488" t="str">
        <f t="shared" si="16"/>
        <v>C</v>
      </c>
      <c r="E488">
        <f t="shared" si="17"/>
        <v>5</v>
      </c>
    </row>
    <row r="489" spans="1:5" x14ac:dyDescent="0.25">
      <c r="A489">
        <v>488</v>
      </c>
      <c r="B489">
        <v>8.8000000000000007</v>
      </c>
      <c r="C489">
        <v>16</v>
      </c>
      <c r="D489" t="str">
        <f t="shared" si="16"/>
        <v>C</v>
      </c>
      <c r="E489">
        <f t="shared" si="17"/>
        <v>5</v>
      </c>
    </row>
    <row r="490" spans="1:5" x14ac:dyDescent="0.25">
      <c r="A490">
        <v>489</v>
      </c>
      <c r="B490">
        <v>6.6</v>
      </c>
      <c r="C490">
        <v>22</v>
      </c>
      <c r="D490" t="str">
        <f t="shared" si="16"/>
        <v>C</v>
      </c>
      <c r="E490">
        <f t="shared" si="17"/>
        <v>5</v>
      </c>
    </row>
    <row r="491" spans="1:5" x14ac:dyDescent="0.25">
      <c r="A491">
        <v>490</v>
      </c>
      <c r="B491">
        <v>4.0999999999999996</v>
      </c>
      <c r="C491">
        <v>0</v>
      </c>
      <c r="D491">
        <f t="shared" si="16"/>
        <v>0</v>
      </c>
      <c r="E491">
        <f t="shared" si="17"/>
        <v>0</v>
      </c>
    </row>
    <row r="492" spans="1:5" x14ac:dyDescent="0.25">
      <c r="A492">
        <v>491</v>
      </c>
      <c r="B492">
        <v>2.2000000000000002</v>
      </c>
      <c r="C492">
        <v>1</v>
      </c>
      <c r="D492" t="str">
        <f t="shared" si="16"/>
        <v>S</v>
      </c>
      <c r="E492">
        <f t="shared" si="17"/>
        <v>1</v>
      </c>
    </row>
    <row r="493" spans="1:5" x14ac:dyDescent="0.25">
      <c r="A493">
        <v>492</v>
      </c>
      <c r="B493">
        <v>1.6</v>
      </c>
      <c r="C493">
        <v>4</v>
      </c>
      <c r="D493" t="str">
        <f t="shared" si="16"/>
        <v>S</v>
      </c>
      <c r="E493">
        <f t="shared" si="17"/>
        <v>1</v>
      </c>
    </row>
    <row r="494" spans="1:5" x14ac:dyDescent="0.25">
      <c r="A494">
        <v>493</v>
      </c>
      <c r="B494">
        <v>2.7</v>
      </c>
      <c r="C494">
        <v>1</v>
      </c>
      <c r="D494" t="str">
        <f t="shared" si="16"/>
        <v>S</v>
      </c>
      <c r="E494">
        <f t="shared" si="17"/>
        <v>1</v>
      </c>
    </row>
    <row r="495" spans="1:5" x14ac:dyDescent="0.25">
      <c r="A495">
        <v>494</v>
      </c>
      <c r="B495">
        <v>5.4</v>
      </c>
      <c r="C495">
        <v>9</v>
      </c>
      <c r="D495" t="str">
        <f t="shared" si="16"/>
        <v>S</v>
      </c>
      <c r="E495">
        <f t="shared" si="17"/>
        <v>2</v>
      </c>
    </row>
    <row r="496" spans="1:5" x14ac:dyDescent="0.25">
      <c r="A496">
        <v>495</v>
      </c>
      <c r="B496">
        <v>9.1</v>
      </c>
      <c r="C496">
        <v>11</v>
      </c>
      <c r="D496" t="str">
        <f t="shared" si="16"/>
        <v>S</v>
      </c>
      <c r="E496">
        <f t="shared" si="17"/>
        <v>2</v>
      </c>
    </row>
    <row r="497" spans="1:5" x14ac:dyDescent="0.25">
      <c r="A497">
        <v>496</v>
      </c>
      <c r="B497">
        <v>12.9</v>
      </c>
      <c r="C497">
        <v>8</v>
      </c>
      <c r="D497" t="str">
        <f t="shared" si="16"/>
        <v>S</v>
      </c>
      <c r="E497">
        <f t="shared" si="17"/>
        <v>2</v>
      </c>
    </row>
    <row r="498" spans="1:5" x14ac:dyDescent="0.25">
      <c r="A498">
        <v>497</v>
      </c>
      <c r="B498">
        <v>15.9</v>
      </c>
      <c r="C498">
        <v>16</v>
      </c>
      <c r="D498" t="str">
        <f t="shared" si="16"/>
        <v>S</v>
      </c>
      <c r="E498">
        <f t="shared" si="17"/>
        <v>3</v>
      </c>
    </row>
    <row r="499" spans="1:5" x14ac:dyDescent="0.25">
      <c r="A499">
        <v>498</v>
      </c>
      <c r="B499">
        <v>17.5</v>
      </c>
      <c r="C499">
        <v>15</v>
      </c>
      <c r="D499" t="str">
        <f t="shared" si="16"/>
        <v>S</v>
      </c>
      <c r="E499">
        <f t="shared" si="17"/>
        <v>3</v>
      </c>
    </row>
    <row r="500" spans="1:5" x14ac:dyDescent="0.25">
      <c r="A500">
        <v>499</v>
      </c>
      <c r="B500">
        <v>17.5</v>
      </c>
      <c r="C500">
        <v>8</v>
      </c>
      <c r="D500" t="str">
        <f t="shared" si="16"/>
        <v>S</v>
      </c>
      <c r="E500">
        <f t="shared" si="17"/>
        <v>3</v>
      </c>
    </row>
    <row r="501" spans="1:5" x14ac:dyDescent="0.25">
      <c r="A501">
        <v>500</v>
      </c>
      <c r="B501">
        <v>16.399999999999999</v>
      </c>
      <c r="C501">
        <v>14</v>
      </c>
      <c r="D501" t="str">
        <f t="shared" si="16"/>
        <v>S</v>
      </c>
      <c r="E501">
        <f t="shared" si="17"/>
        <v>4</v>
      </c>
    </row>
    <row r="502" spans="1:5" x14ac:dyDescent="0.25">
      <c r="A502" s="11"/>
      <c r="B502" s="11"/>
      <c r="C502" s="11"/>
    </row>
    <row r="503" spans="1:5" x14ac:dyDescent="0.25">
      <c r="A503" s="11"/>
      <c r="B503" s="11"/>
      <c r="C503" s="11"/>
    </row>
    <row r="504" spans="1:5" x14ac:dyDescent="0.25">
      <c r="A504" s="11"/>
      <c r="B504" s="11"/>
      <c r="C504" s="11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1F82-8713-49B8-AB8D-D3328A85F518}">
  <dimension ref="A1:J501"/>
  <sheetViews>
    <sheetView tabSelected="1" zoomScale="160" zoomScaleNormal="160" workbookViewId="0">
      <selection activeCell="J16" sqref="J16"/>
    </sheetView>
  </sheetViews>
  <sheetFormatPr defaultRowHeight="15" x14ac:dyDescent="0.25"/>
  <cols>
    <col min="1" max="1" width="6.140625" bestFit="1" customWidth="1"/>
    <col min="2" max="2" width="23.7109375" bestFit="1" customWidth="1"/>
    <col min="3" max="3" width="22.42578125" bestFit="1" customWidth="1"/>
    <col min="4" max="4" width="18.140625" customWidth="1"/>
    <col min="5" max="5" width="23.85546875" bestFit="1" customWidth="1"/>
    <col min="6" max="6" width="18.42578125" customWidth="1"/>
    <col min="7" max="7" width="19.28515625" customWidth="1"/>
    <col min="10" max="10" width="21.42578125" bestFit="1" customWidth="1"/>
  </cols>
  <sheetData>
    <row r="1" spans="1:10" x14ac:dyDescent="0.25">
      <c r="A1" s="7" t="s">
        <v>0</v>
      </c>
      <c r="B1" s="9" t="s">
        <v>524</v>
      </c>
      <c r="C1" t="s">
        <v>529</v>
      </c>
      <c r="D1" t="s">
        <v>527</v>
      </c>
      <c r="E1" t="s">
        <v>530</v>
      </c>
      <c r="F1" s="24" t="s">
        <v>3</v>
      </c>
      <c r="G1" t="s">
        <v>528</v>
      </c>
    </row>
    <row r="2" spans="1:10" x14ac:dyDescent="0.25">
      <c r="A2" s="18">
        <v>1</v>
      </c>
      <c r="B2" s="19">
        <v>0</v>
      </c>
      <c r="C2">
        <v>0</v>
      </c>
      <c r="D2" t="str">
        <f t="shared" ref="D2:D65" si="0">IF(B2=C2,"Tak","Nie")</f>
        <v>Tak</v>
      </c>
      <c r="E2" t="s">
        <v>5</v>
      </c>
      <c r="F2" s="24" t="s">
        <v>5</v>
      </c>
      <c r="G2" t="str">
        <f t="shared" ref="G2:G65" si="1">IF(E2=F2,"Tak","Nie")</f>
        <v>Tak</v>
      </c>
    </row>
    <row r="3" spans="1:10" x14ac:dyDescent="0.25">
      <c r="A3" s="20">
        <v>2</v>
      </c>
      <c r="B3" s="21">
        <v>1</v>
      </c>
      <c r="C3">
        <v>1</v>
      </c>
      <c r="D3" t="str">
        <f t="shared" si="0"/>
        <v>Tak</v>
      </c>
      <c r="E3" t="s">
        <v>6</v>
      </c>
      <c r="F3" s="24" t="s">
        <v>6</v>
      </c>
      <c r="G3" t="str">
        <f t="shared" si="1"/>
        <v>Tak</v>
      </c>
      <c r="J3" t="s">
        <v>523</v>
      </c>
    </row>
    <row r="4" spans="1:10" x14ac:dyDescent="0.25">
      <c r="A4" s="18">
        <v>3</v>
      </c>
      <c r="B4" s="19">
        <v>1</v>
      </c>
      <c r="C4">
        <v>1</v>
      </c>
      <c r="D4" t="str">
        <f t="shared" si="0"/>
        <v>Tak</v>
      </c>
      <c r="E4" t="s">
        <v>6</v>
      </c>
      <c r="F4" s="24" t="s">
        <v>6</v>
      </c>
      <c r="G4" t="str">
        <f t="shared" si="1"/>
        <v>Tak</v>
      </c>
      <c r="J4" t="s">
        <v>526</v>
      </c>
    </row>
    <row r="5" spans="1:10" x14ac:dyDescent="0.25">
      <c r="A5" s="20">
        <v>4</v>
      </c>
      <c r="B5" s="21">
        <v>1</v>
      </c>
      <c r="C5">
        <v>1</v>
      </c>
      <c r="D5" t="str">
        <f t="shared" si="0"/>
        <v>Tak</v>
      </c>
      <c r="E5" t="s">
        <v>6</v>
      </c>
      <c r="F5" s="24" t="s">
        <v>6</v>
      </c>
      <c r="G5" t="str">
        <f t="shared" si="1"/>
        <v>Tak</v>
      </c>
      <c r="J5">
        <f>COUNTIF(D2:D301,"Tak")</f>
        <v>296</v>
      </c>
    </row>
    <row r="6" spans="1:10" x14ac:dyDescent="0.25">
      <c r="A6" s="18">
        <v>5</v>
      </c>
      <c r="B6" s="19">
        <v>2</v>
      </c>
      <c r="C6">
        <v>2</v>
      </c>
      <c r="D6" t="str">
        <f t="shared" si="0"/>
        <v>Tak</v>
      </c>
      <c r="E6" t="s">
        <v>6</v>
      </c>
      <c r="F6" s="24" t="s">
        <v>6</v>
      </c>
      <c r="G6" t="str">
        <f t="shared" si="1"/>
        <v>Tak</v>
      </c>
    </row>
    <row r="7" spans="1:10" x14ac:dyDescent="0.25">
      <c r="A7" s="20">
        <v>6</v>
      </c>
      <c r="B7" s="21">
        <v>2</v>
      </c>
      <c r="C7">
        <v>2</v>
      </c>
      <c r="D7" t="str">
        <f t="shared" si="0"/>
        <v>Tak</v>
      </c>
      <c r="E7" t="s">
        <v>6</v>
      </c>
      <c r="F7" s="24" t="s">
        <v>6</v>
      </c>
      <c r="G7" t="str">
        <f t="shared" si="1"/>
        <v>Tak</v>
      </c>
    </row>
    <row r="8" spans="1:10" x14ac:dyDescent="0.25">
      <c r="A8" s="18">
        <v>7</v>
      </c>
      <c r="B8" s="19">
        <v>2</v>
      </c>
      <c r="C8">
        <v>2</v>
      </c>
      <c r="D8" t="str">
        <f t="shared" si="0"/>
        <v>Tak</v>
      </c>
      <c r="E8" t="s">
        <v>6</v>
      </c>
      <c r="F8" s="24" t="s">
        <v>6</v>
      </c>
      <c r="G8" t="str">
        <f t="shared" si="1"/>
        <v>Tak</v>
      </c>
      <c r="J8" t="s">
        <v>525</v>
      </c>
    </row>
    <row r="9" spans="1:10" x14ac:dyDescent="0.25">
      <c r="A9" s="20">
        <v>8</v>
      </c>
      <c r="B9" s="21">
        <v>3</v>
      </c>
      <c r="C9">
        <v>3</v>
      </c>
      <c r="D9" t="str">
        <f t="shared" si="0"/>
        <v>Tak</v>
      </c>
      <c r="E9" t="s">
        <v>6</v>
      </c>
      <c r="F9" s="24" t="s">
        <v>6</v>
      </c>
      <c r="G9" t="str">
        <f t="shared" si="1"/>
        <v>Tak</v>
      </c>
      <c r="J9" t="s">
        <v>526</v>
      </c>
    </row>
    <row r="10" spans="1:10" x14ac:dyDescent="0.25">
      <c r="A10" s="18">
        <v>9</v>
      </c>
      <c r="B10" s="19">
        <v>3</v>
      </c>
      <c r="C10">
        <v>3</v>
      </c>
      <c r="D10" t="str">
        <f t="shared" si="0"/>
        <v>Tak</v>
      </c>
      <c r="E10" t="s">
        <v>6</v>
      </c>
      <c r="F10" s="24" t="s">
        <v>6</v>
      </c>
      <c r="G10" t="str">
        <f t="shared" si="1"/>
        <v>Tak</v>
      </c>
      <c r="J10">
        <f>COUNTIF(G2:G301,"Tak")</f>
        <v>286</v>
      </c>
    </row>
    <row r="11" spans="1:10" x14ac:dyDescent="0.25">
      <c r="A11" s="20">
        <v>10</v>
      </c>
      <c r="B11" s="21">
        <v>3</v>
      </c>
      <c r="C11">
        <v>3</v>
      </c>
      <c r="D11" t="str">
        <f t="shared" si="0"/>
        <v>Tak</v>
      </c>
      <c r="E11" t="s">
        <v>6</v>
      </c>
      <c r="F11" s="24" t="s">
        <v>6</v>
      </c>
      <c r="G11" t="str">
        <f t="shared" si="1"/>
        <v>Tak</v>
      </c>
    </row>
    <row r="12" spans="1:10" x14ac:dyDescent="0.25">
      <c r="A12" s="18">
        <v>11</v>
      </c>
      <c r="B12" s="19">
        <v>4</v>
      </c>
      <c r="C12">
        <v>4</v>
      </c>
      <c r="D12" t="str">
        <f t="shared" si="0"/>
        <v>Tak</v>
      </c>
      <c r="E12" t="s">
        <v>6</v>
      </c>
      <c r="F12" s="24" t="s">
        <v>6</v>
      </c>
      <c r="G12" t="str">
        <f t="shared" si="1"/>
        <v>Tak</v>
      </c>
    </row>
    <row r="13" spans="1:10" x14ac:dyDescent="0.25">
      <c r="A13" s="20">
        <v>12</v>
      </c>
      <c r="B13" s="21">
        <v>4</v>
      </c>
      <c r="C13">
        <v>4</v>
      </c>
      <c r="D13" t="str">
        <f t="shared" si="0"/>
        <v>Tak</v>
      </c>
      <c r="E13" t="s">
        <v>6</v>
      </c>
      <c r="F13" s="24" t="s">
        <v>6</v>
      </c>
      <c r="G13" t="str">
        <f t="shared" si="1"/>
        <v>Tak</v>
      </c>
    </row>
    <row r="14" spans="1:10" x14ac:dyDescent="0.25">
      <c r="A14" s="18">
        <v>13</v>
      </c>
      <c r="B14" s="19">
        <v>4</v>
      </c>
      <c r="C14">
        <v>4</v>
      </c>
      <c r="D14" t="str">
        <f t="shared" si="0"/>
        <v>Tak</v>
      </c>
      <c r="E14" t="s">
        <v>6</v>
      </c>
      <c r="F14" s="24" t="s">
        <v>6</v>
      </c>
      <c r="G14" t="str">
        <f t="shared" si="1"/>
        <v>Tak</v>
      </c>
    </row>
    <row r="15" spans="1:10" x14ac:dyDescent="0.25">
      <c r="A15" s="20">
        <v>14</v>
      </c>
      <c r="B15" s="21">
        <v>5</v>
      </c>
      <c r="C15">
        <v>5</v>
      </c>
      <c r="D15" t="str">
        <f t="shared" si="0"/>
        <v>Tak</v>
      </c>
      <c r="E15" t="s">
        <v>6</v>
      </c>
      <c r="F15" s="24" t="s">
        <v>6</v>
      </c>
      <c r="G15" t="str">
        <f t="shared" si="1"/>
        <v>Tak</v>
      </c>
    </row>
    <row r="16" spans="1:10" x14ac:dyDescent="0.25">
      <c r="A16" s="18">
        <v>15</v>
      </c>
      <c r="B16" s="19">
        <v>5</v>
      </c>
      <c r="C16">
        <v>5</v>
      </c>
      <c r="D16" t="str">
        <f t="shared" si="0"/>
        <v>Tak</v>
      </c>
      <c r="E16" t="s">
        <v>6</v>
      </c>
      <c r="F16" s="24" t="s">
        <v>6</v>
      </c>
      <c r="G16" t="str">
        <f t="shared" si="1"/>
        <v>Tak</v>
      </c>
    </row>
    <row r="17" spans="1:7" x14ac:dyDescent="0.25">
      <c r="A17" s="20">
        <v>16</v>
      </c>
      <c r="B17" s="21">
        <v>0</v>
      </c>
      <c r="C17">
        <v>0</v>
      </c>
      <c r="D17" t="str">
        <f t="shared" si="0"/>
        <v>Tak</v>
      </c>
      <c r="E17" t="s">
        <v>5</v>
      </c>
      <c r="F17" s="24" t="s">
        <v>5</v>
      </c>
      <c r="G17" t="str">
        <f t="shared" si="1"/>
        <v>Tak</v>
      </c>
    </row>
    <row r="18" spans="1:7" x14ac:dyDescent="0.25">
      <c r="A18" s="18">
        <v>17</v>
      </c>
      <c r="B18" s="19">
        <v>1</v>
      </c>
      <c r="C18">
        <v>1</v>
      </c>
      <c r="D18" t="str">
        <f t="shared" si="0"/>
        <v>Tak</v>
      </c>
      <c r="E18" t="s">
        <v>6</v>
      </c>
      <c r="F18" s="24" t="s">
        <v>6</v>
      </c>
      <c r="G18" t="str">
        <f t="shared" si="1"/>
        <v>Tak</v>
      </c>
    </row>
    <row r="19" spans="1:7" x14ac:dyDescent="0.25">
      <c r="A19" s="20">
        <v>18</v>
      </c>
      <c r="B19" s="21">
        <v>1</v>
      </c>
      <c r="C19">
        <v>1</v>
      </c>
      <c r="D19" t="str">
        <f t="shared" si="0"/>
        <v>Tak</v>
      </c>
      <c r="E19" t="s">
        <v>6</v>
      </c>
      <c r="F19" s="24" t="s">
        <v>6</v>
      </c>
      <c r="G19" t="str">
        <f t="shared" si="1"/>
        <v>Tak</v>
      </c>
    </row>
    <row r="20" spans="1:7" x14ac:dyDescent="0.25">
      <c r="A20" s="18">
        <v>19</v>
      </c>
      <c r="B20" s="19">
        <v>1</v>
      </c>
      <c r="C20">
        <v>1</v>
      </c>
      <c r="D20" t="str">
        <f t="shared" si="0"/>
        <v>Tak</v>
      </c>
      <c r="E20" t="s">
        <v>6</v>
      </c>
      <c r="F20" s="24" t="s">
        <v>6</v>
      </c>
      <c r="G20" t="str">
        <f t="shared" si="1"/>
        <v>Tak</v>
      </c>
    </row>
    <row r="21" spans="1:7" x14ac:dyDescent="0.25">
      <c r="A21" s="20">
        <v>20</v>
      </c>
      <c r="B21" s="21">
        <v>2</v>
      </c>
      <c r="C21">
        <v>2</v>
      </c>
      <c r="D21" t="str">
        <f t="shared" si="0"/>
        <v>Tak</v>
      </c>
      <c r="E21" t="s">
        <v>6</v>
      </c>
      <c r="F21" s="24" t="s">
        <v>6</v>
      </c>
      <c r="G21" t="str">
        <f t="shared" si="1"/>
        <v>Tak</v>
      </c>
    </row>
    <row r="22" spans="1:7" x14ac:dyDescent="0.25">
      <c r="A22" s="18">
        <v>21</v>
      </c>
      <c r="B22" s="19">
        <v>2</v>
      </c>
      <c r="C22">
        <v>2</v>
      </c>
      <c r="D22" t="str">
        <f t="shared" si="0"/>
        <v>Tak</v>
      </c>
      <c r="E22" t="s">
        <v>6</v>
      </c>
      <c r="F22" s="24" t="s">
        <v>6</v>
      </c>
      <c r="G22" t="str">
        <f t="shared" si="1"/>
        <v>Tak</v>
      </c>
    </row>
    <row r="23" spans="1:7" x14ac:dyDescent="0.25">
      <c r="A23" s="20">
        <v>22</v>
      </c>
      <c r="B23" s="21">
        <v>2</v>
      </c>
      <c r="C23">
        <v>2</v>
      </c>
      <c r="D23" t="str">
        <f t="shared" si="0"/>
        <v>Tak</v>
      </c>
      <c r="E23" t="s">
        <v>6</v>
      </c>
      <c r="F23" s="24" t="s">
        <v>6</v>
      </c>
      <c r="G23" t="str">
        <f t="shared" si="1"/>
        <v>Tak</v>
      </c>
    </row>
    <row r="24" spans="1:7" x14ac:dyDescent="0.25">
      <c r="A24" s="18">
        <v>23</v>
      </c>
      <c r="B24" s="19">
        <v>2</v>
      </c>
      <c r="C24">
        <v>3</v>
      </c>
      <c r="D24" t="str">
        <f t="shared" si="0"/>
        <v>Nie</v>
      </c>
      <c r="E24" t="s">
        <v>6</v>
      </c>
      <c r="F24" s="24" t="s">
        <v>6</v>
      </c>
      <c r="G24" t="str">
        <f t="shared" si="1"/>
        <v>Tak</v>
      </c>
    </row>
    <row r="25" spans="1:7" x14ac:dyDescent="0.25">
      <c r="A25" s="20">
        <v>24</v>
      </c>
      <c r="B25" s="21">
        <v>3</v>
      </c>
      <c r="C25">
        <v>3</v>
      </c>
      <c r="D25" t="str">
        <f t="shared" si="0"/>
        <v>Tak</v>
      </c>
      <c r="E25" t="s">
        <v>6</v>
      </c>
      <c r="F25" s="24" t="s">
        <v>6</v>
      </c>
      <c r="G25" t="str">
        <f t="shared" si="1"/>
        <v>Tak</v>
      </c>
    </row>
    <row r="26" spans="1:7" x14ac:dyDescent="0.25">
      <c r="A26" s="18">
        <v>25</v>
      </c>
      <c r="B26" s="19">
        <v>3</v>
      </c>
      <c r="C26">
        <v>3</v>
      </c>
      <c r="D26" t="str">
        <f t="shared" si="0"/>
        <v>Tak</v>
      </c>
      <c r="E26" t="s">
        <v>6</v>
      </c>
      <c r="F26" s="24" t="s">
        <v>6</v>
      </c>
      <c r="G26" t="str">
        <f t="shared" si="1"/>
        <v>Tak</v>
      </c>
    </row>
    <row r="27" spans="1:7" x14ac:dyDescent="0.25">
      <c r="A27" s="20">
        <v>26</v>
      </c>
      <c r="B27" s="21">
        <v>4</v>
      </c>
      <c r="C27">
        <v>4</v>
      </c>
      <c r="D27" t="str">
        <f t="shared" si="0"/>
        <v>Tak</v>
      </c>
      <c r="E27" t="s">
        <v>6</v>
      </c>
      <c r="F27" s="24" t="s">
        <v>6</v>
      </c>
      <c r="G27" t="str">
        <f t="shared" si="1"/>
        <v>Tak</v>
      </c>
    </row>
    <row r="28" spans="1:7" x14ac:dyDescent="0.25">
      <c r="A28" s="18">
        <v>27</v>
      </c>
      <c r="B28" s="19">
        <v>4</v>
      </c>
      <c r="C28">
        <v>4</v>
      </c>
      <c r="D28" t="str">
        <f t="shared" si="0"/>
        <v>Tak</v>
      </c>
      <c r="E28" t="s">
        <v>6</v>
      </c>
      <c r="F28" s="24" t="s">
        <v>6</v>
      </c>
      <c r="G28" t="str">
        <f t="shared" si="1"/>
        <v>Tak</v>
      </c>
    </row>
    <row r="29" spans="1:7" x14ac:dyDescent="0.25">
      <c r="A29" s="20">
        <v>28</v>
      </c>
      <c r="B29" s="21">
        <v>4</v>
      </c>
      <c r="C29">
        <v>4</v>
      </c>
      <c r="D29" t="str">
        <f t="shared" si="0"/>
        <v>Tak</v>
      </c>
      <c r="E29" t="s">
        <v>6</v>
      </c>
      <c r="F29" s="24" t="s">
        <v>6</v>
      </c>
      <c r="G29" t="str">
        <f t="shared" si="1"/>
        <v>Tak</v>
      </c>
    </row>
    <row r="30" spans="1:7" x14ac:dyDescent="0.25">
      <c r="A30" s="18">
        <v>29</v>
      </c>
      <c r="B30" s="19">
        <v>5</v>
      </c>
      <c r="C30">
        <v>5</v>
      </c>
      <c r="D30" t="str">
        <f t="shared" si="0"/>
        <v>Tak</v>
      </c>
      <c r="E30" t="s">
        <v>6</v>
      </c>
      <c r="F30" s="24" t="s">
        <v>6</v>
      </c>
      <c r="G30" t="str">
        <f t="shared" si="1"/>
        <v>Tak</v>
      </c>
    </row>
    <row r="31" spans="1:7" x14ac:dyDescent="0.25">
      <c r="A31" s="20">
        <v>30</v>
      </c>
      <c r="B31" s="21">
        <v>5</v>
      </c>
      <c r="C31">
        <v>5</v>
      </c>
      <c r="D31" t="str">
        <f t="shared" si="0"/>
        <v>Tak</v>
      </c>
      <c r="E31" t="s">
        <v>6</v>
      </c>
      <c r="F31" s="24" t="s">
        <v>6</v>
      </c>
      <c r="G31" t="str">
        <f t="shared" si="1"/>
        <v>Tak</v>
      </c>
    </row>
    <row r="32" spans="1:7" x14ac:dyDescent="0.25">
      <c r="A32" s="18">
        <v>31</v>
      </c>
      <c r="B32" s="19">
        <v>5</v>
      </c>
      <c r="C32">
        <v>5</v>
      </c>
      <c r="D32" t="str">
        <f t="shared" si="0"/>
        <v>Tak</v>
      </c>
      <c r="E32" t="s">
        <v>6</v>
      </c>
      <c r="F32" s="24" t="s">
        <v>6</v>
      </c>
      <c r="G32" t="str">
        <f t="shared" si="1"/>
        <v>Tak</v>
      </c>
    </row>
    <row r="33" spans="1:7" x14ac:dyDescent="0.25">
      <c r="A33" s="20">
        <v>32</v>
      </c>
      <c r="B33" s="21">
        <v>5</v>
      </c>
      <c r="C33">
        <v>5</v>
      </c>
      <c r="D33" t="str">
        <f t="shared" si="0"/>
        <v>Tak</v>
      </c>
      <c r="E33" t="s">
        <v>6</v>
      </c>
      <c r="F33" s="24" t="s">
        <v>6</v>
      </c>
      <c r="G33" t="str">
        <f t="shared" si="1"/>
        <v>Tak</v>
      </c>
    </row>
    <row r="34" spans="1:7" x14ac:dyDescent="0.25">
      <c r="A34" s="18">
        <v>33</v>
      </c>
      <c r="B34" s="19">
        <v>5</v>
      </c>
      <c r="C34">
        <v>5</v>
      </c>
      <c r="D34" t="str">
        <f t="shared" si="0"/>
        <v>Tak</v>
      </c>
      <c r="E34" t="s">
        <v>6</v>
      </c>
      <c r="F34" s="24" t="s">
        <v>6</v>
      </c>
      <c r="G34" t="str">
        <f t="shared" si="1"/>
        <v>Tak</v>
      </c>
    </row>
    <row r="35" spans="1:7" x14ac:dyDescent="0.25">
      <c r="A35" s="20">
        <v>34</v>
      </c>
      <c r="B35" s="21">
        <v>5</v>
      </c>
      <c r="C35">
        <v>5</v>
      </c>
      <c r="D35" t="str">
        <f t="shared" si="0"/>
        <v>Tak</v>
      </c>
      <c r="E35" t="s">
        <v>6</v>
      </c>
      <c r="F35" s="24" t="s">
        <v>6</v>
      </c>
      <c r="G35" t="str">
        <f t="shared" si="1"/>
        <v>Tak</v>
      </c>
    </row>
    <row r="36" spans="1:7" x14ac:dyDescent="0.25">
      <c r="A36" s="18">
        <v>35</v>
      </c>
      <c r="B36" s="19">
        <v>0</v>
      </c>
      <c r="C36">
        <v>0</v>
      </c>
      <c r="D36" t="str">
        <f t="shared" si="0"/>
        <v>Tak</v>
      </c>
      <c r="E36" t="s">
        <v>5</v>
      </c>
      <c r="F36" s="24" t="s">
        <v>5</v>
      </c>
      <c r="G36" t="str">
        <f t="shared" si="1"/>
        <v>Tak</v>
      </c>
    </row>
    <row r="37" spans="1:7" x14ac:dyDescent="0.25">
      <c r="A37" s="20">
        <v>36</v>
      </c>
      <c r="B37" s="21">
        <v>1</v>
      </c>
      <c r="C37">
        <v>1</v>
      </c>
      <c r="D37" t="str">
        <f t="shared" si="0"/>
        <v>Tak</v>
      </c>
      <c r="E37" t="s">
        <v>6</v>
      </c>
      <c r="F37" s="24" t="s">
        <v>6</v>
      </c>
      <c r="G37" t="str">
        <f t="shared" si="1"/>
        <v>Tak</v>
      </c>
    </row>
    <row r="38" spans="1:7" x14ac:dyDescent="0.25">
      <c r="A38" s="18">
        <v>37</v>
      </c>
      <c r="B38" s="19">
        <v>1</v>
      </c>
      <c r="C38">
        <v>1</v>
      </c>
      <c r="D38" t="str">
        <f t="shared" si="0"/>
        <v>Tak</v>
      </c>
      <c r="E38" t="s">
        <v>6</v>
      </c>
      <c r="F38" s="24" t="s">
        <v>6</v>
      </c>
      <c r="G38" t="str">
        <f t="shared" si="1"/>
        <v>Tak</v>
      </c>
    </row>
    <row r="39" spans="1:7" x14ac:dyDescent="0.25">
      <c r="A39" s="20">
        <v>38</v>
      </c>
      <c r="B39" s="21">
        <v>1</v>
      </c>
      <c r="C39">
        <v>1</v>
      </c>
      <c r="D39" t="str">
        <f t="shared" si="0"/>
        <v>Tak</v>
      </c>
      <c r="E39" t="s">
        <v>6</v>
      </c>
      <c r="F39" s="24" t="s">
        <v>6</v>
      </c>
      <c r="G39" t="str">
        <f t="shared" si="1"/>
        <v>Tak</v>
      </c>
    </row>
    <row r="40" spans="1:7" x14ac:dyDescent="0.25">
      <c r="A40" s="18">
        <v>39</v>
      </c>
      <c r="B40" s="19">
        <v>2</v>
      </c>
      <c r="C40">
        <v>2</v>
      </c>
      <c r="D40" t="str">
        <f t="shared" si="0"/>
        <v>Tak</v>
      </c>
      <c r="E40" t="s">
        <v>6</v>
      </c>
      <c r="F40" s="24" t="s">
        <v>6</v>
      </c>
      <c r="G40" t="str">
        <f t="shared" si="1"/>
        <v>Tak</v>
      </c>
    </row>
    <row r="41" spans="1:7" x14ac:dyDescent="0.25">
      <c r="A41" s="20">
        <v>40</v>
      </c>
      <c r="B41" s="21">
        <v>2</v>
      </c>
      <c r="C41">
        <v>2</v>
      </c>
      <c r="D41" t="str">
        <f t="shared" si="0"/>
        <v>Tak</v>
      </c>
      <c r="E41" t="s">
        <v>6</v>
      </c>
      <c r="F41" s="24" t="s">
        <v>6</v>
      </c>
      <c r="G41" t="str">
        <f t="shared" si="1"/>
        <v>Tak</v>
      </c>
    </row>
    <row r="42" spans="1:7" x14ac:dyDescent="0.25">
      <c r="A42" s="18">
        <v>41</v>
      </c>
      <c r="B42" s="19">
        <v>2</v>
      </c>
      <c r="C42">
        <v>2</v>
      </c>
      <c r="D42" t="str">
        <f t="shared" si="0"/>
        <v>Tak</v>
      </c>
      <c r="E42" t="s">
        <v>6</v>
      </c>
      <c r="F42" s="24" t="s">
        <v>6</v>
      </c>
      <c r="G42" t="str">
        <f t="shared" si="1"/>
        <v>Tak</v>
      </c>
    </row>
    <row r="43" spans="1:7" x14ac:dyDescent="0.25">
      <c r="A43" s="20">
        <v>42</v>
      </c>
      <c r="B43" s="21">
        <v>3</v>
      </c>
      <c r="C43">
        <v>3</v>
      </c>
      <c r="D43" t="str">
        <f t="shared" si="0"/>
        <v>Tak</v>
      </c>
      <c r="E43" t="s">
        <v>6</v>
      </c>
      <c r="F43" s="24" t="s">
        <v>6</v>
      </c>
      <c r="G43" t="str">
        <f t="shared" si="1"/>
        <v>Tak</v>
      </c>
    </row>
    <row r="44" spans="1:7" x14ac:dyDescent="0.25">
      <c r="A44" s="18">
        <v>43</v>
      </c>
      <c r="B44" s="19">
        <v>3</v>
      </c>
      <c r="C44">
        <v>3</v>
      </c>
      <c r="D44" t="str">
        <f t="shared" si="0"/>
        <v>Tak</v>
      </c>
      <c r="E44" t="s">
        <v>6</v>
      </c>
      <c r="F44" s="24" t="s">
        <v>6</v>
      </c>
      <c r="G44" t="str">
        <f t="shared" si="1"/>
        <v>Tak</v>
      </c>
    </row>
    <row r="45" spans="1:7" x14ac:dyDescent="0.25">
      <c r="A45" s="20">
        <v>44</v>
      </c>
      <c r="B45" s="21">
        <v>3</v>
      </c>
      <c r="C45">
        <v>3</v>
      </c>
      <c r="D45" t="str">
        <f t="shared" si="0"/>
        <v>Tak</v>
      </c>
      <c r="E45" t="s">
        <v>6</v>
      </c>
      <c r="F45" s="24" t="s">
        <v>6</v>
      </c>
      <c r="G45" t="str">
        <f t="shared" si="1"/>
        <v>Tak</v>
      </c>
    </row>
    <row r="46" spans="1:7" x14ac:dyDescent="0.25">
      <c r="A46" s="18">
        <v>45</v>
      </c>
      <c r="B46" s="19">
        <v>4</v>
      </c>
      <c r="C46">
        <v>4</v>
      </c>
      <c r="D46" t="str">
        <f t="shared" si="0"/>
        <v>Tak</v>
      </c>
      <c r="E46" t="s">
        <v>6</v>
      </c>
      <c r="F46" s="24" t="s">
        <v>6</v>
      </c>
      <c r="G46" t="str">
        <f t="shared" si="1"/>
        <v>Tak</v>
      </c>
    </row>
    <row r="47" spans="1:7" x14ac:dyDescent="0.25">
      <c r="A47" s="20">
        <v>46</v>
      </c>
      <c r="B47" s="21">
        <v>4</v>
      </c>
      <c r="C47">
        <v>4</v>
      </c>
      <c r="D47" t="str">
        <f t="shared" si="0"/>
        <v>Tak</v>
      </c>
      <c r="E47" t="s">
        <v>6</v>
      </c>
      <c r="F47" s="24" t="s">
        <v>6</v>
      </c>
      <c r="G47" t="str">
        <f t="shared" si="1"/>
        <v>Tak</v>
      </c>
    </row>
    <row r="48" spans="1:7" x14ac:dyDescent="0.25">
      <c r="A48" s="18">
        <v>47</v>
      </c>
      <c r="B48" s="19">
        <v>4</v>
      </c>
      <c r="C48">
        <v>4</v>
      </c>
      <c r="D48" t="str">
        <f t="shared" si="0"/>
        <v>Tak</v>
      </c>
      <c r="E48" t="s">
        <v>6</v>
      </c>
      <c r="F48" s="24" t="s">
        <v>6</v>
      </c>
      <c r="G48" t="str">
        <f t="shared" si="1"/>
        <v>Tak</v>
      </c>
    </row>
    <row r="49" spans="1:7" x14ac:dyDescent="0.25">
      <c r="A49" s="20">
        <v>48</v>
      </c>
      <c r="B49" s="21">
        <v>5</v>
      </c>
      <c r="C49">
        <v>5</v>
      </c>
      <c r="D49" t="str">
        <f t="shared" si="0"/>
        <v>Tak</v>
      </c>
      <c r="E49" t="s">
        <v>6</v>
      </c>
      <c r="F49" s="24" t="s">
        <v>6</v>
      </c>
      <c r="G49" t="str">
        <f t="shared" si="1"/>
        <v>Tak</v>
      </c>
    </row>
    <row r="50" spans="1:7" x14ac:dyDescent="0.25">
      <c r="A50" s="18">
        <v>49</v>
      </c>
      <c r="B50" s="19">
        <v>0</v>
      </c>
      <c r="C50">
        <v>0</v>
      </c>
      <c r="D50" t="str">
        <f t="shared" si="0"/>
        <v>Tak</v>
      </c>
      <c r="E50" t="s">
        <v>5</v>
      </c>
      <c r="F50" s="24" t="s">
        <v>5</v>
      </c>
      <c r="G50" t="str">
        <f t="shared" si="1"/>
        <v>Tak</v>
      </c>
    </row>
    <row r="51" spans="1:7" x14ac:dyDescent="0.25">
      <c r="A51" s="20">
        <v>50</v>
      </c>
      <c r="B51" s="21">
        <v>1</v>
      </c>
      <c r="C51">
        <v>1</v>
      </c>
      <c r="D51" t="str">
        <f t="shared" si="0"/>
        <v>Tak</v>
      </c>
      <c r="E51" t="s">
        <v>6</v>
      </c>
      <c r="F51" s="24" t="s">
        <v>6</v>
      </c>
      <c r="G51" t="str">
        <f t="shared" si="1"/>
        <v>Tak</v>
      </c>
    </row>
    <row r="52" spans="1:7" x14ac:dyDescent="0.25">
      <c r="A52" s="18">
        <v>51</v>
      </c>
      <c r="B52" s="19">
        <v>1</v>
      </c>
      <c r="C52">
        <v>1</v>
      </c>
      <c r="D52" t="str">
        <f t="shared" si="0"/>
        <v>Tak</v>
      </c>
      <c r="E52" t="s">
        <v>6</v>
      </c>
      <c r="F52" s="24" t="s">
        <v>6</v>
      </c>
      <c r="G52" t="str">
        <f t="shared" si="1"/>
        <v>Tak</v>
      </c>
    </row>
    <row r="53" spans="1:7" x14ac:dyDescent="0.25">
      <c r="A53" s="20">
        <v>52</v>
      </c>
      <c r="B53" s="21">
        <v>1</v>
      </c>
      <c r="C53">
        <v>1</v>
      </c>
      <c r="D53" t="str">
        <f t="shared" si="0"/>
        <v>Tak</v>
      </c>
      <c r="E53" t="s">
        <v>6</v>
      </c>
      <c r="F53" s="24" t="s">
        <v>6</v>
      </c>
      <c r="G53" t="str">
        <f t="shared" si="1"/>
        <v>Tak</v>
      </c>
    </row>
    <row r="54" spans="1:7" x14ac:dyDescent="0.25">
      <c r="A54" s="18">
        <v>53</v>
      </c>
      <c r="B54" s="19">
        <v>2</v>
      </c>
      <c r="C54">
        <v>2</v>
      </c>
      <c r="D54" t="str">
        <f t="shared" si="0"/>
        <v>Tak</v>
      </c>
      <c r="E54" t="s">
        <v>6</v>
      </c>
      <c r="F54" s="24" t="s">
        <v>6</v>
      </c>
      <c r="G54" t="str">
        <f t="shared" si="1"/>
        <v>Tak</v>
      </c>
    </row>
    <row r="55" spans="1:7" x14ac:dyDescent="0.25">
      <c r="A55" s="20">
        <v>54</v>
      </c>
      <c r="B55" s="21">
        <v>2</v>
      </c>
      <c r="C55">
        <v>2</v>
      </c>
      <c r="D55" t="str">
        <f t="shared" si="0"/>
        <v>Tak</v>
      </c>
      <c r="E55" t="s">
        <v>6</v>
      </c>
      <c r="F55" s="24" t="s">
        <v>6</v>
      </c>
      <c r="G55" t="str">
        <f t="shared" si="1"/>
        <v>Tak</v>
      </c>
    </row>
    <row r="56" spans="1:7" x14ac:dyDescent="0.25">
      <c r="A56" s="18">
        <v>55</v>
      </c>
      <c r="B56" s="19">
        <v>2</v>
      </c>
      <c r="C56">
        <v>2</v>
      </c>
      <c r="D56" t="str">
        <f t="shared" si="0"/>
        <v>Tak</v>
      </c>
      <c r="E56" t="s">
        <v>6</v>
      </c>
      <c r="F56" s="24" t="s">
        <v>6</v>
      </c>
      <c r="G56" t="str">
        <f t="shared" si="1"/>
        <v>Tak</v>
      </c>
    </row>
    <row r="57" spans="1:7" x14ac:dyDescent="0.25">
      <c r="A57" s="20">
        <v>56</v>
      </c>
      <c r="B57" s="21">
        <v>3</v>
      </c>
      <c r="C57">
        <v>3</v>
      </c>
      <c r="D57" t="str">
        <f t="shared" si="0"/>
        <v>Tak</v>
      </c>
      <c r="E57" t="s">
        <v>6</v>
      </c>
      <c r="F57" s="24" t="s">
        <v>6</v>
      </c>
      <c r="G57" t="str">
        <f t="shared" si="1"/>
        <v>Tak</v>
      </c>
    </row>
    <row r="58" spans="1:7" x14ac:dyDescent="0.25">
      <c r="A58" s="18">
        <v>57</v>
      </c>
      <c r="B58" s="19">
        <v>3</v>
      </c>
      <c r="C58">
        <v>3</v>
      </c>
      <c r="D58" t="str">
        <f t="shared" si="0"/>
        <v>Tak</v>
      </c>
      <c r="E58" t="s">
        <v>6</v>
      </c>
      <c r="F58" s="24" t="s">
        <v>6</v>
      </c>
      <c r="G58" t="str">
        <f t="shared" si="1"/>
        <v>Tak</v>
      </c>
    </row>
    <row r="59" spans="1:7" x14ac:dyDescent="0.25">
      <c r="A59" s="20">
        <v>58</v>
      </c>
      <c r="B59" s="21">
        <v>3</v>
      </c>
      <c r="C59">
        <v>3</v>
      </c>
      <c r="D59" t="str">
        <f t="shared" si="0"/>
        <v>Tak</v>
      </c>
      <c r="E59" t="s">
        <v>6</v>
      </c>
      <c r="F59" s="24" t="s">
        <v>6</v>
      </c>
      <c r="G59" t="str">
        <f t="shared" si="1"/>
        <v>Tak</v>
      </c>
    </row>
    <row r="60" spans="1:7" x14ac:dyDescent="0.25">
      <c r="A60" s="18">
        <v>59</v>
      </c>
      <c r="B60" s="19">
        <v>3</v>
      </c>
      <c r="C60">
        <v>4</v>
      </c>
      <c r="D60" t="str">
        <f t="shared" si="0"/>
        <v>Nie</v>
      </c>
      <c r="E60" t="s">
        <v>6</v>
      </c>
      <c r="F60" s="24" t="s">
        <v>6</v>
      </c>
      <c r="G60" t="str">
        <f t="shared" si="1"/>
        <v>Tak</v>
      </c>
    </row>
    <row r="61" spans="1:7" x14ac:dyDescent="0.25">
      <c r="A61" s="20">
        <v>60</v>
      </c>
      <c r="B61" s="21">
        <v>4</v>
      </c>
      <c r="C61">
        <v>4</v>
      </c>
      <c r="D61" t="str">
        <f t="shared" si="0"/>
        <v>Tak</v>
      </c>
      <c r="E61" t="s">
        <v>6</v>
      </c>
      <c r="F61" s="24" t="s">
        <v>6</v>
      </c>
      <c r="G61" t="str">
        <f t="shared" si="1"/>
        <v>Tak</v>
      </c>
    </row>
    <row r="62" spans="1:7" x14ac:dyDescent="0.25">
      <c r="A62" s="18">
        <v>61</v>
      </c>
      <c r="B62" s="19">
        <v>4</v>
      </c>
      <c r="C62">
        <v>4</v>
      </c>
      <c r="D62" t="str">
        <f t="shared" si="0"/>
        <v>Tak</v>
      </c>
      <c r="E62" t="s">
        <v>6</v>
      </c>
      <c r="F62" s="24" t="s">
        <v>6</v>
      </c>
      <c r="G62" t="str">
        <f t="shared" si="1"/>
        <v>Tak</v>
      </c>
    </row>
    <row r="63" spans="1:7" x14ac:dyDescent="0.25">
      <c r="A63" s="20">
        <v>62</v>
      </c>
      <c r="B63" s="21">
        <v>5</v>
      </c>
      <c r="C63">
        <v>5</v>
      </c>
      <c r="D63" t="str">
        <f t="shared" si="0"/>
        <v>Tak</v>
      </c>
      <c r="E63" t="s">
        <v>6</v>
      </c>
      <c r="F63" s="24" t="s">
        <v>6</v>
      </c>
      <c r="G63" t="str">
        <f t="shared" si="1"/>
        <v>Tak</v>
      </c>
    </row>
    <row r="64" spans="1:7" x14ac:dyDescent="0.25">
      <c r="A64" s="18">
        <v>63</v>
      </c>
      <c r="B64" s="19">
        <v>0</v>
      </c>
      <c r="C64">
        <v>0</v>
      </c>
      <c r="D64" t="str">
        <f t="shared" si="0"/>
        <v>Tak</v>
      </c>
      <c r="E64" t="s">
        <v>5</v>
      </c>
      <c r="F64" s="24" t="s">
        <v>5</v>
      </c>
      <c r="G64" t="str">
        <f t="shared" si="1"/>
        <v>Tak</v>
      </c>
    </row>
    <row r="65" spans="1:7" x14ac:dyDescent="0.25">
      <c r="A65" s="20">
        <v>64</v>
      </c>
      <c r="B65" s="21">
        <v>1</v>
      </c>
      <c r="C65">
        <v>1</v>
      </c>
      <c r="D65" t="str">
        <f t="shared" si="0"/>
        <v>Tak</v>
      </c>
      <c r="E65" t="s">
        <v>6</v>
      </c>
      <c r="F65" s="24" t="s">
        <v>6</v>
      </c>
      <c r="G65" t="str">
        <f t="shared" si="1"/>
        <v>Tak</v>
      </c>
    </row>
    <row r="66" spans="1:7" x14ac:dyDescent="0.25">
      <c r="A66" s="18">
        <v>65</v>
      </c>
      <c r="B66" s="19">
        <v>1</v>
      </c>
      <c r="C66">
        <v>1</v>
      </c>
      <c r="D66" t="str">
        <f t="shared" ref="D66:D129" si="2">IF(B66=C66,"Tak","Nie")</f>
        <v>Tak</v>
      </c>
      <c r="E66" t="s">
        <v>6</v>
      </c>
      <c r="F66" s="24" t="s">
        <v>6</v>
      </c>
      <c r="G66" t="str">
        <f t="shared" ref="G66:G129" si="3">IF(E66=F66,"Tak","Nie")</f>
        <v>Tak</v>
      </c>
    </row>
    <row r="67" spans="1:7" x14ac:dyDescent="0.25">
      <c r="A67" s="20">
        <v>66</v>
      </c>
      <c r="B67" s="21">
        <v>1</v>
      </c>
      <c r="C67">
        <v>1</v>
      </c>
      <c r="D67" t="str">
        <f t="shared" si="2"/>
        <v>Tak</v>
      </c>
      <c r="E67" t="s">
        <v>6</v>
      </c>
      <c r="F67" s="24" t="s">
        <v>6</v>
      </c>
      <c r="G67" t="str">
        <f t="shared" si="3"/>
        <v>Tak</v>
      </c>
    </row>
    <row r="68" spans="1:7" x14ac:dyDescent="0.25">
      <c r="A68" s="18">
        <v>67</v>
      </c>
      <c r="B68" s="19">
        <v>2</v>
      </c>
      <c r="C68">
        <v>2</v>
      </c>
      <c r="D68" t="str">
        <f t="shared" si="2"/>
        <v>Tak</v>
      </c>
      <c r="E68" t="s">
        <v>6</v>
      </c>
      <c r="F68" s="24" t="s">
        <v>6</v>
      </c>
      <c r="G68" t="str">
        <f t="shared" si="3"/>
        <v>Tak</v>
      </c>
    </row>
    <row r="69" spans="1:7" x14ac:dyDescent="0.25">
      <c r="A69" s="20">
        <v>68</v>
      </c>
      <c r="B69" s="21">
        <v>2</v>
      </c>
      <c r="C69">
        <v>2</v>
      </c>
      <c r="D69" t="str">
        <f t="shared" si="2"/>
        <v>Tak</v>
      </c>
      <c r="E69" t="s">
        <v>6</v>
      </c>
      <c r="F69" s="24" t="s">
        <v>6</v>
      </c>
      <c r="G69" t="str">
        <f t="shared" si="3"/>
        <v>Tak</v>
      </c>
    </row>
    <row r="70" spans="1:7" x14ac:dyDescent="0.25">
      <c r="A70" s="18">
        <v>69</v>
      </c>
      <c r="B70" s="19">
        <v>2</v>
      </c>
      <c r="C70">
        <v>2</v>
      </c>
      <c r="D70" t="str">
        <f t="shared" si="2"/>
        <v>Tak</v>
      </c>
      <c r="E70" t="s">
        <v>6</v>
      </c>
      <c r="F70" s="24" t="s">
        <v>6</v>
      </c>
      <c r="G70" t="str">
        <f t="shared" si="3"/>
        <v>Tak</v>
      </c>
    </row>
    <row r="71" spans="1:7" x14ac:dyDescent="0.25">
      <c r="A71" s="20">
        <v>70</v>
      </c>
      <c r="B71" s="21">
        <v>3</v>
      </c>
      <c r="C71">
        <v>3</v>
      </c>
      <c r="D71" t="str">
        <f t="shared" si="2"/>
        <v>Tak</v>
      </c>
      <c r="E71" t="s">
        <v>6</v>
      </c>
      <c r="F71" s="24" t="s">
        <v>6</v>
      </c>
      <c r="G71" t="str">
        <f t="shared" si="3"/>
        <v>Tak</v>
      </c>
    </row>
    <row r="72" spans="1:7" x14ac:dyDescent="0.25">
      <c r="A72" s="18">
        <v>71</v>
      </c>
      <c r="B72" s="19">
        <v>3</v>
      </c>
      <c r="C72">
        <v>3</v>
      </c>
      <c r="D72" t="str">
        <f t="shared" si="2"/>
        <v>Tak</v>
      </c>
      <c r="E72" t="s">
        <v>6</v>
      </c>
      <c r="F72" s="24" t="s">
        <v>6</v>
      </c>
      <c r="G72" t="str">
        <f t="shared" si="3"/>
        <v>Tak</v>
      </c>
    </row>
    <row r="73" spans="1:7" x14ac:dyDescent="0.25">
      <c r="A73" s="20">
        <v>72</v>
      </c>
      <c r="B73" s="21">
        <v>3</v>
      </c>
      <c r="C73">
        <v>3</v>
      </c>
      <c r="D73" t="str">
        <f t="shared" si="2"/>
        <v>Tak</v>
      </c>
      <c r="E73" t="s">
        <v>6</v>
      </c>
      <c r="F73" s="24" t="s">
        <v>6</v>
      </c>
      <c r="G73" t="str">
        <f t="shared" si="3"/>
        <v>Tak</v>
      </c>
    </row>
    <row r="74" spans="1:7" x14ac:dyDescent="0.25">
      <c r="A74" s="18">
        <v>73</v>
      </c>
      <c r="B74" s="19">
        <v>4</v>
      </c>
      <c r="C74">
        <v>4</v>
      </c>
      <c r="D74" t="str">
        <f t="shared" si="2"/>
        <v>Tak</v>
      </c>
      <c r="E74" t="s">
        <v>6</v>
      </c>
      <c r="F74" s="24" t="s">
        <v>6</v>
      </c>
      <c r="G74" t="str">
        <f t="shared" si="3"/>
        <v>Tak</v>
      </c>
    </row>
    <row r="75" spans="1:7" x14ac:dyDescent="0.25">
      <c r="A75" s="20">
        <v>74</v>
      </c>
      <c r="B75" s="21">
        <v>4</v>
      </c>
      <c r="C75">
        <v>4</v>
      </c>
      <c r="D75" t="str">
        <f t="shared" si="2"/>
        <v>Tak</v>
      </c>
      <c r="E75" t="s">
        <v>6</v>
      </c>
      <c r="F75" s="24" t="s">
        <v>6</v>
      </c>
      <c r="G75" t="str">
        <f t="shared" si="3"/>
        <v>Tak</v>
      </c>
    </row>
    <row r="76" spans="1:7" x14ac:dyDescent="0.25">
      <c r="A76" s="18">
        <v>75</v>
      </c>
      <c r="B76" s="19">
        <v>4</v>
      </c>
      <c r="C76">
        <v>4</v>
      </c>
      <c r="D76" t="str">
        <f t="shared" si="2"/>
        <v>Tak</v>
      </c>
      <c r="E76" t="s">
        <v>6</v>
      </c>
      <c r="F76" s="24" t="s">
        <v>6</v>
      </c>
      <c r="G76" t="str">
        <f t="shared" si="3"/>
        <v>Tak</v>
      </c>
    </row>
    <row r="77" spans="1:7" x14ac:dyDescent="0.25">
      <c r="A77" s="20">
        <v>76</v>
      </c>
      <c r="B77" s="21">
        <v>5</v>
      </c>
      <c r="C77">
        <v>5</v>
      </c>
      <c r="D77" t="str">
        <f t="shared" si="2"/>
        <v>Tak</v>
      </c>
      <c r="E77" t="s">
        <v>6</v>
      </c>
      <c r="F77" s="24" t="s">
        <v>6</v>
      </c>
      <c r="G77" t="str">
        <f t="shared" si="3"/>
        <v>Tak</v>
      </c>
    </row>
    <row r="78" spans="1:7" x14ac:dyDescent="0.25">
      <c r="A78" s="18">
        <v>77</v>
      </c>
      <c r="B78" s="19">
        <v>0</v>
      </c>
      <c r="C78">
        <v>0</v>
      </c>
      <c r="D78" t="str">
        <f t="shared" si="2"/>
        <v>Tak</v>
      </c>
      <c r="E78" t="s">
        <v>5</v>
      </c>
      <c r="F78" s="24" t="s">
        <v>5</v>
      </c>
      <c r="G78" t="str">
        <f t="shared" si="3"/>
        <v>Tak</v>
      </c>
    </row>
    <row r="79" spans="1:7" x14ac:dyDescent="0.25">
      <c r="A79" s="20">
        <v>78</v>
      </c>
      <c r="B79" s="21">
        <v>1</v>
      </c>
      <c r="C79">
        <v>1</v>
      </c>
      <c r="D79" t="str">
        <f t="shared" si="2"/>
        <v>Tak</v>
      </c>
      <c r="E79" t="s">
        <v>6</v>
      </c>
      <c r="F79" s="24" t="s">
        <v>6</v>
      </c>
      <c r="G79" t="str">
        <f t="shared" si="3"/>
        <v>Tak</v>
      </c>
    </row>
    <row r="80" spans="1:7" x14ac:dyDescent="0.25">
      <c r="A80" s="18">
        <v>79</v>
      </c>
      <c r="B80" s="19">
        <v>1</v>
      </c>
      <c r="C80">
        <v>1</v>
      </c>
      <c r="D80" t="str">
        <f t="shared" si="2"/>
        <v>Tak</v>
      </c>
      <c r="E80" t="s">
        <v>6</v>
      </c>
      <c r="F80" s="24" t="s">
        <v>6</v>
      </c>
      <c r="G80" t="str">
        <f t="shared" si="3"/>
        <v>Tak</v>
      </c>
    </row>
    <row r="81" spans="1:7" x14ac:dyDescent="0.25">
      <c r="A81" s="20">
        <v>80</v>
      </c>
      <c r="B81" s="21">
        <v>1</v>
      </c>
      <c r="C81">
        <v>1</v>
      </c>
      <c r="D81" t="str">
        <f t="shared" si="2"/>
        <v>Tak</v>
      </c>
      <c r="E81" t="s">
        <v>7</v>
      </c>
      <c r="F81" s="24" t="s">
        <v>6</v>
      </c>
      <c r="G81" t="str">
        <f t="shared" si="3"/>
        <v>Nie</v>
      </c>
    </row>
    <row r="82" spans="1:7" x14ac:dyDescent="0.25">
      <c r="A82" s="18">
        <v>81</v>
      </c>
      <c r="B82" s="19">
        <v>2</v>
      </c>
      <c r="C82">
        <v>2</v>
      </c>
      <c r="D82" t="str">
        <f t="shared" si="2"/>
        <v>Tak</v>
      </c>
      <c r="E82" t="s">
        <v>6</v>
      </c>
      <c r="F82" s="24" t="s">
        <v>6</v>
      </c>
      <c r="G82" t="str">
        <f t="shared" si="3"/>
        <v>Tak</v>
      </c>
    </row>
    <row r="83" spans="1:7" x14ac:dyDescent="0.25">
      <c r="A83" s="20">
        <v>82</v>
      </c>
      <c r="B83" s="21">
        <v>2</v>
      </c>
      <c r="C83">
        <v>2</v>
      </c>
      <c r="D83" t="str">
        <f t="shared" si="2"/>
        <v>Tak</v>
      </c>
      <c r="E83" t="s">
        <v>6</v>
      </c>
      <c r="F83" s="24" t="s">
        <v>6</v>
      </c>
      <c r="G83" t="str">
        <f t="shared" si="3"/>
        <v>Tak</v>
      </c>
    </row>
    <row r="84" spans="1:7" x14ac:dyDescent="0.25">
      <c r="A84" s="18">
        <v>83</v>
      </c>
      <c r="B84" s="19">
        <v>2</v>
      </c>
      <c r="C84">
        <v>2</v>
      </c>
      <c r="D84" t="str">
        <f t="shared" si="2"/>
        <v>Tak</v>
      </c>
      <c r="E84" t="s">
        <v>6</v>
      </c>
      <c r="F84" s="24" t="s">
        <v>6</v>
      </c>
      <c r="G84" t="str">
        <f t="shared" si="3"/>
        <v>Tak</v>
      </c>
    </row>
    <row r="85" spans="1:7" x14ac:dyDescent="0.25">
      <c r="A85" s="20">
        <v>84</v>
      </c>
      <c r="B85" s="21">
        <v>3</v>
      </c>
      <c r="C85">
        <v>3</v>
      </c>
      <c r="D85" t="str">
        <f t="shared" si="2"/>
        <v>Tak</v>
      </c>
      <c r="E85" t="s">
        <v>6</v>
      </c>
      <c r="F85" s="24" t="s">
        <v>6</v>
      </c>
      <c r="G85" t="str">
        <f t="shared" si="3"/>
        <v>Tak</v>
      </c>
    </row>
    <row r="86" spans="1:7" x14ac:dyDescent="0.25">
      <c r="A86" s="18">
        <v>85</v>
      </c>
      <c r="B86" s="19">
        <v>3</v>
      </c>
      <c r="C86">
        <v>3</v>
      </c>
      <c r="D86" t="str">
        <f t="shared" si="2"/>
        <v>Tak</v>
      </c>
      <c r="E86" t="s">
        <v>6</v>
      </c>
      <c r="F86" s="24" t="s">
        <v>6</v>
      </c>
      <c r="G86" t="str">
        <f t="shared" si="3"/>
        <v>Tak</v>
      </c>
    </row>
    <row r="87" spans="1:7" x14ac:dyDescent="0.25">
      <c r="A87" s="20">
        <v>86</v>
      </c>
      <c r="B87" s="21">
        <v>3</v>
      </c>
      <c r="C87">
        <v>3</v>
      </c>
      <c r="D87" t="str">
        <f t="shared" si="2"/>
        <v>Tak</v>
      </c>
      <c r="E87" t="s">
        <v>6</v>
      </c>
      <c r="F87" s="24" t="s">
        <v>6</v>
      </c>
      <c r="G87" t="str">
        <f t="shared" si="3"/>
        <v>Tak</v>
      </c>
    </row>
    <row r="88" spans="1:7" x14ac:dyDescent="0.25">
      <c r="A88" s="18">
        <v>87</v>
      </c>
      <c r="B88" s="19">
        <v>4</v>
      </c>
      <c r="C88">
        <v>4</v>
      </c>
      <c r="D88" t="str">
        <f t="shared" si="2"/>
        <v>Tak</v>
      </c>
      <c r="E88" t="s">
        <v>6</v>
      </c>
      <c r="F88" s="24" t="s">
        <v>6</v>
      </c>
      <c r="G88" t="str">
        <f t="shared" si="3"/>
        <v>Tak</v>
      </c>
    </row>
    <row r="89" spans="1:7" x14ac:dyDescent="0.25">
      <c r="A89" s="20">
        <v>88</v>
      </c>
      <c r="B89" s="21">
        <v>4</v>
      </c>
      <c r="C89">
        <v>4</v>
      </c>
      <c r="D89" t="str">
        <f t="shared" si="2"/>
        <v>Tak</v>
      </c>
      <c r="E89" t="s">
        <v>6</v>
      </c>
      <c r="F89" s="24" t="s">
        <v>6</v>
      </c>
      <c r="G89" t="str">
        <f t="shared" si="3"/>
        <v>Tak</v>
      </c>
    </row>
    <row r="90" spans="1:7" x14ac:dyDescent="0.25">
      <c r="A90" s="18">
        <v>89</v>
      </c>
      <c r="B90" s="19">
        <v>4</v>
      </c>
      <c r="C90">
        <v>4</v>
      </c>
      <c r="D90" t="str">
        <f t="shared" si="2"/>
        <v>Tak</v>
      </c>
      <c r="E90" t="s">
        <v>6</v>
      </c>
      <c r="F90" s="24" t="s">
        <v>6</v>
      </c>
      <c r="G90" t="str">
        <f t="shared" si="3"/>
        <v>Tak</v>
      </c>
    </row>
    <row r="91" spans="1:7" x14ac:dyDescent="0.25">
      <c r="A91" s="20">
        <v>90</v>
      </c>
      <c r="B91" s="21">
        <v>5</v>
      </c>
      <c r="C91">
        <v>5</v>
      </c>
      <c r="D91" t="str">
        <f t="shared" si="2"/>
        <v>Tak</v>
      </c>
      <c r="E91" t="s">
        <v>6</v>
      </c>
      <c r="F91" s="24" t="s">
        <v>6</v>
      </c>
      <c r="G91" t="str">
        <f t="shared" si="3"/>
        <v>Tak</v>
      </c>
    </row>
    <row r="92" spans="1:7" x14ac:dyDescent="0.25">
      <c r="A92" s="18">
        <v>91</v>
      </c>
      <c r="B92" s="19">
        <v>5</v>
      </c>
      <c r="C92">
        <v>5</v>
      </c>
      <c r="D92" t="str">
        <f t="shared" si="2"/>
        <v>Tak</v>
      </c>
      <c r="E92" t="s">
        <v>6</v>
      </c>
      <c r="F92" s="24" t="s">
        <v>6</v>
      </c>
      <c r="G92" t="str">
        <f t="shared" si="3"/>
        <v>Tak</v>
      </c>
    </row>
    <row r="93" spans="1:7" x14ac:dyDescent="0.25">
      <c r="A93" s="20">
        <v>92</v>
      </c>
      <c r="B93" s="21">
        <v>0</v>
      </c>
      <c r="C93">
        <v>0</v>
      </c>
      <c r="D93" t="str">
        <f t="shared" si="2"/>
        <v>Tak</v>
      </c>
      <c r="E93" t="s">
        <v>5</v>
      </c>
      <c r="F93" s="24" t="s">
        <v>5</v>
      </c>
      <c r="G93" t="str">
        <f t="shared" si="3"/>
        <v>Tak</v>
      </c>
    </row>
    <row r="94" spans="1:7" x14ac:dyDescent="0.25">
      <c r="A94" s="18">
        <v>93</v>
      </c>
      <c r="B94" s="19">
        <v>1</v>
      </c>
      <c r="C94">
        <v>1</v>
      </c>
      <c r="D94" t="str">
        <f t="shared" si="2"/>
        <v>Tak</v>
      </c>
      <c r="E94" t="s">
        <v>7</v>
      </c>
      <c r="F94" s="24" t="s">
        <v>7</v>
      </c>
      <c r="G94" t="str">
        <f t="shared" si="3"/>
        <v>Tak</v>
      </c>
    </row>
    <row r="95" spans="1:7" x14ac:dyDescent="0.25">
      <c r="A95" s="20">
        <v>94</v>
      </c>
      <c r="B95" s="21">
        <v>1</v>
      </c>
      <c r="C95">
        <v>1</v>
      </c>
      <c r="D95" t="str">
        <f t="shared" si="2"/>
        <v>Tak</v>
      </c>
      <c r="E95" t="s">
        <v>7</v>
      </c>
      <c r="F95" s="24" t="s">
        <v>7</v>
      </c>
      <c r="G95" t="str">
        <f t="shared" si="3"/>
        <v>Tak</v>
      </c>
    </row>
    <row r="96" spans="1:7" x14ac:dyDescent="0.25">
      <c r="A96" s="18">
        <v>95</v>
      </c>
      <c r="B96" s="19">
        <v>1</v>
      </c>
      <c r="C96">
        <v>1</v>
      </c>
      <c r="D96" t="str">
        <f t="shared" si="2"/>
        <v>Tak</v>
      </c>
      <c r="E96" t="s">
        <v>7</v>
      </c>
      <c r="F96" s="24" t="s">
        <v>7</v>
      </c>
      <c r="G96" t="str">
        <f t="shared" si="3"/>
        <v>Tak</v>
      </c>
    </row>
    <row r="97" spans="1:7" x14ac:dyDescent="0.25">
      <c r="A97" s="20">
        <v>96</v>
      </c>
      <c r="B97" s="21">
        <v>2</v>
      </c>
      <c r="C97">
        <v>2</v>
      </c>
      <c r="D97" t="str">
        <f t="shared" si="2"/>
        <v>Tak</v>
      </c>
      <c r="E97" t="s">
        <v>7</v>
      </c>
      <c r="F97" s="24" t="s">
        <v>7</v>
      </c>
      <c r="G97" t="str">
        <f t="shared" si="3"/>
        <v>Tak</v>
      </c>
    </row>
    <row r="98" spans="1:7" x14ac:dyDescent="0.25">
      <c r="A98" s="18">
        <v>97</v>
      </c>
      <c r="B98" s="19">
        <v>2</v>
      </c>
      <c r="C98">
        <v>2</v>
      </c>
      <c r="D98" t="str">
        <f t="shared" si="2"/>
        <v>Tak</v>
      </c>
      <c r="E98" t="s">
        <v>7</v>
      </c>
      <c r="F98" s="24" t="s">
        <v>7</v>
      </c>
      <c r="G98" t="str">
        <f t="shared" si="3"/>
        <v>Tak</v>
      </c>
    </row>
    <row r="99" spans="1:7" x14ac:dyDescent="0.25">
      <c r="A99" s="20">
        <v>98</v>
      </c>
      <c r="B99" s="21">
        <v>2</v>
      </c>
      <c r="C99">
        <v>2</v>
      </c>
      <c r="D99" t="str">
        <f t="shared" si="2"/>
        <v>Tak</v>
      </c>
      <c r="E99" t="s">
        <v>7</v>
      </c>
      <c r="F99" s="24" t="s">
        <v>7</v>
      </c>
      <c r="G99" t="str">
        <f t="shared" si="3"/>
        <v>Tak</v>
      </c>
    </row>
    <row r="100" spans="1:7" x14ac:dyDescent="0.25">
      <c r="A100" s="18">
        <v>99</v>
      </c>
      <c r="B100" s="19">
        <v>3</v>
      </c>
      <c r="C100">
        <v>3</v>
      </c>
      <c r="D100" t="str">
        <f t="shared" si="2"/>
        <v>Tak</v>
      </c>
      <c r="E100" t="s">
        <v>7</v>
      </c>
      <c r="F100" s="24" t="s">
        <v>7</v>
      </c>
      <c r="G100" t="str">
        <f t="shared" si="3"/>
        <v>Tak</v>
      </c>
    </row>
    <row r="101" spans="1:7" x14ac:dyDescent="0.25">
      <c r="A101" s="20">
        <v>100</v>
      </c>
      <c r="B101" s="21">
        <v>3</v>
      </c>
      <c r="C101">
        <v>3</v>
      </c>
      <c r="D101" t="str">
        <f t="shared" si="2"/>
        <v>Tak</v>
      </c>
      <c r="E101" t="s">
        <v>7</v>
      </c>
      <c r="F101" s="24" t="s">
        <v>7</v>
      </c>
      <c r="G101" t="str">
        <f t="shared" si="3"/>
        <v>Tak</v>
      </c>
    </row>
    <row r="102" spans="1:7" x14ac:dyDescent="0.25">
      <c r="A102" s="18">
        <v>101</v>
      </c>
      <c r="B102" s="19">
        <v>3</v>
      </c>
      <c r="C102">
        <v>3</v>
      </c>
      <c r="D102" t="str">
        <f t="shared" si="2"/>
        <v>Tak</v>
      </c>
      <c r="E102" t="s">
        <v>7</v>
      </c>
      <c r="F102" s="24" t="s">
        <v>7</v>
      </c>
      <c r="G102" t="str">
        <f t="shared" si="3"/>
        <v>Tak</v>
      </c>
    </row>
    <row r="103" spans="1:7" x14ac:dyDescent="0.25">
      <c r="A103" s="20">
        <v>102</v>
      </c>
      <c r="B103" s="21">
        <v>4</v>
      </c>
      <c r="C103">
        <v>4</v>
      </c>
      <c r="D103" t="str">
        <f t="shared" si="2"/>
        <v>Tak</v>
      </c>
      <c r="E103" t="s">
        <v>7</v>
      </c>
      <c r="F103" s="24" t="s">
        <v>7</v>
      </c>
      <c r="G103" t="str">
        <f t="shared" si="3"/>
        <v>Tak</v>
      </c>
    </row>
    <row r="104" spans="1:7" x14ac:dyDescent="0.25">
      <c r="A104" s="18">
        <v>103</v>
      </c>
      <c r="B104" s="19">
        <v>4</v>
      </c>
      <c r="C104">
        <v>4</v>
      </c>
      <c r="D104" t="str">
        <f t="shared" si="2"/>
        <v>Tak</v>
      </c>
      <c r="E104" t="s">
        <v>7</v>
      </c>
      <c r="F104" s="24" t="s">
        <v>7</v>
      </c>
      <c r="G104" t="str">
        <f t="shared" si="3"/>
        <v>Tak</v>
      </c>
    </row>
    <row r="105" spans="1:7" x14ac:dyDescent="0.25">
      <c r="A105" s="20">
        <v>104</v>
      </c>
      <c r="B105" s="21">
        <v>4</v>
      </c>
      <c r="C105">
        <v>4</v>
      </c>
      <c r="D105" t="str">
        <f t="shared" si="2"/>
        <v>Tak</v>
      </c>
      <c r="E105" t="s">
        <v>7</v>
      </c>
      <c r="F105" s="24" t="s">
        <v>7</v>
      </c>
      <c r="G105" t="str">
        <f t="shared" si="3"/>
        <v>Tak</v>
      </c>
    </row>
    <row r="106" spans="1:7" x14ac:dyDescent="0.25">
      <c r="A106" s="18">
        <v>105</v>
      </c>
      <c r="B106" s="19">
        <v>5</v>
      </c>
      <c r="C106">
        <v>5</v>
      </c>
      <c r="D106" t="str">
        <f t="shared" si="2"/>
        <v>Tak</v>
      </c>
      <c r="E106" t="s">
        <v>7</v>
      </c>
      <c r="F106" s="24" t="s">
        <v>7</v>
      </c>
      <c r="G106" t="str">
        <f t="shared" si="3"/>
        <v>Tak</v>
      </c>
    </row>
    <row r="107" spans="1:7" x14ac:dyDescent="0.25">
      <c r="A107" s="20">
        <v>106</v>
      </c>
      <c r="B107" s="21">
        <v>0</v>
      </c>
      <c r="C107">
        <v>0</v>
      </c>
      <c r="D107" t="str">
        <f t="shared" si="2"/>
        <v>Tak</v>
      </c>
      <c r="E107" t="s">
        <v>5</v>
      </c>
      <c r="F107" s="24" t="s">
        <v>5</v>
      </c>
      <c r="G107" t="str">
        <f t="shared" si="3"/>
        <v>Tak</v>
      </c>
    </row>
    <row r="108" spans="1:7" x14ac:dyDescent="0.25">
      <c r="A108" s="18">
        <v>107</v>
      </c>
      <c r="B108" s="19">
        <v>1</v>
      </c>
      <c r="C108">
        <v>1</v>
      </c>
      <c r="D108" t="str">
        <f t="shared" si="2"/>
        <v>Tak</v>
      </c>
      <c r="E108" t="s">
        <v>6</v>
      </c>
      <c r="F108" s="24" t="s">
        <v>6</v>
      </c>
      <c r="G108" t="str">
        <f t="shared" si="3"/>
        <v>Tak</v>
      </c>
    </row>
    <row r="109" spans="1:7" x14ac:dyDescent="0.25">
      <c r="A109" s="20">
        <v>108</v>
      </c>
      <c r="B109" s="21">
        <v>1</v>
      </c>
      <c r="C109">
        <v>1</v>
      </c>
      <c r="D109" t="str">
        <f t="shared" si="2"/>
        <v>Tak</v>
      </c>
      <c r="E109" t="s">
        <v>6</v>
      </c>
      <c r="F109" s="24" t="s">
        <v>6</v>
      </c>
      <c r="G109" t="str">
        <f t="shared" si="3"/>
        <v>Tak</v>
      </c>
    </row>
    <row r="110" spans="1:7" x14ac:dyDescent="0.25">
      <c r="A110" s="18">
        <v>109</v>
      </c>
      <c r="B110" s="19">
        <v>1</v>
      </c>
      <c r="C110">
        <v>1</v>
      </c>
      <c r="D110" t="str">
        <f t="shared" si="2"/>
        <v>Tak</v>
      </c>
      <c r="E110" t="s">
        <v>6</v>
      </c>
      <c r="F110" s="24" t="s">
        <v>6</v>
      </c>
      <c r="G110" t="str">
        <f t="shared" si="3"/>
        <v>Tak</v>
      </c>
    </row>
    <row r="111" spans="1:7" x14ac:dyDescent="0.25">
      <c r="A111" s="20">
        <v>110</v>
      </c>
      <c r="B111" s="21">
        <v>2</v>
      </c>
      <c r="C111">
        <v>2</v>
      </c>
      <c r="D111" t="str">
        <f t="shared" si="2"/>
        <v>Tak</v>
      </c>
      <c r="E111" t="s">
        <v>6</v>
      </c>
      <c r="F111" s="24" t="s">
        <v>6</v>
      </c>
      <c r="G111" t="str">
        <f t="shared" si="3"/>
        <v>Tak</v>
      </c>
    </row>
    <row r="112" spans="1:7" x14ac:dyDescent="0.25">
      <c r="A112" s="18">
        <v>111</v>
      </c>
      <c r="B112" s="19">
        <v>2</v>
      </c>
      <c r="C112">
        <v>2</v>
      </c>
      <c r="D112" t="str">
        <f t="shared" si="2"/>
        <v>Tak</v>
      </c>
      <c r="E112" t="s">
        <v>6</v>
      </c>
      <c r="F112" s="24" t="s">
        <v>6</v>
      </c>
      <c r="G112" t="str">
        <f t="shared" si="3"/>
        <v>Tak</v>
      </c>
    </row>
    <row r="113" spans="1:7" x14ac:dyDescent="0.25">
      <c r="A113" s="20">
        <v>112</v>
      </c>
      <c r="B113" s="21">
        <v>2</v>
      </c>
      <c r="C113">
        <v>2</v>
      </c>
      <c r="D113" t="str">
        <f t="shared" si="2"/>
        <v>Tak</v>
      </c>
      <c r="E113" t="s">
        <v>6</v>
      </c>
      <c r="F113" s="24" t="s">
        <v>6</v>
      </c>
      <c r="G113" t="str">
        <f t="shared" si="3"/>
        <v>Tak</v>
      </c>
    </row>
    <row r="114" spans="1:7" x14ac:dyDescent="0.25">
      <c r="A114" s="18">
        <v>113</v>
      </c>
      <c r="B114" s="19">
        <v>3</v>
      </c>
      <c r="C114">
        <v>3</v>
      </c>
      <c r="D114" t="str">
        <f t="shared" si="2"/>
        <v>Tak</v>
      </c>
      <c r="E114" t="s">
        <v>6</v>
      </c>
      <c r="F114" s="24" t="s">
        <v>6</v>
      </c>
      <c r="G114" t="str">
        <f t="shared" si="3"/>
        <v>Tak</v>
      </c>
    </row>
    <row r="115" spans="1:7" x14ac:dyDescent="0.25">
      <c r="A115" s="20">
        <v>114</v>
      </c>
      <c r="B115" s="21">
        <v>3</v>
      </c>
      <c r="C115">
        <v>3</v>
      </c>
      <c r="D115" t="str">
        <f t="shared" si="2"/>
        <v>Tak</v>
      </c>
      <c r="E115" t="s">
        <v>6</v>
      </c>
      <c r="F115" s="24" t="s">
        <v>6</v>
      </c>
      <c r="G115" t="str">
        <f t="shared" si="3"/>
        <v>Tak</v>
      </c>
    </row>
    <row r="116" spans="1:7" x14ac:dyDescent="0.25">
      <c r="A116" s="18">
        <v>115</v>
      </c>
      <c r="B116" s="19">
        <v>3</v>
      </c>
      <c r="C116">
        <v>3</v>
      </c>
      <c r="D116" t="str">
        <f t="shared" si="2"/>
        <v>Tak</v>
      </c>
      <c r="E116" t="s">
        <v>6</v>
      </c>
      <c r="F116" s="24" t="s">
        <v>6</v>
      </c>
      <c r="G116" t="str">
        <f t="shared" si="3"/>
        <v>Tak</v>
      </c>
    </row>
    <row r="117" spans="1:7" x14ac:dyDescent="0.25">
      <c r="A117" s="20">
        <v>116</v>
      </c>
      <c r="B117" s="21">
        <v>4</v>
      </c>
      <c r="C117">
        <v>4</v>
      </c>
      <c r="D117" t="str">
        <f t="shared" si="2"/>
        <v>Tak</v>
      </c>
      <c r="E117" t="s">
        <v>6</v>
      </c>
      <c r="F117" s="24" t="s">
        <v>6</v>
      </c>
      <c r="G117" t="str">
        <f t="shared" si="3"/>
        <v>Tak</v>
      </c>
    </row>
    <row r="118" spans="1:7" x14ac:dyDescent="0.25">
      <c r="A118" s="18">
        <v>117</v>
      </c>
      <c r="B118" s="19">
        <v>4</v>
      </c>
      <c r="C118">
        <v>4</v>
      </c>
      <c r="D118" t="str">
        <f t="shared" si="2"/>
        <v>Tak</v>
      </c>
      <c r="E118" t="s">
        <v>6</v>
      </c>
      <c r="F118" s="24" t="s">
        <v>6</v>
      </c>
      <c r="G118" t="str">
        <f t="shared" si="3"/>
        <v>Tak</v>
      </c>
    </row>
    <row r="119" spans="1:7" x14ac:dyDescent="0.25">
      <c r="A119" s="20">
        <v>118</v>
      </c>
      <c r="B119" s="21">
        <v>4</v>
      </c>
      <c r="C119">
        <v>4</v>
      </c>
      <c r="D119" t="str">
        <f t="shared" si="2"/>
        <v>Tak</v>
      </c>
      <c r="E119" t="s">
        <v>6</v>
      </c>
      <c r="F119" s="24" t="s">
        <v>6</v>
      </c>
      <c r="G119" t="str">
        <f t="shared" si="3"/>
        <v>Tak</v>
      </c>
    </row>
    <row r="120" spans="1:7" x14ac:dyDescent="0.25">
      <c r="A120" s="18">
        <v>119</v>
      </c>
      <c r="B120" s="19">
        <v>5</v>
      </c>
      <c r="C120">
        <v>5</v>
      </c>
      <c r="D120" t="str">
        <f t="shared" si="2"/>
        <v>Tak</v>
      </c>
      <c r="E120" t="s">
        <v>6</v>
      </c>
      <c r="F120" s="24" t="s">
        <v>6</v>
      </c>
      <c r="G120" t="str">
        <f t="shared" si="3"/>
        <v>Tak</v>
      </c>
    </row>
    <row r="121" spans="1:7" x14ac:dyDescent="0.25">
      <c r="A121" s="20">
        <v>120</v>
      </c>
      <c r="B121" s="21">
        <v>0</v>
      </c>
      <c r="C121">
        <v>0</v>
      </c>
      <c r="D121" t="str">
        <f t="shared" si="2"/>
        <v>Tak</v>
      </c>
      <c r="E121" t="s">
        <v>5</v>
      </c>
      <c r="F121" s="24" t="s">
        <v>5</v>
      </c>
      <c r="G121" t="str">
        <f t="shared" si="3"/>
        <v>Tak</v>
      </c>
    </row>
    <row r="122" spans="1:7" x14ac:dyDescent="0.25">
      <c r="A122" s="18">
        <v>121</v>
      </c>
      <c r="B122" s="19">
        <v>1</v>
      </c>
      <c r="C122">
        <v>1</v>
      </c>
      <c r="D122" t="str">
        <f t="shared" si="2"/>
        <v>Tak</v>
      </c>
      <c r="E122" t="s">
        <v>6</v>
      </c>
      <c r="F122" s="24" t="s">
        <v>6</v>
      </c>
      <c r="G122" t="str">
        <f t="shared" si="3"/>
        <v>Tak</v>
      </c>
    </row>
    <row r="123" spans="1:7" x14ac:dyDescent="0.25">
      <c r="A123" s="20">
        <v>122</v>
      </c>
      <c r="B123" s="21">
        <v>1</v>
      </c>
      <c r="C123">
        <v>1</v>
      </c>
      <c r="D123" t="str">
        <f t="shared" si="2"/>
        <v>Tak</v>
      </c>
      <c r="E123" t="s">
        <v>6</v>
      </c>
      <c r="F123" s="24" t="s">
        <v>6</v>
      </c>
      <c r="G123" t="str">
        <f t="shared" si="3"/>
        <v>Tak</v>
      </c>
    </row>
    <row r="124" spans="1:7" x14ac:dyDescent="0.25">
      <c r="A124" s="18">
        <v>123</v>
      </c>
      <c r="B124" s="19">
        <v>1</v>
      </c>
      <c r="C124">
        <v>1</v>
      </c>
      <c r="D124" t="str">
        <f t="shared" si="2"/>
        <v>Tak</v>
      </c>
      <c r="E124" t="s">
        <v>6</v>
      </c>
      <c r="F124" s="24" t="s">
        <v>6</v>
      </c>
      <c r="G124" t="str">
        <f t="shared" si="3"/>
        <v>Tak</v>
      </c>
    </row>
    <row r="125" spans="1:7" x14ac:dyDescent="0.25">
      <c r="A125" s="20">
        <v>124</v>
      </c>
      <c r="B125" s="21">
        <v>2</v>
      </c>
      <c r="C125">
        <v>2</v>
      </c>
      <c r="D125" t="str">
        <f t="shared" si="2"/>
        <v>Tak</v>
      </c>
      <c r="E125" t="s">
        <v>6</v>
      </c>
      <c r="F125" s="24" t="s">
        <v>6</v>
      </c>
      <c r="G125" t="str">
        <f t="shared" si="3"/>
        <v>Tak</v>
      </c>
    </row>
    <row r="126" spans="1:7" x14ac:dyDescent="0.25">
      <c r="A126" s="18">
        <v>125</v>
      </c>
      <c r="B126" s="19">
        <v>2</v>
      </c>
      <c r="C126">
        <v>2</v>
      </c>
      <c r="D126" t="str">
        <f t="shared" si="2"/>
        <v>Tak</v>
      </c>
      <c r="E126" t="s">
        <v>6</v>
      </c>
      <c r="F126" s="24" t="s">
        <v>6</v>
      </c>
      <c r="G126" t="str">
        <f t="shared" si="3"/>
        <v>Tak</v>
      </c>
    </row>
    <row r="127" spans="1:7" x14ac:dyDescent="0.25">
      <c r="A127" s="20">
        <v>126</v>
      </c>
      <c r="B127" s="21">
        <v>2</v>
      </c>
      <c r="C127">
        <v>2</v>
      </c>
      <c r="D127" t="str">
        <f t="shared" si="2"/>
        <v>Tak</v>
      </c>
      <c r="E127" t="s">
        <v>6</v>
      </c>
      <c r="F127" s="24" t="s">
        <v>6</v>
      </c>
      <c r="G127" t="str">
        <f t="shared" si="3"/>
        <v>Tak</v>
      </c>
    </row>
    <row r="128" spans="1:7" x14ac:dyDescent="0.25">
      <c r="A128" s="18">
        <v>127</v>
      </c>
      <c r="B128" s="19">
        <v>3</v>
      </c>
      <c r="C128">
        <v>3</v>
      </c>
      <c r="D128" t="str">
        <f t="shared" si="2"/>
        <v>Tak</v>
      </c>
      <c r="E128" t="s">
        <v>6</v>
      </c>
      <c r="F128" s="24" t="s">
        <v>6</v>
      </c>
      <c r="G128" t="str">
        <f t="shared" si="3"/>
        <v>Tak</v>
      </c>
    </row>
    <row r="129" spans="1:7" x14ac:dyDescent="0.25">
      <c r="A129" s="20">
        <v>128</v>
      </c>
      <c r="B129" s="21">
        <v>3</v>
      </c>
      <c r="C129">
        <v>3</v>
      </c>
      <c r="D129" t="str">
        <f t="shared" si="2"/>
        <v>Tak</v>
      </c>
      <c r="E129" t="s">
        <v>6</v>
      </c>
      <c r="F129" s="24" t="s">
        <v>6</v>
      </c>
      <c r="G129" t="str">
        <f t="shared" si="3"/>
        <v>Tak</v>
      </c>
    </row>
    <row r="130" spans="1:7" x14ac:dyDescent="0.25">
      <c r="A130" s="18">
        <v>129</v>
      </c>
      <c r="B130" s="19">
        <v>3</v>
      </c>
      <c r="C130">
        <v>3</v>
      </c>
      <c r="D130" t="str">
        <f t="shared" ref="D130:D193" si="4">IF(B130=C130,"Tak","Nie")</f>
        <v>Tak</v>
      </c>
      <c r="E130" t="s">
        <v>6</v>
      </c>
      <c r="F130" s="24" t="s">
        <v>6</v>
      </c>
      <c r="G130" t="str">
        <f t="shared" ref="G130:G193" si="5">IF(E130=F130,"Tak","Nie")</f>
        <v>Tak</v>
      </c>
    </row>
    <row r="131" spans="1:7" x14ac:dyDescent="0.25">
      <c r="A131" s="20">
        <v>130</v>
      </c>
      <c r="B131" s="21">
        <v>4</v>
      </c>
      <c r="C131">
        <v>4</v>
      </c>
      <c r="D131" t="str">
        <f t="shared" si="4"/>
        <v>Tak</v>
      </c>
      <c r="E131" t="s">
        <v>6</v>
      </c>
      <c r="F131" s="24" t="s">
        <v>6</v>
      </c>
      <c r="G131" t="str">
        <f t="shared" si="5"/>
        <v>Tak</v>
      </c>
    </row>
    <row r="132" spans="1:7" x14ac:dyDescent="0.25">
      <c r="A132" s="18">
        <v>131</v>
      </c>
      <c r="B132" s="19">
        <v>4</v>
      </c>
      <c r="C132">
        <v>4</v>
      </c>
      <c r="D132" t="str">
        <f t="shared" si="4"/>
        <v>Tak</v>
      </c>
      <c r="E132" t="s">
        <v>6</v>
      </c>
      <c r="F132" s="24" t="s">
        <v>6</v>
      </c>
      <c r="G132" t="str">
        <f t="shared" si="5"/>
        <v>Tak</v>
      </c>
    </row>
    <row r="133" spans="1:7" x14ac:dyDescent="0.25">
      <c r="A133" s="20">
        <v>132</v>
      </c>
      <c r="B133" s="21">
        <v>4</v>
      </c>
      <c r="C133">
        <v>4</v>
      </c>
      <c r="D133" t="str">
        <f t="shared" si="4"/>
        <v>Tak</v>
      </c>
      <c r="E133" t="s">
        <v>6</v>
      </c>
      <c r="F133" s="24" t="s">
        <v>6</v>
      </c>
      <c r="G133" t="str">
        <f t="shared" si="5"/>
        <v>Tak</v>
      </c>
    </row>
    <row r="134" spans="1:7" x14ac:dyDescent="0.25">
      <c r="A134" s="18">
        <v>133</v>
      </c>
      <c r="B134" s="19">
        <v>5</v>
      </c>
      <c r="C134">
        <v>5</v>
      </c>
      <c r="D134" t="str">
        <f t="shared" si="4"/>
        <v>Tak</v>
      </c>
      <c r="E134" t="s">
        <v>6</v>
      </c>
      <c r="F134" s="24" t="s">
        <v>6</v>
      </c>
      <c r="G134" t="str">
        <f t="shared" si="5"/>
        <v>Tak</v>
      </c>
    </row>
    <row r="135" spans="1:7" x14ac:dyDescent="0.25">
      <c r="A135" s="20">
        <v>134</v>
      </c>
      <c r="B135" s="21">
        <v>5</v>
      </c>
      <c r="C135">
        <v>5</v>
      </c>
      <c r="D135" t="str">
        <f t="shared" si="4"/>
        <v>Tak</v>
      </c>
      <c r="E135" t="s">
        <v>6</v>
      </c>
      <c r="F135" s="24" t="s">
        <v>6</v>
      </c>
      <c r="G135" t="str">
        <f t="shared" si="5"/>
        <v>Tak</v>
      </c>
    </row>
    <row r="136" spans="1:7" x14ac:dyDescent="0.25">
      <c r="A136" s="18">
        <v>135</v>
      </c>
      <c r="B136" s="19">
        <v>0</v>
      </c>
      <c r="C136">
        <v>0</v>
      </c>
      <c r="D136" t="str">
        <f t="shared" si="4"/>
        <v>Tak</v>
      </c>
      <c r="E136" t="s">
        <v>5</v>
      </c>
      <c r="F136" s="24" t="s">
        <v>5</v>
      </c>
      <c r="G136" t="str">
        <f t="shared" si="5"/>
        <v>Tak</v>
      </c>
    </row>
    <row r="137" spans="1:7" x14ac:dyDescent="0.25">
      <c r="A137" s="20">
        <v>136</v>
      </c>
      <c r="B137" s="21">
        <v>1</v>
      </c>
      <c r="C137">
        <v>1</v>
      </c>
      <c r="D137" t="str">
        <f t="shared" si="4"/>
        <v>Tak</v>
      </c>
      <c r="E137" t="s">
        <v>7</v>
      </c>
      <c r="F137" s="24" t="s">
        <v>7</v>
      </c>
      <c r="G137" t="str">
        <f t="shared" si="5"/>
        <v>Tak</v>
      </c>
    </row>
    <row r="138" spans="1:7" x14ac:dyDescent="0.25">
      <c r="A138" s="18">
        <v>137</v>
      </c>
      <c r="B138" s="19">
        <v>1</v>
      </c>
      <c r="C138">
        <v>1</v>
      </c>
      <c r="D138" t="str">
        <f t="shared" si="4"/>
        <v>Tak</v>
      </c>
      <c r="E138" t="s">
        <v>7</v>
      </c>
      <c r="F138" s="24" t="s">
        <v>7</v>
      </c>
      <c r="G138" t="str">
        <f t="shared" si="5"/>
        <v>Tak</v>
      </c>
    </row>
    <row r="139" spans="1:7" x14ac:dyDescent="0.25">
      <c r="A139" s="20">
        <v>138</v>
      </c>
      <c r="B139" s="21">
        <v>1</v>
      </c>
      <c r="C139">
        <v>1</v>
      </c>
      <c r="D139" t="str">
        <f t="shared" si="4"/>
        <v>Tak</v>
      </c>
      <c r="E139" t="s">
        <v>7</v>
      </c>
      <c r="F139" s="24" t="s">
        <v>7</v>
      </c>
      <c r="G139" t="str">
        <f t="shared" si="5"/>
        <v>Tak</v>
      </c>
    </row>
    <row r="140" spans="1:7" x14ac:dyDescent="0.25">
      <c r="A140" s="18">
        <v>139</v>
      </c>
      <c r="B140" s="19">
        <v>2</v>
      </c>
      <c r="C140">
        <v>2</v>
      </c>
      <c r="D140" t="str">
        <f t="shared" si="4"/>
        <v>Tak</v>
      </c>
      <c r="E140" t="s">
        <v>7</v>
      </c>
      <c r="F140" s="24" t="s">
        <v>7</v>
      </c>
      <c r="G140" t="str">
        <f t="shared" si="5"/>
        <v>Tak</v>
      </c>
    </row>
    <row r="141" spans="1:7" x14ac:dyDescent="0.25">
      <c r="A141" s="20">
        <v>140</v>
      </c>
      <c r="B141" s="21">
        <v>2</v>
      </c>
      <c r="C141">
        <v>2</v>
      </c>
      <c r="D141" t="str">
        <f t="shared" si="4"/>
        <v>Tak</v>
      </c>
      <c r="E141" t="s">
        <v>7</v>
      </c>
      <c r="F141" s="24" t="s">
        <v>7</v>
      </c>
      <c r="G141" t="str">
        <f t="shared" si="5"/>
        <v>Tak</v>
      </c>
    </row>
    <row r="142" spans="1:7" x14ac:dyDescent="0.25">
      <c r="A142" s="18">
        <v>141</v>
      </c>
      <c r="B142" s="19">
        <v>2</v>
      </c>
      <c r="C142">
        <v>2</v>
      </c>
      <c r="D142" t="str">
        <f t="shared" si="4"/>
        <v>Tak</v>
      </c>
      <c r="E142" t="s">
        <v>7</v>
      </c>
      <c r="F142" s="24" t="s">
        <v>7</v>
      </c>
      <c r="G142" t="str">
        <f t="shared" si="5"/>
        <v>Tak</v>
      </c>
    </row>
    <row r="143" spans="1:7" x14ac:dyDescent="0.25">
      <c r="A143" s="20">
        <v>142</v>
      </c>
      <c r="B143" s="21">
        <v>3</v>
      </c>
      <c r="C143">
        <v>3</v>
      </c>
      <c r="D143" t="str">
        <f t="shared" si="4"/>
        <v>Tak</v>
      </c>
      <c r="E143" t="s">
        <v>7</v>
      </c>
      <c r="F143" s="24" t="s">
        <v>7</v>
      </c>
      <c r="G143" t="str">
        <f t="shared" si="5"/>
        <v>Tak</v>
      </c>
    </row>
    <row r="144" spans="1:7" x14ac:dyDescent="0.25">
      <c r="A144" s="18">
        <v>143</v>
      </c>
      <c r="B144" s="19">
        <v>3</v>
      </c>
      <c r="C144">
        <v>3</v>
      </c>
      <c r="D144" t="str">
        <f t="shared" si="4"/>
        <v>Tak</v>
      </c>
      <c r="E144" t="s">
        <v>7</v>
      </c>
      <c r="F144" s="24" t="s">
        <v>7</v>
      </c>
      <c r="G144" t="str">
        <f t="shared" si="5"/>
        <v>Tak</v>
      </c>
    </row>
    <row r="145" spans="1:7" x14ac:dyDescent="0.25">
      <c r="A145" s="20">
        <v>144</v>
      </c>
      <c r="B145" s="21">
        <v>3</v>
      </c>
      <c r="C145">
        <v>3</v>
      </c>
      <c r="D145" t="str">
        <f t="shared" si="4"/>
        <v>Tak</v>
      </c>
      <c r="E145" t="s">
        <v>7</v>
      </c>
      <c r="F145" s="24" t="s">
        <v>7</v>
      </c>
      <c r="G145" t="str">
        <f t="shared" si="5"/>
        <v>Tak</v>
      </c>
    </row>
    <row r="146" spans="1:7" x14ac:dyDescent="0.25">
      <c r="A146" s="18">
        <v>145</v>
      </c>
      <c r="B146" s="19">
        <v>4</v>
      </c>
      <c r="C146">
        <v>4</v>
      </c>
      <c r="D146" t="str">
        <f t="shared" si="4"/>
        <v>Tak</v>
      </c>
      <c r="E146" t="s">
        <v>7</v>
      </c>
      <c r="F146" s="24" t="s">
        <v>7</v>
      </c>
      <c r="G146" t="str">
        <f t="shared" si="5"/>
        <v>Tak</v>
      </c>
    </row>
    <row r="147" spans="1:7" x14ac:dyDescent="0.25">
      <c r="A147" s="20">
        <v>146</v>
      </c>
      <c r="B147" s="21">
        <v>4</v>
      </c>
      <c r="C147">
        <v>4</v>
      </c>
      <c r="D147" t="str">
        <f t="shared" si="4"/>
        <v>Tak</v>
      </c>
      <c r="E147" t="s">
        <v>7</v>
      </c>
      <c r="F147" s="24" t="s">
        <v>7</v>
      </c>
      <c r="G147" t="str">
        <f t="shared" si="5"/>
        <v>Tak</v>
      </c>
    </row>
    <row r="148" spans="1:7" x14ac:dyDescent="0.25">
      <c r="A148" s="18">
        <v>147</v>
      </c>
      <c r="B148" s="19">
        <v>4</v>
      </c>
      <c r="C148">
        <v>4</v>
      </c>
      <c r="D148" t="str">
        <f t="shared" si="4"/>
        <v>Tak</v>
      </c>
      <c r="E148" t="s">
        <v>7</v>
      </c>
      <c r="F148" s="24" t="s">
        <v>7</v>
      </c>
      <c r="G148" t="str">
        <f t="shared" si="5"/>
        <v>Tak</v>
      </c>
    </row>
    <row r="149" spans="1:7" x14ac:dyDescent="0.25">
      <c r="A149" s="20">
        <v>148</v>
      </c>
      <c r="B149" s="21">
        <v>5</v>
      </c>
      <c r="C149">
        <v>5</v>
      </c>
      <c r="D149" t="str">
        <f t="shared" si="4"/>
        <v>Tak</v>
      </c>
      <c r="E149" t="s">
        <v>7</v>
      </c>
      <c r="F149" s="24" t="s">
        <v>7</v>
      </c>
      <c r="G149" t="str">
        <f t="shared" si="5"/>
        <v>Tak</v>
      </c>
    </row>
    <row r="150" spans="1:7" x14ac:dyDescent="0.25">
      <c r="A150" s="18">
        <v>149</v>
      </c>
      <c r="B150" s="19">
        <v>5</v>
      </c>
      <c r="C150">
        <v>5</v>
      </c>
      <c r="D150" t="str">
        <f t="shared" si="4"/>
        <v>Tak</v>
      </c>
      <c r="E150" t="s">
        <v>7</v>
      </c>
      <c r="F150" s="24" t="s">
        <v>7</v>
      </c>
      <c r="G150" t="str">
        <f t="shared" si="5"/>
        <v>Tak</v>
      </c>
    </row>
    <row r="151" spans="1:7" x14ac:dyDescent="0.25">
      <c r="A151" s="20">
        <v>150</v>
      </c>
      <c r="B151" s="21">
        <v>0</v>
      </c>
      <c r="C151">
        <v>0</v>
      </c>
      <c r="D151" t="str">
        <f t="shared" si="4"/>
        <v>Tak</v>
      </c>
      <c r="E151" t="s">
        <v>5</v>
      </c>
      <c r="F151" s="24" t="s">
        <v>5</v>
      </c>
      <c r="G151" t="str">
        <f t="shared" si="5"/>
        <v>Tak</v>
      </c>
    </row>
    <row r="152" spans="1:7" x14ac:dyDescent="0.25">
      <c r="A152" s="18">
        <v>151</v>
      </c>
      <c r="B152" s="19">
        <v>1</v>
      </c>
      <c r="C152">
        <v>1</v>
      </c>
      <c r="D152" t="str">
        <f t="shared" si="4"/>
        <v>Tak</v>
      </c>
      <c r="E152" t="s">
        <v>6</v>
      </c>
      <c r="F152" s="24" t="s">
        <v>6</v>
      </c>
      <c r="G152" t="str">
        <f t="shared" si="5"/>
        <v>Tak</v>
      </c>
    </row>
    <row r="153" spans="1:7" x14ac:dyDescent="0.25">
      <c r="A153" s="20">
        <v>152</v>
      </c>
      <c r="B153" s="21">
        <v>1</v>
      </c>
      <c r="C153">
        <v>1</v>
      </c>
      <c r="D153" t="str">
        <f t="shared" si="4"/>
        <v>Tak</v>
      </c>
      <c r="E153" t="s">
        <v>6</v>
      </c>
      <c r="F153" s="24" t="s">
        <v>6</v>
      </c>
      <c r="G153" t="str">
        <f t="shared" si="5"/>
        <v>Tak</v>
      </c>
    </row>
    <row r="154" spans="1:7" x14ac:dyDescent="0.25">
      <c r="A154" s="18">
        <v>153</v>
      </c>
      <c r="B154" s="19">
        <v>1</v>
      </c>
      <c r="C154">
        <v>1</v>
      </c>
      <c r="D154" t="str">
        <f t="shared" si="4"/>
        <v>Tak</v>
      </c>
      <c r="E154" t="s">
        <v>6</v>
      </c>
      <c r="F154" s="24" t="s">
        <v>6</v>
      </c>
      <c r="G154" t="str">
        <f t="shared" si="5"/>
        <v>Tak</v>
      </c>
    </row>
    <row r="155" spans="1:7" x14ac:dyDescent="0.25">
      <c r="A155" s="20">
        <v>154</v>
      </c>
      <c r="B155" s="21">
        <v>2</v>
      </c>
      <c r="C155">
        <v>2</v>
      </c>
      <c r="D155" t="str">
        <f t="shared" si="4"/>
        <v>Tak</v>
      </c>
      <c r="E155" t="s">
        <v>6</v>
      </c>
      <c r="F155" s="24" t="s">
        <v>6</v>
      </c>
      <c r="G155" t="str">
        <f t="shared" si="5"/>
        <v>Tak</v>
      </c>
    </row>
    <row r="156" spans="1:7" x14ac:dyDescent="0.25">
      <c r="A156" s="18">
        <v>155</v>
      </c>
      <c r="B156" s="19">
        <v>2</v>
      </c>
      <c r="C156">
        <v>2</v>
      </c>
      <c r="D156" t="str">
        <f t="shared" si="4"/>
        <v>Tak</v>
      </c>
      <c r="E156" t="s">
        <v>6</v>
      </c>
      <c r="F156" s="24" t="s">
        <v>6</v>
      </c>
      <c r="G156" t="str">
        <f t="shared" si="5"/>
        <v>Tak</v>
      </c>
    </row>
    <row r="157" spans="1:7" x14ac:dyDescent="0.25">
      <c r="A157" s="20">
        <v>156</v>
      </c>
      <c r="B157" s="21">
        <v>2</v>
      </c>
      <c r="C157">
        <v>2</v>
      </c>
      <c r="D157" t="str">
        <f t="shared" si="4"/>
        <v>Tak</v>
      </c>
      <c r="E157" t="s">
        <v>6</v>
      </c>
      <c r="F157" s="24" t="s">
        <v>6</v>
      </c>
      <c r="G157" t="str">
        <f t="shared" si="5"/>
        <v>Tak</v>
      </c>
    </row>
    <row r="158" spans="1:7" x14ac:dyDescent="0.25">
      <c r="A158" s="18">
        <v>157</v>
      </c>
      <c r="B158" s="19">
        <v>3</v>
      </c>
      <c r="C158">
        <v>3</v>
      </c>
      <c r="D158" t="str">
        <f t="shared" si="4"/>
        <v>Tak</v>
      </c>
      <c r="E158" t="s">
        <v>6</v>
      </c>
      <c r="F158" s="24" t="s">
        <v>6</v>
      </c>
      <c r="G158" t="str">
        <f t="shared" si="5"/>
        <v>Tak</v>
      </c>
    </row>
    <row r="159" spans="1:7" x14ac:dyDescent="0.25">
      <c r="A159" s="20">
        <v>158</v>
      </c>
      <c r="B159" s="21">
        <v>3</v>
      </c>
      <c r="C159">
        <v>3</v>
      </c>
      <c r="D159" t="str">
        <f t="shared" si="4"/>
        <v>Tak</v>
      </c>
      <c r="E159" t="s">
        <v>6</v>
      </c>
      <c r="F159" s="24" t="s">
        <v>6</v>
      </c>
      <c r="G159" t="str">
        <f t="shared" si="5"/>
        <v>Tak</v>
      </c>
    </row>
    <row r="160" spans="1:7" x14ac:dyDescent="0.25">
      <c r="A160" s="18">
        <v>159</v>
      </c>
      <c r="B160" s="19">
        <v>3</v>
      </c>
      <c r="C160">
        <v>3</v>
      </c>
      <c r="D160" t="str">
        <f t="shared" si="4"/>
        <v>Tak</v>
      </c>
      <c r="E160" t="s">
        <v>6</v>
      </c>
      <c r="F160" s="24" t="s">
        <v>6</v>
      </c>
      <c r="G160" t="str">
        <f t="shared" si="5"/>
        <v>Tak</v>
      </c>
    </row>
    <row r="161" spans="1:7" x14ac:dyDescent="0.25">
      <c r="A161" s="20">
        <v>160</v>
      </c>
      <c r="B161" s="21">
        <v>4</v>
      </c>
      <c r="C161">
        <v>4</v>
      </c>
      <c r="D161" t="str">
        <f t="shared" si="4"/>
        <v>Tak</v>
      </c>
      <c r="E161" t="s">
        <v>6</v>
      </c>
      <c r="F161" s="24" t="s">
        <v>6</v>
      </c>
      <c r="G161" t="str">
        <f t="shared" si="5"/>
        <v>Tak</v>
      </c>
    </row>
    <row r="162" spans="1:7" x14ac:dyDescent="0.25">
      <c r="A162" s="18">
        <v>161</v>
      </c>
      <c r="B162" s="19">
        <v>4</v>
      </c>
      <c r="C162">
        <v>4</v>
      </c>
      <c r="D162" t="str">
        <f t="shared" si="4"/>
        <v>Tak</v>
      </c>
      <c r="E162" t="s">
        <v>6</v>
      </c>
      <c r="F162" s="24" t="s">
        <v>6</v>
      </c>
      <c r="G162" t="str">
        <f t="shared" si="5"/>
        <v>Tak</v>
      </c>
    </row>
    <row r="163" spans="1:7" x14ac:dyDescent="0.25">
      <c r="A163" s="20">
        <v>162</v>
      </c>
      <c r="B163" s="21">
        <v>4</v>
      </c>
      <c r="C163">
        <v>4</v>
      </c>
      <c r="D163" t="str">
        <f t="shared" si="4"/>
        <v>Tak</v>
      </c>
      <c r="E163" t="s">
        <v>6</v>
      </c>
      <c r="F163" s="24" t="s">
        <v>6</v>
      </c>
      <c r="G163" t="str">
        <f t="shared" si="5"/>
        <v>Tak</v>
      </c>
    </row>
    <row r="164" spans="1:7" x14ac:dyDescent="0.25">
      <c r="A164" s="18">
        <v>163</v>
      </c>
      <c r="B164" s="19">
        <v>5</v>
      </c>
      <c r="C164">
        <v>5</v>
      </c>
      <c r="D164" t="str">
        <f t="shared" si="4"/>
        <v>Tak</v>
      </c>
      <c r="E164" t="s">
        <v>6</v>
      </c>
      <c r="F164" s="24" t="s">
        <v>6</v>
      </c>
      <c r="G164" t="str">
        <f t="shared" si="5"/>
        <v>Tak</v>
      </c>
    </row>
    <row r="165" spans="1:7" x14ac:dyDescent="0.25">
      <c r="A165" s="20">
        <v>164</v>
      </c>
      <c r="B165" s="21">
        <v>0</v>
      </c>
      <c r="C165">
        <v>0</v>
      </c>
      <c r="D165" t="str">
        <f t="shared" si="4"/>
        <v>Tak</v>
      </c>
      <c r="E165" t="s">
        <v>5</v>
      </c>
      <c r="F165" s="24" t="s">
        <v>5</v>
      </c>
      <c r="G165" t="str">
        <f t="shared" si="5"/>
        <v>Tak</v>
      </c>
    </row>
    <row r="166" spans="1:7" x14ac:dyDescent="0.25">
      <c r="A166" s="18">
        <v>165</v>
      </c>
      <c r="B166" s="19">
        <v>1</v>
      </c>
      <c r="C166">
        <v>1</v>
      </c>
      <c r="D166" t="str">
        <f t="shared" si="4"/>
        <v>Tak</v>
      </c>
      <c r="E166" t="s">
        <v>7</v>
      </c>
      <c r="F166" s="24" t="s">
        <v>6</v>
      </c>
      <c r="G166" t="str">
        <f t="shared" si="5"/>
        <v>Nie</v>
      </c>
    </row>
    <row r="167" spans="1:7" x14ac:dyDescent="0.25">
      <c r="A167" s="20">
        <v>166</v>
      </c>
      <c r="B167" s="21">
        <v>1</v>
      </c>
      <c r="C167">
        <v>1</v>
      </c>
      <c r="D167" t="str">
        <f t="shared" si="4"/>
        <v>Tak</v>
      </c>
      <c r="E167" t="s">
        <v>7</v>
      </c>
      <c r="F167" s="24" t="s">
        <v>6</v>
      </c>
      <c r="G167" t="str">
        <f t="shared" si="5"/>
        <v>Nie</v>
      </c>
    </row>
    <row r="168" spans="1:7" x14ac:dyDescent="0.25">
      <c r="A168" s="18">
        <v>167</v>
      </c>
      <c r="B168" s="19">
        <v>1</v>
      </c>
      <c r="C168">
        <v>1</v>
      </c>
      <c r="D168" t="str">
        <f t="shared" si="4"/>
        <v>Tak</v>
      </c>
      <c r="E168" t="s">
        <v>7</v>
      </c>
      <c r="F168" s="24" t="s">
        <v>6</v>
      </c>
      <c r="G168" t="str">
        <f t="shared" si="5"/>
        <v>Nie</v>
      </c>
    </row>
    <row r="169" spans="1:7" x14ac:dyDescent="0.25">
      <c r="A169" s="20">
        <v>168</v>
      </c>
      <c r="B169" s="21">
        <v>2</v>
      </c>
      <c r="C169">
        <v>2</v>
      </c>
      <c r="D169" t="str">
        <f t="shared" si="4"/>
        <v>Tak</v>
      </c>
      <c r="E169" t="s">
        <v>7</v>
      </c>
      <c r="F169" s="24" t="s">
        <v>6</v>
      </c>
      <c r="G169" t="str">
        <f t="shared" si="5"/>
        <v>Nie</v>
      </c>
    </row>
    <row r="170" spans="1:7" x14ac:dyDescent="0.25">
      <c r="A170" s="18">
        <v>169</v>
      </c>
      <c r="B170" s="19">
        <v>2</v>
      </c>
      <c r="C170">
        <v>2</v>
      </c>
      <c r="D170" t="str">
        <f t="shared" si="4"/>
        <v>Tak</v>
      </c>
      <c r="E170" t="s">
        <v>7</v>
      </c>
      <c r="F170" s="24" t="s">
        <v>6</v>
      </c>
      <c r="G170" t="str">
        <f t="shared" si="5"/>
        <v>Nie</v>
      </c>
    </row>
    <row r="171" spans="1:7" x14ac:dyDescent="0.25">
      <c r="A171" s="20">
        <v>170</v>
      </c>
      <c r="B171" s="21">
        <v>2</v>
      </c>
      <c r="C171">
        <v>2</v>
      </c>
      <c r="D171" t="str">
        <f t="shared" si="4"/>
        <v>Tak</v>
      </c>
      <c r="E171" t="s">
        <v>7</v>
      </c>
      <c r="F171" s="24" t="s">
        <v>6</v>
      </c>
      <c r="G171" t="str">
        <f t="shared" si="5"/>
        <v>Nie</v>
      </c>
    </row>
    <row r="172" spans="1:7" x14ac:dyDescent="0.25">
      <c r="A172" s="18">
        <v>171</v>
      </c>
      <c r="B172" s="19">
        <v>3</v>
      </c>
      <c r="C172">
        <v>3</v>
      </c>
      <c r="D172" t="str">
        <f t="shared" si="4"/>
        <v>Tak</v>
      </c>
      <c r="E172" t="s">
        <v>7</v>
      </c>
      <c r="F172" s="24" t="s">
        <v>6</v>
      </c>
      <c r="G172" t="str">
        <f t="shared" si="5"/>
        <v>Nie</v>
      </c>
    </row>
    <row r="173" spans="1:7" x14ac:dyDescent="0.25">
      <c r="A173" s="20">
        <v>172</v>
      </c>
      <c r="B173" s="21">
        <v>3</v>
      </c>
      <c r="C173">
        <v>3</v>
      </c>
      <c r="D173" t="str">
        <f t="shared" si="4"/>
        <v>Tak</v>
      </c>
      <c r="E173" t="s">
        <v>7</v>
      </c>
      <c r="F173" s="24" t="s">
        <v>6</v>
      </c>
      <c r="G173" t="str">
        <f t="shared" si="5"/>
        <v>Nie</v>
      </c>
    </row>
    <row r="174" spans="1:7" x14ac:dyDescent="0.25">
      <c r="A174" s="18">
        <v>173</v>
      </c>
      <c r="B174" s="19">
        <v>3</v>
      </c>
      <c r="C174">
        <v>3</v>
      </c>
      <c r="D174" t="str">
        <f t="shared" si="4"/>
        <v>Tak</v>
      </c>
      <c r="E174" t="s">
        <v>7</v>
      </c>
      <c r="F174" s="24" t="s">
        <v>6</v>
      </c>
      <c r="G174" t="str">
        <f t="shared" si="5"/>
        <v>Nie</v>
      </c>
    </row>
    <row r="175" spans="1:7" x14ac:dyDescent="0.25">
      <c r="A175" s="20">
        <v>174</v>
      </c>
      <c r="B175" s="21">
        <v>4</v>
      </c>
      <c r="C175">
        <v>4</v>
      </c>
      <c r="D175" t="str">
        <f t="shared" si="4"/>
        <v>Tak</v>
      </c>
      <c r="E175" t="s">
        <v>7</v>
      </c>
      <c r="F175" s="24" t="s">
        <v>6</v>
      </c>
      <c r="G175" t="str">
        <f t="shared" si="5"/>
        <v>Nie</v>
      </c>
    </row>
    <row r="176" spans="1:7" x14ac:dyDescent="0.25">
      <c r="A176" s="18">
        <v>175</v>
      </c>
      <c r="B176" s="19">
        <v>4</v>
      </c>
      <c r="C176">
        <v>4</v>
      </c>
      <c r="D176" t="str">
        <f t="shared" si="4"/>
        <v>Tak</v>
      </c>
      <c r="E176" t="s">
        <v>7</v>
      </c>
      <c r="F176" s="24" t="s">
        <v>6</v>
      </c>
      <c r="G176" t="str">
        <f t="shared" si="5"/>
        <v>Nie</v>
      </c>
    </row>
    <row r="177" spans="1:7" x14ac:dyDescent="0.25">
      <c r="A177" s="20">
        <v>176</v>
      </c>
      <c r="B177" s="21">
        <v>4</v>
      </c>
      <c r="C177">
        <v>4</v>
      </c>
      <c r="D177" t="str">
        <f t="shared" si="4"/>
        <v>Tak</v>
      </c>
      <c r="E177" t="s">
        <v>7</v>
      </c>
      <c r="F177" s="24" t="s">
        <v>6</v>
      </c>
      <c r="G177" t="str">
        <f t="shared" si="5"/>
        <v>Nie</v>
      </c>
    </row>
    <row r="178" spans="1:7" x14ac:dyDescent="0.25">
      <c r="A178" s="18">
        <v>177</v>
      </c>
      <c r="B178" s="19">
        <v>5</v>
      </c>
      <c r="C178">
        <v>5</v>
      </c>
      <c r="D178" t="str">
        <f t="shared" si="4"/>
        <v>Tak</v>
      </c>
      <c r="E178" t="s">
        <v>7</v>
      </c>
      <c r="F178" s="24" t="s">
        <v>6</v>
      </c>
      <c r="G178" t="str">
        <f t="shared" si="5"/>
        <v>Nie</v>
      </c>
    </row>
    <row r="179" spans="1:7" x14ac:dyDescent="0.25">
      <c r="A179" s="20">
        <v>178</v>
      </c>
      <c r="B179" s="21">
        <v>0</v>
      </c>
      <c r="C179">
        <v>0</v>
      </c>
      <c r="D179" t="str">
        <f t="shared" si="4"/>
        <v>Tak</v>
      </c>
      <c r="E179" t="s">
        <v>5</v>
      </c>
      <c r="F179" s="24" t="s">
        <v>5</v>
      </c>
      <c r="G179" t="str">
        <f t="shared" si="5"/>
        <v>Tak</v>
      </c>
    </row>
    <row r="180" spans="1:7" x14ac:dyDescent="0.25">
      <c r="A180" s="18">
        <v>179</v>
      </c>
      <c r="B180" s="19">
        <v>1</v>
      </c>
      <c r="C180">
        <v>1</v>
      </c>
      <c r="D180" t="str">
        <f t="shared" si="4"/>
        <v>Tak</v>
      </c>
      <c r="E180" t="s">
        <v>6</v>
      </c>
      <c r="F180" s="24" t="s">
        <v>6</v>
      </c>
      <c r="G180" t="str">
        <f t="shared" si="5"/>
        <v>Tak</v>
      </c>
    </row>
    <row r="181" spans="1:7" x14ac:dyDescent="0.25">
      <c r="A181" s="20">
        <v>180</v>
      </c>
      <c r="B181" s="21">
        <v>1</v>
      </c>
      <c r="C181">
        <v>1</v>
      </c>
      <c r="D181" t="str">
        <f t="shared" si="4"/>
        <v>Tak</v>
      </c>
      <c r="E181" t="s">
        <v>6</v>
      </c>
      <c r="F181" s="24" t="s">
        <v>6</v>
      </c>
      <c r="G181" t="str">
        <f t="shared" si="5"/>
        <v>Tak</v>
      </c>
    </row>
    <row r="182" spans="1:7" x14ac:dyDescent="0.25">
      <c r="A182" s="18">
        <v>181</v>
      </c>
      <c r="B182" s="19">
        <v>1</v>
      </c>
      <c r="C182">
        <v>1</v>
      </c>
      <c r="D182" t="str">
        <f t="shared" si="4"/>
        <v>Tak</v>
      </c>
      <c r="E182" t="s">
        <v>6</v>
      </c>
      <c r="F182" s="24" t="s">
        <v>6</v>
      </c>
      <c r="G182" t="str">
        <f t="shared" si="5"/>
        <v>Tak</v>
      </c>
    </row>
    <row r="183" spans="1:7" x14ac:dyDescent="0.25">
      <c r="A183" s="20">
        <v>182</v>
      </c>
      <c r="B183" s="21">
        <v>2</v>
      </c>
      <c r="C183">
        <v>2</v>
      </c>
      <c r="D183" t="str">
        <f t="shared" si="4"/>
        <v>Tak</v>
      </c>
      <c r="E183" t="s">
        <v>6</v>
      </c>
      <c r="F183" s="24" t="s">
        <v>6</v>
      </c>
      <c r="G183" t="str">
        <f t="shared" si="5"/>
        <v>Tak</v>
      </c>
    </row>
    <row r="184" spans="1:7" x14ac:dyDescent="0.25">
      <c r="A184" s="18">
        <v>183</v>
      </c>
      <c r="B184" s="19">
        <v>2</v>
      </c>
      <c r="C184">
        <v>2</v>
      </c>
      <c r="D184" t="str">
        <f t="shared" si="4"/>
        <v>Tak</v>
      </c>
      <c r="E184" t="s">
        <v>6</v>
      </c>
      <c r="F184" s="24" t="s">
        <v>6</v>
      </c>
      <c r="G184" t="str">
        <f t="shared" si="5"/>
        <v>Tak</v>
      </c>
    </row>
    <row r="185" spans="1:7" x14ac:dyDescent="0.25">
      <c r="A185" s="20">
        <v>184</v>
      </c>
      <c r="B185" s="21">
        <v>2</v>
      </c>
      <c r="C185">
        <v>2</v>
      </c>
      <c r="D185" t="str">
        <f t="shared" si="4"/>
        <v>Tak</v>
      </c>
      <c r="E185" t="s">
        <v>6</v>
      </c>
      <c r="F185" s="24" t="s">
        <v>6</v>
      </c>
      <c r="G185" t="str">
        <f t="shared" si="5"/>
        <v>Tak</v>
      </c>
    </row>
    <row r="186" spans="1:7" x14ac:dyDescent="0.25">
      <c r="A186" s="18">
        <v>185</v>
      </c>
      <c r="B186" s="19">
        <v>3</v>
      </c>
      <c r="C186">
        <v>3</v>
      </c>
      <c r="D186" t="str">
        <f t="shared" si="4"/>
        <v>Tak</v>
      </c>
      <c r="E186" t="s">
        <v>6</v>
      </c>
      <c r="F186" s="24" t="s">
        <v>6</v>
      </c>
      <c r="G186" t="str">
        <f t="shared" si="5"/>
        <v>Tak</v>
      </c>
    </row>
    <row r="187" spans="1:7" x14ac:dyDescent="0.25">
      <c r="A187" s="20">
        <v>186</v>
      </c>
      <c r="B187" s="21">
        <v>3</v>
      </c>
      <c r="C187">
        <v>3</v>
      </c>
      <c r="D187" t="str">
        <f t="shared" si="4"/>
        <v>Tak</v>
      </c>
      <c r="E187" t="s">
        <v>6</v>
      </c>
      <c r="F187" s="24" t="s">
        <v>6</v>
      </c>
      <c r="G187" t="str">
        <f t="shared" si="5"/>
        <v>Tak</v>
      </c>
    </row>
    <row r="188" spans="1:7" x14ac:dyDescent="0.25">
      <c r="A188" s="18">
        <v>187</v>
      </c>
      <c r="B188" s="19">
        <v>3</v>
      </c>
      <c r="C188">
        <v>3</v>
      </c>
      <c r="D188" t="str">
        <f t="shared" si="4"/>
        <v>Tak</v>
      </c>
      <c r="E188" t="s">
        <v>6</v>
      </c>
      <c r="F188" s="24" t="s">
        <v>6</v>
      </c>
      <c r="G188" t="str">
        <f t="shared" si="5"/>
        <v>Tak</v>
      </c>
    </row>
    <row r="189" spans="1:7" x14ac:dyDescent="0.25">
      <c r="A189" s="20">
        <v>188</v>
      </c>
      <c r="B189" s="21">
        <v>4</v>
      </c>
      <c r="C189">
        <v>4</v>
      </c>
      <c r="D189" t="str">
        <f t="shared" si="4"/>
        <v>Tak</v>
      </c>
      <c r="E189" t="s">
        <v>6</v>
      </c>
      <c r="F189" s="24" t="s">
        <v>6</v>
      </c>
      <c r="G189" t="str">
        <f t="shared" si="5"/>
        <v>Tak</v>
      </c>
    </row>
    <row r="190" spans="1:7" x14ac:dyDescent="0.25">
      <c r="A190" s="18">
        <v>189</v>
      </c>
      <c r="B190" s="19">
        <v>4</v>
      </c>
      <c r="C190">
        <v>4</v>
      </c>
      <c r="D190" t="str">
        <f t="shared" si="4"/>
        <v>Tak</v>
      </c>
      <c r="E190" t="s">
        <v>6</v>
      </c>
      <c r="F190" s="24" t="s">
        <v>6</v>
      </c>
      <c r="G190" t="str">
        <f t="shared" si="5"/>
        <v>Tak</v>
      </c>
    </row>
    <row r="191" spans="1:7" x14ac:dyDescent="0.25">
      <c r="A191" s="20">
        <v>190</v>
      </c>
      <c r="B191" s="21">
        <v>4</v>
      </c>
      <c r="C191">
        <v>4</v>
      </c>
      <c r="D191" t="str">
        <f t="shared" si="4"/>
        <v>Tak</v>
      </c>
      <c r="E191" t="s">
        <v>6</v>
      </c>
      <c r="F191" s="24" t="s">
        <v>6</v>
      </c>
      <c r="G191" t="str">
        <f t="shared" si="5"/>
        <v>Tak</v>
      </c>
    </row>
    <row r="192" spans="1:7" x14ac:dyDescent="0.25">
      <c r="A192" s="18">
        <v>191</v>
      </c>
      <c r="B192" s="19">
        <v>5</v>
      </c>
      <c r="C192">
        <v>5</v>
      </c>
      <c r="D192" t="str">
        <f t="shared" si="4"/>
        <v>Tak</v>
      </c>
      <c r="E192" t="s">
        <v>6</v>
      </c>
      <c r="F192" s="24" t="s">
        <v>6</v>
      </c>
      <c r="G192" t="str">
        <f t="shared" si="5"/>
        <v>Tak</v>
      </c>
    </row>
    <row r="193" spans="1:7" x14ac:dyDescent="0.25">
      <c r="A193" s="20">
        <v>192</v>
      </c>
      <c r="B193" s="21">
        <v>0</v>
      </c>
      <c r="C193">
        <v>0</v>
      </c>
      <c r="D193" t="str">
        <f t="shared" si="4"/>
        <v>Tak</v>
      </c>
      <c r="E193" t="s">
        <v>5</v>
      </c>
      <c r="F193" s="24" t="s">
        <v>5</v>
      </c>
      <c r="G193" t="str">
        <f t="shared" si="5"/>
        <v>Tak</v>
      </c>
    </row>
    <row r="194" spans="1:7" x14ac:dyDescent="0.25">
      <c r="A194" s="18">
        <v>193</v>
      </c>
      <c r="B194" s="19">
        <v>1</v>
      </c>
      <c r="C194">
        <v>1</v>
      </c>
      <c r="D194" t="str">
        <f t="shared" ref="D194:D257" si="6">IF(B194=C194,"Tak","Nie")</f>
        <v>Tak</v>
      </c>
      <c r="E194" t="s">
        <v>7</v>
      </c>
      <c r="F194" s="24" t="s">
        <v>7</v>
      </c>
      <c r="G194" t="str">
        <f t="shared" ref="G194:G257" si="7">IF(E194=F194,"Tak","Nie")</f>
        <v>Tak</v>
      </c>
    </row>
    <row r="195" spans="1:7" x14ac:dyDescent="0.25">
      <c r="A195" s="20">
        <v>194</v>
      </c>
      <c r="B195" s="21">
        <v>1</v>
      </c>
      <c r="C195">
        <v>1</v>
      </c>
      <c r="D195" t="str">
        <f t="shared" si="6"/>
        <v>Tak</v>
      </c>
      <c r="E195" t="s">
        <v>7</v>
      </c>
      <c r="F195" s="24" t="s">
        <v>7</v>
      </c>
      <c r="G195" t="str">
        <f t="shared" si="7"/>
        <v>Tak</v>
      </c>
    </row>
    <row r="196" spans="1:7" x14ac:dyDescent="0.25">
      <c r="A196" s="18">
        <v>195</v>
      </c>
      <c r="B196" s="19">
        <v>1</v>
      </c>
      <c r="C196">
        <v>1</v>
      </c>
      <c r="D196" t="str">
        <f t="shared" si="6"/>
        <v>Tak</v>
      </c>
      <c r="E196" t="s">
        <v>7</v>
      </c>
      <c r="F196" s="24" t="s">
        <v>7</v>
      </c>
      <c r="G196" t="str">
        <f t="shared" si="7"/>
        <v>Tak</v>
      </c>
    </row>
    <row r="197" spans="1:7" x14ac:dyDescent="0.25">
      <c r="A197" s="20">
        <v>196</v>
      </c>
      <c r="B197" s="21">
        <v>2</v>
      </c>
      <c r="C197">
        <v>2</v>
      </c>
      <c r="D197" t="str">
        <f t="shared" si="6"/>
        <v>Tak</v>
      </c>
      <c r="E197" t="s">
        <v>7</v>
      </c>
      <c r="F197" s="24" t="s">
        <v>7</v>
      </c>
      <c r="G197" t="str">
        <f t="shared" si="7"/>
        <v>Tak</v>
      </c>
    </row>
    <row r="198" spans="1:7" x14ac:dyDescent="0.25">
      <c r="A198" s="18">
        <v>197</v>
      </c>
      <c r="B198" s="19">
        <v>2</v>
      </c>
      <c r="C198">
        <v>2</v>
      </c>
      <c r="D198" t="str">
        <f t="shared" si="6"/>
        <v>Tak</v>
      </c>
      <c r="E198" t="s">
        <v>7</v>
      </c>
      <c r="F198" s="24" t="s">
        <v>7</v>
      </c>
      <c r="G198" t="str">
        <f t="shared" si="7"/>
        <v>Tak</v>
      </c>
    </row>
    <row r="199" spans="1:7" x14ac:dyDescent="0.25">
      <c r="A199" s="20">
        <v>198</v>
      </c>
      <c r="B199" s="21">
        <v>2</v>
      </c>
      <c r="C199">
        <v>2</v>
      </c>
      <c r="D199" t="str">
        <f t="shared" si="6"/>
        <v>Tak</v>
      </c>
      <c r="E199" t="s">
        <v>7</v>
      </c>
      <c r="F199" s="24" t="s">
        <v>7</v>
      </c>
      <c r="G199" t="str">
        <f t="shared" si="7"/>
        <v>Tak</v>
      </c>
    </row>
    <row r="200" spans="1:7" x14ac:dyDescent="0.25">
      <c r="A200" s="18">
        <v>199</v>
      </c>
      <c r="B200" s="19">
        <v>3</v>
      </c>
      <c r="C200">
        <v>3</v>
      </c>
      <c r="D200" t="str">
        <f t="shared" si="6"/>
        <v>Tak</v>
      </c>
      <c r="E200" t="s">
        <v>7</v>
      </c>
      <c r="F200" s="24" t="s">
        <v>7</v>
      </c>
      <c r="G200" t="str">
        <f t="shared" si="7"/>
        <v>Tak</v>
      </c>
    </row>
    <row r="201" spans="1:7" x14ac:dyDescent="0.25">
      <c r="A201" s="20">
        <v>200</v>
      </c>
      <c r="B201" s="21">
        <v>3</v>
      </c>
      <c r="C201">
        <v>3</v>
      </c>
      <c r="D201" t="str">
        <f t="shared" si="6"/>
        <v>Tak</v>
      </c>
      <c r="E201" t="s">
        <v>7</v>
      </c>
      <c r="F201" s="24" t="s">
        <v>7</v>
      </c>
      <c r="G201" t="str">
        <f t="shared" si="7"/>
        <v>Tak</v>
      </c>
    </row>
    <row r="202" spans="1:7" x14ac:dyDescent="0.25">
      <c r="A202" s="18">
        <v>201</v>
      </c>
      <c r="B202" s="19">
        <v>3</v>
      </c>
      <c r="C202">
        <v>3</v>
      </c>
      <c r="D202" t="str">
        <f t="shared" si="6"/>
        <v>Tak</v>
      </c>
      <c r="E202" t="s">
        <v>7</v>
      </c>
      <c r="F202" s="24" t="s">
        <v>7</v>
      </c>
      <c r="G202" t="str">
        <f t="shared" si="7"/>
        <v>Tak</v>
      </c>
    </row>
    <row r="203" spans="1:7" x14ac:dyDescent="0.25">
      <c r="A203" s="20">
        <v>202</v>
      </c>
      <c r="B203" s="21">
        <v>4</v>
      </c>
      <c r="C203">
        <v>4</v>
      </c>
      <c r="D203" t="str">
        <f t="shared" si="6"/>
        <v>Tak</v>
      </c>
      <c r="E203" t="s">
        <v>7</v>
      </c>
      <c r="F203" s="24" t="s">
        <v>7</v>
      </c>
      <c r="G203" t="str">
        <f t="shared" si="7"/>
        <v>Tak</v>
      </c>
    </row>
    <row r="204" spans="1:7" x14ac:dyDescent="0.25">
      <c r="A204" s="18">
        <v>203</v>
      </c>
      <c r="B204" s="19">
        <v>4</v>
      </c>
      <c r="C204">
        <v>4</v>
      </c>
      <c r="D204" t="str">
        <f t="shared" si="6"/>
        <v>Tak</v>
      </c>
      <c r="E204" t="s">
        <v>7</v>
      </c>
      <c r="F204" s="24" t="s">
        <v>7</v>
      </c>
      <c r="G204" t="str">
        <f t="shared" si="7"/>
        <v>Tak</v>
      </c>
    </row>
    <row r="205" spans="1:7" x14ac:dyDescent="0.25">
      <c r="A205" s="20">
        <v>204</v>
      </c>
      <c r="B205" s="21">
        <v>4</v>
      </c>
      <c r="C205">
        <v>4</v>
      </c>
      <c r="D205" t="str">
        <f t="shared" si="6"/>
        <v>Tak</v>
      </c>
      <c r="E205" t="s">
        <v>7</v>
      </c>
      <c r="F205" s="24" t="s">
        <v>7</v>
      </c>
      <c r="G205" t="str">
        <f t="shared" si="7"/>
        <v>Tak</v>
      </c>
    </row>
    <row r="206" spans="1:7" x14ac:dyDescent="0.25">
      <c r="A206" s="18">
        <v>205</v>
      </c>
      <c r="B206" s="19">
        <v>5</v>
      </c>
      <c r="C206">
        <v>5</v>
      </c>
      <c r="D206" t="str">
        <f t="shared" si="6"/>
        <v>Tak</v>
      </c>
      <c r="E206" t="s">
        <v>7</v>
      </c>
      <c r="F206" s="24" t="s">
        <v>7</v>
      </c>
      <c r="G206" t="str">
        <f t="shared" si="7"/>
        <v>Tak</v>
      </c>
    </row>
    <row r="207" spans="1:7" x14ac:dyDescent="0.25">
      <c r="A207" s="20">
        <v>206</v>
      </c>
      <c r="B207" s="21">
        <v>5</v>
      </c>
      <c r="C207">
        <v>5</v>
      </c>
      <c r="D207" t="str">
        <f t="shared" si="6"/>
        <v>Tak</v>
      </c>
      <c r="E207" t="s">
        <v>7</v>
      </c>
      <c r="F207" s="24" t="s">
        <v>7</v>
      </c>
      <c r="G207" t="str">
        <f t="shared" si="7"/>
        <v>Tak</v>
      </c>
    </row>
    <row r="208" spans="1:7" x14ac:dyDescent="0.25">
      <c r="A208" s="18">
        <v>207</v>
      </c>
      <c r="B208" s="19">
        <v>5</v>
      </c>
      <c r="C208">
        <v>5</v>
      </c>
      <c r="D208" t="str">
        <f t="shared" si="6"/>
        <v>Tak</v>
      </c>
      <c r="E208" t="s">
        <v>7</v>
      </c>
      <c r="F208" s="24" t="s">
        <v>7</v>
      </c>
      <c r="G208" t="str">
        <f t="shared" si="7"/>
        <v>Tak</v>
      </c>
    </row>
    <row r="209" spans="1:7" x14ac:dyDescent="0.25">
      <c r="A209" s="20">
        <v>208</v>
      </c>
      <c r="B209" s="21">
        <v>5</v>
      </c>
      <c r="C209">
        <v>5</v>
      </c>
      <c r="D209" t="str">
        <f t="shared" si="6"/>
        <v>Tak</v>
      </c>
      <c r="E209" t="s">
        <v>7</v>
      </c>
      <c r="F209" s="24" t="s">
        <v>7</v>
      </c>
      <c r="G209" t="str">
        <f t="shared" si="7"/>
        <v>Tak</v>
      </c>
    </row>
    <row r="210" spans="1:7" x14ac:dyDescent="0.25">
      <c r="A210" s="18">
        <v>209</v>
      </c>
      <c r="B210" s="19">
        <v>5</v>
      </c>
      <c r="C210">
        <v>5</v>
      </c>
      <c r="D210" t="str">
        <f t="shared" si="6"/>
        <v>Tak</v>
      </c>
      <c r="E210" t="s">
        <v>7</v>
      </c>
      <c r="F210" s="24" t="s">
        <v>7</v>
      </c>
      <c r="G210" t="str">
        <f t="shared" si="7"/>
        <v>Tak</v>
      </c>
    </row>
    <row r="211" spans="1:7" x14ac:dyDescent="0.25">
      <c r="A211" s="20">
        <v>210</v>
      </c>
      <c r="B211" s="21">
        <v>5</v>
      </c>
      <c r="C211">
        <v>5</v>
      </c>
      <c r="D211" t="str">
        <f t="shared" si="6"/>
        <v>Tak</v>
      </c>
      <c r="E211" t="s">
        <v>7</v>
      </c>
      <c r="F211" s="24" t="s">
        <v>7</v>
      </c>
      <c r="G211" t="str">
        <f t="shared" si="7"/>
        <v>Tak</v>
      </c>
    </row>
    <row r="212" spans="1:7" x14ac:dyDescent="0.25">
      <c r="A212" s="18">
        <v>211</v>
      </c>
      <c r="B212" s="19">
        <v>0</v>
      </c>
      <c r="C212">
        <v>0</v>
      </c>
      <c r="D212" t="str">
        <f t="shared" si="6"/>
        <v>Tak</v>
      </c>
      <c r="E212" t="s">
        <v>5</v>
      </c>
      <c r="F212" s="24" t="s">
        <v>5</v>
      </c>
      <c r="G212" t="str">
        <f t="shared" si="7"/>
        <v>Tak</v>
      </c>
    </row>
    <row r="213" spans="1:7" x14ac:dyDescent="0.25">
      <c r="A213" s="20">
        <v>212</v>
      </c>
      <c r="B213" s="21">
        <v>1</v>
      </c>
      <c r="C213">
        <v>1</v>
      </c>
      <c r="D213" t="str">
        <f t="shared" si="6"/>
        <v>Tak</v>
      </c>
      <c r="E213" t="s">
        <v>6</v>
      </c>
      <c r="F213" s="24" t="s">
        <v>6</v>
      </c>
      <c r="G213" t="str">
        <f t="shared" si="7"/>
        <v>Tak</v>
      </c>
    </row>
    <row r="214" spans="1:7" x14ac:dyDescent="0.25">
      <c r="A214" s="18">
        <v>213</v>
      </c>
      <c r="B214" s="19">
        <v>1</v>
      </c>
      <c r="C214">
        <v>1</v>
      </c>
      <c r="D214" t="str">
        <f t="shared" si="6"/>
        <v>Tak</v>
      </c>
      <c r="E214" t="s">
        <v>6</v>
      </c>
      <c r="F214" s="24" t="s">
        <v>6</v>
      </c>
      <c r="G214" t="str">
        <f t="shared" si="7"/>
        <v>Tak</v>
      </c>
    </row>
    <row r="215" spans="1:7" x14ac:dyDescent="0.25">
      <c r="A215" s="20">
        <v>214</v>
      </c>
      <c r="B215" s="21">
        <v>1</v>
      </c>
      <c r="C215">
        <v>1</v>
      </c>
      <c r="D215" t="str">
        <f t="shared" si="6"/>
        <v>Tak</v>
      </c>
      <c r="E215" t="s">
        <v>6</v>
      </c>
      <c r="F215" s="24" t="s">
        <v>6</v>
      </c>
      <c r="G215" t="str">
        <f t="shared" si="7"/>
        <v>Tak</v>
      </c>
    </row>
    <row r="216" spans="1:7" x14ac:dyDescent="0.25">
      <c r="A216" s="18">
        <v>215</v>
      </c>
      <c r="B216" s="19">
        <v>1</v>
      </c>
      <c r="C216">
        <v>2</v>
      </c>
      <c r="D216" t="str">
        <f t="shared" si="6"/>
        <v>Nie</v>
      </c>
      <c r="E216" t="s">
        <v>6</v>
      </c>
      <c r="F216" s="24" t="s">
        <v>6</v>
      </c>
      <c r="G216" t="str">
        <f t="shared" si="7"/>
        <v>Tak</v>
      </c>
    </row>
    <row r="217" spans="1:7" x14ac:dyDescent="0.25">
      <c r="A217" s="20">
        <v>216</v>
      </c>
      <c r="B217" s="21">
        <v>2</v>
      </c>
      <c r="C217">
        <v>2</v>
      </c>
      <c r="D217" t="str">
        <f t="shared" si="6"/>
        <v>Tak</v>
      </c>
      <c r="E217" t="s">
        <v>6</v>
      </c>
      <c r="F217" s="24" t="s">
        <v>6</v>
      </c>
      <c r="G217" t="str">
        <f t="shared" si="7"/>
        <v>Tak</v>
      </c>
    </row>
    <row r="218" spans="1:7" x14ac:dyDescent="0.25">
      <c r="A218" s="18">
        <v>217</v>
      </c>
      <c r="B218" s="19">
        <v>2</v>
      </c>
      <c r="C218">
        <v>2</v>
      </c>
      <c r="D218" t="str">
        <f t="shared" si="6"/>
        <v>Tak</v>
      </c>
      <c r="E218" t="s">
        <v>6</v>
      </c>
      <c r="F218" s="24" t="s">
        <v>6</v>
      </c>
      <c r="G218" t="str">
        <f t="shared" si="7"/>
        <v>Tak</v>
      </c>
    </row>
    <row r="219" spans="1:7" x14ac:dyDescent="0.25">
      <c r="A219" s="20">
        <v>218</v>
      </c>
      <c r="B219" s="21">
        <v>3</v>
      </c>
      <c r="C219">
        <v>3</v>
      </c>
      <c r="D219" t="str">
        <f t="shared" si="6"/>
        <v>Tak</v>
      </c>
      <c r="E219" t="s">
        <v>6</v>
      </c>
      <c r="F219" s="24" t="s">
        <v>6</v>
      </c>
      <c r="G219" t="str">
        <f t="shared" si="7"/>
        <v>Tak</v>
      </c>
    </row>
    <row r="220" spans="1:7" x14ac:dyDescent="0.25">
      <c r="A220" s="18">
        <v>219</v>
      </c>
      <c r="B220" s="19">
        <v>3</v>
      </c>
      <c r="C220">
        <v>3</v>
      </c>
      <c r="D220" t="str">
        <f t="shared" si="6"/>
        <v>Tak</v>
      </c>
      <c r="E220" t="s">
        <v>6</v>
      </c>
      <c r="F220" s="24" t="s">
        <v>6</v>
      </c>
      <c r="G220" t="str">
        <f t="shared" si="7"/>
        <v>Tak</v>
      </c>
    </row>
    <row r="221" spans="1:7" x14ac:dyDescent="0.25">
      <c r="A221" s="20">
        <v>220</v>
      </c>
      <c r="B221" s="21">
        <v>3</v>
      </c>
      <c r="C221">
        <v>3</v>
      </c>
      <c r="D221" t="str">
        <f t="shared" si="6"/>
        <v>Tak</v>
      </c>
      <c r="E221" t="s">
        <v>6</v>
      </c>
      <c r="F221" s="24" t="s">
        <v>6</v>
      </c>
      <c r="G221" t="str">
        <f t="shared" si="7"/>
        <v>Tak</v>
      </c>
    </row>
    <row r="222" spans="1:7" x14ac:dyDescent="0.25">
      <c r="A222" s="18">
        <v>221</v>
      </c>
      <c r="B222" s="19">
        <v>4</v>
      </c>
      <c r="C222">
        <v>4</v>
      </c>
      <c r="D222" t="str">
        <f t="shared" si="6"/>
        <v>Tak</v>
      </c>
      <c r="E222" t="s">
        <v>6</v>
      </c>
      <c r="F222" s="24" t="s">
        <v>6</v>
      </c>
      <c r="G222" t="str">
        <f t="shared" si="7"/>
        <v>Tak</v>
      </c>
    </row>
    <row r="223" spans="1:7" x14ac:dyDescent="0.25">
      <c r="A223" s="20">
        <v>222</v>
      </c>
      <c r="B223" s="21">
        <v>4</v>
      </c>
      <c r="C223">
        <v>4</v>
      </c>
      <c r="D223" t="str">
        <f t="shared" si="6"/>
        <v>Tak</v>
      </c>
      <c r="E223" t="s">
        <v>6</v>
      </c>
      <c r="F223" s="24" t="s">
        <v>6</v>
      </c>
      <c r="G223" t="str">
        <f t="shared" si="7"/>
        <v>Tak</v>
      </c>
    </row>
    <row r="224" spans="1:7" x14ac:dyDescent="0.25">
      <c r="A224" s="18">
        <v>223</v>
      </c>
      <c r="B224" s="19">
        <v>4</v>
      </c>
      <c r="C224">
        <v>4</v>
      </c>
      <c r="D224" t="str">
        <f t="shared" si="6"/>
        <v>Tak</v>
      </c>
      <c r="E224" t="s">
        <v>6</v>
      </c>
      <c r="F224" s="24" t="s">
        <v>6</v>
      </c>
      <c r="G224" t="str">
        <f t="shared" si="7"/>
        <v>Tak</v>
      </c>
    </row>
    <row r="225" spans="1:7" x14ac:dyDescent="0.25">
      <c r="A225" s="20">
        <v>224</v>
      </c>
      <c r="B225" s="21">
        <v>5</v>
      </c>
      <c r="C225">
        <v>5</v>
      </c>
      <c r="D225" t="str">
        <f t="shared" si="6"/>
        <v>Tak</v>
      </c>
      <c r="E225" t="s">
        <v>6</v>
      </c>
      <c r="F225" s="24" t="s">
        <v>6</v>
      </c>
      <c r="G225" t="str">
        <f t="shared" si="7"/>
        <v>Tak</v>
      </c>
    </row>
    <row r="226" spans="1:7" x14ac:dyDescent="0.25">
      <c r="A226" s="18">
        <v>225</v>
      </c>
      <c r="B226" s="19">
        <v>5</v>
      </c>
      <c r="C226">
        <v>5</v>
      </c>
      <c r="D226" t="str">
        <f t="shared" si="6"/>
        <v>Tak</v>
      </c>
      <c r="E226" t="s">
        <v>6</v>
      </c>
      <c r="F226" s="24" t="s">
        <v>6</v>
      </c>
      <c r="G226" t="str">
        <f t="shared" si="7"/>
        <v>Tak</v>
      </c>
    </row>
    <row r="227" spans="1:7" x14ac:dyDescent="0.25">
      <c r="A227" s="20">
        <v>226</v>
      </c>
      <c r="B227" s="21">
        <v>0</v>
      </c>
      <c r="C227">
        <v>0</v>
      </c>
      <c r="D227" t="str">
        <f t="shared" si="6"/>
        <v>Tak</v>
      </c>
      <c r="E227" t="s">
        <v>5</v>
      </c>
      <c r="F227" s="24" t="s">
        <v>5</v>
      </c>
      <c r="G227" t="str">
        <f t="shared" si="7"/>
        <v>Tak</v>
      </c>
    </row>
    <row r="228" spans="1:7" x14ac:dyDescent="0.25">
      <c r="A228" s="18">
        <v>227</v>
      </c>
      <c r="B228" s="19">
        <v>1</v>
      </c>
      <c r="C228">
        <v>1</v>
      </c>
      <c r="D228" t="str">
        <f t="shared" si="6"/>
        <v>Tak</v>
      </c>
      <c r="E228" t="s">
        <v>7</v>
      </c>
      <c r="F228" s="24" t="s">
        <v>7</v>
      </c>
      <c r="G228" t="str">
        <f t="shared" si="7"/>
        <v>Tak</v>
      </c>
    </row>
    <row r="229" spans="1:7" x14ac:dyDescent="0.25">
      <c r="A229" s="20">
        <v>228</v>
      </c>
      <c r="B229" s="21">
        <v>1</v>
      </c>
      <c r="C229">
        <v>1</v>
      </c>
      <c r="D229" t="str">
        <f t="shared" si="6"/>
        <v>Tak</v>
      </c>
      <c r="E229" t="s">
        <v>7</v>
      </c>
      <c r="F229" s="24" t="s">
        <v>7</v>
      </c>
      <c r="G229" t="str">
        <f t="shared" si="7"/>
        <v>Tak</v>
      </c>
    </row>
    <row r="230" spans="1:7" x14ac:dyDescent="0.25">
      <c r="A230" s="18">
        <v>229</v>
      </c>
      <c r="B230" s="19">
        <v>1</v>
      </c>
      <c r="C230">
        <v>1</v>
      </c>
      <c r="D230" t="str">
        <f t="shared" si="6"/>
        <v>Tak</v>
      </c>
      <c r="E230" t="s">
        <v>7</v>
      </c>
      <c r="F230" s="24" t="s">
        <v>7</v>
      </c>
      <c r="G230" t="str">
        <f t="shared" si="7"/>
        <v>Tak</v>
      </c>
    </row>
    <row r="231" spans="1:7" x14ac:dyDescent="0.25">
      <c r="A231" s="20">
        <v>230</v>
      </c>
      <c r="B231" s="21">
        <v>2</v>
      </c>
      <c r="C231">
        <v>2</v>
      </c>
      <c r="D231" t="str">
        <f t="shared" si="6"/>
        <v>Tak</v>
      </c>
      <c r="E231" t="s">
        <v>7</v>
      </c>
      <c r="F231" s="24" t="s">
        <v>7</v>
      </c>
      <c r="G231" t="str">
        <f t="shared" si="7"/>
        <v>Tak</v>
      </c>
    </row>
    <row r="232" spans="1:7" x14ac:dyDescent="0.25">
      <c r="A232" s="18">
        <v>231</v>
      </c>
      <c r="B232" s="19">
        <v>2</v>
      </c>
      <c r="C232">
        <v>2</v>
      </c>
      <c r="D232" t="str">
        <f t="shared" si="6"/>
        <v>Tak</v>
      </c>
      <c r="E232" t="s">
        <v>7</v>
      </c>
      <c r="F232" s="24" t="s">
        <v>7</v>
      </c>
      <c r="G232" t="str">
        <f t="shared" si="7"/>
        <v>Tak</v>
      </c>
    </row>
    <row r="233" spans="1:7" x14ac:dyDescent="0.25">
      <c r="A233" s="20">
        <v>232</v>
      </c>
      <c r="B233" s="21">
        <v>2</v>
      </c>
      <c r="C233">
        <v>2</v>
      </c>
      <c r="D233" t="str">
        <f t="shared" si="6"/>
        <v>Tak</v>
      </c>
      <c r="E233" t="s">
        <v>7</v>
      </c>
      <c r="F233" s="24" t="s">
        <v>7</v>
      </c>
      <c r="G233" t="str">
        <f t="shared" si="7"/>
        <v>Tak</v>
      </c>
    </row>
    <row r="234" spans="1:7" x14ac:dyDescent="0.25">
      <c r="A234" s="18">
        <v>233</v>
      </c>
      <c r="B234" s="19">
        <v>3</v>
      </c>
      <c r="C234">
        <v>3</v>
      </c>
      <c r="D234" t="str">
        <f t="shared" si="6"/>
        <v>Tak</v>
      </c>
      <c r="E234" t="s">
        <v>7</v>
      </c>
      <c r="F234" s="24" t="s">
        <v>7</v>
      </c>
      <c r="G234" t="str">
        <f t="shared" si="7"/>
        <v>Tak</v>
      </c>
    </row>
    <row r="235" spans="1:7" x14ac:dyDescent="0.25">
      <c r="A235" s="20">
        <v>234</v>
      </c>
      <c r="B235" s="21">
        <v>3</v>
      </c>
      <c r="C235">
        <v>3</v>
      </c>
      <c r="D235" t="str">
        <f t="shared" si="6"/>
        <v>Tak</v>
      </c>
      <c r="E235" t="s">
        <v>7</v>
      </c>
      <c r="F235" s="24" t="s">
        <v>7</v>
      </c>
      <c r="G235" t="str">
        <f t="shared" si="7"/>
        <v>Tak</v>
      </c>
    </row>
    <row r="236" spans="1:7" x14ac:dyDescent="0.25">
      <c r="A236" s="18">
        <v>235</v>
      </c>
      <c r="B236" s="19">
        <v>3</v>
      </c>
      <c r="C236">
        <v>3</v>
      </c>
      <c r="D236" t="str">
        <f t="shared" si="6"/>
        <v>Tak</v>
      </c>
      <c r="E236" t="s">
        <v>7</v>
      </c>
      <c r="F236" s="24" t="s">
        <v>7</v>
      </c>
      <c r="G236" t="str">
        <f t="shared" si="7"/>
        <v>Tak</v>
      </c>
    </row>
    <row r="237" spans="1:7" x14ac:dyDescent="0.25">
      <c r="A237" s="20">
        <v>236</v>
      </c>
      <c r="B237" s="21">
        <v>4</v>
      </c>
      <c r="C237">
        <v>4</v>
      </c>
      <c r="D237" t="str">
        <f t="shared" si="6"/>
        <v>Tak</v>
      </c>
      <c r="E237" t="s">
        <v>7</v>
      </c>
      <c r="F237" s="24" t="s">
        <v>7</v>
      </c>
      <c r="G237" t="str">
        <f t="shared" si="7"/>
        <v>Tak</v>
      </c>
    </row>
    <row r="238" spans="1:7" x14ac:dyDescent="0.25">
      <c r="A238" s="18">
        <v>237</v>
      </c>
      <c r="B238" s="19">
        <v>4</v>
      </c>
      <c r="C238">
        <v>4</v>
      </c>
      <c r="D238" t="str">
        <f t="shared" si="6"/>
        <v>Tak</v>
      </c>
      <c r="E238" t="s">
        <v>7</v>
      </c>
      <c r="F238" s="24" t="s">
        <v>7</v>
      </c>
      <c r="G238" t="str">
        <f t="shared" si="7"/>
        <v>Tak</v>
      </c>
    </row>
    <row r="239" spans="1:7" x14ac:dyDescent="0.25">
      <c r="A239" s="20">
        <v>238</v>
      </c>
      <c r="B239" s="21">
        <v>4</v>
      </c>
      <c r="C239">
        <v>4</v>
      </c>
      <c r="D239" t="str">
        <f t="shared" si="6"/>
        <v>Tak</v>
      </c>
      <c r="E239" t="s">
        <v>7</v>
      </c>
      <c r="F239" s="24" t="s">
        <v>7</v>
      </c>
      <c r="G239" t="str">
        <f t="shared" si="7"/>
        <v>Tak</v>
      </c>
    </row>
    <row r="240" spans="1:7" x14ac:dyDescent="0.25">
      <c r="A240" s="18">
        <v>239</v>
      </c>
      <c r="B240" s="19">
        <v>5</v>
      </c>
      <c r="C240">
        <v>5</v>
      </c>
      <c r="D240" t="str">
        <f t="shared" si="6"/>
        <v>Tak</v>
      </c>
      <c r="E240" t="s">
        <v>7</v>
      </c>
      <c r="F240" s="24" t="s">
        <v>7</v>
      </c>
      <c r="G240" t="str">
        <f t="shared" si="7"/>
        <v>Tak</v>
      </c>
    </row>
    <row r="241" spans="1:7" x14ac:dyDescent="0.25">
      <c r="A241" s="20">
        <v>240</v>
      </c>
      <c r="B241" s="21">
        <v>0</v>
      </c>
      <c r="C241">
        <v>0</v>
      </c>
      <c r="D241" t="str">
        <f t="shared" si="6"/>
        <v>Tak</v>
      </c>
      <c r="E241" t="s">
        <v>5</v>
      </c>
      <c r="F241" s="24" t="s">
        <v>5</v>
      </c>
      <c r="G241" t="str">
        <f t="shared" si="7"/>
        <v>Tak</v>
      </c>
    </row>
    <row r="242" spans="1:7" x14ac:dyDescent="0.25">
      <c r="A242" s="18">
        <v>241</v>
      </c>
      <c r="B242" s="19">
        <v>1</v>
      </c>
      <c r="C242">
        <v>1</v>
      </c>
      <c r="D242" t="str">
        <f t="shared" si="6"/>
        <v>Tak</v>
      </c>
      <c r="E242" t="s">
        <v>7</v>
      </c>
      <c r="F242" s="24" t="s">
        <v>7</v>
      </c>
      <c r="G242" t="str">
        <f t="shared" si="7"/>
        <v>Tak</v>
      </c>
    </row>
    <row r="243" spans="1:7" x14ac:dyDescent="0.25">
      <c r="A243" s="20">
        <v>242</v>
      </c>
      <c r="B243" s="21">
        <v>1</v>
      </c>
      <c r="C243">
        <v>1</v>
      </c>
      <c r="D243" t="str">
        <f t="shared" si="6"/>
        <v>Tak</v>
      </c>
      <c r="E243" t="s">
        <v>7</v>
      </c>
      <c r="F243" s="24" t="s">
        <v>7</v>
      </c>
      <c r="G243" t="str">
        <f t="shared" si="7"/>
        <v>Tak</v>
      </c>
    </row>
    <row r="244" spans="1:7" x14ac:dyDescent="0.25">
      <c r="A244" s="18">
        <v>243</v>
      </c>
      <c r="B244" s="19">
        <v>1</v>
      </c>
      <c r="C244">
        <v>1</v>
      </c>
      <c r="D244" t="str">
        <f t="shared" si="6"/>
        <v>Tak</v>
      </c>
      <c r="E244" t="s">
        <v>7</v>
      </c>
      <c r="F244" s="24" t="s">
        <v>7</v>
      </c>
      <c r="G244" t="str">
        <f t="shared" si="7"/>
        <v>Tak</v>
      </c>
    </row>
    <row r="245" spans="1:7" x14ac:dyDescent="0.25">
      <c r="A245" s="20">
        <v>244</v>
      </c>
      <c r="B245" s="21">
        <v>2</v>
      </c>
      <c r="C245">
        <v>2</v>
      </c>
      <c r="D245" t="str">
        <f t="shared" si="6"/>
        <v>Tak</v>
      </c>
      <c r="E245" t="s">
        <v>7</v>
      </c>
      <c r="F245" s="24" t="s">
        <v>7</v>
      </c>
      <c r="G245" t="str">
        <f t="shared" si="7"/>
        <v>Tak</v>
      </c>
    </row>
    <row r="246" spans="1:7" x14ac:dyDescent="0.25">
      <c r="A246" s="18">
        <v>245</v>
      </c>
      <c r="B246" s="19">
        <v>2</v>
      </c>
      <c r="C246">
        <v>2</v>
      </c>
      <c r="D246" t="str">
        <f t="shared" si="6"/>
        <v>Tak</v>
      </c>
      <c r="E246" t="s">
        <v>7</v>
      </c>
      <c r="F246" s="24" t="s">
        <v>7</v>
      </c>
      <c r="G246" t="str">
        <f t="shared" si="7"/>
        <v>Tak</v>
      </c>
    </row>
    <row r="247" spans="1:7" x14ac:dyDescent="0.25">
      <c r="A247" s="20">
        <v>246</v>
      </c>
      <c r="B247" s="21">
        <v>2</v>
      </c>
      <c r="C247">
        <v>2</v>
      </c>
      <c r="D247" t="str">
        <f t="shared" si="6"/>
        <v>Tak</v>
      </c>
      <c r="E247" t="s">
        <v>7</v>
      </c>
      <c r="F247" s="24" t="s">
        <v>7</v>
      </c>
      <c r="G247" t="str">
        <f t="shared" si="7"/>
        <v>Tak</v>
      </c>
    </row>
    <row r="248" spans="1:7" x14ac:dyDescent="0.25">
      <c r="A248" s="18">
        <v>247</v>
      </c>
      <c r="B248" s="19">
        <v>3</v>
      </c>
      <c r="C248">
        <v>3</v>
      </c>
      <c r="D248" t="str">
        <f t="shared" si="6"/>
        <v>Tak</v>
      </c>
      <c r="E248" t="s">
        <v>7</v>
      </c>
      <c r="F248" s="24" t="s">
        <v>7</v>
      </c>
      <c r="G248" t="str">
        <f t="shared" si="7"/>
        <v>Tak</v>
      </c>
    </row>
    <row r="249" spans="1:7" x14ac:dyDescent="0.25">
      <c r="A249" s="20">
        <v>248</v>
      </c>
      <c r="B249" s="21">
        <v>3</v>
      </c>
      <c r="C249">
        <v>3</v>
      </c>
      <c r="D249" t="str">
        <f t="shared" si="6"/>
        <v>Tak</v>
      </c>
      <c r="E249" t="s">
        <v>7</v>
      </c>
      <c r="F249" s="24" t="s">
        <v>7</v>
      </c>
      <c r="G249" t="str">
        <f t="shared" si="7"/>
        <v>Tak</v>
      </c>
    </row>
    <row r="250" spans="1:7" x14ac:dyDescent="0.25">
      <c r="A250" s="18">
        <v>249</v>
      </c>
      <c r="B250" s="19">
        <v>3</v>
      </c>
      <c r="C250">
        <v>3</v>
      </c>
      <c r="D250" t="str">
        <f t="shared" si="6"/>
        <v>Tak</v>
      </c>
      <c r="E250" t="s">
        <v>7</v>
      </c>
      <c r="F250" s="24" t="s">
        <v>7</v>
      </c>
      <c r="G250" t="str">
        <f t="shared" si="7"/>
        <v>Tak</v>
      </c>
    </row>
    <row r="251" spans="1:7" x14ac:dyDescent="0.25">
      <c r="A251" s="20">
        <v>250</v>
      </c>
      <c r="B251" s="21">
        <v>4</v>
      </c>
      <c r="C251">
        <v>4</v>
      </c>
      <c r="D251" t="str">
        <f t="shared" si="6"/>
        <v>Tak</v>
      </c>
      <c r="E251" t="s">
        <v>7</v>
      </c>
      <c r="F251" s="24" t="s">
        <v>7</v>
      </c>
      <c r="G251" t="str">
        <f t="shared" si="7"/>
        <v>Tak</v>
      </c>
    </row>
    <row r="252" spans="1:7" x14ac:dyDescent="0.25">
      <c r="A252" s="18">
        <v>251</v>
      </c>
      <c r="B252" s="19">
        <v>4</v>
      </c>
      <c r="C252">
        <v>4</v>
      </c>
      <c r="D252" t="str">
        <f t="shared" si="6"/>
        <v>Tak</v>
      </c>
      <c r="E252" t="s">
        <v>7</v>
      </c>
      <c r="F252" s="24" t="s">
        <v>7</v>
      </c>
      <c r="G252" t="str">
        <f t="shared" si="7"/>
        <v>Tak</v>
      </c>
    </row>
    <row r="253" spans="1:7" x14ac:dyDescent="0.25">
      <c r="A253" s="20">
        <v>252</v>
      </c>
      <c r="B253" s="21">
        <v>4</v>
      </c>
      <c r="C253">
        <v>4</v>
      </c>
      <c r="D253" t="str">
        <f t="shared" si="6"/>
        <v>Tak</v>
      </c>
      <c r="E253" t="s">
        <v>7</v>
      </c>
      <c r="F253" s="24" t="s">
        <v>7</v>
      </c>
      <c r="G253" t="str">
        <f t="shared" si="7"/>
        <v>Tak</v>
      </c>
    </row>
    <row r="254" spans="1:7" x14ac:dyDescent="0.25">
      <c r="A254" s="18">
        <v>253</v>
      </c>
      <c r="B254" s="19">
        <v>5</v>
      </c>
      <c r="C254">
        <v>5</v>
      </c>
      <c r="D254" t="str">
        <f t="shared" si="6"/>
        <v>Tak</v>
      </c>
      <c r="E254" t="s">
        <v>7</v>
      </c>
      <c r="F254" s="24" t="s">
        <v>7</v>
      </c>
      <c r="G254" t="str">
        <f t="shared" si="7"/>
        <v>Tak</v>
      </c>
    </row>
    <row r="255" spans="1:7" x14ac:dyDescent="0.25">
      <c r="A255" s="20">
        <v>254</v>
      </c>
      <c r="B255" s="21">
        <v>0</v>
      </c>
      <c r="C255">
        <v>0</v>
      </c>
      <c r="D255" t="str">
        <f t="shared" si="6"/>
        <v>Tak</v>
      </c>
      <c r="E255" t="s">
        <v>5</v>
      </c>
      <c r="F255" s="24" t="s">
        <v>5</v>
      </c>
      <c r="G255" t="str">
        <f t="shared" si="7"/>
        <v>Tak</v>
      </c>
    </row>
    <row r="256" spans="1:7" x14ac:dyDescent="0.25">
      <c r="A256" s="18">
        <v>255</v>
      </c>
      <c r="B256" s="19">
        <v>1</v>
      </c>
      <c r="C256">
        <v>1</v>
      </c>
      <c r="D256" t="str">
        <f t="shared" si="6"/>
        <v>Tak</v>
      </c>
      <c r="E256" t="s">
        <v>6</v>
      </c>
      <c r="F256" s="24" t="s">
        <v>6</v>
      </c>
      <c r="G256" t="str">
        <f t="shared" si="7"/>
        <v>Tak</v>
      </c>
    </row>
    <row r="257" spans="1:7" x14ac:dyDescent="0.25">
      <c r="A257" s="20">
        <v>256</v>
      </c>
      <c r="B257" s="21">
        <v>1</v>
      </c>
      <c r="C257">
        <v>1</v>
      </c>
      <c r="D257" t="str">
        <f t="shared" si="6"/>
        <v>Tak</v>
      </c>
      <c r="E257" t="s">
        <v>6</v>
      </c>
      <c r="F257" s="24" t="s">
        <v>6</v>
      </c>
      <c r="G257" t="str">
        <f t="shared" si="7"/>
        <v>Tak</v>
      </c>
    </row>
    <row r="258" spans="1:7" x14ac:dyDescent="0.25">
      <c r="A258" s="18">
        <v>257</v>
      </c>
      <c r="B258" s="19">
        <v>1</v>
      </c>
      <c r="C258">
        <v>1</v>
      </c>
      <c r="D258" t="str">
        <f t="shared" ref="D258:D321" si="8">IF(B258=C258,"Tak","Nie")</f>
        <v>Tak</v>
      </c>
      <c r="E258" t="s">
        <v>6</v>
      </c>
      <c r="F258" s="24" t="s">
        <v>6</v>
      </c>
      <c r="G258" t="str">
        <f t="shared" ref="G258:G321" si="9">IF(E258=F258,"Tak","Nie")</f>
        <v>Tak</v>
      </c>
    </row>
    <row r="259" spans="1:7" x14ac:dyDescent="0.25">
      <c r="A259" s="20">
        <v>258</v>
      </c>
      <c r="B259" s="21">
        <v>2</v>
      </c>
      <c r="C259">
        <v>2</v>
      </c>
      <c r="D259" t="str">
        <f t="shared" si="8"/>
        <v>Tak</v>
      </c>
      <c r="E259" t="s">
        <v>6</v>
      </c>
      <c r="F259" s="24" t="s">
        <v>6</v>
      </c>
      <c r="G259" t="str">
        <f t="shared" si="9"/>
        <v>Tak</v>
      </c>
    </row>
    <row r="260" spans="1:7" x14ac:dyDescent="0.25">
      <c r="A260" s="18">
        <v>259</v>
      </c>
      <c r="B260" s="19">
        <v>2</v>
      </c>
      <c r="C260">
        <v>2</v>
      </c>
      <c r="D260" t="str">
        <f t="shared" si="8"/>
        <v>Tak</v>
      </c>
      <c r="E260" t="s">
        <v>6</v>
      </c>
      <c r="F260" s="24" t="s">
        <v>6</v>
      </c>
      <c r="G260" t="str">
        <f t="shared" si="9"/>
        <v>Tak</v>
      </c>
    </row>
    <row r="261" spans="1:7" x14ac:dyDescent="0.25">
      <c r="A261" s="20">
        <v>260</v>
      </c>
      <c r="B261" s="21">
        <v>2</v>
      </c>
      <c r="C261">
        <v>2</v>
      </c>
      <c r="D261" t="str">
        <f t="shared" si="8"/>
        <v>Tak</v>
      </c>
      <c r="E261" t="s">
        <v>6</v>
      </c>
      <c r="F261" s="24" t="s">
        <v>6</v>
      </c>
      <c r="G261" t="str">
        <f t="shared" si="9"/>
        <v>Tak</v>
      </c>
    </row>
    <row r="262" spans="1:7" x14ac:dyDescent="0.25">
      <c r="A262" s="18">
        <v>261</v>
      </c>
      <c r="B262" s="19">
        <v>3</v>
      </c>
      <c r="C262">
        <v>3</v>
      </c>
      <c r="D262" t="str">
        <f t="shared" si="8"/>
        <v>Tak</v>
      </c>
      <c r="E262" t="s">
        <v>6</v>
      </c>
      <c r="F262" s="24" t="s">
        <v>6</v>
      </c>
      <c r="G262" t="str">
        <f t="shared" si="9"/>
        <v>Tak</v>
      </c>
    </row>
    <row r="263" spans="1:7" x14ac:dyDescent="0.25">
      <c r="A263" s="20">
        <v>262</v>
      </c>
      <c r="B263" s="21">
        <v>3</v>
      </c>
      <c r="C263">
        <v>3</v>
      </c>
      <c r="D263" t="str">
        <f t="shared" si="8"/>
        <v>Tak</v>
      </c>
      <c r="E263" t="s">
        <v>6</v>
      </c>
      <c r="F263" s="24" t="s">
        <v>6</v>
      </c>
      <c r="G263" t="str">
        <f t="shared" si="9"/>
        <v>Tak</v>
      </c>
    </row>
    <row r="264" spans="1:7" x14ac:dyDescent="0.25">
      <c r="A264" s="18">
        <v>263</v>
      </c>
      <c r="B264" s="19">
        <v>3</v>
      </c>
      <c r="C264">
        <v>3</v>
      </c>
      <c r="D264" t="str">
        <f t="shared" si="8"/>
        <v>Tak</v>
      </c>
      <c r="E264" t="s">
        <v>6</v>
      </c>
      <c r="F264" s="24" t="s">
        <v>6</v>
      </c>
      <c r="G264" t="str">
        <f t="shared" si="9"/>
        <v>Tak</v>
      </c>
    </row>
    <row r="265" spans="1:7" x14ac:dyDescent="0.25">
      <c r="A265" s="20">
        <v>264</v>
      </c>
      <c r="B265" s="21">
        <v>4</v>
      </c>
      <c r="C265">
        <v>4</v>
      </c>
      <c r="D265" t="str">
        <f t="shared" si="8"/>
        <v>Tak</v>
      </c>
      <c r="E265" t="s">
        <v>6</v>
      </c>
      <c r="F265" s="24" t="s">
        <v>6</v>
      </c>
      <c r="G265" t="str">
        <f t="shared" si="9"/>
        <v>Tak</v>
      </c>
    </row>
    <row r="266" spans="1:7" x14ac:dyDescent="0.25">
      <c r="A266" s="18">
        <v>265</v>
      </c>
      <c r="B266" s="19">
        <v>4</v>
      </c>
      <c r="C266">
        <v>4</v>
      </c>
      <c r="D266" t="str">
        <f t="shared" si="8"/>
        <v>Tak</v>
      </c>
      <c r="E266" t="s">
        <v>6</v>
      </c>
      <c r="F266" s="24" t="s">
        <v>6</v>
      </c>
      <c r="G266" t="str">
        <f t="shared" si="9"/>
        <v>Tak</v>
      </c>
    </row>
    <row r="267" spans="1:7" x14ac:dyDescent="0.25">
      <c r="A267" s="20">
        <v>266</v>
      </c>
      <c r="B267" s="21">
        <v>4</v>
      </c>
      <c r="C267">
        <v>4</v>
      </c>
      <c r="D267" t="str">
        <f t="shared" si="8"/>
        <v>Tak</v>
      </c>
      <c r="E267" t="s">
        <v>6</v>
      </c>
      <c r="F267" s="24" t="s">
        <v>6</v>
      </c>
      <c r="G267" t="str">
        <f t="shared" si="9"/>
        <v>Tak</v>
      </c>
    </row>
    <row r="268" spans="1:7" x14ac:dyDescent="0.25">
      <c r="A268" s="18">
        <v>267</v>
      </c>
      <c r="B268" s="19">
        <v>5</v>
      </c>
      <c r="C268">
        <v>5</v>
      </c>
      <c r="D268" t="str">
        <f t="shared" si="8"/>
        <v>Tak</v>
      </c>
      <c r="E268" t="s">
        <v>6</v>
      </c>
      <c r="F268" s="24" t="s">
        <v>6</v>
      </c>
      <c r="G268" t="str">
        <f t="shared" si="9"/>
        <v>Tak</v>
      </c>
    </row>
    <row r="269" spans="1:7" x14ac:dyDescent="0.25">
      <c r="A269" s="20">
        <v>268</v>
      </c>
      <c r="B269" s="21">
        <v>0</v>
      </c>
      <c r="C269">
        <v>0</v>
      </c>
      <c r="D269" t="str">
        <f t="shared" si="8"/>
        <v>Tak</v>
      </c>
      <c r="E269" t="s">
        <v>5</v>
      </c>
      <c r="F269" s="24" t="s">
        <v>5</v>
      </c>
      <c r="G269" t="str">
        <f t="shared" si="9"/>
        <v>Tak</v>
      </c>
    </row>
    <row r="270" spans="1:7" x14ac:dyDescent="0.25">
      <c r="A270" s="18">
        <v>269</v>
      </c>
      <c r="B270" s="19">
        <v>1</v>
      </c>
      <c r="C270">
        <v>1</v>
      </c>
      <c r="D270" t="str">
        <f t="shared" si="8"/>
        <v>Tak</v>
      </c>
      <c r="E270" t="s">
        <v>6</v>
      </c>
      <c r="F270" s="24" t="s">
        <v>6</v>
      </c>
      <c r="G270" t="str">
        <f t="shared" si="9"/>
        <v>Tak</v>
      </c>
    </row>
    <row r="271" spans="1:7" x14ac:dyDescent="0.25">
      <c r="A271" s="20">
        <v>270</v>
      </c>
      <c r="B271" s="21">
        <v>1</v>
      </c>
      <c r="C271">
        <v>1</v>
      </c>
      <c r="D271" t="str">
        <f t="shared" si="8"/>
        <v>Tak</v>
      </c>
      <c r="E271" t="s">
        <v>6</v>
      </c>
      <c r="F271" s="24" t="s">
        <v>6</v>
      </c>
      <c r="G271" t="str">
        <f t="shared" si="9"/>
        <v>Tak</v>
      </c>
    </row>
    <row r="272" spans="1:7" x14ac:dyDescent="0.25">
      <c r="A272" s="18">
        <v>271</v>
      </c>
      <c r="B272" s="19">
        <v>1</v>
      </c>
      <c r="C272">
        <v>1</v>
      </c>
      <c r="D272" t="str">
        <f t="shared" si="8"/>
        <v>Tak</v>
      </c>
      <c r="E272" t="s">
        <v>6</v>
      </c>
      <c r="F272" s="24" t="s">
        <v>6</v>
      </c>
      <c r="G272" t="str">
        <f t="shared" si="9"/>
        <v>Tak</v>
      </c>
    </row>
    <row r="273" spans="1:7" x14ac:dyDescent="0.25">
      <c r="A273" s="20">
        <v>272</v>
      </c>
      <c r="B273" s="21">
        <v>2</v>
      </c>
      <c r="C273">
        <v>2</v>
      </c>
      <c r="D273" t="str">
        <f t="shared" si="8"/>
        <v>Tak</v>
      </c>
      <c r="E273" t="s">
        <v>6</v>
      </c>
      <c r="F273" s="24" t="s">
        <v>6</v>
      </c>
      <c r="G273" t="str">
        <f t="shared" si="9"/>
        <v>Tak</v>
      </c>
    </row>
    <row r="274" spans="1:7" x14ac:dyDescent="0.25">
      <c r="A274" s="18">
        <v>273</v>
      </c>
      <c r="B274" s="19">
        <v>2</v>
      </c>
      <c r="C274">
        <v>2</v>
      </c>
      <c r="D274" t="str">
        <f t="shared" si="8"/>
        <v>Tak</v>
      </c>
      <c r="E274" t="s">
        <v>6</v>
      </c>
      <c r="F274" s="24" t="s">
        <v>6</v>
      </c>
      <c r="G274" t="str">
        <f t="shared" si="9"/>
        <v>Tak</v>
      </c>
    </row>
    <row r="275" spans="1:7" x14ac:dyDescent="0.25">
      <c r="A275" s="20">
        <v>274</v>
      </c>
      <c r="B275" s="21">
        <v>2</v>
      </c>
      <c r="C275">
        <v>2</v>
      </c>
      <c r="D275" t="str">
        <f t="shared" si="8"/>
        <v>Tak</v>
      </c>
      <c r="E275" t="s">
        <v>6</v>
      </c>
      <c r="F275" s="24" t="s">
        <v>6</v>
      </c>
      <c r="G275" t="str">
        <f t="shared" si="9"/>
        <v>Tak</v>
      </c>
    </row>
    <row r="276" spans="1:7" x14ac:dyDescent="0.25">
      <c r="A276" s="18">
        <v>275</v>
      </c>
      <c r="B276" s="19">
        <v>3</v>
      </c>
      <c r="C276">
        <v>3</v>
      </c>
      <c r="D276" t="str">
        <f t="shared" si="8"/>
        <v>Tak</v>
      </c>
      <c r="E276" t="s">
        <v>6</v>
      </c>
      <c r="F276" s="24" t="s">
        <v>6</v>
      </c>
      <c r="G276" t="str">
        <f t="shared" si="9"/>
        <v>Tak</v>
      </c>
    </row>
    <row r="277" spans="1:7" x14ac:dyDescent="0.25">
      <c r="A277" s="20">
        <v>276</v>
      </c>
      <c r="B277" s="21">
        <v>3</v>
      </c>
      <c r="C277">
        <v>3</v>
      </c>
      <c r="D277" t="str">
        <f t="shared" si="8"/>
        <v>Tak</v>
      </c>
      <c r="E277" t="s">
        <v>6</v>
      </c>
      <c r="F277" s="24" t="s">
        <v>6</v>
      </c>
      <c r="G277" t="str">
        <f t="shared" si="9"/>
        <v>Tak</v>
      </c>
    </row>
    <row r="278" spans="1:7" x14ac:dyDescent="0.25">
      <c r="A278" s="18">
        <v>277</v>
      </c>
      <c r="B278" s="19">
        <v>3</v>
      </c>
      <c r="C278">
        <v>3</v>
      </c>
      <c r="D278" t="str">
        <f t="shared" si="8"/>
        <v>Tak</v>
      </c>
      <c r="E278" t="s">
        <v>6</v>
      </c>
      <c r="F278" s="24" t="s">
        <v>6</v>
      </c>
      <c r="G278" t="str">
        <f t="shared" si="9"/>
        <v>Tak</v>
      </c>
    </row>
    <row r="279" spans="1:7" x14ac:dyDescent="0.25">
      <c r="A279" s="20">
        <v>278</v>
      </c>
      <c r="B279" s="21">
        <v>4</v>
      </c>
      <c r="C279">
        <v>4</v>
      </c>
      <c r="D279" t="str">
        <f t="shared" si="8"/>
        <v>Tak</v>
      </c>
      <c r="E279" t="s">
        <v>6</v>
      </c>
      <c r="F279" s="24" t="s">
        <v>6</v>
      </c>
      <c r="G279" t="str">
        <f t="shared" si="9"/>
        <v>Tak</v>
      </c>
    </row>
    <row r="280" spans="1:7" x14ac:dyDescent="0.25">
      <c r="A280" s="18">
        <v>279</v>
      </c>
      <c r="B280" s="19">
        <v>4</v>
      </c>
      <c r="C280">
        <v>4</v>
      </c>
      <c r="D280" t="str">
        <f t="shared" si="8"/>
        <v>Tak</v>
      </c>
      <c r="E280" t="s">
        <v>6</v>
      </c>
      <c r="F280" s="24" t="s">
        <v>6</v>
      </c>
      <c r="G280" t="str">
        <f t="shared" si="9"/>
        <v>Tak</v>
      </c>
    </row>
    <row r="281" spans="1:7" x14ac:dyDescent="0.25">
      <c r="A281" s="20">
        <v>280</v>
      </c>
      <c r="B281" s="21">
        <v>4</v>
      </c>
      <c r="C281">
        <v>4</v>
      </c>
      <c r="D281" t="str">
        <f t="shared" si="8"/>
        <v>Tak</v>
      </c>
      <c r="E281" t="s">
        <v>6</v>
      </c>
      <c r="F281" s="24" t="s">
        <v>6</v>
      </c>
      <c r="G281" t="str">
        <f t="shared" si="9"/>
        <v>Tak</v>
      </c>
    </row>
    <row r="282" spans="1:7" x14ac:dyDescent="0.25">
      <c r="A282" s="18">
        <v>281</v>
      </c>
      <c r="B282" s="19">
        <v>5</v>
      </c>
      <c r="C282">
        <v>5</v>
      </c>
      <c r="D282" t="str">
        <f t="shared" si="8"/>
        <v>Tak</v>
      </c>
      <c r="E282" t="s">
        <v>6</v>
      </c>
      <c r="F282" s="24" t="s">
        <v>6</v>
      </c>
      <c r="G282" t="str">
        <f t="shared" si="9"/>
        <v>Tak</v>
      </c>
    </row>
    <row r="283" spans="1:7" x14ac:dyDescent="0.25">
      <c r="A283" s="20">
        <v>282</v>
      </c>
      <c r="B283" s="21">
        <v>5</v>
      </c>
      <c r="C283">
        <v>5</v>
      </c>
      <c r="D283" t="str">
        <f t="shared" si="8"/>
        <v>Tak</v>
      </c>
      <c r="E283" t="s">
        <v>6</v>
      </c>
      <c r="F283" s="24" t="s">
        <v>6</v>
      </c>
      <c r="G283" t="str">
        <f t="shared" si="9"/>
        <v>Tak</v>
      </c>
    </row>
    <row r="284" spans="1:7" x14ac:dyDescent="0.25">
      <c r="A284" s="18">
        <v>283</v>
      </c>
      <c r="B284" s="19">
        <v>5</v>
      </c>
      <c r="C284">
        <v>5</v>
      </c>
      <c r="D284" t="str">
        <f t="shared" si="8"/>
        <v>Tak</v>
      </c>
      <c r="E284" t="s">
        <v>6</v>
      </c>
      <c r="F284" s="24" t="s">
        <v>6</v>
      </c>
      <c r="G284" t="str">
        <f t="shared" si="9"/>
        <v>Tak</v>
      </c>
    </row>
    <row r="285" spans="1:7" x14ac:dyDescent="0.25">
      <c r="A285" s="20">
        <v>284</v>
      </c>
      <c r="B285" s="21">
        <v>5</v>
      </c>
      <c r="C285">
        <v>5</v>
      </c>
      <c r="D285" t="str">
        <f t="shared" si="8"/>
        <v>Tak</v>
      </c>
      <c r="E285" t="s">
        <v>6</v>
      </c>
      <c r="F285" s="24" t="s">
        <v>6</v>
      </c>
      <c r="G285" t="str">
        <f t="shared" si="9"/>
        <v>Tak</v>
      </c>
    </row>
    <row r="286" spans="1:7" x14ac:dyDescent="0.25">
      <c r="A286" s="18">
        <v>285</v>
      </c>
      <c r="B286" s="19">
        <v>0</v>
      </c>
      <c r="C286">
        <v>0</v>
      </c>
      <c r="D286" t="str">
        <f t="shared" si="8"/>
        <v>Tak</v>
      </c>
      <c r="E286" t="s">
        <v>5</v>
      </c>
      <c r="F286" s="24" t="s">
        <v>5</v>
      </c>
      <c r="G286" t="str">
        <f t="shared" si="9"/>
        <v>Tak</v>
      </c>
    </row>
    <row r="287" spans="1:7" x14ac:dyDescent="0.25">
      <c r="A287" s="20">
        <v>286</v>
      </c>
      <c r="B287" s="21">
        <v>1</v>
      </c>
      <c r="C287">
        <v>1</v>
      </c>
      <c r="D287" t="str">
        <f t="shared" si="8"/>
        <v>Tak</v>
      </c>
      <c r="E287" t="s">
        <v>7</v>
      </c>
      <c r="F287" s="24" t="s">
        <v>7</v>
      </c>
      <c r="G287" t="str">
        <f t="shared" si="9"/>
        <v>Tak</v>
      </c>
    </row>
    <row r="288" spans="1:7" x14ac:dyDescent="0.25">
      <c r="A288" s="18">
        <v>287</v>
      </c>
      <c r="B288" s="19">
        <v>1</v>
      </c>
      <c r="C288">
        <v>1</v>
      </c>
      <c r="D288" t="str">
        <f t="shared" si="8"/>
        <v>Tak</v>
      </c>
      <c r="E288" t="s">
        <v>7</v>
      </c>
      <c r="F288" s="24" t="s">
        <v>7</v>
      </c>
      <c r="G288" t="str">
        <f t="shared" si="9"/>
        <v>Tak</v>
      </c>
    </row>
    <row r="289" spans="1:7" x14ac:dyDescent="0.25">
      <c r="A289" s="20">
        <v>288</v>
      </c>
      <c r="B289" s="21">
        <v>1</v>
      </c>
      <c r="C289">
        <v>1</v>
      </c>
      <c r="D289" t="str">
        <f t="shared" si="8"/>
        <v>Tak</v>
      </c>
      <c r="E289" t="s">
        <v>7</v>
      </c>
      <c r="F289" s="24" t="s">
        <v>7</v>
      </c>
      <c r="G289" t="str">
        <f t="shared" si="9"/>
        <v>Tak</v>
      </c>
    </row>
    <row r="290" spans="1:7" x14ac:dyDescent="0.25">
      <c r="A290" s="18">
        <v>289</v>
      </c>
      <c r="B290" s="19">
        <v>2</v>
      </c>
      <c r="C290">
        <v>2</v>
      </c>
      <c r="D290" t="str">
        <f t="shared" si="8"/>
        <v>Tak</v>
      </c>
      <c r="E290" t="s">
        <v>7</v>
      </c>
      <c r="F290" s="24" t="s">
        <v>7</v>
      </c>
      <c r="G290" t="str">
        <f t="shared" si="9"/>
        <v>Tak</v>
      </c>
    </row>
    <row r="291" spans="1:7" x14ac:dyDescent="0.25">
      <c r="A291" s="20">
        <v>290</v>
      </c>
      <c r="B291" s="21">
        <v>2</v>
      </c>
      <c r="C291">
        <v>2</v>
      </c>
      <c r="D291" t="str">
        <f t="shared" si="8"/>
        <v>Tak</v>
      </c>
      <c r="E291" t="s">
        <v>7</v>
      </c>
      <c r="F291" s="24" t="s">
        <v>7</v>
      </c>
      <c r="G291" t="str">
        <f t="shared" si="9"/>
        <v>Tak</v>
      </c>
    </row>
    <row r="292" spans="1:7" x14ac:dyDescent="0.25">
      <c r="A292" s="18">
        <v>291</v>
      </c>
      <c r="B292" s="19">
        <v>2</v>
      </c>
      <c r="C292">
        <v>2</v>
      </c>
      <c r="D292" t="str">
        <f t="shared" si="8"/>
        <v>Tak</v>
      </c>
      <c r="E292" t="s">
        <v>7</v>
      </c>
      <c r="F292" s="24" t="s">
        <v>7</v>
      </c>
      <c r="G292" t="str">
        <f t="shared" si="9"/>
        <v>Tak</v>
      </c>
    </row>
    <row r="293" spans="1:7" x14ac:dyDescent="0.25">
      <c r="A293" s="20">
        <v>292</v>
      </c>
      <c r="B293" s="21">
        <v>3</v>
      </c>
      <c r="C293">
        <v>3</v>
      </c>
      <c r="D293" t="str">
        <f t="shared" si="8"/>
        <v>Tak</v>
      </c>
      <c r="E293" t="s">
        <v>7</v>
      </c>
      <c r="F293" s="24" t="s">
        <v>7</v>
      </c>
      <c r="G293" t="str">
        <f t="shared" si="9"/>
        <v>Tak</v>
      </c>
    </row>
    <row r="294" spans="1:7" x14ac:dyDescent="0.25">
      <c r="A294" s="18">
        <v>293</v>
      </c>
      <c r="B294" s="19">
        <v>3</v>
      </c>
      <c r="C294">
        <v>3</v>
      </c>
      <c r="D294" t="str">
        <f t="shared" si="8"/>
        <v>Tak</v>
      </c>
      <c r="E294" t="s">
        <v>7</v>
      </c>
      <c r="F294" s="24" t="s">
        <v>7</v>
      </c>
      <c r="G294" t="str">
        <f t="shared" si="9"/>
        <v>Tak</v>
      </c>
    </row>
    <row r="295" spans="1:7" x14ac:dyDescent="0.25">
      <c r="A295" s="20">
        <v>294</v>
      </c>
      <c r="B295" s="21">
        <v>3</v>
      </c>
      <c r="C295">
        <v>3</v>
      </c>
      <c r="D295" t="str">
        <f t="shared" si="8"/>
        <v>Tak</v>
      </c>
      <c r="E295" t="s">
        <v>7</v>
      </c>
      <c r="F295" s="24" t="s">
        <v>7</v>
      </c>
      <c r="G295" t="str">
        <f t="shared" si="9"/>
        <v>Tak</v>
      </c>
    </row>
    <row r="296" spans="1:7" x14ac:dyDescent="0.25">
      <c r="A296" s="18">
        <v>295</v>
      </c>
      <c r="B296" s="19">
        <v>4</v>
      </c>
      <c r="C296">
        <v>4</v>
      </c>
      <c r="D296" t="str">
        <f t="shared" si="8"/>
        <v>Tak</v>
      </c>
      <c r="E296" t="s">
        <v>7</v>
      </c>
      <c r="F296" s="24" t="s">
        <v>7</v>
      </c>
      <c r="G296" t="str">
        <f t="shared" si="9"/>
        <v>Tak</v>
      </c>
    </row>
    <row r="297" spans="1:7" x14ac:dyDescent="0.25">
      <c r="A297" s="20">
        <v>296</v>
      </c>
      <c r="B297" s="21">
        <v>4</v>
      </c>
      <c r="C297">
        <v>4</v>
      </c>
      <c r="D297" t="str">
        <f t="shared" si="8"/>
        <v>Tak</v>
      </c>
      <c r="E297" t="s">
        <v>7</v>
      </c>
      <c r="F297" s="24" t="s">
        <v>7</v>
      </c>
      <c r="G297" t="str">
        <f t="shared" si="9"/>
        <v>Tak</v>
      </c>
    </row>
    <row r="298" spans="1:7" x14ac:dyDescent="0.25">
      <c r="A298" s="18">
        <v>297</v>
      </c>
      <c r="B298" s="19">
        <v>5</v>
      </c>
      <c r="C298">
        <v>4</v>
      </c>
      <c r="D298" t="str">
        <f t="shared" si="8"/>
        <v>Nie</v>
      </c>
      <c r="E298" t="s">
        <v>7</v>
      </c>
      <c r="F298" s="24" t="s">
        <v>7</v>
      </c>
      <c r="G298" t="str">
        <f t="shared" si="9"/>
        <v>Tak</v>
      </c>
    </row>
    <row r="299" spans="1:7" x14ac:dyDescent="0.25">
      <c r="A299" s="20">
        <v>298</v>
      </c>
      <c r="B299" s="21">
        <v>5</v>
      </c>
      <c r="C299">
        <v>5</v>
      </c>
      <c r="D299" t="str">
        <f t="shared" si="8"/>
        <v>Tak</v>
      </c>
      <c r="E299" t="s">
        <v>7</v>
      </c>
      <c r="F299" s="24" t="s">
        <v>7</v>
      </c>
      <c r="G299" t="str">
        <f t="shared" si="9"/>
        <v>Tak</v>
      </c>
    </row>
    <row r="300" spans="1:7" x14ac:dyDescent="0.25">
      <c r="A300" s="18">
        <v>299</v>
      </c>
      <c r="B300" s="22">
        <v>0</v>
      </c>
      <c r="C300">
        <v>0</v>
      </c>
      <c r="D300" t="str">
        <f t="shared" si="8"/>
        <v>Tak</v>
      </c>
      <c r="E300" t="s">
        <v>5</v>
      </c>
      <c r="F300" s="24" t="s">
        <v>5</v>
      </c>
      <c r="G300" t="str">
        <f t="shared" si="9"/>
        <v>Tak</v>
      </c>
    </row>
    <row r="301" spans="1:7" x14ac:dyDescent="0.25">
      <c r="A301" s="20">
        <v>300</v>
      </c>
      <c r="B301" s="23">
        <v>1</v>
      </c>
      <c r="C301">
        <v>1</v>
      </c>
      <c r="D301" t="str">
        <f t="shared" si="8"/>
        <v>Tak</v>
      </c>
      <c r="E301" t="s">
        <v>6</v>
      </c>
      <c r="F301" s="24" t="s">
        <v>6</v>
      </c>
      <c r="G301" t="str">
        <f t="shared" si="9"/>
        <v>Tak</v>
      </c>
    </row>
    <row r="302" spans="1:7" x14ac:dyDescent="0.25">
      <c r="B302" s="23"/>
    </row>
    <row r="303" spans="1:7" x14ac:dyDescent="0.25">
      <c r="B303" s="23"/>
    </row>
    <row r="304" spans="1:7" x14ac:dyDescent="0.25">
      <c r="B304" s="23"/>
    </row>
    <row r="305" spans="2:2" x14ac:dyDescent="0.25">
      <c r="B305" s="23"/>
    </row>
    <row r="306" spans="2:2" x14ac:dyDescent="0.25">
      <c r="B306" s="23"/>
    </row>
    <row r="307" spans="2:2" x14ac:dyDescent="0.25">
      <c r="B307" s="23"/>
    </row>
    <row r="308" spans="2:2" x14ac:dyDescent="0.25">
      <c r="B308" s="23"/>
    </row>
    <row r="309" spans="2:2" x14ac:dyDescent="0.25">
      <c r="B309" s="23"/>
    </row>
    <row r="310" spans="2:2" x14ac:dyDescent="0.25">
      <c r="B310" s="23"/>
    </row>
    <row r="311" spans="2:2" x14ac:dyDescent="0.25">
      <c r="B311" s="23"/>
    </row>
    <row r="312" spans="2:2" x14ac:dyDescent="0.25">
      <c r="B312" s="23"/>
    </row>
    <row r="313" spans="2:2" x14ac:dyDescent="0.25">
      <c r="B313" s="23"/>
    </row>
    <row r="314" spans="2:2" x14ac:dyDescent="0.25">
      <c r="B314" s="23"/>
    </row>
    <row r="315" spans="2:2" x14ac:dyDescent="0.25">
      <c r="B315" s="23"/>
    </row>
    <row r="316" spans="2:2" x14ac:dyDescent="0.25">
      <c r="B316" s="23"/>
    </row>
    <row r="317" spans="2:2" x14ac:dyDescent="0.25">
      <c r="B317" s="23"/>
    </row>
    <row r="318" spans="2:2" x14ac:dyDescent="0.25">
      <c r="B318" s="23"/>
    </row>
    <row r="319" spans="2:2" x14ac:dyDescent="0.25">
      <c r="B319" s="23"/>
    </row>
    <row r="320" spans="2:2" x14ac:dyDescent="0.25">
      <c r="B320" s="23"/>
    </row>
    <row r="321" spans="2:2" x14ac:dyDescent="0.25">
      <c r="B321" s="23"/>
    </row>
    <row r="322" spans="2:2" x14ac:dyDescent="0.25">
      <c r="B322" s="23"/>
    </row>
    <row r="323" spans="2:2" x14ac:dyDescent="0.25">
      <c r="B323" s="23"/>
    </row>
    <row r="324" spans="2:2" x14ac:dyDescent="0.25">
      <c r="B324" s="23"/>
    </row>
    <row r="325" spans="2:2" x14ac:dyDescent="0.25">
      <c r="B325" s="23"/>
    </row>
    <row r="326" spans="2:2" x14ac:dyDescent="0.25">
      <c r="B326" s="23"/>
    </row>
    <row r="327" spans="2:2" x14ac:dyDescent="0.25">
      <c r="B327" s="23"/>
    </row>
    <row r="328" spans="2:2" x14ac:dyDescent="0.25">
      <c r="B328" s="23"/>
    </row>
    <row r="329" spans="2:2" x14ac:dyDescent="0.25">
      <c r="B329" s="23"/>
    </row>
    <row r="330" spans="2:2" x14ac:dyDescent="0.25">
      <c r="B330" s="23"/>
    </row>
    <row r="331" spans="2:2" x14ac:dyDescent="0.25">
      <c r="B331" s="23"/>
    </row>
    <row r="332" spans="2:2" x14ac:dyDescent="0.25">
      <c r="B332" s="23"/>
    </row>
    <row r="333" spans="2:2" x14ac:dyDescent="0.25">
      <c r="B333" s="23"/>
    </row>
    <row r="334" spans="2:2" x14ac:dyDescent="0.25">
      <c r="B334" s="23"/>
    </row>
    <row r="335" spans="2:2" x14ac:dyDescent="0.25">
      <c r="B335" s="23"/>
    </row>
    <row r="336" spans="2:2" x14ac:dyDescent="0.25">
      <c r="B336" s="23"/>
    </row>
    <row r="337" spans="2:2" x14ac:dyDescent="0.25">
      <c r="B337" s="23"/>
    </row>
    <row r="338" spans="2:2" x14ac:dyDescent="0.25">
      <c r="B338" s="23"/>
    </row>
    <row r="339" spans="2:2" x14ac:dyDescent="0.25">
      <c r="B339" s="23"/>
    </row>
    <row r="340" spans="2:2" x14ac:dyDescent="0.25">
      <c r="B340" s="23"/>
    </row>
    <row r="341" spans="2:2" x14ac:dyDescent="0.25">
      <c r="B341" s="23"/>
    </row>
    <row r="342" spans="2:2" x14ac:dyDescent="0.25">
      <c r="B342" s="23"/>
    </row>
    <row r="343" spans="2:2" x14ac:dyDescent="0.25">
      <c r="B343" s="23"/>
    </row>
    <row r="344" spans="2:2" x14ac:dyDescent="0.25">
      <c r="B344" s="23"/>
    </row>
    <row r="345" spans="2:2" x14ac:dyDescent="0.25">
      <c r="B345" s="23"/>
    </row>
    <row r="346" spans="2:2" x14ac:dyDescent="0.25">
      <c r="B346" s="23"/>
    </row>
    <row r="347" spans="2:2" x14ac:dyDescent="0.25">
      <c r="B347" s="23"/>
    </row>
    <row r="348" spans="2:2" x14ac:dyDescent="0.25">
      <c r="B348" s="23"/>
    </row>
    <row r="349" spans="2:2" x14ac:dyDescent="0.25">
      <c r="B349" s="23"/>
    </row>
    <row r="350" spans="2:2" x14ac:dyDescent="0.25">
      <c r="B350" s="23"/>
    </row>
    <row r="351" spans="2:2" x14ac:dyDescent="0.25">
      <c r="B351" s="23"/>
    </row>
    <row r="352" spans="2:2" x14ac:dyDescent="0.25">
      <c r="B352" s="23"/>
    </row>
    <row r="353" spans="2:2" x14ac:dyDescent="0.25">
      <c r="B353" s="23"/>
    </row>
    <row r="354" spans="2:2" x14ac:dyDescent="0.25">
      <c r="B354" s="23"/>
    </row>
    <row r="355" spans="2:2" x14ac:dyDescent="0.25">
      <c r="B355" s="23"/>
    </row>
    <row r="356" spans="2:2" x14ac:dyDescent="0.25">
      <c r="B356" s="23"/>
    </row>
    <row r="357" spans="2:2" x14ac:dyDescent="0.25">
      <c r="B357" s="23"/>
    </row>
    <row r="358" spans="2:2" x14ac:dyDescent="0.25">
      <c r="B358" s="23"/>
    </row>
    <row r="359" spans="2:2" x14ac:dyDescent="0.25">
      <c r="B359" s="23"/>
    </row>
    <row r="360" spans="2:2" x14ac:dyDescent="0.25">
      <c r="B360" s="23"/>
    </row>
    <row r="361" spans="2:2" x14ac:dyDescent="0.25">
      <c r="B361" s="23"/>
    </row>
    <row r="362" spans="2:2" x14ac:dyDescent="0.25">
      <c r="B362" s="23"/>
    </row>
    <row r="363" spans="2:2" x14ac:dyDescent="0.25">
      <c r="B363" s="23"/>
    </row>
    <row r="364" spans="2:2" x14ac:dyDescent="0.25">
      <c r="B364" s="23"/>
    </row>
    <row r="365" spans="2:2" x14ac:dyDescent="0.25">
      <c r="B365" s="23"/>
    </row>
    <row r="366" spans="2:2" x14ac:dyDescent="0.25">
      <c r="B366" s="23"/>
    </row>
    <row r="367" spans="2:2" x14ac:dyDescent="0.25">
      <c r="B367" s="23"/>
    </row>
    <row r="368" spans="2:2" x14ac:dyDescent="0.25">
      <c r="B368" s="23"/>
    </row>
    <row r="369" spans="2:2" x14ac:dyDescent="0.25">
      <c r="B369" s="23"/>
    </row>
    <row r="370" spans="2:2" x14ac:dyDescent="0.25">
      <c r="B370" s="23"/>
    </row>
    <row r="371" spans="2:2" x14ac:dyDescent="0.25">
      <c r="B371" s="23"/>
    </row>
    <row r="372" spans="2:2" x14ac:dyDescent="0.25">
      <c r="B372" s="23"/>
    </row>
    <row r="373" spans="2:2" x14ac:dyDescent="0.25">
      <c r="B373" s="23"/>
    </row>
    <row r="374" spans="2:2" x14ac:dyDescent="0.25">
      <c r="B374" s="23"/>
    </row>
    <row r="375" spans="2:2" x14ac:dyDescent="0.25">
      <c r="B375" s="23"/>
    </row>
    <row r="376" spans="2:2" x14ac:dyDescent="0.25">
      <c r="B376" s="23"/>
    </row>
    <row r="377" spans="2:2" x14ac:dyDescent="0.25">
      <c r="B377" s="23"/>
    </row>
    <row r="378" spans="2:2" x14ac:dyDescent="0.25">
      <c r="B378" s="23"/>
    </row>
    <row r="379" spans="2:2" x14ac:dyDescent="0.25">
      <c r="B379" s="23"/>
    </row>
    <row r="380" spans="2:2" x14ac:dyDescent="0.25">
      <c r="B380" s="23"/>
    </row>
    <row r="381" spans="2:2" x14ac:dyDescent="0.25">
      <c r="B381" s="23"/>
    </row>
    <row r="382" spans="2:2" x14ac:dyDescent="0.25">
      <c r="B382" s="23"/>
    </row>
    <row r="383" spans="2:2" x14ac:dyDescent="0.25">
      <c r="B383" s="23"/>
    </row>
    <row r="384" spans="2:2" x14ac:dyDescent="0.25">
      <c r="B384" s="23"/>
    </row>
    <row r="385" spans="2:2" x14ac:dyDescent="0.25">
      <c r="B385" s="23"/>
    </row>
    <row r="386" spans="2:2" x14ac:dyDescent="0.25">
      <c r="B386" s="23"/>
    </row>
    <row r="387" spans="2:2" x14ac:dyDescent="0.25">
      <c r="B387" s="23"/>
    </row>
    <row r="388" spans="2:2" x14ac:dyDescent="0.25">
      <c r="B388" s="23"/>
    </row>
    <row r="389" spans="2:2" x14ac:dyDescent="0.25">
      <c r="B389" s="23"/>
    </row>
    <row r="390" spans="2:2" x14ac:dyDescent="0.25">
      <c r="B390" s="23"/>
    </row>
    <row r="391" spans="2:2" x14ac:dyDescent="0.25">
      <c r="B391" s="23"/>
    </row>
    <row r="392" spans="2:2" x14ac:dyDescent="0.25">
      <c r="B392" s="23"/>
    </row>
    <row r="393" spans="2:2" x14ac:dyDescent="0.25">
      <c r="B393" s="23"/>
    </row>
    <row r="394" spans="2:2" x14ac:dyDescent="0.25">
      <c r="B394" s="23"/>
    </row>
    <row r="395" spans="2:2" x14ac:dyDescent="0.25">
      <c r="B395" s="23"/>
    </row>
    <row r="396" spans="2:2" x14ac:dyDescent="0.25">
      <c r="B396" s="23"/>
    </row>
    <row r="397" spans="2:2" x14ac:dyDescent="0.25">
      <c r="B397" s="23"/>
    </row>
    <row r="398" spans="2:2" x14ac:dyDescent="0.25">
      <c r="B398" s="23"/>
    </row>
    <row r="399" spans="2:2" x14ac:dyDescent="0.25">
      <c r="B399" s="23"/>
    </row>
    <row r="400" spans="2:2" x14ac:dyDescent="0.25">
      <c r="B400" s="23"/>
    </row>
    <row r="401" spans="2:2" x14ac:dyDescent="0.25">
      <c r="B401" s="23"/>
    </row>
    <row r="402" spans="2:2" x14ac:dyDescent="0.25">
      <c r="B402" s="23"/>
    </row>
    <row r="403" spans="2:2" x14ac:dyDescent="0.25">
      <c r="B403" s="23"/>
    </row>
    <row r="404" spans="2:2" x14ac:dyDescent="0.25">
      <c r="B404" s="23"/>
    </row>
    <row r="405" spans="2:2" x14ac:dyDescent="0.25">
      <c r="B405" s="23"/>
    </row>
    <row r="406" spans="2:2" x14ac:dyDescent="0.25">
      <c r="B406" s="23"/>
    </row>
    <row r="407" spans="2:2" x14ac:dyDescent="0.25">
      <c r="B407" s="23"/>
    </row>
    <row r="408" spans="2:2" x14ac:dyDescent="0.25">
      <c r="B408" s="23"/>
    </row>
    <row r="409" spans="2:2" x14ac:dyDescent="0.25">
      <c r="B409" s="23"/>
    </row>
    <row r="410" spans="2:2" x14ac:dyDescent="0.25">
      <c r="B410" s="23"/>
    </row>
    <row r="411" spans="2:2" x14ac:dyDescent="0.25">
      <c r="B411" s="23"/>
    </row>
    <row r="412" spans="2:2" x14ac:dyDescent="0.25">
      <c r="B412" s="23"/>
    </row>
    <row r="413" spans="2:2" x14ac:dyDescent="0.25">
      <c r="B413" s="23"/>
    </row>
    <row r="414" spans="2:2" x14ac:dyDescent="0.25">
      <c r="B414" s="23"/>
    </row>
    <row r="415" spans="2:2" x14ac:dyDescent="0.25">
      <c r="B415" s="23"/>
    </row>
    <row r="416" spans="2:2" x14ac:dyDescent="0.25">
      <c r="B416" s="23"/>
    </row>
    <row r="417" spans="2:2" x14ac:dyDescent="0.25">
      <c r="B417" s="23"/>
    </row>
    <row r="418" spans="2:2" x14ac:dyDescent="0.25">
      <c r="B418" s="23"/>
    </row>
    <row r="419" spans="2:2" x14ac:dyDescent="0.25">
      <c r="B419" s="23"/>
    </row>
    <row r="420" spans="2:2" x14ac:dyDescent="0.25">
      <c r="B420" s="23"/>
    </row>
    <row r="421" spans="2:2" x14ac:dyDescent="0.25">
      <c r="B421" s="23"/>
    </row>
    <row r="422" spans="2:2" x14ac:dyDescent="0.25">
      <c r="B422" s="23"/>
    </row>
    <row r="423" spans="2:2" x14ac:dyDescent="0.25">
      <c r="B423" s="23"/>
    </row>
    <row r="424" spans="2:2" x14ac:dyDescent="0.25">
      <c r="B424" s="23"/>
    </row>
    <row r="425" spans="2:2" x14ac:dyDescent="0.25">
      <c r="B425" s="23"/>
    </row>
    <row r="426" spans="2:2" x14ac:dyDescent="0.25">
      <c r="B426" s="23"/>
    </row>
    <row r="427" spans="2:2" x14ac:dyDescent="0.25">
      <c r="B427" s="23"/>
    </row>
    <row r="428" spans="2:2" x14ac:dyDescent="0.25">
      <c r="B428" s="23"/>
    </row>
    <row r="429" spans="2:2" x14ac:dyDescent="0.25">
      <c r="B429" s="23"/>
    </row>
    <row r="430" spans="2:2" x14ac:dyDescent="0.25">
      <c r="B430" s="23"/>
    </row>
    <row r="431" spans="2:2" x14ac:dyDescent="0.25">
      <c r="B431" s="23"/>
    </row>
    <row r="432" spans="2:2" x14ac:dyDescent="0.25">
      <c r="B432" s="23"/>
    </row>
    <row r="433" spans="2:2" x14ac:dyDescent="0.25">
      <c r="B433" s="23"/>
    </row>
    <row r="434" spans="2:2" x14ac:dyDescent="0.25">
      <c r="B434" s="23"/>
    </row>
    <row r="435" spans="2:2" x14ac:dyDescent="0.25">
      <c r="B435" s="23"/>
    </row>
    <row r="436" spans="2:2" x14ac:dyDescent="0.25">
      <c r="B436" s="23"/>
    </row>
    <row r="437" spans="2:2" x14ac:dyDescent="0.25">
      <c r="B437" s="23"/>
    </row>
    <row r="438" spans="2:2" x14ac:dyDescent="0.25">
      <c r="B438" s="23"/>
    </row>
    <row r="439" spans="2:2" x14ac:dyDescent="0.25">
      <c r="B439" s="23"/>
    </row>
    <row r="440" spans="2:2" x14ac:dyDescent="0.25">
      <c r="B440" s="23"/>
    </row>
    <row r="441" spans="2:2" x14ac:dyDescent="0.25">
      <c r="B441" s="23"/>
    </row>
    <row r="442" spans="2:2" x14ac:dyDescent="0.25">
      <c r="B442" s="23"/>
    </row>
    <row r="443" spans="2:2" x14ac:dyDescent="0.25">
      <c r="B443" s="23"/>
    </row>
    <row r="444" spans="2:2" x14ac:dyDescent="0.25">
      <c r="B444" s="23"/>
    </row>
    <row r="445" spans="2:2" x14ac:dyDescent="0.25">
      <c r="B445" s="23"/>
    </row>
    <row r="446" spans="2:2" x14ac:dyDescent="0.25">
      <c r="B446" s="23"/>
    </row>
    <row r="447" spans="2:2" x14ac:dyDescent="0.25">
      <c r="B447" s="23"/>
    </row>
    <row r="448" spans="2:2" x14ac:dyDescent="0.25">
      <c r="B448" s="23"/>
    </row>
    <row r="449" spans="2:2" x14ac:dyDescent="0.25">
      <c r="B449" s="23"/>
    </row>
    <row r="450" spans="2:2" x14ac:dyDescent="0.25">
      <c r="B450" s="23"/>
    </row>
    <row r="451" spans="2:2" x14ac:dyDescent="0.25">
      <c r="B451" s="23"/>
    </row>
    <row r="452" spans="2:2" x14ac:dyDescent="0.25">
      <c r="B452" s="23"/>
    </row>
    <row r="453" spans="2:2" x14ac:dyDescent="0.25">
      <c r="B453" s="23"/>
    </row>
    <row r="454" spans="2:2" x14ac:dyDescent="0.25">
      <c r="B454" s="23"/>
    </row>
    <row r="455" spans="2:2" x14ac:dyDescent="0.25">
      <c r="B455" s="23"/>
    </row>
    <row r="456" spans="2:2" x14ac:dyDescent="0.25">
      <c r="B456" s="23"/>
    </row>
    <row r="457" spans="2:2" x14ac:dyDescent="0.25">
      <c r="B457" s="23"/>
    </row>
    <row r="458" spans="2:2" x14ac:dyDescent="0.25">
      <c r="B458" s="23"/>
    </row>
    <row r="459" spans="2:2" x14ac:dyDescent="0.25">
      <c r="B459" s="23"/>
    </row>
    <row r="460" spans="2:2" x14ac:dyDescent="0.25">
      <c r="B460" s="23"/>
    </row>
    <row r="461" spans="2:2" x14ac:dyDescent="0.25">
      <c r="B461" s="23"/>
    </row>
    <row r="462" spans="2:2" x14ac:dyDescent="0.25">
      <c r="B462" s="23"/>
    </row>
    <row r="463" spans="2:2" x14ac:dyDescent="0.25">
      <c r="B463" s="23"/>
    </row>
    <row r="464" spans="2:2" x14ac:dyDescent="0.25">
      <c r="B464" s="23"/>
    </row>
    <row r="465" spans="2:2" x14ac:dyDescent="0.25">
      <c r="B465" s="23"/>
    </row>
    <row r="466" spans="2:2" x14ac:dyDescent="0.25">
      <c r="B466" s="23"/>
    </row>
    <row r="467" spans="2:2" x14ac:dyDescent="0.25">
      <c r="B467" s="23"/>
    </row>
    <row r="468" spans="2:2" x14ac:dyDescent="0.25">
      <c r="B468" s="23"/>
    </row>
    <row r="469" spans="2:2" x14ac:dyDescent="0.25">
      <c r="B469" s="23"/>
    </row>
    <row r="470" spans="2:2" x14ac:dyDescent="0.25">
      <c r="B470" s="23"/>
    </row>
    <row r="471" spans="2:2" x14ac:dyDescent="0.25">
      <c r="B471" s="23"/>
    </row>
    <row r="472" spans="2:2" x14ac:dyDescent="0.25">
      <c r="B472" s="23"/>
    </row>
    <row r="473" spans="2:2" x14ac:dyDescent="0.25">
      <c r="B473" s="23"/>
    </row>
    <row r="474" spans="2:2" x14ac:dyDescent="0.25">
      <c r="B474" s="23"/>
    </row>
    <row r="475" spans="2:2" x14ac:dyDescent="0.25">
      <c r="B475" s="23"/>
    </row>
    <row r="476" spans="2:2" x14ac:dyDescent="0.25">
      <c r="B476" s="23"/>
    </row>
    <row r="477" spans="2:2" x14ac:dyDescent="0.25">
      <c r="B477" s="23"/>
    </row>
    <row r="478" spans="2:2" x14ac:dyDescent="0.25">
      <c r="B478" s="23"/>
    </row>
    <row r="479" spans="2:2" x14ac:dyDescent="0.25">
      <c r="B479" s="23"/>
    </row>
    <row r="480" spans="2:2" x14ac:dyDescent="0.25">
      <c r="B480" s="23"/>
    </row>
    <row r="481" spans="2:2" x14ac:dyDescent="0.25">
      <c r="B481" s="23"/>
    </row>
    <row r="482" spans="2:2" x14ac:dyDescent="0.25">
      <c r="B482" s="23"/>
    </row>
    <row r="483" spans="2:2" x14ac:dyDescent="0.25">
      <c r="B483" s="23"/>
    </row>
    <row r="484" spans="2:2" x14ac:dyDescent="0.25">
      <c r="B484" s="23"/>
    </row>
    <row r="485" spans="2:2" x14ac:dyDescent="0.25">
      <c r="B485" s="23"/>
    </row>
    <row r="486" spans="2:2" x14ac:dyDescent="0.25">
      <c r="B486" s="23"/>
    </row>
    <row r="487" spans="2:2" x14ac:dyDescent="0.25">
      <c r="B487" s="23"/>
    </row>
    <row r="488" spans="2:2" x14ac:dyDescent="0.25">
      <c r="B488" s="23"/>
    </row>
    <row r="489" spans="2:2" x14ac:dyDescent="0.25">
      <c r="B489" s="23"/>
    </row>
    <row r="490" spans="2:2" x14ac:dyDescent="0.25">
      <c r="B490" s="23"/>
    </row>
    <row r="491" spans="2:2" x14ac:dyDescent="0.25">
      <c r="B491" s="23"/>
    </row>
    <row r="492" spans="2:2" x14ac:dyDescent="0.25">
      <c r="B492" s="23"/>
    </row>
    <row r="493" spans="2:2" x14ac:dyDescent="0.25">
      <c r="B493" s="23"/>
    </row>
    <row r="494" spans="2:2" x14ac:dyDescent="0.25">
      <c r="B494" s="23"/>
    </row>
    <row r="495" spans="2:2" x14ac:dyDescent="0.25">
      <c r="B495" s="23"/>
    </row>
    <row r="496" spans="2:2" x14ac:dyDescent="0.25">
      <c r="B496" s="23"/>
    </row>
    <row r="497" spans="2:2" x14ac:dyDescent="0.25">
      <c r="B497" s="23"/>
    </row>
    <row r="498" spans="2:2" x14ac:dyDescent="0.25">
      <c r="B498" s="23"/>
    </row>
    <row r="499" spans="2:2" x14ac:dyDescent="0.25">
      <c r="B499" s="23"/>
    </row>
    <row r="500" spans="2:2" x14ac:dyDescent="0.25">
      <c r="B500" s="23"/>
    </row>
    <row r="501" spans="2:2" x14ac:dyDescent="0.25">
      <c r="B501" s="2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DD285-D1C0-49CF-9C8B-C06550B8BD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pogoda</vt:lpstr>
      <vt:lpstr>5_1</vt:lpstr>
      <vt:lpstr>5_2</vt:lpstr>
      <vt:lpstr>5_3</vt:lpstr>
      <vt:lpstr>5_4_a</vt:lpstr>
      <vt:lpstr>5_4_b_c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2026-06-15T15:07:21Z</dcterms:created>
  <dcterms:modified xsi:type="dcterms:W3CDTF">2026-06-16T16:34:52Z</dcterms:modified>
</cp:coreProperties>
</file>