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\Desktop\"/>
    </mc:Choice>
  </mc:AlternateContent>
  <xr:revisionPtr revIDLastSave="0" documentId="13_ncr:1_{2585CAEE-85E7-49C2-8DB2-F9E8C080E2F0}" xr6:coauthVersionLast="47" xr6:coauthVersionMax="47" xr10:uidLastSave="{00000000-0000-0000-0000-000000000000}"/>
  <bookViews>
    <workbookView xWindow="-120" yWindow="-120" windowWidth="38640" windowHeight="21120" xr2:uid="{384B0A98-AFED-4055-9E7B-617CB6765F93}"/>
  </bookViews>
  <sheets>
    <sheet name="konkurs" sheetId="2" r:id="rId1"/>
    <sheet name="odpowiedzi" sheetId="4" r:id="rId2"/>
    <sheet name="4_5" sheetId="6" r:id="rId3"/>
  </sheets>
  <definedNames>
    <definedName name="ExternalData_1" localSheetId="0" hidden="1">konkurs!$A$1:$E$981</definedName>
    <definedName name="ExternalData_1" localSheetId="1" hidden="1">odpowiedzi!$A$1:$B$7</definedName>
    <definedName name="ExternalData_4" localSheetId="0" hidden="1">konkurs!$M$22:$N$28</definedName>
  </definedName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N13" i="2"/>
  <c r="N14" i="2"/>
  <c r="N15" i="2"/>
  <c r="N16" i="2"/>
  <c r="N17" i="2"/>
  <c r="N18" i="2"/>
  <c r="N7" i="2" a="1"/>
  <c r="N7" i="2" s="1"/>
  <c r="N5" i="2"/>
  <c r="Q24" i="2" l="1"/>
  <c r="N33" i="2" s="1"/>
  <c r="Q23" i="2"/>
  <c r="N32" i="2" s="1"/>
  <c r="Q28" i="2"/>
  <c r="N37" i="2" s="1"/>
  <c r="Q25" i="2"/>
  <c r="N34" i="2" s="1"/>
  <c r="Q26" i="2"/>
  <c r="N35" i="2" s="1"/>
  <c r="Q27" i="2"/>
  <c r="N3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1C3371-D2AA-41BB-B392-BAF5AD2F5AEB}" keepAlive="1" name="Zapytanie — konkurs" description="Połączenie z zapytaniem „konkurs” w skoroszycie." type="5" refreshedVersion="8" background="1" saveData="1">
    <dbPr connection="Provider=Microsoft.Mashup.OleDb.1;Data Source=$Workbook$;Location=konkurs;Extended Properties=&quot;&quot;" command="SELECT * FROM [konkurs]"/>
  </connection>
  <connection id="2" xr16:uid="{98F68BB5-1001-4F52-AE66-29393735D2EF}" keepAlive="1" name="Zapytanie — konkurs (2)" description="Połączenie z zapytaniem „konkurs (2)” w skoroszycie." type="5" refreshedVersion="8" background="1" saveData="1">
    <dbPr connection="Provider=Microsoft.Mashup.OleDb.1;Data Source=$Workbook$;Location=&quot;konkurs (2)&quot;;Extended Properties=&quot;&quot;" command="SELECT * FROM [konkurs (2)]"/>
  </connection>
  <connection id="3" xr16:uid="{F8A7ACD1-BC46-4A33-8D62-D9E2AC5EFB09}" keepAlive="1" name="Zapytanie — odpowiedzi" description="Połączenie z zapytaniem „odpowiedzi” w skoroszycie." type="5" refreshedVersion="8" background="1" saveData="1">
    <dbPr connection="Provider=Microsoft.Mashup.OleDb.1;Data Source=$Workbook$;Location=odpowiedzi;Extended Properties=&quot;&quot;" command="SELECT * FROM [odpowiedzi]"/>
  </connection>
  <connection id="4" xr16:uid="{C719243B-1F93-4570-A850-5ABA27608BB5}" keepAlive="1" name="Zapytanie — odpowiedzi (2)" description="Połączenie z zapytaniem „odpowiedzi (2)” w skoroszycie." type="5" refreshedVersion="8" background="1" saveData="1">
    <dbPr connection="Provider=Microsoft.Mashup.OleDb.1;Data Source=$Workbook$;Location=&quot;odpowiedzi (2)&quot;;Extended Properties=&quot;&quot;" command="SELECT * FROM [odpowiedzi (2)]"/>
  </connection>
  <connection id="5" xr16:uid="{85B1D4CA-3C60-4457-8D91-E8EF88F4E1E7}" keepAlive="1" name="Zapytanie — odpowiedzi (3)" description="Połączenie z zapytaniem „odpowiedzi (3)” w skoroszycie." type="5" refreshedVersion="8" background="1" saveData="1">
    <dbPr connection="Provider=Microsoft.Mashup.OleDb.1;Data Source=$Workbook$;Location=&quot;odpowiedzi (3)&quot;;Extended Properties=&quot;&quot;" command="SELECT * FROM [odpowiedzi (3)]"/>
  </connection>
  <connection id="6" xr16:uid="{3589BA3F-BBF7-4C9B-B08E-565E92A9CD23}" keepAlive="1" name="Zapytanie — odpowiedzi (4)" description="Połączenie z zapytaniem „odpowiedzi (4)” w skoroszycie." type="5" refreshedVersion="8" background="1" saveData="1">
    <dbPr connection="Provider=Microsoft.Mashup.OleDb.1;Data Source=$Workbook$;Location=&quot;odpowiedzi (4)&quot;;Extended Properties=&quot;&quot;" command="SELECT * FROM [odpowiedzi (4)]"/>
  </connection>
  <connection id="7" xr16:uid="{F0779231-7006-4379-ABB2-8A2CBAE56B3A}" keepAlive="1" name="Zapytanie — odpowiedzi (5)" description="Połączenie z zapytaniem „odpowiedzi (5)” w skoroszycie." type="5" refreshedVersion="8" background="1" saveData="1">
    <dbPr connection="Provider=Microsoft.Mashup.OleDb.1;Data Source=$Workbook$;Location=&quot;odpowiedzi (5)&quot;;Extended Properties=&quot;&quot;" command="SELECT * FROM [odpowiedzi (5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<sst xmlns="http://schemas.openxmlformats.org/spreadsheetml/2006/main" count="1018" uniqueCount="23">
  <si>
    <t>nr_telefonu</t>
  </si>
  <si>
    <t>nr_pytania</t>
  </si>
  <si>
    <t>odp</t>
  </si>
  <si>
    <t>B</t>
  </si>
  <si>
    <t>C</t>
  </si>
  <si>
    <t>A</t>
  </si>
  <si>
    <t>godz_polaczenia</t>
  </si>
  <si>
    <t>data</t>
  </si>
  <si>
    <t>4_3:</t>
  </si>
  <si>
    <t>liczba_odp</t>
  </si>
  <si>
    <t>Numer pytania</t>
  </si>
  <si>
    <t>Odpowiedz prawidlowa</t>
  </si>
  <si>
    <t>4_4:</t>
  </si>
  <si>
    <t>4_1:</t>
  </si>
  <si>
    <t>4_2:</t>
  </si>
  <si>
    <t>łatwość</t>
  </si>
  <si>
    <t>liczba_poprawnych_odp</t>
  </si>
  <si>
    <t>czy_poprawna_odp</t>
  </si>
  <si>
    <t>4_5:</t>
  </si>
  <si>
    <t>Etykiety wierszy</t>
  </si>
  <si>
    <t>Suma końcowa</t>
  </si>
  <si>
    <t>Liczba z czy_poprawna_odp</t>
  </si>
  <si>
    <t>Tak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</si>
</sst>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ny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 Wnuczko" refreshedDate="46190.776050925924" createdVersion="8" refreshedVersion="8" minRefreshableVersion="3" recordCount="980" xr:uid="{DCC6078A-55A9-4FE6-8A7D-E47994E491A1}">
  <cacheSource type="worksheet">
    <worksheetSource name="konkurs13"/>
  </cacheSource>
  <cacheFields count="6">
    <cacheField name="nr_telefonu" numFmtId="0">
      <sharedItems containsSemiMixedTypes="0" containsString="0" containsNumber="1" containsInteger="1" minValue="400480111" maxValue="985645574" count="808">
        <n v="735284701"/>
        <n v="435583833"/>
        <n v="500093166"/>
        <n v="543967501"/>
        <n v="815057747"/>
        <n v="658486083"/>
        <n v="761645826"/>
        <n v="474633859"/>
        <n v="523809386"/>
        <n v="956870062"/>
        <n v="708776804"/>
        <n v="975764618"/>
        <n v="782343523"/>
        <n v="541031973"/>
        <n v="949410531"/>
        <n v="875806925"/>
        <n v="842000234"/>
        <n v="934478749"/>
        <n v="705547630"/>
        <n v="681634279"/>
        <n v="611917762"/>
        <n v="690837654"/>
        <n v="422562723"/>
        <n v="580833489"/>
        <n v="654692587"/>
        <n v="766256726"/>
        <n v="670582908"/>
        <n v="495291166"/>
        <n v="456754712"/>
        <n v="479537587"/>
        <n v="421153691"/>
        <n v="511191374"/>
        <n v="546989206"/>
        <n v="684852681"/>
        <n v="906605372"/>
        <n v="489123784"/>
        <n v="689990038"/>
        <n v="966520497"/>
        <n v="808560549"/>
        <n v="499609636"/>
        <n v="529069571"/>
        <n v="798064543"/>
        <n v="599674070"/>
        <n v="515507348"/>
        <n v="947791832"/>
        <n v="652007245"/>
        <n v="543292172"/>
        <n v="422785214"/>
        <n v="455337641"/>
        <n v="502418125"/>
        <n v="670177762"/>
        <n v="449386970"/>
        <n v="834812184"/>
        <n v="730479543"/>
        <n v="408900499"/>
        <n v="971924080"/>
        <n v="610968833"/>
        <n v="925971805"/>
        <n v="589043879"/>
        <n v="565021598"/>
        <n v="597514859"/>
        <n v="748479317"/>
        <n v="700352103"/>
        <n v="438645738"/>
        <n v="592008600"/>
        <n v="549143211"/>
        <n v="684097956"/>
        <n v="636289590"/>
        <n v="983520611"/>
        <n v="762138964"/>
        <n v="707373053"/>
        <n v="587330211"/>
        <n v="548875001"/>
        <n v="788968632"/>
        <n v="735101463"/>
        <n v="709848261"/>
        <n v="695453881"/>
        <n v="629273399"/>
        <n v="737594619"/>
        <n v="517317350"/>
        <n v="709965002"/>
        <n v="839612566"/>
        <n v="652640182"/>
        <n v="437051994"/>
        <n v="570619229"/>
        <n v="972127523"/>
        <n v="463672014"/>
        <n v="644680714"/>
        <n v="773291555"/>
        <n v="913046978"/>
        <n v="757519899"/>
        <n v="601071162"/>
        <n v="751080209"/>
        <n v="557059595"/>
        <n v="919448492"/>
        <n v="630181135"/>
        <n v="921394114"/>
        <n v="687213103"/>
        <n v="670854717"/>
        <n v="882751328"/>
        <n v="885343232"/>
        <n v="507120351"/>
        <n v="714435879"/>
        <n v="906814093"/>
        <n v="721523987"/>
        <n v="574453310"/>
        <n v="918128702"/>
        <n v="700495086"/>
        <n v="812963280"/>
        <n v="966891570"/>
        <n v="798172945"/>
        <n v="771900851"/>
        <n v="510545620"/>
        <n v="700904288"/>
        <n v="465117230"/>
        <n v="761865210"/>
        <n v="610753756"/>
        <n v="821599246"/>
        <n v="767455643"/>
        <n v="642498400"/>
        <n v="528251644"/>
        <n v="523119994"/>
        <n v="660369247"/>
        <n v="646331178"/>
        <n v="436204880"/>
        <n v="816898273"/>
        <n v="779057265"/>
        <n v="927675902"/>
        <n v="820747074"/>
        <n v="475050084"/>
        <n v="668665435"/>
        <n v="419466934"/>
        <n v="740131554"/>
        <n v="968215037"/>
        <n v="904947298"/>
        <n v="462228046"/>
        <n v="697564855"/>
        <n v="794124811"/>
        <n v="441107239"/>
        <n v="798722777"/>
        <n v="517627557"/>
        <n v="872033418"/>
        <n v="495040348"/>
        <n v="419882797"/>
        <n v="825637637"/>
        <n v="718456326"/>
        <n v="460435412"/>
        <n v="839267743"/>
        <n v="449142117"/>
        <n v="527844169"/>
        <n v="604155508"/>
        <n v="962590136"/>
        <n v="846230088"/>
        <n v="636707278"/>
        <n v="944317998"/>
        <n v="846541390"/>
        <n v="698351117"/>
        <n v="605832809"/>
        <n v="404737060"/>
        <n v="805081789"/>
        <n v="689388014"/>
        <n v="524879436"/>
        <n v="609352116"/>
        <n v="593482135"/>
        <n v="728115576"/>
        <n v="934648980"/>
        <n v="812072906"/>
        <n v="843107580"/>
        <n v="975779685"/>
        <n v="653453675"/>
        <n v="496232896"/>
        <n v="751883596"/>
        <n v="484574935"/>
        <n v="536189964"/>
        <n v="679343086"/>
        <n v="896103695"/>
        <n v="412803978"/>
        <n v="811590408"/>
        <n v="798938539"/>
        <n v="425335678"/>
        <n v="893512481"/>
        <n v="645353548"/>
        <n v="701993774"/>
        <n v="613763321"/>
        <n v="906559419"/>
        <n v="681262134"/>
        <n v="929243652"/>
        <n v="465705702"/>
        <n v="615107468"/>
        <n v="460212095"/>
        <n v="794880983"/>
        <n v="728243775"/>
        <n v="710852929"/>
        <n v="985112779"/>
        <n v="738108088"/>
        <n v="925603884"/>
        <n v="572391606"/>
        <n v="496184543"/>
        <n v="559784246"/>
        <n v="530306219"/>
        <n v="409676474"/>
        <n v="952599256"/>
        <n v="936781881"/>
        <n v="673529227"/>
        <n v="659135677"/>
        <n v="796246589"/>
        <n v="598931617"/>
        <n v="982060318"/>
        <n v="835377102"/>
        <n v="519979651"/>
        <n v="534737961"/>
        <n v="705718882"/>
        <n v="595516050"/>
        <n v="519316751"/>
        <n v="719723252"/>
        <n v="696025411"/>
        <n v="764318495"/>
        <n v="799652843"/>
        <n v="623435953"/>
        <n v="515186561"/>
        <n v="462563814"/>
        <n v="498650781"/>
        <n v="407116397"/>
        <n v="697428751"/>
        <n v="608045091"/>
        <n v="809699339"/>
        <n v="559851251"/>
        <n v="431119249"/>
        <n v="661901566"/>
        <n v="439555419"/>
        <n v="625035596"/>
        <n v="837678790"/>
        <n v="559770051"/>
        <n v="680448330"/>
        <n v="479757892"/>
        <n v="530889287"/>
        <n v="426890437"/>
        <n v="504858112"/>
        <n v="608447733"/>
        <n v="656698180"/>
        <n v="701517169"/>
        <n v="952431770"/>
        <n v="560430160"/>
        <n v="819580840"/>
        <n v="932547507"/>
        <n v="479916388"/>
        <n v="878354280"/>
        <n v="461093501"/>
        <n v="916603924"/>
        <n v="522797072"/>
        <n v="593855201"/>
        <n v="925359973"/>
        <n v="444165941"/>
        <n v="427122369"/>
        <n v="930918717"/>
        <n v="871314398"/>
        <n v="473562405"/>
        <n v="893093844"/>
        <n v="474698225"/>
        <n v="516996097"/>
        <n v="417471731"/>
        <n v="669382522"/>
        <n v="565740827"/>
        <n v="518345979"/>
        <n v="967058649"/>
        <n v="711018966"/>
        <n v="583851529"/>
        <n v="479192587"/>
        <n v="781050014"/>
        <n v="955526833"/>
        <n v="824946602"/>
        <n v="914754460"/>
        <n v="984263398"/>
        <n v="537759665"/>
        <n v="884539653"/>
        <n v="834093261"/>
        <n v="946208039"/>
        <n v="735579992"/>
        <n v="401589928"/>
        <n v="428045916"/>
        <n v="695423483"/>
        <n v="627101820"/>
        <n v="818755010"/>
        <n v="792728923"/>
        <n v="909240656"/>
        <n v="492606383"/>
        <n v="486085202"/>
        <n v="515918497"/>
        <n v="770920270"/>
        <n v="408286014"/>
        <n v="413860491"/>
        <n v="960221718"/>
        <n v="816997835"/>
        <n v="541568429"/>
        <n v="675956854"/>
        <n v="726692867"/>
        <n v="493740160"/>
        <n v="963106930"/>
        <n v="500493087"/>
        <n v="529505463"/>
        <n v="861876313"/>
        <n v="653112506"/>
        <n v="735451622"/>
        <n v="550233385"/>
        <n v="404217298"/>
        <n v="760909607"/>
        <n v="440613823"/>
        <n v="916131748"/>
        <n v="549330330"/>
        <n v="806139906"/>
        <n v="404506819"/>
        <n v="701388738"/>
        <n v="601427302"/>
        <n v="787796374"/>
        <n v="931343099"/>
        <n v="898172352"/>
        <n v="470661072"/>
        <n v="778793704"/>
        <n v="539695383"/>
        <n v="924469119"/>
        <n v="407112250"/>
        <n v="561799490"/>
        <n v="880057390"/>
        <n v="596690200"/>
        <n v="583008745"/>
        <n v="792826733"/>
        <n v="824997804"/>
        <n v="753519338"/>
        <n v="484679513"/>
        <n v="821503911"/>
        <n v="630426575"/>
        <n v="464229154"/>
        <n v="832645975"/>
        <n v="622659709"/>
        <n v="693582611"/>
        <n v="957135320"/>
        <n v="834167039"/>
        <n v="893563189"/>
        <n v="497263087"/>
        <n v="641591546"/>
        <n v="735248382"/>
        <n v="813642783"/>
        <n v="481225108"/>
        <n v="886148315"/>
        <n v="917611564"/>
        <n v="894305320"/>
        <n v="564950498"/>
        <n v="951599875"/>
        <n v="939802576"/>
        <n v="519234737"/>
        <n v="558056442"/>
        <n v="470369511"/>
        <n v="506413530"/>
        <n v="445000794"/>
        <n v="877486007"/>
        <n v="841132434"/>
        <n v="649331617"/>
        <n v="749334956"/>
        <n v="863289533"/>
        <n v="607512980"/>
        <n v="429775040"/>
        <n v="461899668"/>
        <n v="526857160"/>
        <n v="863358985"/>
        <n v="985645574"/>
        <n v="424565017"/>
        <n v="454582442"/>
        <n v="696905596"/>
        <n v="948676112"/>
        <n v="514312745"/>
        <n v="748231234"/>
        <n v="959320060"/>
        <n v="968851363"/>
        <n v="598697955"/>
        <n v="749077759"/>
        <n v="861023707"/>
        <n v="567030780"/>
        <n v="838569295"/>
        <n v="899769065"/>
        <n v="417877992"/>
        <n v="808442845"/>
        <n v="938251806"/>
        <n v="618200981"/>
        <n v="493169743"/>
        <n v="757909385"/>
        <n v="734155720"/>
        <n v="647356857"/>
        <n v="903092306"/>
        <n v="448207297"/>
        <n v="837997596"/>
        <n v="862738873"/>
        <n v="783287152"/>
        <n v="475338338"/>
        <n v="526315496"/>
        <n v="948239076"/>
        <n v="804399102"/>
        <n v="975772949"/>
        <n v="586938473"/>
        <n v="794678287"/>
        <n v="973105649"/>
        <n v="532752868"/>
        <n v="881862064"/>
        <n v="767574622"/>
        <n v="500646455"/>
        <n v="679376843"/>
        <n v="964667885"/>
        <n v="428277131"/>
        <n v="629619430"/>
        <n v="929921466"/>
        <n v="612102741"/>
        <n v="853511075"/>
        <n v="968679923"/>
        <n v="429700474"/>
        <n v="427584666"/>
        <n v="588094672"/>
        <n v="447241564"/>
        <n v="804301225"/>
        <n v="701495440"/>
        <n v="770924109"/>
        <n v="728413307"/>
        <n v="713470056"/>
        <n v="617700138"/>
        <n v="886876289"/>
        <n v="550424375"/>
        <n v="787165065"/>
        <n v="717620954"/>
        <n v="581807714"/>
        <n v="445608302"/>
        <n v="947890453"/>
        <n v="523469687"/>
        <n v="957227968"/>
        <n v="716938595"/>
        <n v="631227933"/>
        <n v="969444620"/>
        <n v="680319208"/>
        <n v="605621608"/>
        <n v="499798549"/>
        <n v="603806238"/>
        <n v="749198114"/>
        <n v="855588685"/>
        <n v="459963498"/>
        <n v="793466170"/>
        <n v="682489023"/>
        <n v="588237872"/>
        <n v="478685636"/>
        <n v="774658060"/>
        <n v="837080319"/>
        <n v="479746482"/>
        <n v="614123855"/>
        <n v="577397284"/>
        <n v="631142012"/>
        <n v="703777575"/>
        <n v="404281537"/>
        <n v="649343885"/>
        <n v="595415973"/>
        <n v="602349278"/>
        <n v="975543950"/>
        <n v="498101078"/>
        <n v="534160537"/>
        <n v="797540105"/>
        <n v="889460614"/>
        <n v="487760141"/>
        <n v="743866393"/>
        <n v="924684640"/>
        <n v="918687751"/>
        <n v="725157885"/>
        <n v="727223644"/>
        <n v="964088692"/>
        <n v="484784828"/>
        <n v="876854893"/>
        <n v="626987134"/>
        <n v="874070041"/>
        <n v="823332945"/>
        <n v="561666342"/>
        <n v="962027372"/>
        <n v="759085835"/>
        <n v="867158012"/>
        <n v="400480111"/>
        <n v="625844349"/>
        <n v="721591778"/>
        <n v="476114766"/>
        <n v="707120954"/>
        <n v="525447282"/>
        <n v="543692329"/>
        <n v="839214824"/>
        <n v="875568125"/>
        <n v="663758847"/>
        <n v="827186109"/>
        <n v="452847668"/>
        <n v="983117648"/>
        <n v="760301781"/>
        <n v="822001216"/>
        <n v="918191592"/>
        <n v="949866347"/>
        <n v="816244572"/>
        <n v="494435189"/>
        <n v="468971163"/>
        <n v="840157226"/>
        <n v="584715169"/>
        <n v="689059627"/>
        <n v="919871667"/>
        <n v="915505334"/>
        <n v="759692949"/>
        <n v="515476812"/>
        <n v="644540269"/>
        <n v="849443195"/>
        <n v="573013091"/>
        <n v="965204710"/>
        <n v="584921385"/>
        <n v="678791691"/>
        <n v="510640958"/>
        <n v="634369839"/>
        <n v="703274814"/>
        <n v="914603276"/>
        <n v="949517506"/>
        <n v="903593729"/>
        <n v="457330652"/>
        <n v="561803647"/>
        <n v="655663099"/>
        <n v="770030019"/>
        <n v="980694107"/>
        <n v="550916550"/>
        <n v="502291735"/>
        <n v="485153168"/>
        <n v="406344491"/>
        <n v="844094061"/>
        <n v="567295310"/>
        <n v="778979692"/>
        <n v="835797514"/>
        <n v="834681329"/>
        <n v="513633872"/>
        <n v="968455120"/>
        <n v="709904329"/>
        <n v="742749055"/>
        <n v="873302120"/>
        <n v="927314137"/>
        <n v="747958808"/>
        <n v="499041184"/>
        <n v="415759916"/>
        <n v="958820600"/>
        <n v="955079255"/>
        <n v="548034509"/>
        <n v="468911119"/>
        <n v="547559371"/>
        <n v="753662180"/>
        <n v="974871484"/>
        <n v="820562194"/>
        <n v="810733404"/>
        <n v="512058109"/>
        <n v="846923988"/>
        <n v="663959819"/>
        <n v="538645328"/>
        <n v="713314488"/>
        <n v="722823431"/>
        <n v="574732359"/>
        <n v="686718630"/>
        <n v="458852918"/>
        <n v="927014105"/>
        <n v="787700181"/>
        <n v="621460025"/>
        <n v="720910870"/>
        <n v="644763133"/>
        <n v="914374164"/>
        <n v="838782455"/>
        <n v="610551165"/>
        <n v="569386520"/>
        <n v="688186998"/>
        <n v="856457375"/>
        <n v="977940880"/>
        <n v="664727188"/>
        <n v="577388655"/>
        <n v="542611566"/>
        <n v="448722502"/>
        <n v="768531974"/>
        <n v="412860843"/>
        <n v="929981201"/>
        <n v="952183510"/>
        <n v="416932832"/>
        <n v="476020352"/>
        <n v="748098707"/>
        <n v="557581462"/>
        <n v="557237983"/>
        <n v="555191112"/>
        <n v="975513406"/>
        <n v="493039952"/>
        <n v="880629729"/>
        <n v="822938429"/>
        <n v="498923616"/>
        <n v="953942791"/>
        <n v="696795823"/>
        <n v="901529347"/>
        <n v="852767608"/>
        <n v="939906147"/>
        <n v="814472522"/>
        <n v="731111880"/>
        <n v="920922349"/>
        <n v="428883753"/>
        <n v="728014399"/>
        <n v="506690392"/>
        <n v="637570577"/>
        <n v="567127307"/>
        <n v="444644136"/>
        <n v="724209549"/>
        <n v="815368401"/>
        <n v="967506910"/>
        <n v="452151520"/>
        <n v="604505177"/>
        <n v="437562975"/>
        <n v="665376167"/>
        <n v="407375712"/>
        <n v="969001769"/>
        <n v="528365223"/>
        <n v="871586869"/>
        <n v="837060230"/>
        <n v="613083593"/>
        <n v="484194933"/>
        <n v="483673327"/>
        <n v="921623541"/>
        <n v="573003150"/>
        <n v="759334843"/>
        <n v="441890610"/>
        <n v="450381949"/>
        <n v="959792783"/>
        <n v="584223695"/>
        <n v="889842337"/>
        <n v="558899851"/>
        <n v="782286417"/>
        <n v="554264262"/>
        <n v="431790392"/>
        <n v="870257220"/>
        <n v="985026273"/>
        <n v="667405126"/>
        <n v="928432010"/>
        <n v="857923196"/>
        <n v="577117328"/>
        <n v="714213082"/>
        <n v="757347923"/>
        <n v="955404635"/>
        <n v="967088504"/>
        <n v="703114883"/>
        <n v="948726368"/>
        <n v="639327484"/>
        <n v="976815268"/>
        <n v="952071267"/>
        <n v="779515891"/>
        <n v="486166739"/>
        <n v="964177899"/>
        <n v="964475583"/>
        <n v="684636485"/>
        <n v="402081437"/>
        <n v="624420649"/>
        <n v="918792956"/>
        <n v="802500902"/>
        <n v="403739376"/>
        <n v="676133301"/>
        <n v="777283686"/>
        <n v="884287722"/>
        <n v="680167989"/>
        <n v="885191353"/>
        <n v="692330725"/>
        <n v="936778908"/>
        <n v="785763426"/>
        <n v="838731679"/>
        <n v="722848195"/>
        <n v="940730927"/>
        <n v="752305012"/>
        <n v="448316550"/>
        <n v="510704630"/>
        <n v="481430251"/>
        <n v="722696220"/>
        <n v="754089438"/>
        <n v="410702289"/>
        <n v="503637303"/>
        <n v="740533036"/>
        <n v="406093061"/>
        <n v="663962293"/>
        <n v="879514402"/>
        <n v="678341309"/>
        <n v="959666119"/>
        <n v="707136114"/>
        <n v="546350412"/>
        <n v="473566044"/>
        <n v="401385613"/>
        <n v="440269425"/>
        <n v="852352764"/>
        <n v="719219289"/>
        <n v="556071548"/>
        <n v="948248301"/>
        <n v="945555554"/>
        <n v="738170636"/>
        <n v="436940855"/>
        <n v="907231949"/>
        <n v="428292618"/>
        <n v="706362419"/>
        <n v="797525432"/>
        <n v="804654929"/>
        <n v="753447142"/>
        <n v="413380558"/>
        <n v="451047175"/>
        <n v="487641052"/>
        <n v="704472939"/>
        <n v="703980544"/>
        <n v="714745294"/>
        <n v="475377373"/>
        <n v="688787331"/>
        <n v="899424191"/>
        <n v="959876497"/>
        <n v="455618789"/>
        <n v="495748338"/>
        <n v="655369242"/>
        <n v="899909864"/>
        <n v="458828008"/>
        <n v="676127727"/>
        <n v="860301609"/>
        <n v="604591282"/>
        <n v="882137448"/>
        <n v="441890822"/>
        <n v="691692072"/>
        <n v="779249951"/>
        <n v="530823466"/>
        <n v="726251580"/>
        <n v="883457450"/>
        <n v="878109724"/>
        <n v="688319441"/>
        <n v="464877225"/>
        <n v="695214509"/>
        <n v="895479404"/>
        <n v="749855351"/>
        <n v="515630239"/>
        <n v="586277055"/>
        <n v="430696830"/>
        <n v="852567682"/>
        <n v="843024488"/>
        <n v="964114005"/>
        <n v="541026320"/>
        <n v="740241696"/>
        <n v="980592694"/>
        <n v="489827018"/>
        <n v="911307202"/>
        <n v="947530356"/>
        <n v="766810568"/>
        <n v="798667170"/>
        <n v="527328542"/>
        <n v="957880696"/>
        <n v="826273813"/>
        <n v="966664360"/>
        <n v="537831794"/>
        <n v="733765222"/>
        <n v="494106820"/>
        <n v="944117990"/>
        <n v="465353424"/>
        <n v="568721734"/>
        <n v="488014914"/>
        <n v="439939650"/>
        <n v="844801027"/>
        <n v="687873687"/>
        <n v="632808113"/>
        <n v="855992203"/>
        <n v="478135865"/>
        <n v="517390799"/>
        <n v="815490329"/>
        <n v="408521227"/>
        <n v="671550996"/>
        <n v="427811421"/>
        <n v="514796257"/>
        <n v="432569648"/>
        <n v="676169168"/>
        <n v="779256018"/>
        <n v="890972401"/>
        <n v="640017896"/>
        <n v="425017902"/>
        <n v="734728090"/>
        <n v="685127658"/>
        <n v="735599176"/>
        <n v="498523102"/>
        <n v="814452244"/>
        <n v="705176549"/>
        <n v="508103555"/>
        <n v="546029191"/>
        <n v="591199048"/>
        <n v="787970483"/>
        <n v="726178470"/>
        <n v="718908108"/>
        <n v="665351667"/>
        <n v="771895638"/>
        <n v="811012376"/>
        <n v="554980513"/>
        <n v="712089197"/>
        <n v="969589948"/>
        <n v="667506795"/>
        <n v="603639226"/>
        <n v="966198028"/>
        <n v="684060673"/>
        <n v="936938728"/>
        <n v="959219934"/>
        <n v="571483021"/>
        <n v="456754713"/>
        <n v="860578455"/>
        <n v="410138406"/>
        <n v="759631687"/>
        <n v="885040629"/>
        <n v="456754722"/>
        <n v="456754812"/>
        <n v="778942448"/>
        <n v="926015028"/>
        <n v="414701452"/>
        <n v="879433015"/>
        <n v="918688079"/>
      </sharedItems>
    </cacheField>
    <cacheField name="data" numFmtId="14">
      <sharedItems containsSemiMixedTypes="0" containsNonDate="0" containsDate="1" containsString="0" minDate="2017-06-01T00:00:00" maxDate="2017-07-18T00:00:00"/>
    </cacheField>
    <cacheField name="godz_polaczenia" numFmtId="164">
      <sharedItems containsSemiMixedTypes="0" containsNonDate="0" containsDate="1" containsString="0" minDate="1899-12-30T00:01:00" maxDate="1899-12-30T23:58:00"/>
    </cacheField>
    <cacheField name="nr_pytania" numFmtId="0">
      <sharedItems containsSemiMixedTypes="0" containsString="0" containsNumber="1" containsInteger="1" minValue="1" maxValue="6"/>
    </cacheField>
    <cacheField name="odp" numFmtId="0">
      <sharedItems/>
    </cacheField>
    <cacheField name="czy_poprawna_odp" numFmtId="0">
      <sharedItems count="2">
        <s v="Tak"/>
        <s v="Ni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">
  <r>
    <x v="0"/>
    <d v="2017-06-01T00:00:00"/>
    <d v="1899-12-30T15:00:00"/>
    <n v="1"/>
    <s v="B"/>
    <x v="0"/>
  </r>
  <r>
    <x v="1"/>
    <d v="2017-06-01T00:00:00"/>
    <d v="1899-12-30T16:24:00"/>
    <n v="2"/>
    <s v="C"/>
    <x v="1"/>
  </r>
  <r>
    <x v="2"/>
    <d v="2017-06-01T00:00:00"/>
    <d v="1899-12-30T16:51:00"/>
    <n v="2"/>
    <s v="A"/>
    <x v="0"/>
  </r>
  <r>
    <x v="3"/>
    <d v="2017-06-01T00:00:00"/>
    <d v="1899-12-30T18:09:00"/>
    <n v="2"/>
    <s v="A"/>
    <x v="0"/>
  </r>
  <r>
    <x v="4"/>
    <d v="2017-06-01T00:00:00"/>
    <d v="1899-12-30T20:15:00"/>
    <n v="5"/>
    <s v="B"/>
    <x v="1"/>
  </r>
  <r>
    <x v="5"/>
    <d v="2017-06-01T00:00:00"/>
    <d v="1899-12-30T21:19:00"/>
    <n v="5"/>
    <s v="B"/>
    <x v="1"/>
  </r>
  <r>
    <x v="6"/>
    <d v="2017-06-01T00:00:00"/>
    <d v="1899-12-30T23:02:00"/>
    <n v="1"/>
    <s v="C"/>
    <x v="1"/>
  </r>
  <r>
    <x v="7"/>
    <d v="2017-06-01T00:00:00"/>
    <d v="1899-12-30T23:28:00"/>
    <n v="1"/>
    <s v="C"/>
    <x v="1"/>
  </r>
  <r>
    <x v="8"/>
    <d v="2017-06-02T00:00:00"/>
    <d v="1899-12-30T00:29:00"/>
    <n v="3"/>
    <s v="C"/>
    <x v="1"/>
  </r>
  <r>
    <x v="9"/>
    <d v="2017-06-02T00:00:00"/>
    <d v="1899-12-30T02:46:00"/>
    <n v="5"/>
    <s v="C"/>
    <x v="0"/>
  </r>
  <r>
    <x v="10"/>
    <d v="2017-06-02T00:00:00"/>
    <d v="1899-12-30T03:29:00"/>
    <n v="2"/>
    <s v="A"/>
    <x v="0"/>
  </r>
  <r>
    <x v="11"/>
    <d v="2017-06-02T00:00:00"/>
    <d v="1899-12-30T04:31:00"/>
    <n v="2"/>
    <s v="B"/>
    <x v="1"/>
  </r>
  <r>
    <x v="12"/>
    <d v="2017-06-02T00:00:00"/>
    <d v="1899-12-30T06:11:00"/>
    <n v="3"/>
    <s v="C"/>
    <x v="1"/>
  </r>
  <r>
    <x v="13"/>
    <d v="2017-06-02T00:00:00"/>
    <d v="1899-12-30T07:03:00"/>
    <n v="2"/>
    <s v="C"/>
    <x v="1"/>
  </r>
  <r>
    <x v="14"/>
    <d v="2017-06-02T00:00:00"/>
    <d v="1899-12-30T09:20:00"/>
    <n v="2"/>
    <s v="A"/>
    <x v="0"/>
  </r>
  <r>
    <x v="15"/>
    <d v="2017-06-02T00:00:00"/>
    <d v="1899-12-30T09:23:00"/>
    <n v="4"/>
    <s v="A"/>
    <x v="1"/>
  </r>
  <r>
    <x v="16"/>
    <d v="2017-06-02T00:00:00"/>
    <d v="1899-12-30T09:38:00"/>
    <n v="5"/>
    <s v="B"/>
    <x v="1"/>
  </r>
  <r>
    <x v="17"/>
    <d v="2017-06-02T00:00:00"/>
    <d v="1899-12-30T10:38:00"/>
    <n v="4"/>
    <s v="B"/>
    <x v="0"/>
  </r>
  <r>
    <x v="18"/>
    <d v="2017-06-02T00:00:00"/>
    <d v="1899-12-30T11:21:00"/>
    <n v="1"/>
    <s v="C"/>
    <x v="1"/>
  </r>
  <r>
    <x v="19"/>
    <d v="2017-06-02T00:00:00"/>
    <d v="1899-12-30T13:05:00"/>
    <n v="1"/>
    <s v="C"/>
    <x v="1"/>
  </r>
  <r>
    <x v="20"/>
    <d v="2017-06-02T00:00:00"/>
    <d v="1899-12-30T15:00:00"/>
    <n v="3"/>
    <s v="A"/>
    <x v="0"/>
  </r>
  <r>
    <x v="21"/>
    <d v="2017-06-02T00:00:00"/>
    <d v="1899-12-30T15:03:00"/>
    <n v="6"/>
    <s v="C"/>
    <x v="1"/>
  </r>
  <r>
    <x v="22"/>
    <d v="2017-06-02T00:00:00"/>
    <d v="1899-12-30T17:17:00"/>
    <n v="2"/>
    <s v="B"/>
    <x v="1"/>
  </r>
  <r>
    <x v="23"/>
    <d v="2017-06-02T00:00:00"/>
    <d v="1899-12-30T17:37:00"/>
    <n v="2"/>
    <s v="C"/>
    <x v="1"/>
  </r>
  <r>
    <x v="24"/>
    <d v="2017-06-02T00:00:00"/>
    <d v="1899-12-30T19:11:00"/>
    <n v="5"/>
    <s v="A"/>
    <x v="1"/>
  </r>
  <r>
    <x v="25"/>
    <d v="2017-06-02T00:00:00"/>
    <d v="1899-12-30T19:15:00"/>
    <n v="6"/>
    <s v="A"/>
    <x v="0"/>
  </r>
  <r>
    <x v="26"/>
    <d v="2017-06-02T00:00:00"/>
    <d v="1899-12-30T19:30:00"/>
    <n v="5"/>
    <s v="B"/>
    <x v="1"/>
  </r>
  <r>
    <x v="27"/>
    <d v="2017-06-02T00:00:00"/>
    <d v="1899-12-30T20:23:00"/>
    <n v="1"/>
    <s v="B"/>
    <x v="0"/>
  </r>
  <r>
    <x v="28"/>
    <d v="2017-06-02T00:00:00"/>
    <d v="1899-12-30T22:12:00"/>
    <n v="1"/>
    <s v="C"/>
    <x v="1"/>
  </r>
  <r>
    <x v="29"/>
    <d v="2017-06-03T00:00:00"/>
    <d v="1899-12-30T00:36:00"/>
    <n v="3"/>
    <s v="C"/>
    <x v="1"/>
  </r>
  <r>
    <x v="30"/>
    <d v="2017-06-03T00:00:00"/>
    <d v="1899-12-30T00:50:00"/>
    <n v="3"/>
    <s v="C"/>
    <x v="1"/>
  </r>
  <r>
    <x v="31"/>
    <d v="2017-06-03T00:00:00"/>
    <d v="1899-12-30T01:24:00"/>
    <n v="6"/>
    <s v="C"/>
    <x v="1"/>
  </r>
  <r>
    <x v="32"/>
    <d v="2017-06-03T00:00:00"/>
    <d v="1899-12-30T02:57:00"/>
    <n v="6"/>
    <s v="A"/>
    <x v="0"/>
  </r>
  <r>
    <x v="33"/>
    <d v="2017-06-03T00:00:00"/>
    <d v="1899-12-30T04:07:00"/>
    <n v="6"/>
    <s v="B"/>
    <x v="1"/>
  </r>
  <r>
    <x v="34"/>
    <d v="2017-06-03T00:00:00"/>
    <d v="1899-12-30T04:21:00"/>
    <n v="3"/>
    <s v="C"/>
    <x v="1"/>
  </r>
  <r>
    <x v="28"/>
    <d v="2017-06-03T00:00:00"/>
    <d v="1899-12-30T05:15:00"/>
    <n v="4"/>
    <s v="C"/>
    <x v="1"/>
  </r>
  <r>
    <x v="29"/>
    <d v="2017-06-03T00:00:00"/>
    <d v="1899-12-30T07:38:00"/>
    <n v="5"/>
    <s v="A"/>
    <x v="1"/>
  </r>
  <r>
    <x v="30"/>
    <d v="2017-06-03T00:00:00"/>
    <d v="1899-12-30T09:52:00"/>
    <n v="2"/>
    <s v="A"/>
    <x v="0"/>
  </r>
  <r>
    <x v="32"/>
    <d v="2017-06-03T00:00:00"/>
    <d v="1899-12-30T12:23:00"/>
    <n v="3"/>
    <s v="B"/>
    <x v="1"/>
  </r>
  <r>
    <x v="33"/>
    <d v="2017-06-03T00:00:00"/>
    <d v="1899-12-30T13:23:00"/>
    <n v="5"/>
    <s v="C"/>
    <x v="0"/>
  </r>
  <r>
    <x v="28"/>
    <d v="2017-06-03T00:00:00"/>
    <d v="1899-12-30T14:42:00"/>
    <n v="6"/>
    <s v="C"/>
    <x v="1"/>
  </r>
  <r>
    <x v="29"/>
    <d v="2017-06-03T00:00:00"/>
    <d v="1899-12-30T16:13:00"/>
    <n v="4"/>
    <s v="C"/>
    <x v="1"/>
  </r>
  <r>
    <x v="32"/>
    <d v="2017-06-03T00:00:00"/>
    <d v="1899-12-30T17:03:00"/>
    <n v="5"/>
    <s v="C"/>
    <x v="0"/>
  </r>
  <r>
    <x v="33"/>
    <d v="2017-06-03T00:00:00"/>
    <d v="1899-12-30T17:11:00"/>
    <n v="4"/>
    <s v="A"/>
    <x v="1"/>
  </r>
  <r>
    <x v="35"/>
    <d v="2017-06-03T00:00:00"/>
    <d v="1899-12-30T18:26:00"/>
    <n v="6"/>
    <s v="A"/>
    <x v="0"/>
  </r>
  <r>
    <x v="36"/>
    <d v="2017-06-03T00:00:00"/>
    <d v="1899-12-30T19:41:00"/>
    <n v="1"/>
    <s v="B"/>
    <x v="0"/>
  </r>
  <r>
    <x v="37"/>
    <d v="2017-06-03T00:00:00"/>
    <d v="1899-12-30T20:59:00"/>
    <n v="2"/>
    <s v="B"/>
    <x v="1"/>
  </r>
  <r>
    <x v="38"/>
    <d v="2017-06-03T00:00:00"/>
    <d v="1899-12-30T21:43:00"/>
    <n v="6"/>
    <s v="C"/>
    <x v="1"/>
  </r>
  <r>
    <x v="39"/>
    <d v="2017-06-03T00:00:00"/>
    <d v="1899-12-30T21:48:00"/>
    <n v="3"/>
    <s v="C"/>
    <x v="1"/>
  </r>
  <r>
    <x v="40"/>
    <d v="2017-06-04T00:00:00"/>
    <d v="1899-12-30T00:06:00"/>
    <n v="5"/>
    <s v="C"/>
    <x v="0"/>
  </r>
  <r>
    <x v="0"/>
    <d v="2017-06-04T00:00:00"/>
    <d v="1899-12-30T01:40:00"/>
    <n v="5"/>
    <s v="C"/>
    <x v="0"/>
  </r>
  <r>
    <x v="41"/>
    <d v="2017-06-04T00:00:00"/>
    <d v="1899-12-30T01:49:00"/>
    <n v="6"/>
    <s v="A"/>
    <x v="0"/>
  </r>
  <r>
    <x v="1"/>
    <d v="2017-06-04T00:00:00"/>
    <d v="1899-12-30T03:53:00"/>
    <n v="6"/>
    <s v="B"/>
    <x v="1"/>
  </r>
  <r>
    <x v="2"/>
    <d v="2017-06-04T00:00:00"/>
    <d v="1899-12-30T04:13:00"/>
    <n v="6"/>
    <s v="C"/>
    <x v="1"/>
  </r>
  <r>
    <x v="3"/>
    <d v="2017-06-04T00:00:00"/>
    <d v="1899-12-30T06:36:00"/>
    <n v="3"/>
    <s v="C"/>
    <x v="1"/>
  </r>
  <r>
    <x v="4"/>
    <d v="2017-06-04T00:00:00"/>
    <d v="1899-12-30T07:27:00"/>
    <n v="1"/>
    <s v="A"/>
    <x v="1"/>
  </r>
  <r>
    <x v="5"/>
    <d v="2017-06-04T00:00:00"/>
    <d v="1899-12-30T09:06:00"/>
    <n v="2"/>
    <s v="A"/>
    <x v="0"/>
  </r>
  <r>
    <x v="6"/>
    <d v="2017-06-04T00:00:00"/>
    <d v="1899-12-30T10:51:00"/>
    <n v="2"/>
    <s v="B"/>
    <x v="1"/>
  </r>
  <r>
    <x v="7"/>
    <d v="2017-06-04T00:00:00"/>
    <d v="1899-12-30T10:58:00"/>
    <n v="2"/>
    <s v="B"/>
    <x v="1"/>
  </r>
  <r>
    <x v="8"/>
    <d v="2017-06-04T00:00:00"/>
    <d v="1899-12-30T11:24:00"/>
    <n v="6"/>
    <s v="C"/>
    <x v="1"/>
  </r>
  <r>
    <x v="9"/>
    <d v="2017-06-04T00:00:00"/>
    <d v="1899-12-30T11:58:00"/>
    <n v="6"/>
    <s v="C"/>
    <x v="1"/>
  </r>
  <r>
    <x v="10"/>
    <d v="2017-06-04T00:00:00"/>
    <d v="1899-12-30T14:08:00"/>
    <n v="1"/>
    <s v="C"/>
    <x v="1"/>
  </r>
  <r>
    <x v="11"/>
    <d v="2017-06-04T00:00:00"/>
    <d v="1899-12-30T15:00:00"/>
    <n v="4"/>
    <s v="A"/>
    <x v="1"/>
  </r>
  <r>
    <x v="12"/>
    <d v="2017-06-04T00:00:00"/>
    <d v="1899-12-30T16:16:00"/>
    <n v="2"/>
    <s v="B"/>
    <x v="1"/>
  </r>
  <r>
    <x v="13"/>
    <d v="2017-06-04T00:00:00"/>
    <d v="1899-12-30T16:51:00"/>
    <n v="1"/>
    <s v="C"/>
    <x v="1"/>
  </r>
  <r>
    <x v="14"/>
    <d v="2017-06-04T00:00:00"/>
    <d v="1899-12-30T18:46:00"/>
    <n v="3"/>
    <s v="A"/>
    <x v="0"/>
  </r>
  <r>
    <x v="15"/>
    <d v="2017-06-04T00:00:00"/>
    <d v="1899-12-30T20:29:00"/>
    <n v="5"/>
    <s v="A"/>
    <x v="1"/>
  </r>
  <r>
    <x v="16"/>
    <d v="2017-06-04T00:00:00"/>
    <d v="1899-12-30T22:15:00"/>
    <n v="3"/>
    <s v="B"/>
    <x v="1"/>
  </r>
  <r>
    <x v="17"/>
    <d v="2017-06-04T00:00:00"/>
    <d v="1899-12-30T23:21:00"/>
    <n v="1"/>
    <s v="B"/>
    <x v="0"/>
  </r>
  <r>
    <x v="18"/>
    <d v="2017-06-05T00:00:00"/>
    <d v="1899-12-30T00:02:00"/>
    <n v="3"/>
    <s v="C"/>
    <x v="1"/>
  </r>
  <r>
    <x v="19"/>
    <d v="2017-06-05T00:00:00"/>
    <d v="1899-12-30T02:19:00"/>
    <n v="2"/>
    <s v="C"/>
    <x v="1"/>
  </r>
  <r>
    <x v="21"/>
    <d v="2017-06-05T00:00:00"/>
    <d v="1899-12-30T03:35:00"/>
    <n v="3"/>
    <s v="C"/>
    <x v="1"/>
  </r>
  <r>
    <x v="20"/>
    <d v="2017-06-05T00:00:00"/>
    <d v="1899-12-30T04:49:00"/>
    <n v="1"/>
    <s v="C"/>
    <x v="1"/>
  </r>
  <r>
    <x v="22"/>
    <d v="2017-06-05T00:00:00"/>
    <d v="1899-12-30T06:50:00"/>
    <n v="3"/>
    <s v="A"/>
    <x v="0"/>
  </r>
  <r>
    <x v="23"/>
    <d v="2017-06-05T00:00:00"/>
    <d v="1899-12-30T07:36:00"/>
    <n v="1"/>
    <s v="B"/>
    <x v="0"/>
  </r>
  <r>
    <x v="24"/>
    <d v="2017-06-05T00:00:00"/>
    <d v="1899-12-30T07:45:00"/>
    <n v="6"/>
    <s v="C"/>
    <x v="1"/>
  </r>
  <r>
    <x v="25"/>
    <d v="2017-06-05T00:00:00"/>
    <d v="1899-12-30T08:22:00"/>
    <n v="2"/>
    <s v="C"/>
    <x v="1"/>
  </r>
  <r>
    <x v="26"/>
    <d v="2017-06-05T00:00:00"/>
    <d v="1899-12-30T09:37:00"/>
    <n v="4"/>
    <s v="A"/>
    <x v="1"/>
  </r>
  <r>
    <x v="27"/>
    <d v="2017-06-05T00:00:00"/>
    <d v="1899-12-30T10:15:00"/>
    <n v="5"/>
    <s v="A"/>
    <x v="1"/>
  </r>
  <r>
    <x v="28"/>
    <d v="2017-06-05T00:00:00"/>
    <d v="1899-12-30T11:51:00"/>
    <n v="5"/>
    <s v="B"/>
    <x v="1"/>
  </r>
  <r>
    <x v="30"/>
    <d v="2017-06-05T00:00:00"/>
    <d v="1899-12-30T15:12:00"/>
    <n v="6"/>
    <s v="C"/>
    <x v="1"/>
  </r>
  <r>
    <x v="34"/>
    <d v="2017-06-05T00:00:00"/>
    <d v="1899-12-30T15:15:00"/>
    <n v="2"/>
    <s v="B"/>
    <x v="1"/>
  </r>
  <r>
    <x v="31"/>
    <d v="2017-06-05T00:00:00"/>
    <d v="1899-12-30T16:24:00"/>
    <n v="5"/>
    <s v="C"/>
    <x v="0"/>
  </r>
  <r>
    <x v="28"/>
    <d v="2017-06-05T00:00:00"/>
    <d v="1899-12-30T17:10:00"/>
    <n v="3"/>
    <s v="C"/>
    <x v="1"/>
  </r>
  <r>
    <x v="29"/>
    <d v="2017-06-05T00:00:00"/>
    <d v="1899-12-30T17:21:00"/>
    <n v="6"/>
    <s v="A"/>
    <x v="0"/>
  </r>
  <r>
    <x v="30"/>
    <d v="2017-06-05T00:00:00"/>
    <d v="1899-12-30T18:20:00"/>
    <n v="5"/>
    <s v="A"/>
    <x v="1"/>
  </r>
  <r>
    <x v="32"/>
    <d v="2017-06-05T00:00:00"/>
    <d v="1899-12-30T18:35:00"/>
    <n v="1"/>
    <s v="C"/>
    <x v="1"/>
  </r>
  <r>
    <x v="31"/>
    <d v="2017-06-05T00:00:00"/>
    <d v="1899-12-30T20:02:00"/>
    <n v="3"/>
    <s v="B"/>
    <x v="1"/>
  </r>
  <r>
    <x v="32"/>
    <d v="2017-06-05T00:00:00"/>
    <d v="1899-12-30T22:07:00"/>
    <n v="2"/>
    <s v="B"/>
    <x v="1"/>
  </r>
  <r>
    <x v="42"/>
    <d v="2017-06-06T00:00:00"/>
    <d v="1899-12-30T01:29:00"/>
    <n v="6"/>
    <s v="C"/>
    <x v="1"/>
  </r>
  <r>
    <x v="43"/>
    <d v="2017-06-06T00:00:00"/>
    <d v="1899-12-30T02:13:00"/>
    <n v="2"/>
    <s v="C"/>
    <x v="1"/>
  </r>
  <r>
    <x v="44"/>
    <d v="2017-06-06T00:00:00"/>
    <d v="1899-12-30T04:27:00"/>
    <n v="2"/>
    <s v="C"/>
    <x v="1"/>
  </r>
  <r>
    <x v="45"/>
    <d v="2017-06-06T00:00:00"/>
    <d v="1899-12-30T06:23:00"/>
    <n v="1"/>
    <s v="A"/>
    <x v="1"/>
  </r>
  <r>
    <x v="46"/>
    <d v="2017-06-06T00:00:00"/>
    <d v="1899-12-30T07:07:00"/>
    <n v="4"/>
    <s v="B"/>
    <x v="0"/>
  </r>
  <r>
    <x v="47"/>
    <d v="2017-06-06T00:00:00"/>
    <d v="1899-12-30T08:08:00"/>
    <n v="5"/>
    <s v="C"/>
    <x v="0"/>
  </r>
  <r>
    <x v="48"/>
    <d v="2017-06-06T00:00:00"/>
    <d v="1899-12-30T08:59:00"/>
    <n v="5"/>
    <s v="C"/>
    <x v="0"/>
  </r>
  <r>
    <x v="49"/>
    <d v="2017-06-06T00:00:00"/>
    <d v="1899-12-30T09:36:00"/>
    <n v="4"/>
    <s v="A"/>
    <x v="1"/>
  </r>
  <r>
    <x v="50"/>
    <d v="2017-06-06T00:00:00"/>
    <d v="1899-12-30T10:00:00"/>
    <n v="1"/>
    <s v="A"/>
    <x v="1"/>
  </r>
  <r>
    <x v="51"/>
    <d v="2017-06-06T00:00:00"/>
    <d v="1899-12-30T11:38:00"/>
    <n v="1"/>
    <s v="B"/>
    <x v="0"/>
  </r>
  <r>
    <x v="52"/>
    <d v="2017-06-06T00:00:00"/>
    <d v="1899-12-30T12:00:00"/>
    <n v="3"/>
    <s v="B"/>
    <x v="1"/>
  </r>
  <r>
    <x v="53"/>
    <d v="2017-06-06T00:00:00"/>
    <d v="1899-12-30T13:39:00"/>
    <n v="3"/>
    <s v="C"/>
    <x v="1"/>
  </r>
  <r>
    <x v="54"/>
    <d v="2017-06-06T00:00:00"/>
    <d v="1899-12-30T14:05:00"/>
    <n v="3"/>
    <s v="C"/>
    <x v="1"/>
  </r>
  <r>
    <x v="55"/>
    <d v="2017-06-06T00:00:00"/>
    <d v="1899-12-30T14:52:00"/>
    <n v="3"/>
    <s v="C"/>
    <x v="1"/>
  </r>
  <r>
    <x v="56"/>
    <d v="2017-06-06T00:00:00"/>
    <d v="1899-12-30T15:00:00"/>
    <n v="4"/>
    <s v="A"/>
    <x v="1"/>
  </r>
  <r>
    <x v="57"/>
    <d v="2017-06-06T00:00:00"/>
    <d v="1899-12-30T16:39:00"/>
    <n v="5"/>
    <s v="B"/>
    <x v="1"/>
  </r>
  <r>
    <x v="58"/>
    <d v="2017-06-06T00:00:00"/>
    <d v="1899-12-30T18:52:00"/>
    <n v="1"/>
    <s v="C"/>
    <x v="1"/>
  </r>
  <r>
    <x v="59"/>
    <d v="2017-06-06T00:00:00"/>
    <d v="1899-12-30T19:42:00"/>
    <n v="5"/>
    <s v="A"/>
    <x v="1"/>
  </r>
  <r>
    <x v="60"/>
    <d v="2017-06-06T00:00:00"/>
    <d v="1899-12-30T20:43:00"/>
    <n v="2"/>
    <s v="A"/>
    <x v="0"/>
  </r>
  <r>
    <x v="61"/>
    <d v="2017-06-06T00:00:00"/>
    <d v="1899-12-30T21:02:00"/>
    <n v="2"/>
    <s v="B"/>
    <x v="1"/>
  </r>
  <r>
    <x v="62"/>
    <d v="2017-06-06T00:00:00"/>
    <d v="1899-12-30T22:48:00"/>
    <n v="1"/>
    <s v="B"/>
    <x v="0"/>
  </r>
  <r>
    <x v="63"/>
    <d v="2017-06-06T00:00:00"/>
    <d v="1899-12-30T22:58:00"/>
    <n v="5"/>
    <s v="C"/>
    <x v="0"/>
  </r>
  <r>
    <x v="64"/>
    <d v="2017-06-07T00:00:00"/>
    <d v="1899-12-30T00:08:00"/>
    <n v="1"/>
    <s v="C"/>
    <x v="1"/>
  </r>
  <r>
    <x v="65"/>
    <d v="2017-06-07T00:00:00"/>
    <d v="1899-12-30T01:01:00"/>
    <n v="4"/>
    <s v="C"/>
    <x v="1"/>
  </r>
  <r>
    <x v="66"/>
    <d v="2017-06-07T00:00:00"/>
    <d v="1899-12-30T02:14:00"/>
    <n v="4"/>
    <s v="C"/>
    <x v="1"/>
  </r>
  <r>
    <x v="67"/>
    <d v="2017-06-07T00:00:00"/>
    <d v="1899-12-30T04:21:00"/>
    <n v="4"/>
    <s v="A"/>
    <x v="1"/>
  </r>
  <r>
    <x v="68"/>
    <d v="2017-06-07T00:00:00"/>
    <d v="1899-12-30T05:16:00"/>
    <n v="6"/>
    <s v="B"/>
    <x v="1"/>
  </r>
  <r>
    <x v="69"/>
    <d v="2017-06-07T00:00:00"/>
    <d v="1899-12-30T07:12:00"/>
    <n v="5"/>
    <s v="C"/>
    <x v="0"/>
  </r>
  <r>
    <x v="70"/>
    <d v="2017-06-07T00:00:00"/>
    <d v="1899-12-30T08:33:00"/>
    <n v="5"/>
    <s v="C"/>
    <x v="0"/>
  </r>
  <r>
    <x v="71"/>
    <d v="2017-06-07T00:00:00"/>
    <d v="1899-12-30T10:36:00"/>
    <n v="2"/>
    <s v="A"/>
    <x v="0"/>
  </r>
  <r>
    <x v="72"/>
    <d v="2017-06-07T00:00:00"/>
    <d v="1899-12-30T12:11:00"/>
    <n v="4"/>
    <s v="A"/>
    <x v="1"/>
  </r>
  <r>
    <x v="73"/>
    <d v="2017-06-07T00:00:00"/>
    <d v="1899-12-30T14:18:00"/>
    <n v="4"/>
    <s v="B"/>
    <x v="0"/>
  </r>
  <r>
    <x v="74"/>
    <d v="2017-06-07T00:00:00"/>
    <d v="1899-12-30T15:00:00"/>
    <n v="2"/>
    <s v="A"/>
    <x v="0"/>
  </r>
  <r>
    <x v="75"/>
    <d v="2017-06-07T00:00:00"/>
    <d v="1899-12-30T15:16:00"/>
    <n v="1"/>
    <s v="B"/>
    <x v="0"/>
  </r>
  <r>
    <x v="76"/>
    <d v="2017-06-07T00:00:00"/>
    <d v="1899-12-30T15:44:00"/>
    <n v="4"/>
    <s v="B"/>
    <x v="0"/>
  </r>
  <r>
    <x v="77"/>
    <d v="2017-06-07T00:00:00"/>
    <d v="1899-12-30T15:45:00"/>
    <n v="5"/>
    <s v="C"/>
    <x v="0"/>
  </r>
  <r>
    <x v="78"/>
    <d v="2017-06-07T00:00:00"/>
    <d v="1899-12-30T16:04:00"/>
    <n v="3"/>
    <s v="C"/>
    <x v="1"/>
  </r>
  <r>
    <x v="79"/>
    <d v="2017-06-07T00:00:00"/>
    <d v="1899-12-30T17:29:00"/>
    <n v="3"/>
    <s v="C"/>
    <x v="1"/>
  </r>
  <r>
    <x v="80"/>
    <d v="2017-06-07T00:00:00"/>
    <d v="1899-12-30T17:52:00"/>
    <n v="6"/>
    <s v="C"/>
    <x v="1"/>
  </r>
  <r>
    <x v="81"/>
    <d v="2017-06-07T00:00:00"/>
    <d v="1899-12-30T18:58:00"/>
    <n v="6"/>
    <s v="A"/>
    <x v="0"/>
  </r>
  <r>
    <x v="82"/>
    <d v="2017-06-07T00:00:00"/>
    <d v="1899-12-30T19:20:00"/>
    <n v="3"/>
    <s v="A"/>
    <x v="0"/>
  </r>
  <r>
    <x v="83"/>
    <d v="2017-06-07T00:00:00"/>
    <d v="1899-12-30T20:10:00"/>
    <n v="1"/>
    <s v="B"/>
    <x v="0"/>
  </r>
  <r>
    <x v="84"/>
    <d v="2017-06-07T00:00:00"/>
    <d v="1899-12-30T22:29:00"/>
    <n v="2"/>
    <s v="B"/>
    <x v="1"/>
  </r>
  <r>
    <x v="85"/>
    <d v="2017-06-08T00:00:00"/>
    <d v="1899-12-30T00:09:00"/>
    <n v="3"/>
    <s v="C"/>
    <x v="1"/>
  </r>
  <r>
    <x v="86"/>
    <d v="2017-06-08T00:00:00"/>
    <d v="1899-12-30T02:25:00"/>
    <n v="3"/>
    <s v="C"/>
    <x v="1"/>
  </r>
  <r>
    <x v="87"/>
    <d v="2017-06-08T00:00:00"/>
    <d v="1899-12-30T02:42:00"/>
    <n v="3"/>
    <s v="C"/>
    <x v="1"/>
  </r>
  <r>
    <x v="88"/>
    <d v="2017-06-08T00:00:00"/>
    <d v="1899-12-30T03:32:00"/>
    <n v="2"/>
    <s v="C"/>
    <x v="1"/>
  </r>
  <r>
    <x v="89"/>
    <d v="2017-06-08T00:00:00"/>
    <d v="1899-12-30T04:48:00"/>
    <n v="1"/>
    <s v="A"/>
    <x v="1"/>
  </r>
  <r>
    <x v="90"/>
    <d v="2017-06-08T00:00:00"/>
    <d v="1899-12-30T06:03:00"/>
    <n v="4"/>
    <s v="B"/>
    <x v="0"/>
  </r>
  <r>
    <x v="91"/>
    <d v="2017-06-08T00:00:00"/>
    <d v="1899-12-30T06:19:00"/>
    <n v="5"/>
    <s v="C"/>
    <x v="0"/>
  </r>
  <r>
    <x v="92"/>
    <d v="2017-06-08T00:00:00"/>
    <d v="1899-12-30T08:29:00"/>
    <n v="1"/>
    <s v="C"/>
    <x v="1"/>
  </r>
  <r>
    <x v="93"/>
    <d v="2017-06-08T00:00:00"/>
    <d v="1899-12-30T09:08:00"/>
    <n v="2"/>
    <s v="A"/>
    <x v="0"/>
  </r>
  <r>
    <x v="94"/>
    <d v="2017-06-08T00:00:00"/>
    <d v="1899-12-30T09:34:00"/>
    <n v="6"/>
    <s v="A"/>
    <x v="0"/>
  </r>
  <r>
    <x v="95"/>
    <d v="2017-06-08T00:00:00"/>
    <d v="1899-12-30T09:59:00"/>
    <n v="1"/>
    <s v="B"/>
    <x v="0"/>
  </r>
  <r>
    <x v="96"/>
    <d v="2017-06-08T00:00:00"/>
    <d v="1899-12-30T11:29:00"/>
    <n v="2"/>
    <s v="B"/>
    <x v="1"/>
  </r>
  <r>
    <x v="97"/>
    <d v="2017-06-08T00:00:00"/>
    <d v="1899-12-30T13:38:00"/>
    <n v="6"/>
    <s v="C"/>
    <x v="1"/>
  </r>
  <r>
    <x v="98"/>
    <d v="2017-06-08T00:00:00"/>
    <d v="1899-12-30T15:00:00"/>
    <n v="1"/>
    <s v="A"/>
    <x v="1"/>
  </r>
  <r>
    <x v="99"/>
    <d v="2017-06-08T00:00:00"/>
    <d v="1899-12-30T15:20:00"/>
    <n v="1"/>
    <s v="C"/>
    <x v="1"/>
  </r>
  <r>
    <x v="100"/>
    <d v="2017-06-08T00:00:00"/>
    <d v="1899-12-30T15:24:00"/>
    <n v="6"/>
    <s v="B"/>
    <x v="1"/>
  </r>
  <r>
    <x v="101"/>
    <d v="2017-06-08T00:00:00"/>
    <d v="1899-12-30T16:26:00"/>
    <n v="6"/>
    <s v="C"/>
    <x v="1"/>
  </r>
  <r>
    <x v="40"/>
    <d v="2017-06-08T00:00:00"/>
    <d v="1899-12-30T17:45:00"/>
    <n v="3"/>
    <s v="C"/>
    <x v="1"/>
  </r>
  <r>
    <x v="0"/>
    <d v="2017-06-08T00:00:00"/>
    <d v="1899-12-30T19:43:00"/>
    <n v="3"/>
    <s v="A"/>
    <x v="0"/>
  </r>
  <r>
    <x v="41"/>
    <d v="2017-06-08T00:00:00"/>
    <d v="1899-12-30T20:19:00"/>
    <n v="5"/>
    <s v="A"/>
    <x v="1"/>
  </r>
  <r>
    <x v="1"/>
    <d v="2017-06-08T00:00:00"/>
    <d v="1899-12-30T21:45:00"/>
    <n v="5"/>
    <s v="B"/>
    <x v="1"/>
  </r>
  <r>
    <x v="2"/>
    <d v="2017-06-09T00:00:00"/>
    <d v="1899-12-30T00:07:00"/>
    <n v="3"/>
    <s v="B"/>
    <x v="1"/>
  </r>
  <r>
    <x v="3"/>
    <d v="2017-06-09T00:00:00"/>
    <d v="1899-12-30T00:54:00"/>
    <n v="1"/>
    <s v="C"/>
    <x v="1"/>
  </r>
  <r>
    <x v="102"/>
    <d v="2017-06-09T00:00:00"/>
    <d v="1899-12-30T02:06:00"/>
    <n v="1"/>
    <s v="C"/>
    <x v="1"/>
  </r>
  <r>
    <x v="103"/>
    <d v="2017-06-09T00:00:00"/>
    <d v="1899-12-30T02:40:00"/>
    <n v="1"/>
    <s v="C"/>
    <x v="1"/>
  </r>
  <r>
    <x v="104"/>
    <d v="2017-06-09T00:00:00"/>
    <d v="1899-12-30T03:40:00"/>
    <n v="3"/>
    <s v="C"/>
    <x v="1"/>
  </r>
  <r>
    <x v="105"/>
    <d v="2017-06-09T00:00:00"/>
    <d v="1899-12-30T04:48:00"/>
    <n v="4"/>
    <s v="A"/>
    <x v="1"/>
  </r>
  <r>
    <x v="106"/>
    <d v="2017-06-09T00:00:00"/>
    <d v="1899-12-30T06:28:00"/>
    <n v="5"/>
    <s v="B"/>
    <x v="1"/>
  </r>
  <r>
    <x v="107"/>
    <d v="2017-06-09T00:00:00"/>
    <d v="1899-12-30T07:48:00"/>
    <n v="3"/>
    <s v="C"/>
    <x v="1"/>
  </r>
  <r>
    <x v="108"/>
    <d v="2017-06-09T00:00:00"/>
    <d v="1899-12-30T10:11:00"/>
    <n v="4"/>
    <s v="C"/>
    <x v="1"/>
  </r>
  <r>
    <x v="109"/>
    <d v="2017-06-09T00:00:00"/>
    <d v="1899-12-30T10:39:00"/>
    <n v="6"/>
    <s v="A"/>
    <x v="0"/>
  </r>
  <r>
    <x v="110"/>
    <d v="2017-06-09T00:00:00"/>
    <d v="1899-12-30T11:25:00"/>
    <n v="1"/>
    <s v="A"/>
    <x v="1"/>
  </r>
  <r>
    <x v="111"/>
    <d v="2017-06-09T00:00:00"/>
    <d v="1899-12-30T13:08:00"/>
    <n v="3"/>
    <s v="B"/>
    <x v="1"/>
  </r>
  <r>
    <x v="112"/>
    <d v="2017-06-09T00:00:00"/>
    <d v="1899-12-30T13:10:00"/>
    <n v="1"/>
    <s v="B"/>
    <x v="0"/>
  </r>
  <r>
    <x v="113"/>
    <d v="2017-06-09T00:00:00"/>
    <d v="1899-12-30T15:00:00"/>
    <n v="3"/>
    <s v="A"/>
    <x v="0"/>
  </r>
  <r>
    <x v="114"/>
    <d v="2017-06-09T00:00:00"/>
    <d v="1899-12-30T15:01:00"/>
    <n v="2"/>
    <s v="C"/>
    <x v="1"/>
  </r>
  <r>
    <x v="115"/>
    <d v="2017-06-09T00:00:00"/>
    <d v="1899-12-30T15:12:00"/>
    <n v="1"/>
    <s v="B"/>
    <x v="0"/>
  </r>
  <r>
    <x v="116"/>
    <d v="2017-06-09T00:00:00"/>
    <d v="1899-12-30T16:34:00"/>
    <n v="2"/>
    <s v="C"/>
    <x v="1"/>
  </r>
  <r>
    <x v="117"/>
    <d v="2017-06-09T00:00:00"/>
    <d v="1899-12-30T17:20:00"/>
    <n v="4"/>
    <s v="C"/>
    <x v="1"/>
  </r>
  <r>
    <x v="118"/>
    <d v="2017-06-09T00:00:00"/>
    <d v="1899-12-30T18:50:00"/>
    <n v="1"/>
    <s v="A"/>
    <x v="1"/>
  </r>
  <r>
    <x v="119"/>
    <d v="2017-06-09T00:00:00"/>
    <d v="1899-12-30T18:53:00"/>
    <n v="1"/>
    <s v="C"/>
    <x v="1"/>
  </r>
  <r>
    <x v="120"/>
    <d v="2017-06-09T00:00:00"/>
    <d v="1899-12-30T19:05:00"/>
    <n v="3"/>
    <s v="A"/>
    <x v="0"/>
  </r>
  <r>
    <x v="121"/>
    <d v="2017-06-09T00:00:00"/>
    <d v="1899-12-30T21:15:00"/>
    <n v="6"/>
    <s v="B"/>
    <x v="1"/>
  </r>
  <r>
    <x v="122"/>
    <d v="2017-06-09T00:00:00"/>
    <d v="1899-12-30T21:22:00"/>
    <n v="4"/>
    <s v="B"/>
    <x v="0"/>
  </r>
  <r>
    <x v="123"/>
    <d v="2017-06-09T00:00:00"/>
    <d v="1899-12-30T21:58:00"/>
    <n v="2"/>
    <s v="C"/>
    <x v="1"/>
  </r>
  <r>
    <x v="124"/>
    <d v="2017-06-09T00:00:00"/>
    <d v="1899-12-30T22:54:00"/>
    <n v="4"/>
    <s v="C"/>
    <x v="1"/>
  </r>
  <r>
    <x v="125"/>
    <d v="2017-06-10T00:00:00"/>
    <d v="1899-12-30T00:23:00"/>
    <n v="1"/>
    <s v="C"/>
    <x v="1"/>
  </r>
  <r>
    <x v="126"/>
    <d v="2017-06-10T00:00:00"/>
    <d v="1899-12-30T00:55:00"/>
    <n v="6"/>
    <s v="C"/>
    <x v="1"/>
  </r>
  <r>
    <x v="127"/>
    <d v="2017-06-10T00:00:00"/>
    <d v="1899-12-30T02:37:00"/>
    <n v="2"/>
    <s v="A"/>
    <x v="0"/>
  </r>
  <r>
    <x v="128"/>
    <d v="2017-06-10T00:00:00"/>
    <d v="1899-12-30T03:01:00"/>
    <n v="4"/>
    <s v="B"/>
    <x v="0"/>
  </r>
  <r>
    <x v="129"/>
    <d v="2017-06-10T00:00:00"/>
    <d v="1899-12-30T05:22:00"/>
    <n v="6"/>
    <s v="C"/>
    <x v="1"/>
  </r>
  <r>
    <x v="130"/>
    <d v="2017-06-10T00:00:00"/>
    <d v="1899-12-30T05:41:00"/>
    <n v="3"/>
    <s v="C"/>
    <x v="1"/>
  </r>
  <r>
    <x v="131"/>
    <d v="2017-06-10T00:00:00"/>
    <d v="1899-12-30T05:52:00"/>
    <n v="2"/>
    <s v="A"/>
    <x v="0"/>
  </r>
  <r>
    <x v="132"/>
    <d v="2017-06-10T00:00:00"/>
    <d v="1899-12-30T08:05:00"/>
    <n v="3"/>
    <s v="A"/>
    <x v="0"/>
  </r>
  <r>
    <x v="133"/>
    <d v="2017-06-10T00:00:00"/>
    <d v="1899-12-30T08:58:00"/>
    <n v="4"/>
    <s v="B"/>
    <x v="0"/>
  </r>
  <r>
    <x v="134"/>
    <d v="2017-06-10T00:00:00"/>
    <d v="1899-12-30T09:04:00"/>
    <n v="6"/>
    <s v="B"/>
    <x v="1"/>
  </r>
  <r>
    <x v="135"/>
    <d v="2017-06-10T00:00:00"/>
    <d v="1899-12-30T10:05:00"/>
    <n v="3"/>
    <s v="C"/>
    <x v="1"/>
  </r>
  <r>
    <x v="136"/>
    <d v="2017-06-10T00:00:00"/>
    <d v="1899-12-30T11:00:00"/>
    <n v="1"/>
    <s v="C"/>
    <x v="1"/>
  </r>
  <r>
    <x v="137"/>
    <d v="2017-06-10T00:00:00"/>
    <d v="1899-12-30T11:50:00"/>
    <n v="2"/>
    <s v="C"/>
    <x v="1"/>
  </r>
  <r>
    <x v="138"/>
    <d v="2017-06-10T00:00:00"/>
    <d v="1899-12-30T15:00:00"/>
    <n v="4"/>
    <s v="A"/>
    <x v="1"/>
  </r>
  <r>
    <x v="139"/>
    <d v="2017-06-10T00:00:00"/>
    <d v="1899-12-30T15:04:00"/>
    <n v="2"/>
    <s v="B"/>
    <x v="1"/>
  </r>
  <r>
    <x v="140"/>
    <d v="2017-06-10T00:00:00"/>
    <d v="1899-12-30T15:34:00"/>
    <n v="1"/>
    <s v="C"/>
    <x v="1"/>
  </r>
  <r>
    <x v="141"/>
    <d v="2017-06-10T00:00:00"/>
    <d v="1899-12-30T16:25:00"/>
    <n v="6"/>
    <s v="A"/>
    <x v="0"/>
  </r>
  <r>
    <x v="142"/>
    <d v="2017-06-10T00:00:00"/>
    <d v="1899-12-30T17:50:00"/>
    <n v="5"/>
    <s v="A"/>
    <x v="1"/>
  </r>
  <r>
    <x v="143"/>
    <d v="2017-06-10T00:00:00"/>
    <d v="1899-12-30T19:58:00"/>
    <n v="1"/>
    <s v="B"/>
    <x v="0"/>
  </r>
  <r>
    <x v="144"/>
    <d v="2017-06-10T00:00:00"/>
    <d v="1899-12-30T20:16:00"/>
    <n v="5"/>
    <s v="B"/>
    <x v="1"/>
  </r>
  <r>
    <x v="145"/>
    <d v="2017-06-10T00:00:00"/>
    <d v="1899-12-30T21:31:00"/>
    <n v="6"/>
    <s v="C"/>
    <x v="1"/>
  </r>
  <r>
    <x v="146"/>
    <d v="2017-06-10T00:00:00"/>
    <d v="1899-12-30T21:42:00"/>
    <n v="6"/>
    <s v="C"/>
    <x v="1"/>
  </r>
  <r>
    <x v="147"/>
    <d v="2017-06-10T00:00:00"/>
    <d v="1899-12-30T23:45:00"/>
    <n v="6"/>
    <s v="C"/>
    <x v="1"/>
  </r>
  <r>
    <x v="148"/>
    <d v="2017-06-11T00:00:00"/>
    <d v="1899-12-30T00:35:00"/>
    <n v="5"/>
    <s v="C"/>
    <x v="0"/>
  </r>
  <r>
    <x v="149"/>
    <d v="2017-06-11T00:00:00"/>
    <d v="1899-12-30T01:15:00"/>
    <n v="4"/>
    <s v="A"/>
    <x v="1"/>
  </r>
  <r>
    <x v="150"/>
    <d v="2017-06-11T00:00:00"/>
    <d v="1899-12-30T02:35:00"/>
    <n v="6"/>
    <s v="B"/>
    <x v="1"/>
  </r>
  <r>
    <x v="151"/>
    <d v="2017-06-11T00:00:00"/>
    <d v="1899-12-30T04:39:00"/>
    <n v="5"/>
    <s v="C"/>
    <x v="0"/>
  </r>
  <r>
    <x v="152"/>
    <d v="2017-06-11T00:00:00"/>
    <d v="1899-12-30T06:56:00"/>
    <n v="4"/>
    <s v="C"/>
    <x v="1"/>
  </r>
  <r>
    <x v="153"/>
    <d v="2017-06-11T00:00:00"/>
    <d v="1899-12-30T08:13:00"/>
    <n v="5"/>
    <s v="A"/>
    <x v="1"/>
  </r>
  <r>
    <x v="154"/>
    <d v="2017-06-11T00:00:00"/>
    <d v="1899-12-30T09:16:00"/>
    <n v="4"/>
    <s v="A"/>
    <x v="1"/>
  </r>
  <r>
    <x v="155"/>
    <d v="2017-06-11T00:00:00"/>
    <d v="1899-12-30T11:14:00"/>
    <n v="6"/>
    <s v="B"/>
    <x v="1"/>
  </r>
  <r>
    <x v="156"/>
    <d v="2017-06-11T00:00:00"/>
    <d v="1899-12-30T13:31:00"/>
    <n v="3"/>
    <s v="B"/>
    <x v="1"/>
  </r>
  <r>
    <x v="157"/>
    <d v="2017-06-11T00:00:00"/>
    <d v="1899-12-30T13:33:00"/>
    <n v="5"/>
    <s v="C"/>
    <x v="0"/>
  </r>
  <r>
    <x v="158"/>
    <d v="2017-06-11T00:00:00"/>
    <d v="1899-12-30T14:56:00"/>
    <n v="3"/>
    <s v="C"/>
    <x v="1"/>
  </r>
  <r>
    <x v="159"/>
    <d v="2017-06-11T00:00:00"/>
    <d v="1899-12-30T15:00:00"/>
    <n v="6"/>
    <s v="A"/>
    <x v="0"/>
  </r>
  <r>
    <x v="160"/>
    <d v="2017-06-11T00:00:00"/>
    <d v="1899-12-30T15:14:00"/>
    <n v="2"/>
    <s v="C"/>
    <x v="1"/>
  </r>
  <r>
    <x v="161"/>
    <d v="2017-06-11T00:00:00"/>
    <d v="1899-12-30T16:11:00"/>
    <n v="4"/>
    <s v="B"/>
    <x v="0"/>
  </r>
  <r>
    <x v="162"/>
    <d v="2017-06-11T00:00:00"/>
    <d v="1899-12-30T17:10:00"/>
    <n v="5"/>
    <s v="C"/>
    <x v="0"/>
  </r>
  <r>
    <x v="163"/>
    <d v="2017-06-11T00:00:00"/>
    <d v="1899-12-30T19:08:00"/>
    <n v="4"/>
    <s v="A"/>
    <x v="1"/>
  </r>
  <r>
    <x v="164"/>
    <d v="2017-06-11T00:00:00"/>
    <d v="1899-12-30T20:27:00"/>
    <n v="2"/>
    <s v="A"/>
    <x v="0"/>
  </r>
  <r>
    <x v="165"/>
    <d v="2017-06-11T00:00:00"/>
    <d v="1899-12-30T22:42:00"/>
    <n v="4"/>
    <s v="B"/>
    <x v="0"/>
  </r>
  <r>
    <x v="166"/>
    <d v="2017-06-12T00:00:00"/>
    <d v="1899-12-30T00:25:00"/>
    <n v="6"/>
    <s v="B"/>
    <x v="1"/>
  </r>
  <r>
    <x v="167"/>
    <d v="2017-06-12T00:00:00"/>
    <d v="1899-12-30T02:45:00"/>
    <n v="1"/>
    <s v="C"/>
    <x v="1"/>
  </r>
  <r>
    <x v="168"/>
    <d v="2017-06-12T00:00:00"/>
    <d v="1899-12-30T04:51:00"/>
    <n v="6"/>
    <s v="C"/>
    <x v="1"/>
  </r>
  <r>
    <x v="169"/>
    <d v="2017-06-12T00:00:00"/>
    <d v="1899-12-30T05:13:00"/>
    <n v="1"/>
    <s v="C"/>
    <x v="1"/>
  </r>
  <r>
    <x v="170"/>
    <d v="2017-06-12T00:00:00"/>
    <d v="1899-12-30T06:42:00"/>
    <n v="1"/>
    <s v="C"/>
    <x v="1"/>
  </r>
  <r>
    <x v="171"/>
    <d v="2017-06-12T00:00:00"/>
    <d v="1899-12-30T09:03:00"/>
    <n v="3"/>
    <s v="A"/>
    <x v="0"/>
  </r>
  <r>
    <x v="172"/>
    <d v="2017-06-12T00:00:00"/>
    <d v="1899-12-30T10:16:00"/>
    <n v="2"/>
    <s v="B"/>
    <x v="1"/>
  </r>
  <r>
    <x v="173"/>
    <d v="2017-06-12T00:00:00"/>
    <d v="1899-12-30T12:30:00"/>
    <n v="1"/>
    <s v="C"/>
    <x v="1"/>
  </r>
  <r>
    <x v="174"/>
    <d v="2017-06-12T00:00:00"/>
    <d v="1899-12-30T13:04:00"/>
    <n v="6"/>
    <s v="C"/>
    <x v="1"/>
  </r>
  <r>
    <x v="175"/>
    <d v="2017-06-12T00:00:00"/>
    <d v="1899-12-30T15:00:00"/>
    <n v="1"/>
    <s v="A"/>
    <x v="1"/>
  </r>
  <r>
    <x v="176"/>
    <d v="2017-06-12T00:00:00"/>
    <d v="1899-12-30T15:04:00"/>
    <n v="1"/>
    <s v="A"/>
    <x v="1"/>
  </r>
  <r>
    <x v="177"/>
    <d v="2017-06-12T00:00:00"/>
    <d v="1899-12-30T15:04:00"/>
    <n v="6"/>
    <s v="A"/>
    <x v="0"/>
  </r>
  <r>
    <x v="178"/>
    <d v="2017-06-12T00:00:00"/>
    <d v="1899-12-30T15:30:00"/>
    <n v="3"/>
    <s v="B"/>
    <x v="1"/>
  </r>
  <r>
    <x v="179"/>
    <d v="2017-06-12T00:00:00"/>
    <d v="1899-12-30T16:30:00"/>
    <n v="5"/>
    <s v="B"/>
    <x v="1"/>
  </r>
  <r>
    <x v="180"/>
    <d v="2017-06-12T00:00:00"/>
    <d v="1899-12-30T16:59:00"/>
    <n v="2"/>
    <s v="B"/>
    <x v="1"/>
  </r>
  <r>
    <x v="181"/>
    <d v="2017-06-12T00:00:00"/>
    <d v="1899-12-30T17:31:00"/>
    <n v="2"/>
    <s v="C"/>
    <x v="1"/>
  </r>
  <r>
    <x v="182"/>
    <d v="2017-06-12T00:00:00"/>
    <d v="1899-12-30T18:46:00"/>
    <n v="1"/>
    <s v="C"/>
    <x v="1"/>
  </r>
  <r>
    <x v="183"/>
    <d v="2017-06-12T00:00:00"/>
    <d v="1899-12-30T19:15:00"/>
    <n v="3"/>
    <s v="C"/>
    <x v="1"/>
  </r>
  <r>
    <x v="184"/>
    <d v="2017-06-12T00:00:00"/>
    <d v="1899-12-30T19:37:00"/>
    <n v="3"/>
    <s v="A"/>
    <x v="0"/>
  </r>
  <r>
    <x v="185"/>
    <d v="2017-06-12T00:00:00"/>
    <d v="1899-12-30T20:26:00"/>
    <n v="3"/>
    <s v="A"/>
    <x v="0"/>
  </r>
  <r>
    <x v="186"/>
    <d v="2017-06-12T00:00:00"/>
    <d v="1899-12-30T21:10:00"/>
    <n v="6"/>
    <s v="C"/>
    <x v="1"/>
  </r>
  <r>
    <x v="187"/>
    <d v="2017-06-12T00:00:00"/>
    <d v="1899-12-30T21:29:00"/>
    <n v="3"/>
    <s v="B"/>
    <x v="1"/>
  </r>
  <r>
    <x v="188"/>
    <d v="2017-06-12T00:00:00"/>
    <d v="1899-12-30T22:40:00"/>
    <n v="2"/>
    <s v="B"/>
    <x v="1"/>
  </r>
  <r>
    <x v="189"/>
    <d v="2017-06-13T00:00:00"/>
    <d v="1899-12-30T00:45:00"/>
    <n v="2"/>
    <s v="C"/>
    <x v="1"/>
  </r>
  <r>
    <x v="190"/>
    <d v="2017-06-13T00:00:00"/>
    <d v="1899-12-30T03:03:00"/>
    <n v="1"/>
    <s v="C"/>
    <x v="1"/>
  </r>
  <r>
    <x v="191"/>
    <d v="2017-06-13T00:00:00"/>
    <d v="1899-12-30T04:15:00"/>
    <n v="5"/>
    <s v="C"/>
    <x v="0"/>
  </r>
  <r>
    <x v="192"/>
    <d v="2017-06-13T00:00:00"/>
    <d v="1899-12-30T04:32:00"/>
    <n v="5"/>
    <s v="C"/>
    <x v="0"/>
  </r>
  <r>
    <x v="193"/>
    <d v="2017-06-13T00:00:00"/>
    <d v="1899-12-30T05:02:00"/>
    <n v="2"/>
    <s v="A"/>
    <x v="0"/>
  </r>
  <r>
    <x v="194"/>
    <d v="2017-06-13T00:00:00"/>
    <d v="1899-12-30T06:44:00"/>
    <n v="2"/>
    <s v="B"/>
    <x v="1"/>
  </r>
  <r>
    <x v="195"/>
    <d v="2017-06-13T00:00:00"/>
    <d v="1899-12-30T09:03:00"/>
    <n v="5"/>
    <s v="C"/>
    <x v="0"/>
  </r>
  <r>
    <x v="196"/>
    <d v="2017-06-13T00:00:00"/>
    <d v="1899-12-30T09:46:00"/>
    <n v="6"/>
    <s v="C"/>
    <x v="1"/>
  </r>
  <r>
    <x v="197"/>
    <d v="2017-06-13T00:00:00"/>
    <d v="1899-12-30T11:10:00"/>
    <n v="2"/>
    <s v="A"/>
    <x v="0"/>
  </r>
  <r>
    <x v="198"/>
    <d v="2017-06-13T00:00:00"/>
    <d v="1899-12-30T12:10:00"/>
    <n v="2"/>
    <s v="A"/>
    <x v="0"/>
  </r>
  <r>
    <x v="199"/>
    <d v="2017-06-13T00:00:00"/>
    <d v="1899-12-30T14:02:00"/>
    <n v="3"/>
    <s v="B"/>
    <x v="1"/>
  </r>
  <r>
    <x v="200"/>
    <d v="2017-06-13T00:00:00"/>
    <d v="1899-12-30T15:00:00"/>
    <n v="2"/>
    <s v="A"/>
    <x v="0"/>
  </r>
  <r>
    <x v="201"/>
    <d v="2017-06-13T00:00:00"/>
    <d v="1899-12-30T15:11:00"/>
    <n v="3"/>
    <s v="B"/>
    <x v="1"/>
  </r>
  <r>
    <x v="202"/>
    <d v="2017-06-13T00:00:00"/>
    <d v="1899-12-30T15:58:00"/>
    <n v="5"/>
    <s v="B"/>
    <x v="1"/>
  </r>
  <r>
    <x v="203"/>
    <d v="2017-06-13T00:00:00"/>
    <d v="1899-12-30T17:02:00"/>
    <n v="5"/>
    <s v="C"/>
    <x v="0"/>
  </r>
  <r>
    <x v="204"/>
    <d v="2017-06-13T00:00:00"/>
    <d v="1899-12-30T17:13:00"/>
    <n v="4"/>
    <s v="C"/>
    <x v="1"/>
  </r>
  <r>
    <x v="205"/>
    <d v="2017-06-13T00:00:00"/>
    <d v="1899-12-30T17:40:00"/>
    <n v="4"/>
    <s v="C"/>
    <x v="1"/>
  </r>
  <r>
    <x v="206"/>
    <d v="2017-06-13T00:00:00"/>
    <d v="1899-12-30T18:26:00"/>
    <n v="4"/>
    <s v="A"/>
    <x v="1"/>
  </r>
  <r>
    <x v="207"/>
    <d v="2017-06-13T00:00:00"/>
    <d v="1899-12-30T18:46:00"/>
    <n v="5"/>
    <s v="A"/>
    <x v="1"/>
  </r>
  <r>
    <x v="208"/>
    <d v="2017-06-13T00:00:00"/>
    <d v="1899-12-30T19:01:00"/>
    <n v="1"/>
    <s v="C"/>
    <x v="1"/>
  </r>
  <r>
    <x v="209"/>
    <d v="2017-06-13T00:00:00"/>
    <d v="1899-12-30T19:21:00"/>
    <n v="5"/>
    <s v="B"/>
    <x v="1"/>
  </r>
  <r>
    <x v="210"/>
    <d v="2017-06-13T00:00:00"/>
    <d v="1899-12-30T19:44:00"/>
    <n v="6"/>
    <s v="B"/>
    <x v="1"/>
  </r>
  <r>
    <x v="211"/>
    <d v="2017-06-13T00:00:00"/>
    <d v="1899-12-30T21:24:00"/>
    <n v="6"/>
    <s v="C"/>
    <x v="1"/>
  </r>
  <r>
    <x v="212"/>
    <d v="2017-06-13T00:00:00"/>
    <d v="1899-12-30T22:19:00"/>
    <n v="1"/>
    <s v="C"/>
    <x v="1"/>
  </r>
  <r>
    <x v="213"/>
    <d v="2017-06-13T00:00:00"/>
    <d v="1899-12-30T22:54:00"/>
    <n v="2"/>
    <s v="C"/>
    <x v="1"/>
  </r>
  <r>
    <x v="214"/>
    <d v="2017-06-13T00:00:00"/>
    <d v="1899-12-30T23:30:00"/>
    <n v="5"/>
    <s v="C"/>
    <x v="0"/>
  </r>
  <r>
    <x v="215"/>
    <d v="2017-06-14T00:00:00"/>
    <d v="1899-12-30T00:17:00"/>
    <n v="5"/>
    <s v="A"/>
    <x v="1"/>
  </r>
  <r>
    <x v="216"/>
    <d v="2017-06-14T00:00:00"/>
    <d v="1899-12-30T01:40:00"/>
    <n v="6"/>
    <s v="B"/>
    <x v="1"/>
  </r>
  <r>
    <x v="217"/>
    <d v="2017-06-14T00:00:00"/>
    <d v="1899-12-30T03:03:00"/>
    <n v="4"/>
    <s v="C"/>
    <x v="1"/>
  </r>
  <r>
    <x v="218"/>
    <d v="2017-06-14T00:00:00"/>
    <d v="1899-12-30T04:08:00"/>
    <n v="6"/>
    <s v="C"/>
    <x v="1"/>
  </r>
  <r>
    <x v="219"/>
    <d v="2017-06-14T00:00:00"/>
    <d v="1899-12-30T05:41:00"/>
    <n v="5"/>
    <s v="A"/>
    <x v="1"/>
  </r>
  <r>
    <x v="220"/>
    <d v="2017-06-14T00:00:00"/>
    <d v="1899-12-30T07:48:00"/>
    <n v="4"/>
    <s v="A"/>
    <x v="1"/>
  </r>
  <r>
    <x v="221"/>
    <d v="2017-06-14T00:00:00"/>
    <d v="1899-12-30T09:48:00"/>
    <n v="6"/>
    <s v="B"/>
    <x v="1"/>
  </r>
  <r>
    <x v="222"/>
    <d v="2017-06-14T00:00:00"/>
    <d v="1899-12-30T10:48:00"/>
    <n v="4"/>
    <s v="B"/>
    <x v="0"/>
  </r>
  <r>
    <x v="223"/>
    <d v="2017-06-14T00:00:00"/>
    <d v="1899-12-30T12:03:00"/>
    <n v="4"/>
    <s v="C"/>
    <x v="1"/>
  </r>
  <r>
    <x v="224"/>
    <d v="2017-06-14T00:00:00"/>
    <d v="1899-12-30T12:35:00"/>
    <n v="4"/>
    <s v="C"/>
    <x v="1"/>
  </r>
  <r>
    <x v="225"/>
    <d v="2017-06-14T00:00:00"/>
    <d v="1899-12-30T14:43:00"/>
    <n v="5"/>
    <s v="C"/>
    <x v="0"/>
  </r>
  <r>
    <x v="226"/>
    <d v="2017-06-14T00:00:00"/>
    <d v="1899-12-30T15:00:00"/>
    <n v="5"/>
    <s v="A"/>
    <x v="1"/>
  </r>
  <r>
    <x v="227"/>
    <d v="2017-06-14T00:00:00"/>
    <d v="1899-12-30T15:11:00"/>
    <n v="3"/>
    <s v="B"/>
    <x v="1"/>
  </r>
  <r>
    <x v="228"/>
    <d v="2017-06-14T00:00:00"/>
    <d v="1899-12-30T16:49:00"/>
    <n v="1"/>
    <s v="C"/>
    <x v="1"/>
  </r>
  <r>
    <x v="229"/>
    <d v="2017-06-14T00:00:00"/>
    <d v="1899-12-30T17:12:00"/>
    <n v="2"/>
    <s v="A"/>
    <x v="0"/>
  </r>
  <r>
    <x v="230"/>
    <d v="2017-06-14T00:00:00"/>
    <d v="1899-12-30T18:14:00"/>
    <n v="1"/>
    <s v="A"/>
    <x v="1"/>
  </r>
  <r>
    <x v="231"/>
    <d v="2017-06-14T00:00:00"/>
    <d v="1899-12-30T18:18:00"/>
    <n v="4"/>
    <s v="B"/>
    <x v="0"/>
  </r>
  <r>
    <x v="232"/>
    <d v="2017-06-14T00:00:00"/>
    <d v="1899-12-30T19:29:00"/>
    <n v="1"/>
    <s v="B"/>
    <x v="0"/>
  </r>
  <r>
    <x v="233"/>
    <d v="2017-06-14T00:00:00"/>
    <d v="1899-12-30T20:22:00"/>
    <n v="2"/>
    <s v="C"/>
    <x v="1"/>
  </r>
  <r>
    <x v="234"/>
    <d v="2017-06-14T00:00:00"/>
    <d v="1899-12-30T20:37:00"/>
    <n v="1"/>
    <s v="C"/>
    <x v="1"/>
  </r>
  <r>
    <x v="235"/>
    <d v="2017-06-14T00:00:00"/>
    <d v="1899-12-30T21:00:00"/>
    <n v="3"/>
    <s v="C"/>
    <x v="1"/>
  </r>
  <r>
    <x v="236"/>
    <d v="2017-06-14T00:00:00"/>
    <d v="1899-12-30T21:09:00"/>
    <n v="1"/>
    <s v="C"/>
    <x v="1"/>
  </r>
  <r>
    <x v="237"/>
    <d v="2017-06-14T00:00:00"/>
    <d v="1899-12-30T22:00:00"/>
    <n v="5"/>
    <s v="A"/>
    <x v="1"/>
  </r>
  <r>
    <x v="238"/>
    <d v="2017-06-14T00:00:00"/>
    <d v="1899-12-30T22:02:00"/>
    <n v="6"/>
    <s v="B"/>
    <x v="1"/>
  </r>
  <r>
    <x v="239"/>
    <d v="2017-06-14T00:00:00"/>
    <d v="1899-12-30T23:38:00"/>
    <n v="1"/>
    <s v="C"/>
    <x v="1"/>
  </r>
  <r>
    <x v="240"/>
    <d v="2017-06-15T00:00:00"/>
    <d v="1899-12-30T01:04:00"/>
    <n v="5"/>
    <s v="C"/>
    <x v="0"/>
  </r>
  <r>
    <x v="241"/>
    <d v="2017-06-15T00:00:00"/>
    <d v="1899-12-30T02:57:00"/>
    <n v="2"/>
    <s v="A"/>
    <x v="0"/>
  </r>
  <r>
    <x v="242"/>
    <d v="2017-06-15T00:00:00"/>
    <d v="1899-12-30T04:38:00"/>
    <n v="5"/>
    <s v="A"/>
    <x v="1"/>
  </r>
  <r>
    <x v="243"/>
    <d v="2017-06-15T00:00:00"/>
    <d v="1899-12-30T05:36:00"/>
    <n v="1"/>
    <s v="B"/>
    <x v="0"/>
  </r>
  <r>
    <x v="244"/>
    <d v="2017-06-15T00:00:00"/>
    <d v="1899-12-30T06:11:00"/>
    <n v="5"/>
    <s v="B"/>
    <x v="1"/>
  </r>
  <r>
    <x v="245"/>
    <d v="2017-06-15T00:00:00"/>
    <d v="1899-12-30T07:04:00"/>
    <n v="5"/>
    <s v="C"/>
    <x v="0"/>
  </r>
  <r>
    <x v="246"/>
    <d v="2017-06-15T00:00:00"/>
    <d v="1899-12-30T07:22:00"/>
    <n v="2"/>
    <s v="C"/>
    <x v="1"/>
  </r>
  <r>
    <x v="247"/>
    <d v="2017-06-15T00:00:00"/>
    <d v="1899-12-30T08:57:00"/>
    <n v="3"/>
    <s v="C"/>
    <x v="1"/>
  </r>
  <r>
    <x v="248"/>
    <d v="2017-06-15T00:00:00"/>
    <d v="1899-12-30T15:00:00"/>
    <n v="5"/>
    <s v="A"/>
    <x v="1"/>
  </r>
  <r>
    <x v="249"/>
    <d v="2017-06-15T00:00:00"/>
    <d v="1899-12-30T15:16:00"/>
    <n v="2"/>
    <s v="B"/>
    <x v="1"/>
  </r>
  <r>
    <x v="250"/>
    <d v="2017-06-15T00:00:00"/>
    <d v="1899-12-30T16:18:00"/>
    <n v="1"/>
    <s v="C"/>
    <x v="1"/>
  </r>
  <r>
    <x v="251"/>
    <d v="2017-06-15T00:00:00"/>
    <d v="1899-12-30T18:28:00"/>
    <n v="4"/>
    <s v="A"/>
    <x v="1"/>
  </r>
  <r>
    <x v="252"/>
    <d v="2017-06-15T00:00:00"/>
    <d v="1899-12-30T18:55:00"/>
    <n v="3"/>
    <s v="A"/>
    <x v="0"/>
  </r>
  <r>
    <x v="253"/>
    <d v="2017-06-15T00:00:00"/>
    <d v="1899-12-30T19:17:00"/>
    <n v="6"/>
    <s v="B"/>
    <x v="1"/>
  </r>
  <r>
    <x v="254"/>
    <d v="2017-06-15T00:00:00"/>
    <d v="1899-12-30T21:20:00"/>
    <n v="5"/>
    <s v="B"/>
    <x v="1"/>
  </r>
  <r>
    <x v="255"/>
    <d v="2017-06-15T00:00:00"/>
    <d v="1899-12-30T23:01:00"/>
    <n v="4"/>
    <s v="C"/>
    <x v="1"/>
  </r>
  <r>
    <x v="256"/>
    <d v="2017-06-16T00:00:00"/>
    <d v="1899-12-30T01:12:00"/>
    <n v="6"/>
    <s v="C"/>
    <x v="1"/>
  </r>
  <r>
    <x v="257"/>
    <d v="2017-06-16T00:00:00"/>
    <d v="1899-12-30T01:31:00"/>
    <n v="2"/>
    <s v="C"/>
    <x v="1"/>
  </r>
  <r>
    <x v="258"/>
    <d v="2017-06-16T00:00:00"/>
    <d v="1899-12-30T02:09:00"/>
    <n v="5"/>
    <s v="C"/>
    <x v="0"/>
  </r>
  <r>
    <x v="259"/>
    <d v="2017-06-16T00:00:00"/>
    <d v="1899-12-30T02:24:00"/>
    <n v="2"/>
    <s v="A"/>
    <x v="0"/>
  </r>
  <r>
    <x v="260"/>
    <d v="2017-06-16T00:00:00"/>
    <d v="1899-12-30T02:39:00"/>
    <n v="1"/>
    <s v="B"/>
    <x v="0"/>
  </r>
  <r>
    <x v="90"/>
    <d v="2017-06-16T00:00:00"/>
    <d v="1899-12-30T02:41:00"/>
    <n v="6"/>
    <s v="C"/>
    <x v="1"/>
  </r>
  <r>
    <x v="91"/>
    <d v="2017-06-16T00:00:00"/>
    <d v="1899-12-30T04:07:00"/>
    <n v="2"/>
    <s v="C"/>
    <x v="1"/>
  </r>
  <r>
    <x v="92"/>
    <d v="2017-06-16T00:00:00"/>
    <d v="1899-12-30T04:09:00"/>
    <n v="5"/>
    <s v="A"/>
    <x v="1"/>
  </r>
  <r>
    <x v="93"/>
    <d v="2017-06-16T00:00:00"/>
    <d v="1899-12-30T05:29:00"/>
    <n v="4"/>
    <s v="A"/>
    <x v="1"/>
  </r>
  <r>
    <x v="94"/>
    <d v="2017-06-16T00:00:00"/>
    <d v="1899-12-30T05:48:00"/>
    <n v="5"/>
    <s v="B"/>
    <x v="1"/>
  </r>
  <r>
    <x v="95"/>
    <d v="2017-06-16T00:00:00"/>
    <d v="1899-12-30T06:30:00"/>
    <n v="3"/>
    <s v="B"/>
    <x v="1"/>
  </r>
  <r>
    <x v="96"/>
    <d v="2017-06-16T00:00:00"/>
    <d v="1899-12-30T06:50:00"/>
    <n v="1"/>
    <s v="C"/>
    <x v="1"/>
  </r>
  <r>
    <x v="97"/>
    <d v="2017-06-16T00:00:00"/>
    <d v="1899-12-30T09:06:00"/>
    <n v="5"/>
    <s v="C"/>
    <x v="0"/>
  </r>
  <r>
    <x v="99"/>
    <d v="2017-06-16T00:00:00"/>
    <d v="1899-12-30T09:46:00"/>
    <n v="5"/>
    <s v="C"/>
    <x v="0"/>
  </r>
  <r>
    <x v="101"/>
    <d v="2017-06-16T00:00:00"/>
    <d v="1899-12-30T15:00:00"/>
    <n v="1"/>
    <s v="A"/>
    <x v="1"/>
  </r>
  <r>
    <x v="98"/>
    <d v="2017-06-16T00:00:00"/>
    <d v="1899-12-30T16:12:00"/>
    <n v="5"/>
    <s v="B"/>
    <x v="1"/>
  </r>
  <r>
    <x v="100"/>
    <d v="2017-06-16T00:00:00"/>
    <d v="1899-12-30T17:41:00"/>
    <n v="2"/>
    <s v="C"/>
    <x v="1"/>
  </r>
  <r>
    <x v="40"/>
    <d v="2017-06-16T00:00:00"/>
    <d v="1899-12-30T19:34:00"/>
    <n v="2"/>
    <s v="A"/>
    <x v="0"/>
  </r>
  <r>
    <x v="0"/>
    <d v="2017-06-16T00:00:00"/>
    <d v="1899-12-30T21:16:00"/>
    <n v="2"/>
    <s v="A"/>
    <x v="0"/>
  </r>
  <r>
    <x v="41"/>
    <d v="2017-06-16T00:00:00"/>
    <d v="1899-12-30T22:34:00"/>
    <n v="4"/>
    <s v="B"/>
    <x v="0"/>
  </r>
  <r>
    <x v="1"/>
    <d v="2017-06-17T00:00:00"/>
    <d v="1899-12-30T00:28:00"/>
    <n v="3"/>
    <s v="B"/>
    <x v="1"/>
  </r>
  <r>
    <x v="2"/>
    <d v="2017-06-17T00:00:00"/>
    <d v="1899-12-30T00:43:00"/>
    <n v="1"/>
    <s v="C"/>
    <x v="1"/>
  </r>
  <r>
    <x v="3"/>
    <d v="2017-06-17T00:00:00"/>
    <d v="1899-12-30T02:14:00"/>
    <n v="4"/>
    <s v="C"/>
    <x v="1"/>
  </r>
  <r>
    <x v="261"/>
    <d v="2017-06-17T00:00:00"/>
    <d v="1899-12-30T02:32:00"/>
    <n v="2"/>
    <s v="C"/>
    <x v="1"/>
  </r>
  <r>
    <x v="262"/>
    <d v="2017-06-17T00:00:00"/>
    <d v="1899-12-30T02:44:00"/>
    <n v="3"/>
    <s v="C"/>
    <x v="1"/>
  </r>
  <r>
    <x v="263"/>
    <d v="2017-06-17T00:00:00"/>
    <d v="1899-12-30T04:03:00"/>
    <n v="6"/>
    <s v="A"/>
    <x v="0"/>
  </r>
  <r>
    <x v="264"/>
    <d v="2017-06-17T00:00:00"/>
    <d v="1899-12-30T06:11:00"/>
    <n v="3"/>
    <s v="B"/>
    <x v="1"/>
  </r>
  <r>
    <x v="265"/>
    <d v="2017-06-17T00:00:00"/>
    <d v="1899-12-30T08:16:00"/>
    <n v="4"/>
    <s v="C"/>
    <x v="1"/>
  </r>
  <r>
    <x v="266"/>
    <d v="2017-06-17T00:00:00"/>
    <d v="1899-12-30T08:24:00"/>
    <n v="3"/>
    <s v="C"/>
    <x v="1"/>
  </r>
  <r>
    <x v="267"/>
    <d v="2017-06-17T00:00:00"/>
    <d v="1899-12-30T09:16:00"/>
    <n v="6"/>
    <s v="A"/>
    <x v="0"/>
  </r>
  <r>
    <x v="268"/>
    <d v="2017-06-17T00:00:00"/>
    <d v="1899-12-30T10:47:00"/>
    <n v="4"/>
    <s v="A"/>
    <x v="1"/>
  </r>
  <r>
    <x v="269"/>
    <d v="2017-06-17T00:00:00"/>
    <d v="1899-12-30T11:22:00"/>
    <n v="2"/>
    <s v="B"/>
    <x v="1"/>
  </r>
  <r>
    <x v="270"/>
    <d v="2017-06-17T00:00:00"/>
    <d v="1899-12-30T13:44:00"/>
    <n v="2"/>
    <s v="B"/>
    <x v="1"/>
  </r>
  <r>
    <x v="271"/>
    <d v="2017-06-17T00:00:00"/>
    <d v="1899-12-30T15:00:00"/>
    <n v="4"/>
    <s v="A"/>
    <x v="1"/>
  </r>
  <r>
    <x v="272"/>
    <d v="2017-06-17T00:00:00"/>
    <d v="1899-12-30T16:03:00"/>
    <n v="3"/>
    <s v="C"/>
    <x v="1"/>
  </r>
  <r>
    <x v="273"/>
    <d v="2017-06-17T00:00:00"/>
    <d v="1899-12-30T16:14:00"/>
    <n v="2"/>
    <s v="C"/>
    <x v="1"/>
  </r>
  <r>
    <x v="274"/>
    <d v="2017-06-17T00:00:00"/>
    <d v="1899-12-30T16:21:00"/>
    <n v="2"/>
    <s v="C"/>
    <x v="1"/>
  </r>
  <r>
    <x v="275"/>
    <d v="2017-06-17T00:00:00"/>
    <d v="1899-12-30T17:18:00"/>
    <n v="6"/>
    <s v="B"/>
    <x v="1"/>
  </r>
  <r>
    <x v="276"/>
    <d v="2017-06-17T00:00:00"/>
    <d v="1899-12-30T19:05:00"/>
    <n v="6"/>
    <s v="C"/>
    <x v="1"/>
  </r>
  <r>
    <x v="277"/>
    <d v="2017-06-17T00:00:00"/>
    <d v="1899-12-30T20:32:00"/>
    <n v="2"/>
    <s v="A"/>
    <x v="0"/>
  </r>
  <r>
    <x v="278"/>
    <d v="2017-06-17T00:00:00"/>
    <d v="1899-12-30T22:02:00"/>
    <n v="5"/>
    <s v="A"/>
    <x v="1"/>
  </r>
  <r>
    <x v="279"/>
    <d v="2017-06-17T00:00:00"/>
    <d v="1899-12-30T22:14:00"/>
    <n v="5"/>
    <s v="B"/>
    <x v="1"/>
  </r>
  <r>
    <x v="280"/>
    <d v="2017-06-17T00:00:00"/>
    <d v="1899-12-30T23:51:00"/>
    <n v="4"/>
    <s v="B"/>
    <x v="0"/>
  </r>
  <r>
    <x v="281"/>
    <d v="2017-06-17T00:00:00"/>
    <d v="1899-12-30T23:58:00"/>
    <n v="6"/>
    <s v="C"/>
    <x v="1"/>
  </r>
  <r>
    <x v="282"/>
    <d v="2017-06-18T00:00:00"/>
    <d v="1899-12-30T01:02:00"/>
    <n v="3"/>
    <s v="C"/>
    <x v="1"/>
  </r>
  <r>
    <x v="283"/>
    <d v="2017-06-18T00:00:00"/>
    <d v="1899-12-30T02:27:00"/>
    <n v="1"/>
    <s v="C"/>
    <x v="1"/>
  </r>
  <r>
    <x v="284"/>
    <d v="2017-06-18T00:00:00"/>
    <d v="1899-12-30T03:34:00"/>
    <n v="1"/>
    <s v="C"/>
    <x v="1"/>
  </r>
  <r>
    <x v="285"/>
    <d v="2017-06-18T00:00:00"/>
    <d v="1899-12-30T04:43:00"/>
    <n v="5"/>
    <s v="A"/>
    <x v="1"/>
  </r>
  <r>
    <x v="286"/>
    <d v="2017-06-18T00:00:00"/>
    <d v="1899-12-30T05:18:00"/>
    <n v="4"/>
    <s v="B"/>
    <x v="0"/>
  </r>
  <r>
    <x v="287"/>
    <d v="2017-06-18T00:00:00"/>
    <d v="1899-12-30T06:05:00"/>
    <n v="6"/>
    <s v="C"/>
    <x v="1"/>
  </r>
  <r>
    <x v="288"/>
    <d v="2017-06-18T00:00:00"/>
    <d v="1899-12-30T07:32:00"/>
    <n v="3"/>
    <s v="C"/>
    <x v="1"/>
  </r>
  <r>
    <x v="289"/>
    <d v="2017-06-18T00:00:00"/>
    <d v="1899-12-30T08:15:00"/>
    <n v="6"/>
    <s v="A"/>
    <x v="0"/>
  </r>
  <r>
    <x v="290"/>
    <d v="2017-06-18T00:00:00"/>
    <d v="1899-12-30T09:16:00"/>
    <n v="2"/>
    <s v="A"/>
    <x v="0"/>
  </r>
  <r>
    <x v="291"/>
    <d v="2017-06-18T00:00:00"/>
    <d v="1899-12-30T11:06:00"/>
    <n v="4"/>
    <s v="B"/>
    <x v="0"/>
  </r>
  <r>
    <x v="292"/>
    <d v="2017-06-18T00:00:00"/>
    <d v="1899-12-30T11:34:00"/>
    <n v="3"/>
    <s v="B"/>
    <x v="1"/>
  </r>
  <r>
    <x v="293"/>
    <d v="2017-06-18T00:00:00"/>
    <d v="1899-12-30T12:14:00"/>
    <n v="1"/>
    <s v="C"/>
    <x v="1"/>
  </r>
  <r>
    <x v="294"/>
    <d v="2017-06-18T00:00:00"/>
    <d v="1899-12-30T14:35:00"/>
    <n v="1"/>
    <s v="C"/>
    <x v="1"/>
  </r>
  <r>
    <x v="295"/>
    <d v="2017-06-18T00:00:00"/>
    <d v="1899-12-30T14:55:00"/>
    <n v="4"/>
    <s v="C"/>
    <x v="1"/>
  </r>
  <r>
    <x v="296"/>
    <d v="2017-06-18T00:00:00"/>
    <d v="1899-12-30T15:00:00"/>
    <n v="2"/>
    <s v="A"/>
    <x v="0"/>
  </r>
  <r>
    <x v="297"/>
    <d v="2017-06-18T00:00:00"/>
    <d v="1899-12-30T15:23:00"/>
    <n v="4"/>
    <s v="B"/>
    <x v="0"/>
  </r>
  <r>
    <x v="298"/>
    <d v="2017-06-18T00:00:00"/>
    <d v="1899-12-30T16:16:00"/>
    <n v="1"/>
    <s v="C"/>
    <x v="1"/>
  </r>
  <r>
    <x v="299"/>
    <d v="2017-06-18T00:00:00"/>
    <d v="1899-12-30T18:38:00"/>
    <n v="4"/>
    <s v="A"/>
    <x v="1"/>
  </r>
  <r>
    <x v="300"/>
    <d v="2017-06-18T00:00:00"/>
    <d v="1899-12-30T18:53:00"/>
    <n v="3"/>
    <s v="A"/>
    <x v="0"/>
  </r>
  <r>
    <x v="301"/>
    <d v="2017-06-18T00:00:00"/>
    <d v="1899-12-30T21:12:00"/>
    <n v="1"/>
    <s v="B"/>
    <x v="0"/>
  </r>
  <r>
    <x v="302"/>
    <d v="2017-06-18T00:00:00"/>
    <d v="1899-12-30T23:10:00"/>
    <n v="4"/>
    <s v="B"/>
    <x v="0"/>
  </r>
  <r>
    <x v="303"/>
    <d v="2017-06-19T00:00:00"/>
    <d v="1899-12-30T00:03:00"/>
    <n v="1"/>
    <s v="C"/>
    <x v="1"/>
  </r>
  <r>
    <x v="304"/>
    <d v="2017-06-19T00:00:00"/>
    <d v="1899-12-30T02:15:00"/>
    <n v="1"/>
    <s v="C"/>
    <x v="1"/>
  </r>
  <r>
    <x v="305"/>
    <d v="2017-06-19T00:00:00"/>
    <d v="1899-12-30T03:50:00"/>
    <n v="2"/>
    <s v="C"/>
    <x v="1"/>
  </r>
  <r>
    <x v="306"/>
    <d v="2017-06-19T00:00:00"/>
    <d v="1899-12-30T04:04:00"/>
    <n v="6"/>
    <s v="C"/>
    <x v="1"/>
  </r>
  <r>
    <x v="307"/>
    <d v="2017-06-19T00:00:00"/>
    <d v="1899-12-30T04:49:00"/>
    <n v="6"/>
    <s v="A"/>
    <x v="0"/>
  </r>
  <r>
    <x v="308"/>
    <d v="2017-06-19T00:00:00"/>
    <d v="1899-12-30T06:15:00"/>
    <n v="6"/>
    <s v="B"/>
    <x v="1"/>
  </r>
  <r>
    <x v="309"/>
    <d v="2017-06-19T00:00:00"/>
    <d v="1899-12-30T07:14:00"/>
    <n v="2"/>
    <s v="C"/>
    <x v="1"/>
  </r>
  <r>
    <x v="310"/>
    <d v="2017-06-19T00:00:00"/>
    <d v="1899-12-30T09:14:00"/>
    <n v="2"/>
    <s v="C"/>
    <x v="1"/>
  </r>
  <r>
    <x v="311"/>
    <d v="2017-06-19T00:00:00"/>
    <d v="1899-12-30T10:46:00"/>
    <n v="3"/>
    <s v="A"/>
    <x v="0"/>
  </r>
  <r>
    <x v="312"/>
    <d v="2017-06-19T00:00:00"/>
    <d v="1899-12-30T11:31:00"/>
    <n v="6"/>
    <s v="A"/>
    <x v="0"/>
  </r>
  <r>
    <x v="313"/>
    <d v="2017-06-19T00:00:00"/>
    <d v="1899-12-30T13:52:00"/>
    <n v="4"/>
    <s v="B"/>
    <x v="0"/>
  </r>
  <r>
    <x v="314"/>
    <d v="2017-06-19T00:00:00"/>
    <d v="1899-12-30T15:00:00"/>
    <n v="3"/>
    <s v="A"/>
    <x v="0"/>
  </r>
  <r>
    <x v="315"/>
    <d v="2017-06-19T00:00:00"/>
    <d v="1899-12-30T16:08:00"/>
    <n v="3"/>
    <s v="B"/>
    <x v="1"/>
  </r>
  <r>
    <x v="316"/>
    <d v="2017-06-19T00:00:00"/>
    <d v="1899-12-30T16:36:00"/>
    <n v="3"/>
    <s v="B"/>
    <x v="1"/>
  </r>
  <r>
    <x v="317"/>
    <d v="2017-06-19T00:00:00"/>
    <d v="1899-12-30T18:21:00"/>
    <n v="5"/>
    <s v="C"/>
    <x v="0"/>
  </r>
  <r>
    <x v="318"/>
    <d v="2017-06-19T00:00:00"/>
    <d v="1899-12-30T18:31:00"/>
    <n v="6"/>
    <s v="C"/>
    <x v="1"/>
  </r>
  <r>
    <x v="319"/>
    <d v="2017-06-19T00:00:00"/>
    <d v="1899-12-30T19:42:00"/>
    <n v="6"/>
    <s v="A"/>
    <x v="0"/>
  </r>
  <r>
    <x v="320"/>
    <d v="2017-06-19T00:00:00"/>
    <d v="1899-12-30T20:37:00"/>
    <n v="6"/>
    <s v="A"/>
    <x v="0"/>
  </r>
  <r>
    <x v="321"/>
    <d v="2017-06-19T00:00:00"/>
    <d v="1899-12-30T20:40:00"/>
    <n v="3"/>
    <s v="C"/>
    <x v="1"/>
  </r>
  <r>
    <x v="322"/>
    <d v="2017-06-19T00:00:00"/>
    <d v="1899-12-30T21:12:00"/>
    <n v="5"/>
    <s v="B"/>
    <x v="1"/>
  </r>
  <r>
    <x v="323"/>
    <d v="2017-06-19T00:00:00"/>
    <d v="1899-12-30T22:41:00"/>
    <n v="4"/>
    <s v="B"/>
    <x v="0"/>
  </r>
  <r>
    <x v="324"/>
    <d v="2017-06-19T00:00:00"/>
    <d v="1899-12-30T22:50:00"/>
    <n v="1"/>
    <s v="C"/>
    <x v="1"/>
  </r>
  <r>
    <x v="325"/>
    <d v="2017-06-20T00:00:00"/>
    <d v="1899-12-30T00:01:00"/>
    <n v="5"/>
    <s v="C"/>
    <x v="0"/>
  </r>
  <r>
    <x v="326"/>
    <d v="2017-06-20T00:00:00"/>
    <d v="1899-12-30T00:45:00"/>
    <n v="5"/>
    <s v="C"/>
    <x v="0"/>
  </r>
  <r>
    <x v="327"/>
    <d v="2017-06-20T00:00:00"/>
    <d v="1899-12-30T02:11:00"/>
    <n v="6"/>
    <s v="C"/>
    <x v="1"/>
  </r>
  <r>
    <x v="328"/>
    <d v="2017-06-20T00:00:00"/>
    <d v="1899-12-30T03:11:00"/>
    <n v="6"/>
    <s v="C"/>
    <x v="1"/>
  </r>
  <r>
    <x v="329"/>
    <d v="2017-06-20T00:00:00"/>
    <d v="1899-12-30T04:09:00"/>
    <n v="5"/>
    <s v="A"/>
    <x v="1"/>
  </r>
  <r>
    <x v="330"/>
    <d v="2017-06-20T00:00:00"/>
    <d v="1899-12-30T05:41:00"/>
    <n v="6"/>
    <s v="B"/>
    <x v="1"/>
  </r>
  <r>
    <x v="331"/>
    <d v="2017-06-20T00:00:00"/>
    <d v="1899-12-30T08:01:00"/>
    <n v="5"/>
    <s v="C"/>
    <x v="0"/>
  </r>
  <r>
    <x v="332"/>
    <d v="2017-06-20T00:00:00"/>
    <d v="1899-12-30T08:36:00"/>
    <n v="3"/>
    <s v="C"/>
    <x v="1"/>
  </r>
  <r>
    <x v="333"/>
    <d v="2017-06-20T00:00:00"/>
    <d v="1899-12-30T08:53:00"/>
    <n v="2"/>
    <s v="A"/>
    <x v="0"/>
  </r>
  <r>
    <x v="334"/>
    <d v="2017-06-20T00:00:00"/>
    <d v="1899-12-30T09:41:00"/>
    <n v="1"/>
    <s v="A"/>
    <x v="1"/>
  </r>
  <r>
    <x v="335"/>
    <d v="2017-06-20T00:00:00"/>
    <d v="1899-12-30T09:42:00"/>
    <n v="3"/>
    <s v="B"/>
    <x v="1"/>
  </r>
  <r>
    <x v="336"/>
    <d v="2017-06-20T00:00:00"/>
    <d v="1899-12-30T10:29:00"/>
    <n v="1"/>
    <s v="B"/>
    <x v="0"/>
  </r>
  <r>
    <x v="337"/>
    <d v="2017-06-20T00:00:00"/>
    <d v="1899-12-30T12:33:00"/>
    <n v="3"/>
    <s v="C"/>
    <x v="1"/>
  </r>
  <r>
    <x v="338"/>
    <d v="2017-06-20T00:00:00"/>
    <d v="1899-12-30T14:46:00"/>
    <n v="6"/>
    <s v="C"/>
    <x v="1"/>
  </r>
  <r>
    <x v="339"/>
    <d v="2017-06-20T00:00:00"/>
    <d v="1899-12-30T15:00:00"/>
    <n v="6"/>
    <s v="A"/>
    <x v="0"/>
  </r>
  <r>
    <x v="340"/>
    <d v="2017-06-20T00:00:00"/>
    <d v="1899-12-30T16:17:00"/>
    <n v="1"/>
    <s v="B"/>
    <x v="0"/>
  </r>
  <r>
    <x v="341"/>
    <d v="2017-06-20T00:00:00"/>
    <d v="1899-12-30T16:39:00"/>
    <n v="2"/>
    <s v="C"/>
    <x v="1"/>
  </r>
  <r>
    <x v="342"/>
    <d v="2017-06-20T00:00:00"/>
    <d v="1899-12-30T18:13:00"/>
    <n v="4"/>
    <s v="C"/>
    <x v="1"/>
  </r>
  <r>
    <x v="343"/>
    <d v="2017-06-20T00:00:00"/>
    <d v="1899-12-30T18:31:00"/>
    <n v="6"/>
    <s v="A"/>
    <x v="0"/>
  </r>
  <r>
    <x v="344"/>
    <d v="2017-06-20T00:00:00"/>
    <d v="1899-12-30T20:43:00"/>
    <n v="5"/>
    <s v="A"/>
    <x v="1"/>
  </r>
  <r>
    <x v="345"/>
    <d v="2017-06-20T00:00:00"/>
    <d v="1899-12-30T22:19:00"/>
    <n v="4"/>
    <s v="B"/>
    <x v="0"/>
  </r>
  <r>
    <x v="346"/>
    <d v="2017-06-20T00:00:00"/>
    <d v="1899-12-30T22:49:00"/>
    <n v="6"/>
    <s v="B"/>
    <x v="1"/>
  </r>
  <r>
    <x v="347"/>
    <d v="2017-06-20T00:00:00"/>
    <d v="1899-12-30T23:34:00"/>
    <n v="5"/>
    <s v="C"/>
    <x v="0"/>
  </r>
  <r>
    <x v="348"/>
    <d v="2017-06-21T00:00:00"/>
    <d v="1899-12-30T00:49:00"/>
    <n v="1"/>
    <s v="C"/>
    <x v="1"/>
  </r>
  <r>
    <x v="349"/>
    <d v="2017-06-21T00:00:00"/>
    <d v="1899-12-30T01:20:00"/>
    <n v="1"/>
    <s v="C"/>
    <x v="1"/>
  </r>
  <r>
    <x v="350"/>
    <d v="2017-06-21T00:00:00"/>
    <d v="1899-12-30T02:27:00"/>
    <n v="2"/>
    <s v="C"/>
    <x v="1"/>
  </r>
  <r>
    <x v="351"/>
    <d v="2017-06-21T00:00:00"/>
    <d v="1899-12-30T03:49:00"/>
    <n v="6"/>
    <s v="A"/>
    <x v="0"/>
  </r>
  <r>
    <x v="352"/>
    <d v="2017-06-21T00:00:00"/>
    <d v="1899-12-30T03:50:00"/>
    <n v="2"/>
    <s v="B"/>
    <x v="1"/>
  </r>
  <r>
    <x v="353"/>
    <d v="2017-06-21T00:00:00"/>
    <d v="1899-12-30T03:51:00"/>
    <n v="2"/>
    <s v="C"/>
    <x v="1"/>
  </r>
  <r>
    <x v="354"/>
    <d v="2017-06-21T00:00:00"/>
    <d v="1899-12-30T04:43:00"/>
    <n v="3"/>
    <s v="C"/>
    <x v="1"/>
  </r>
  <r>
    <x v="355"/>
    <d v="2017-06-21T00:00:00"/>
    <d v="1899-12-30T05:29:00"/>
    <n v="2"/>
    <s v="A"/>
    <x v="0"/>
  </r>
  <r>
    <x v="356"/>
    <d v="2017-06-21T00:00:00"/>
    <d v="1899-12-30T05:51:00"/>
    <n v="3"/>
    <s v="A"/>
    <x v="0"/>
  </r>
  <r>
    <x v="357"/>
    <d v="2017-06-21T00:00:00"/>
    <d v="1899-12-30T06:14:00"/>
    <n v="4"/>
    <s v="B"/>
    <x v="0"/>
  </r>
  <r>
    <x v="358"/>
    <d v="2017-06-21T00:00:00"/>
    <d v="1899-12-30T08:17:00"/>
    <n v="1"/>
    <s v="B"/>
    <x v="0"/>
  </r>
  <r>
    <x v="359"/>
    <d v="2017-06-21T00:00:00"/>
    <d v="1899-12-30T08:25:00"/>
    <n v="4"/>
    <s v="C"/>
    <x v="1"/>
  </r>
  <r>
    <x v="360"/>
    <d v="2017-06-21T00:00:00"/>
    <d v="1899-12-30T08:33:00"/>
    <n v="3"/>
    <s v="C"/>
    <x v="1"/>
  </r>
  <r>
    <x v="361"/>
    <d v="2017-06-21T00:00:00"/>
    <d v="1899-12-30T09:42:00"/>
    <n v="1"/>
    <s v="C"/>
    <x v="1"/>
  </r>
  <r>
    <x v="362"/>
    <d v="2017-06-21T00:00:00"/>
    <d v="1899-12-30T15:00:00"/>
    <n v="4"/>
    <s v="A"/>
    <x v="1"/>
  </r>
  <r>
    <x v="363"/>
    <d v="2017-06-21T00:00:00"/>
    <d v="1899-12-30T16:28:00"/>
    <n v="1"/>
    <s v="B"/>
    <x v="0"/>
  </r>
  <r>
    <x v="364"/>
    <d v="2017-06-21T00:00:00"/>
    <d v="1899-12-30T17:49:00"/>
    <n v="1"/>
    <s v="C"/>
    <x v="1"/>
  </r>
  <r>
    <x v="365"/>
    <d v="2017-06-21T00:00:00"/>
    <d v="1899-12-30T18:12:00"/>
    <n v="5"/>
    <s v="A"/>
    <x v="1"/>
  </r>
  <r>
    <x v="366"/>
    <d v="2017-06-21T00:00:00"/>
    <d v="1899-12-30T19:11:00"/>
    <n v="3"/>
    <s v="A"/>
    <x v="0"/>
  </r>
  <r>
    <x v="367"/>
    <d v="2017-06-21T00:00:00"/>
    <d v="1899-12-30T20:33:00"/>
    <n v="2"/>
    <s v="B"/>
    <x v="1"/>
  </r>
  <r>
    <x v="368"/>
    <d v="2017-06-21T00:00:00"/>
    <d v="1899-12-30T22:01:00"/>
    <n v="3"/>
    <s v="B"/>
    <x v="1"/>
  </r>
  <r>
    <x v="369"/>
    <d v="2017-06-21T00:00:00"/>
    <d v="1899-12-30T22:24:00"/>
    <n v="6"/>
    <s v="C"/>
    <x v="1"/>
  </r>
  <r>
    <x v="370"/>
    <d v="2017-06-21T00:00:00"/>
    <d v="1899-12-30T22:30:00"/>
    <n v="4"/>
    <s v="C"/>
    <x v="1"/>
  </r>
  <r>
    <x v="371"/>
    <d v="2017-06-22T00:00:00"/>
    <d v="1899-12-30T00:33:00"/>
    <n v="3"/>
    <s v="C"/>
    <x v="1"/>
  </r>
  <r>
    <x v="372"/>
    <d v="2017-06-22T00:00:00"/>
    <d v="1899-12-30T02:28:00"/>
    <n v="4"/>
    <s v="C"/>
    <x v="1"/>
  </r>
  <r>
    <x v="373"/>
    <d v="2017-06-22T00:00:00"/>
    <d v="1899-12-30T02:59:00"/>
    <n v="1"/>
    <s v="A"/>
    <x v="1"/>
  </r>
  <r>
    <x v="374"/>
    <d v="2017-06-22T00:00:00"/>
    <d v="1899-12-30T03:51:00"/>
    <n v="2"/>
    <s v="B"/>
    <x v="1"/>
  </r>
  <r>
    <x v="375"/>
    <d v="2017-06-22T00:00:00"/>
    <d v="1899-12-30T04:56:00"/>
    <n v="4"/>
    <s v="C"/>
    <x v="1"/>
  </r>
  <r>
    <x v="376"/>
    <d v="2017-06-22T00:00:00"/>
    <d v="1899-12-30T06:06:00"/>
    <n v="4"/>
    <s v="C"/>
    <x v="1"/>
  </r>
  <r>
    <x v="377"/>
    <d v="2017-06-22T00:00:00"/>
    <d v="1899-12-30T06:45:00"/>
    <n v="3"/>
    <s v="A"/>
    <x v="0"/>
  </r>
  <r>
    <x v="378"/>
    <d v="2017-06-22T00:00:00"/>
    <d v="1899-12-30T07:04:00"/>
    <n v="5"/>
    <s v="A"/>
    <x v="1"/>
  </r>
  <r>
    <x v="379"/>
    <d v="2017-06-22T00:00:00"/>
    <d v="1899-12-30T07:36:00"/>
    <n v="4"/>
    <s v="B"/>
    <x v="0"/>
  </r>
  <r>
    <x v="380"/>
    <d v="2017-06-22T00:00:00"/>
    <d v="1899-12-30T07:50:00"/>
    <n v="2"/>
    <s v="B"/>
    <x v="1"/>
  </r>
  <r>
    <x v="381"/>
    <d v="2017-06-22T00:00:00"/>
    <d v="1899-12-30T08:57:00"/>
    <n v="4"/>
    <s v="C"/>
    <x v="1"/>
  </r>
  <r>
    <x v="382"/>
    <d v="2017-06-22T00:00:00"/>
    <d v="1899-12-30T10:19:00"/>
    <n v="1"/>
    <s v="C"/>
    <x v="1"/>
  </r>
  <r>
    <x v="383"/>
    <d v="2017-06-22T00:00:00"/>
    <d v="1899-12-30T11:17:00"/>
    <n v="1"/>
    <s v="C"/>
    <x v="1"/>
  </r>
  <r>
    <x v="384"/>
    <d v="2017-06-22T00:00:00"/>
    <d v="1899-12-30T15:00:00"/>
    <n v="1"/>
    <s v="A"/>
    <x v="1"/>
  </r>
  <r>
    <x v="385"/>
    <d v="2017-06-22T00:00:00"/>
    <d v="1899-12-30T17:00:00"/>
    <n v="6"/>
    <s v="B"/>
    <x v="1"/>
  </r>
  <r>
    <x v="386"/>
    <d v="2017-06-22T00:00:00"/>
    <d v="1899-12-30T19:11:00"/>
    <n v="1"/>
    <s v="C"/>
    <x v="1"/>
  </r>
  <r>
    <x v="387"/>
    <d v="2017-06-22T00:00:00"/>
    <d v="1899-12-30T19:48:00"/>
    <n v="2"/>
    <s v="A"/>
    <x v="0"/>
  </r>
  <r>
    <x v="388"/>
    <d v="2017-06-22T00:00:00"/>
    <d v="1899-12-30T21:47:00"/>
    <n v="2"/>
    <s v="A"/>
    <x v="0"/>
  </r>
  <r>
    <x v="389"/>
    <d v="2017-06-22T00:00:00"/>
    <d v="1899-12-30T21:53:00"/>
    <n v="6"/>
    <s v="B"/>
    <x v="1"/>
  </r>
  <r>
    <x v="390"/>
    <d v="2017-06-22T00:00:00"/>
    <d v="1899-12-30T23:19:00"/>
    <n v="4"/>
    <s v="B"/>
    <x v="0"/>
  </r>
  <r>
    <x v="391"/>
    <d v="2017-06-23T00:00:00"/>
    <d v="1899-12-30T01:12:00"/>
    <n v="1"/>
    <s v="C"/>
    <x v="1"/>
  </r>
  <r>
    <x v="392"/>
    <d v="2017-06-23T00:00:00"/>
    <d v="1899-12-30T02:41:00"/>
    <n v="4"/>
    <s v="C"/>
    <x v="1"/>
  </r>
  <r>
    <x v="393"/>
    <d v="2017-06-23T00:00:00"/>
    <d v="1899-12-30T03:58:00"/>
    <n v="2"/>
    <s v="C"/>
    <x v="1"/>
  </r>
  <r>
    <x v="394"/>
    <d v="2017-06-23T00:00:00"/>
    <d v="1899-12-30T03:58:00"/>
    <n v="4"/>
    <s v="C"/>
    <x v="1"/>
  </r>
  <r>
    <x v="395"/>
    <d v="2017-06-23T00:00:00"/>
    <d v="1899-12-30T04:47:00"/>
    <n v="2"/>
    <s v="A"/>
    <x v="0"/>
  </r>
  <r>
    <x v="396"/>
    <d v="2017-06-23T00:00:00"/>
    <d v="1899-12-30T05:28:00"/>
    <n v="4"/>
    <s v="B"/>
    <x v="0"/>
  </r>
  <r>
    <x v="397"/>
    <d v="2017-06-23T00:00:00"/>
    <d v="1899-12-30T05:48:00"/>
    <n v="1"/>
    <s v="C"/>
    <x v="1"/>
  </r>
  <r>
    <x v="398"/>
    <d v="2017-06-23T00:00:00"/>
    <d v="1899-12-30T07:56:00"/>
    <n v="3"/>
    <s v="C"/>
    <x v="1"/>
  </r>
  <r>
    <x v="399"/>
    <d v="2017-06-23T00:00:00"/>
    <d v="1899-12-30T09:18:00"/>
    <n v="5"/>
    <s v="A"/>
    <x v="1"/>
  </r>
  <r>
    <x v="400"/>
    <d v="2017-06-23T00:00:00"/>
    <d v="1899-12-30T10:46:00"/>
    <n v="2"/>
    <s v="A"/>
    <x v="0"/>
  </r>
  <r>
    <x v="401"/>
    <d v="2017-06-23T00:00:00"/>
    <d v="1899-12-30T12:10:00"/>
    <n v="1"/>
    <s v="B"/>
    <x v="0"/>
  </r>
  <r>
    <x v="402"/>
    <d v="2017-06-23T00:00:00"/>
    <d v="1899-12-30T12:33:00"/>
    <n v="6"/>
    <s v="B"/>
    <x v="1"/>
  </r>
  <r>
    <x v="403"/>
    <d v="2017-06-23T00:00:00"/>
    <d v="1899-12-30T13:11:00"/>
    <n v="4"/>
    <s v="C"/>
    <x v="1"/>
  </r>
  <r>
    <x v="404"/>
    <d v="2017-06-23T00:00:00"/>
    <d v="1899-12-30T14:27:00"/>
    <n v="4"/>
    <s v="C"/>
    <x v="1"/>
  </r>
  <r>
    <x v="405"/>
    <d v="2017-06-23T00:00:00"/>
    <d v="1899-12-30T15:00:00"/>
    <n v="5"/>
    <s v="A"/>
    <x v="1"/>
  </r>
  <r>
    <x v="406"/>
    <d v="2017-06-23T00:00:00"/>
    <d v="1899-12-30T15:04:00"/>
    <n v="1"/>
    <s v="C"/>
    <x v="1"/>
  </r>
  <r>
    <x v="407"/>
    <d v="2017-06-23T00:00:00"/>
    <d v="1899-12-30T16:27:00"/>
    <n v="2"/>
    <s v="B"/>
    <x v="1"/>
  </r>
  <r>
    <x v="408"/>
    <d v="2017-06-23T00:00:00"/>
    <d v="1899-12-30T17:16:00"/>
    <n v="3"/>
    <s v="C"/>
    <x v="1"/>
  </r>
  <r>
    <x v="409"/>
    <d v="2017-06-23T00:00:00"/>
    <d v="1899-12-30T17:54:00"/>
    <n v="6"/>
    <s v="A"/>
    <x v="0"/>
  </r>
  <r>
    <x v="410"/>
    <d v="2017-06-23T00:00:00"/>
    <d v="1899-12-30T18:59:00"/>
    <n v="1"/>
    <s v="A"/>
    <x v="1"/>
  </r>
  <r>
    <x v="411"/>
    <d v="2017-06-23T00:00:00"/>
    <d v="1899-12-30T20:51:00"/>
    <n v="5"/>
    <s v="B"/>
    <x v="1"/>
  </r>
  <r>
    <x v="412"/>
    <d v="2017-06-23T00:00:00"/>
    <d v="1899-12-30T21:53:00"/>
    <n v="1"/>
    <s v="B"/>
    <x v="0"/>
  </r>
  <r>
    <x v="413"/>
    <d v="2017-06-23T00:00:00"/>
    <d v="1899-12-30T23:21:00"/>
    <n v="2"/>
    <s v="C"/>
    <x v="1"/>
  </r>
  <r>
    <x v="414"/>
    <d v="2017-06-24T00:00:00"/>
    <d v="1899-12-30T00:03:00"/>
    <n v="2"/>
    <s v="C"/>
    <x v="1"/>
  </r>
  <r>
    <x v="415"/>
    <d v="2017-06-24T00:00:00"/>
    <d v="1899-12-30T01:43:00"/>
    <n v="6"/>
    <s v="C"/>
    <x v="1"/>
  </r>
  <r>
    <x v="416"/>
    <d v="2017-06-24T00:00:00"/>
    <d v="1899-12-30T03:42:00"/>
    <n v="3"/>
    <s v="C"/>
    <x v="1"/>
  </r>
  <r>
    <x v="417"/>
    <d v="2017-06-24T00:00:00"/>
    <d v="1899-12-30T05:03:00"/>
    <n v="6"/>
    <s v="A"/>
    <x v="0"/>
  </r>
  <r>
    <x v="418"/>
    <d v="2017-06-24T00:00:00"/>
    <d v="1899-12-30T06:57:00"/>
    <n v="4"/>
    <s v="B"/>
    <x v="0"/>
  </r>
  <r>
    <x v="419"/>
    <d v="2017-06-24T00:00:00"/>
    <d v="1899-12-30T08:22:00"/>
    <n v="4"/>
    <s v="C"/>
    <x v="1"/>
  </r>
  <r>
    <x v="420"/>
    <d v="2017-06-24T00:00:00"/>
    <d v="1899-12-30T09:11:00"/>
    <n v="6"/>
    <s v="C"/>
    <x v="1"/>
  </r>
  <r>
    <x v="421"/>
    <d v="2017-06-24T00:00:00"/>
    <d v="1899-12-30T09:55:00"/>
    <n v="1"/>
    <s v="A"/>
    <x v="1"/>
  </r>
  <r>
    <x v="422"/>
    <d v="2017-06-24T00:00:00"/>
    <d v="1899-12-30T10:44:00"/>
    <n v="4"/>
    <s v="A"/>
    <x v="1"/>
  </r>
  <r>
    <x v="423"/>
    <d v="2017-06-24T00:00:00"/>
    <d v="1899-12-30T11:40:00"/>
    <n v="4"/>
    <s v="B"/>
    <x v="0"/>
  </r>
  <r>
    <x v="424"/>
    <d v="2017-06-24T00:00:00"/>
    <d v="1899-12-30T13:21:00"/>
    <n v="2"/>
    <s v="B"/>
    <x v="1"/>
  </r>
  <r>
    <x v="425"/>
    <d v="2017-06-24T00:00:00"/>
    <d v="1899-12-30T14:50:00"/>
    <n v="3"/>
    <s v="C"/>
    <x v="1"/>
  </r>
  <r>
    <x v="426"/>
    <d v="2017-06-24T00:00:00"/>
    <d v="1899-12-30T15:00:00"/>
    <n v="3"/>
    <s v="A"/>
    <x v="0"/>
  </r>
  <r>
    <x v="427"/>
    <d v="2017-06-24T00:00:00"/>
    <d v="1899-12-30T16:24:00"/>
    <n v="4"/>
    <s v="C"/>
    <x v="1"/>
  </r>
  <r>
    <x v="428"/>
    <d v="2017-06-24T00:00:00"/>
    <d v="1899-12-30T16:39:00"/>
    <n v="6"/>
    <s v="B"/>
    <x v="1"/>
  </r>
  <r>
    <x v="429"/>
    <d v="2017-06-24T00:00:00"/>
    <d v="1899-12-30T18:39:00"/>
    <n v="5"/>
    <s v="C"/>
    <x v="0"/>
  </r>
  <r>
    <x v="430"/>
    <d v="2017-06-24T00:00:00"/>
    <d v="1899-12-30T18:55:00"/>
    <n v="5"/>
    <s v="C"/>
    <x v="0"/>
  </r>
  <r>
    <x v="431"/>
    <d v="2017-06-24T00:00:00"/>
    <d v="1899-12-30T19:29:00"/>
    <n v="1"/>
    <s v="A"/>
    <x v="1"/>
  </r>
  <r>
    <x v="432"/>
    <d v="2017-06-24T00:00:00"/>
    <d v="1899-12-30T20:45:00"/>
    <n v="4"/>
    <s v="A"/>
    <x v="1"/>
  </r>
  <r>
    <x v="433"/>
    <d v="2017-06-24T00:00:00"/>
    <d v="1899-12-30T21:28:00"/>
    <n v="3"/>
    <s v="B"/>
    <x v="1"/>
  </r>
  <r>
    <x v="434"/>
    <d v="2017-06-24T00:00:00"/>
    <d v="1899-12-30T23:14:00"/>
    <n v="4"/>
    <s v="B"/>
    <x v="0"/>
  </r>
  <r>
    <x v="435"/>
    <d v="2017-06-25T00:00:00"/>
    <d v="1899-12-30T01:02:00"/>
    <n v="5"/>
    <s v="C"/>
    <x v="0"/>
  </r>
  <r>
    <x v="436"/>
    <d v="2017-06-25T00:00:00"/>
    <d v="1899-12-30T01:47:00"/>
    <n v="5"/>
    <s v="C"/>
    <x v="0"/>
  </r>
  <r>
    <x v="437"/>
    <d v="2017-06-25T00:00:00"/>
    <d v="1899-12-30T03:58:00"/>
    <n v="3"/>
    <s v="C"/>
    <x v="1"/>
  </r>
  <r>
    <x v="438"/>
    <d v="2017-06-25T00:00:00"/>
    <d v="1899-12-30T05:01:00"/>
    <n v="2"/>
    <s v="C"/>
    <x v="1"/>
  </r>
  <r>
    <x v="439"/>
    <d v="2017-06-25T00:00:00"/>
    <d v="1899-12-30T06:58:00"/>
    <n v="1"/>
    <s v="A"/>
    <x v="1"/>
  </r>
  <r>
    <x v="440"/>
    <d v="2017-06-25T00:00:00"/>
    <d v="1899-12-30T08:24:00"/>
    <n v="2"/>
    <s v="B"/>
    <x v="1"/>
  </r>
  <r>
    <x v="441"/>
    <d v="2017-06-25T00:00:00"/>
    <d v="1899-12-30T10:01:00"/>
    <n v="6"/>
    <s v="C"/>
    <x v="1"/>
  </r>
  <r>
    <x v="442"/>
    <d v="2017-06-25T00:00:00"/>
    <d v="1899-12-30T11:13:00"/>
    <n v="4"/>
    <s v="C"/>
    <x v="1"/>
  </r>
  <r>
    <x v="443"/>
    <d v="2017-06-25T00:00:00"/>
    <d v="1899-12-30T13:02:00"/>
    <n v="5"/>
    <s v="A"/>
    <x v="1"/>
  </r>
  <r>
    <x v="444"/>
    <d v="2017-06-25T00:00:00"/>
    <d v="1899-12-30T13:06:00"/>
    <n v="6"/>
    <s v="A"/>
    <x v="0"/>
  </r>
  <r>
    <x v="445"/>
    <d v="2017-06-25T00:00:00"/>
    <d v="1899-12-30T13:29:00"/>
    <n v="3"/>
    <s v="B"/>
    <x v="1"/>
  </r>
  <r>
    <x v="446"/>
    <d v="2017-06-25T00:00:00"/>
    <d v="1899-12-30T13:58:00"/>
    <n v="5"/>
    <s v="B"/>
    <x v="1"/>
  </r>
  <r>
    <x v="447"/>
    <d v="2017-06-25T00:00:00"/>
    <d v="1899-12-30T14:20:00"/>
    <n v="2"/>
    <s v="C"/>
    <x v="1"/>
  </r>
  <r>
    <x v="448"/>
    <d v="2017-06-25T00:00:00"/>
    <d v="1899-12-30T14:52:00"/>
    <n v="4"/>
    <s v="C"/>
    <x v="1"/>
  </r>
  <r>
    <x v="449"/>
    <d v="2017-06-25T00:00:00"/>
    <d v="1899-12-30T15:00:00"/>
    <n v="1"/>
    <s v="A"/>
    <x v="1"/>
  </r>
  <r>
    <x v="450"/>
    <d v="2017-06-25T00:00:00"/>
    <d v="1899-12-30T15:01:00"/>
    <n v="5"/>
    <s v="C"/>
    <x v="0"/>
  </r>
  <r>
    <x v="451"/>
    <d v="2017-06-25T00:00:00"/>
    <d v="1899-12-30T15:13:00"/>
    <n v="3"/>
    <s v="B"/>
    <x v="1"/>
  </r>
  <r>
    <x v="452"/>
    <d v="2017-06-25T00:00:00"/>
    <d v="1899-12-30T16:03:00"/>
    <n v="3"/>
    <s v="C"/>
    <x v="1"/>
  </r>
  <r>
    <x v="453"/>
    <d v="2017-06-25T00:00:00"/>
    <d v="1899-12-30T18:15:00"/>
    <n v="6"/>
    <s v="A"/>
    <x v="0"/>
  </r>
  <r>
    <x v="454"/>
    <d v="2017-06-25T00:00:00"/>
    <d v="1899-12-30T19:08:00"/>
    <n v="3"/>
    <s v="A"/>
    <x v="0"/>
  </r>
  <r>
    <x v="455"/>
    <d v="2017-06-25T00:00:00"/>
    <d v="1899-12-30T19:20:00"/>
    <n v="6"/>
    <s v="B"/>
    <x v="1"/>
  </r>
  <r>
    <x v="456"/>
    <d v="2017-06-25T00:00:00"/>
    <d v="1899-12-30T20:05:00"/>
    <n v="2"/>
    <s v="B"/>
    <x v="1"/>
  </r>
  <r>
    <x v="457"/>
    <d v="2017-06-25T00:00:00"/>
    <d v="1899-12-30T21:24:00"/>
    <n v="4"/>
    <s v="C"/>
    <x v="1"/>
  </r>
  <r>
    <x v="458"/>
    <d v="2017-06-25T00:00:00"/>
    <d v="1899-12-30T22:24:00"/>
    <n v="2"/>
    <s v="C"/>
    <x v="1"/>
  </r>
  <r>
    <x v="459"/>
    <d v="2017-06-25T00:00:00"/>
    <d v="1899-12-30T23:54:00"/>
    <n v="2"/>
    <s v="C"/>
    <x v="1"/>
  </r>
  <r>
    <x v="460"/>
    <d v="2017-06-26T00:00:00"/>
    <d v="1899-12-30T00:40:00"/>
    <n v="6"/>
    <s v="C"/>
    <x v="1"/>
  </r>
  <r>
    <x v="461"/>
    <d v="2017-06-26T00:00:00"/>
    <d v="1899-12-30T01:30:00"/>
    <n v="3"/>
    <s v="A"/>
    <x v="0"/>
  </r>
  <r>
    <x v="462"/>
    <d v="2017-06-26T00:00:00"/>
    <d v="1899-12-30T02:35:00"/>
    <n v="2"/>
    <s v="B"/>
    <x v="1"/>
  </r>
  <r>
    <x v="463"/>
    <d v="2017-06-26T00:00:00"/>
    <d v="1899-12-30T02:48:00"/>
    <n v="4"/>
    <s v="C"/>
    <x v="1"/>
  </r>
  <r>
    <x v="464"/>
    <d v="2017-06-26T00:00:00"/>
    <d v="1899-12-30T04:45:00"/>
    <n v="2"/>
    <s v="C"/>
    <x v="1"/>
  </r>
  <r>
    <x v="465"/>
    <d v="2017-06-26T00:00:00"/>
    <d v="1899-12-30T04:47:00"/>
    <n v="2"/>
    <s v="A"/>
    <x v="0"/>
  </r>
  <r>
    <x v="466"/>
    <d v="2017-06-26T00:00:00"/>
    <d v="1899-12-30T05:34:00"/>
    <n v="1"/>
    <s v="A"/>
    <x v="1"/>
  </r>
  <r>
    <x v="467"/>
    <d v="2017-06-26T00:00:00"/>
    <d v="1899-12-30T07:27:00"/>
    <n v="3"/>
    <s v="B"/>
    <x v="1"/>
  </r>
  <r>
    <x v="468"/>
    <d v="2017-06-26T00:00:00"/>
    <d v="1899-12-30T09:39:00"/>
    <n v="3"/>
    <s v="B"/>
    <x v="1"/>
  </r>
  <r>
    <x v="469"/>
    <d v="2017-06-26T00:00:00"/>
    <d v="1899-12-30T10:48:00"/>
    <n v="4"/>
    <s v="C"/>
    <x v="1"/>
  </r>
  <r>
    <x v="470"/>
    <d v="2017-06-26T00:00:00"/>
    <d v="1899-12-30T13:03:00"/>
    <n v="1"/>
    <s v="C"/>
    <x v="1"/>
  </r>
  <r>
    <x v="471"/>
    <d v="2017-06-26T00:00:00"/>
    <d v="1899-12-30T15:00:00"/>
    <n v="6"/>
    <s v="A"/>
    <x v="0"/>
  </r>
  <r>
    <x v="472"/>
    <d v="2017-06-26T00:00:00"/>
    <d v="1899-12-30T15:17:00"/>
    <n v="5"/>
    <s v="B"/>
    <x v="1"/>
  </r>
  <r>
    <x v="473"/>
    <d v="2017-06-26T00:00:00"/>
    <d v="1899-12-30T15:19:00"/>
    <n v="3"/>
    <s v="C"/>
    <x v="1"/>
  </r>
  <r>
    <x v="474"/>
    <d v="2017-06-26T00:00:00"/>
    <d v="1899-12-30T15:41:00"/>
    <n v="5"/>
    <s v="C"/>
    <x v="0"/>
  </r>
  <r>
    <x v="475"/>
    <d v="2017-06-26T00:00:00"/>
    <d v="1899-12-30T17:20:00"/>
    <n v="2"/>
    <s v="A"/>
    <x v="0"/>
  </r>
  <r>
    <x v="476"/>
    <d v="2017-06-26T00:00:00"/>
    <d v="1899-12-30T19:26:00"/>
    <n v="6"/>
    <s v="A"/>
    <x v="0"/>
  </r>
  <r>
    <x v="477"/>
    <d v="2017-06-26T00:00:00"/>
    <d v="1899-12-30T21:11:00"/>
    <n v="5"/>
    <s v="B"/>
    <x v="1"/>
  </r>
  <r>
    <x v="478"/>
    <d v="2017-06-26T00:00:00"/>
    <d v="1899-12-30T22:02:00"/>
    <n v="1"/>
    <s v="B"/>
    <x v="0"/>
  </r>
  <r>
    <x v="479"/>
    <d v="2017-06-26T00:00:00"/>
    <d v="1899-12-30T23:48:00"/>
    <n v="4"/>
    <s v="C"/>
    <x v="1"/>
  </r>
  <r>
    <x v="480"/>
    <d v="2017-06-27T00:00:00"/>
    <d v="1899-12-30T01:04:00"/>
    <n v="5"/>
    <s v="C"/>
    <x v="0"/>
  </r>
  <r>
    <x v="481"/>
    <d v="2017-06-27T00:00:00"/>
    <d v="1899-12-30T02:20:00"/>
    <n v="6"/>
    <s v="C"/>
    <x v="1"/>
  </r>
  <r>
    <x v="482"/>
    <d v="2017-06-27T00:00:00"/>
    <d v="1899-12-30T03:52:00"/>
    <n v="6"/>
    <s v="C"/>
    <x v="1"/>
  </r>
  <r>
    <x v="483"/>
    <d v="2017-06-27T00:00:00"/>
    <d v="1899-12-30T05:31:00"/>
    <n v="6"/>
    <s v="A"/>
    <x v="0"/>
  </r>
  <r>
    <x v="484"/>
    <d v="2017-06-27T00:00:00"/>
    <d v="1899-12-30T06:42:00"/>
    <n v="2"/>
    <s v="B"/>
    <x v="1"/>
  </r>
  <r>
    <x v="485"/>
    <d v="2017-06-27T00:00:00"/>
    <d v="1899-12-30T08:47:00"/>
    <n v="1"/>
    <s v="C"/>
    <x v="1"/>
  </r>
  <r>
    <x v="486"/>
    <d v="2017-06-27T00:00:00"/>
    <d v="1899-12-30T10:57:00"/>
    <n v="4"/>
    <s v="C"/>
    <x v="1"/>
  </r>
  <r>
    <x v="487"/>
    <d v="2017-06-27T00:00:00"/>
    <d v="1899-12-30T12:10:00"/>
    <n v="4"/>
    <s v="A"/>
    <x v="1"/>
  </r>
  <r>
    <x v="488"/>
    <d v="2017-06-27T00:00:00"/>
    <d v="1899-12-30T14:00:00"/>
    <n v="5"/>
    <s v="A"/>
    <x v="1"/>
  </r>
  <r>
    <x v="489"/>
    <d v="2017-06-27T00:00:00"/>
    <d v="1899-12-30T14:59:00"/>
    <n v="6"/>
    <s v="B"/>
    <x v="1"/>
  </r>
  <r>
    <x v="490"/>
    <d v="2017-06-27T00:00:00"/>
    <d v="1899-12-30T15:00:00"/>
    <n v="1"/>
    <s v="A"/>
    <x v="1"/>
  </r>
  <r>
    <x v="491"/>
    <d v="2017-06-27T00:00:00"/>
    <d v="1899-12-30T15:55:00"/>
    <n v="5"/>
    <s v="B"/>
    <x v="1"/>
  </r>
  <r>
    <x v="492"/>
    <d v="2017-06-27T00:00:00"/>
    <d v="1899-12-30T16:23:00"/>
    <n v="1"/>
    <s v="B"/>
    <x v="0"/>
  </r>
  <r>
    <x v="493"/>
    <d v="2017-06-27T00:00:00"/>
    <d v="1899-12-30T17:11:00"/>
    <n v="3"/>
    <s v="C"/>
    <x v="1"/>
  </r>
  <r>
    <x v="494"/>
    <d v="2017-06-27T00:00:00"/>
    <d v="1899-12-30T18:31:00"/>
    <n v="2"/>
    <s v="C"/>
    <x v="1"/>
  </r>
  <r>
    <x v="495"/>
    <d v="2017-06-27T00:00:00"/>
    <d v="1899-12-30T19:34:00"/>
    <n v="2"/>
    <s v="A"/>
    <x v="0"/>
  </r>
  <r>
    <x v="496"/>
    <d v="2017-06-27T00:00:00"/>
    <d v="1899-12-30T20:19:00"/>
    <n v="6"/>
    <s v="C"/>
    <x v="1"/>
  </r>
  <r>
    <x v="497"/>
    <d v="2017-06-27T00:00:00"/>
    <d v="1899-12-30T20:48:00"/>
    <n v="2"/>
    <s v="C"/>
    <x v="1"/>
  </r>
  <r>
    <x v="498"/>
    <d v="2017-06-27T00:00:00"/>
    <d v="1899-12-30T21:05:00"/>
    <n v="5"/>
    <s v="A"/>
    <x v="1"/>
  </r>
  <r>
    <x v="499"/>
    <d v="2017-06-27T00:00:00"/>
    <d v="1899-12-30T22:39:00"/>
    <n v="2"/>
    <s v="B"/>
    <x v="1"/>
  </r>
  <r>
    <x v="500"/>
    <d v="2017-06-28T00:00:00"/>
    <d v="1899-12-30T00:32:00"/>
    <n v="1"/>
    <s v="B"/>
    <x v="0"/>
  </r>
  <r>
    <x v="501"/>
    <d v="2017-06-28T00:00:00"/>
    <d v="1899-12-30T01:45:00"/>
    <n v="6"/>
    <s v="C"/>
    <x v="1"/>
  </r>
  <r>
    <x v="502"/>
    <d v="2017-06-28T00:00:00"/>
    <d v="1899-12-30T03:04:00"/>
    <n v="1"/>
    <s v="C"/>
    <x v="1"/>
  </r>
  <r>
    <x v="503"/>
    <d v="2017-06-28T00:00:00"/>
    <d v="1899-12-30T03:24:00"/>
    <n v="3"/>
    <s v="C"/>
    <x v="1"/>
  </r>
  <r>
    <x v="504"/>
    <d v="2017-06-28T00:00:00"/>
    <d v="1899-12-30T04:36:00"/>
    <n v="1"/>
    <s v="C"/>
    <x v="1"/>
  </r>
  <r>
    <x v="505"/>
    <d v="2017-06-28T00:00:00"/>
    <d v="1899-12-30T05:27:00"/>
    <n v="5"/>
    <s v="A"/>
    <x v="1"/>
  </r>
  <r>
    <x v="506"/>
    <d v="2017-06-28T00:00:00"/>
    <d v="1899-12-30T07:39:00"/>
    <n v="5"/>
    <s v="B"/>
    <x v="1"/>
  </r>
  <r>
    <x v="507"/>
    <d v="2017-06-28T00:00:00"/>
    <d v="1899-12-30T08:20:00"/>
    <n v="3"/>
    <s v="C"/>
    <x v="1"/>
  </r>
  <r>
    <x v="508"/>
    <d v="2017-06-28T00:00:00"/>
    <d v="1899-12-30T08:26:00"/>
    <n v="3"/>
    <s v="C"/>
    <x v="1"/>
  </r>
  <r>
    <x v="509"/>
    <d v="2017-06-28T00:00:00"/>
    <d v="1899-12-30T10:10:00"/>
    <n v="1"/>
    <s v="A"/>
    <x v="1"/>
  </r>
  <r>
    <x v="510"/>
    <d v="2017-06-28T00:00:00"/>
    <d v="1899-12-30T11:08:00"/>
    <n v="3"/>
    <s v="A"/>
    <x v="0"/>
  </r>
  <r>
    <x v="511"/>
    <d v="2017-06-28T00:00:00"/>
    <d v="1899-12-30T11:15:00"/>
    <n v="5"/>
    <s v="B"/>
    <x v="1"/>
  </r>
  <r>
    <x v="512"/>
    <d v="2017-06-28T00:00:00"/>
    <d v="1899-12-30T11:48:00"/>
    <n v="5"/>
    <s v="B"/>
    <x v="1"/>
  </r>
  <r>
    <x v="513"/>
    <d v="2017-06-28T00:00:00"/>
    <d v="1899-12-30T13:26:00"/>
    <n v="4"/>
    <s v="C"/>
    <x v="1"/>
  </r>
  <r>
    <x v="514"/>
    <d v="2017-06-28T00:00:00"/>
    <d v="1899-12-30T15:00:00"/>
    <n v="5"/>
    <s v="A"/>
    <x v="1"/>
  </r>
  <r>
    <x v="515"/>
    <d v="2017-06-28T00:00:00"/>
    <d v="1899-12-30T15:21:00"/>
    <n v="4"/>
    <s v="B"/>
    <x v="0"/>
  </r>
  <r>
    <x v="516"/>
    <d v="2017-06-28T00:00:00"/>
    <d v="1899-12-30T15:31:00"/>
    <n v="4"/>
    <s v="C"/>
    <x v="1"/>
  </r>
  <r>
    <x v="517"/>
    <d v="2017-06-28T00:00:00"/>
    <d v="1899-12-30T16:19:00"/>
    <n v="1"/>
    <s v="C"/>
    <x v="1"/>
  </r>
  <r>
    <x v="518"/>
    <d v="2017-06-28T00:00:00"/>
    <d v="1899-12-30T16:43:00"/>
    <n v="2"/>
    <s v="C"/>
    <x v="1"/>
  </r>
  <r>
    <x v="519"/>
    <d v="2017-06-28T00:00:00"/>
    <d v="1899-12-30T18:07:00"/>
    <n v="4"/>
    <s v="A"/>
    <x v="1"/>
  </r>
  <r>
    <x v="520"/>
    <d v="2017-06-28T00:00:00"/>
    <d v="1899-12-30T18:43:00"/>
    <n v="1"/>
    <s v="A"/>
    <x v="1"/>
  </r>
  <r>
    <x v="521"/>
    <d v="2017-06-28T00:00:00"/>
    <d v="1899-12-30T19:41:00"/>
    <n v="3"/>
    <s v="B"/>
    <x v="1"/>
  </r>
  <r>
    <x v="522"/>
    <d v="2017-06-28T00:00:00"/>
    <d v="1899-12-30T20:59:00"/>
    <n v="4"/>
    <s v="B"/>
    <x v="0"/>
  </r>
  <r>
    <x v="523"/>
    <d v="2017-06-28T00:00:00"/>
    <d v="1899-12-30T23:21:00"/>
    <n v="1"/>
    <s v="C"/>
    <x v="1"/>
  </r>
  <r>
    <x v="524"/>
    <d v="2017-06-29T00:00:00"/>
    <d v="1899-12-30T01:07:00"/>
    <n v="4"/>
    <s v="C"/>
    <x v="1"/>
  </r>
  <r>
    <x v="525"/>
    <d v="2017-06-29T00:00:00"/>
    <d v="1899-12-30T01:19:00"/>
    <n v="2"/>
    <s v="C"/>
    <x v="1"/>
  </r>
  <r>
    <x v="526"/>
    <d v="2017-06-29T00:00:00"/>
    <d v="1899-12-30T03:19:00"/>
    <n v="3"/>
    <s v="C"/>
    <x v="1"/>
  </r>
  <r>
    <x v="527"/>
    <d v="2017-06-29T00:00:00"/>
    <d v="1899-12-30T04:02:00"/>
    <n v="4"/>
    <s v="A"/>
    <x v="1"/>
  </r>
  <r>
    <x v="528"/>
    <d v="2017-06-29T00:00:00"/>
    <d v="1899-12-30T04:38:00"/>
    <n v="4"/>
    <s v="B"/>
    <x v="0"/>
  </r>
  <r>
    <x v="529"/>
    <d v="2017-06-29T00:00:00"/>
    <d v="1899-12-30T04:52:00"/>
    <n v="2"/>
    <s v="C"/>
    <x v="1"/>
  </r>
  <r>
    <x v="530"/>
    <d v="2017-06-29T00:00:00"/>
    <d v="1899-12-30T05:59:00"/>
    <n v="5"/>
    <s v="C"/>
    <x v="0"/>
  </r>
  <r>
    <x v="531"/>
    <d v="2017-06-29T00:00:00"/>
    <d v="1899-12-30T06:29:00"/>
    <n v="4"/>
    <s v="A"/>
    <x v="1"/>
  </r>
  <r>
    <x v="532"/>
    <d v="2017-06-29T00:00:00"/>
    <d v="1899-12-30T07:30:00"/>
    <n v="5"/>
    <s v="A"/>
    <x v="1"/>
  </r>
  <r>
    <x v="533"/>
    <d v="2017-06-29T00:00:00"/>
    <d v="1899-12-30T08:10:00"/>
    <n v="1"/>
    <s v="B"/>
    <x v="0"/>
  </r>
  <r>
    <x v="534"/>
    <d v="2017-06-29T00:00:00"/>
    <d v="1899-12-30T10:15:00"/>
    <n v="2"/>
    <s v="B"/>
    <x v="1"/>
  </r>
  <r>
    <x v="535"/>
    <d v="2017-06-29T00:00:00"/>
    <d v="1899-12-30T10:53:00"/>
    <n v="4"/>
    <s v="C"/>
    <x v="1"/>
  </r>
  <r>
    <x v="536"/>
    <d v="2017-06-29T00:00:00"/>
    <d v="1899-12-30T11:59:00"/>
    <n v="5"/>
    <s v="C"/>
    <x v="0"/>
  </r>
  <r>
    <x v="537"/>
    <d v="2017-06-29T00:00:00"/>
    <d v="1899-12-30T12:44:00"/>
    <n v="6"/>
    <s v="C"/>
    <x v="1"/>
  </r>
  <r>
    <x v="538"/>
    <d v="2017-06-29T00:00:00"/>
    <d v="1899-12-30T15:00:00"/>
    <n v="6"/>
    <s v="A"/>
    <x v="0"/>
  </r>
  <r>
    <x v="539"/>
    <d v="2017-06-29T00:00:00"/>
    <d v="1899-12-30T16:07:00"/>
    <n v="1"/>
    <s v="B"/>
    <x v="0"/>
  </r>
  <r>
    <x v="540"/>
    <d v="2017-06-29T00:00:00"/>
    <d v="1899-12-30T17:40:00"/>
    <n v="4"/>
    <s v="C"/>
    <x v="1"/>
  </r>
  <r>
    <x v="541"/>
    <d v="2017-06-29T00:00:00"/>
    <d v="1899-12-30T19:32:00"/>
    <n v="5"/>
    <s v="A"/>
    <x v="1"/>
  </r>
  <r>
    <x v="542"/>
    <d v="2017-06-29T00:00:00"/>
    <d v="1899-12-30T20:52:00"/>
    <n v="4"/>
    <s v="A"/>
    <x v="1"/>
  </r>
  <r>
    <x v="543"/>
    <d v="2017-06-29T00:00:00"/>
    <d v="1899-12-30T22:00:00"/>
    <n v="6"/>
    <s v="B"/>
    <x v="1"/>
  </r>
  <r>
    <x v="544"/>
    <d v="2017-06-30T00:00:00"/>
    <d v="1899-12-30T00:03:00"/>
    <n v="6"/>
    <s v="B"/>
    <x v="1"/>
  </r>
  <r>
    <x v="545"/>
    <d v="2017-06-30T00:00:00"/>
    <d v="1899-12-30T01:11:00"/>
    <n v="3"/>
    <s v="C"/>
    <x v="1"/>
  </r>
  <r>
    <x v="546"/>
    <d v="2017-06-30T00:00:00"/>
    <d v="1899-12-30T03:03:00"/>
    <n v="6"/>
    <s v="C"/>
    <x v="1"/>
  </r>
  <r>
    <x v="547"/>
    <d v="2017-06-30T00:00:00"/>
    <d v="1899-12-30T03:36:00"/>
    <n v="1"/>
    <s v="C"/>
    <x v="1"/>
  </r>
  <r>
    <x v="548"/>
    <d v="2017-06-30T00:00:00"/>
    <d v="1899-12-30T04:25:00"/>
    <n v="6"/>
    <s v="C"/>
    <x v="1"/>
  </r>
  <r>
    <x v="549"/>
    <d v="2017-06-30T00:00:00"/>
    <d v="1899-12-30T05:37:00"/>
    <n v="3"/>
    <s v="A"/>
    <x v="0"/>
  </r>
  <r>
    <x v="550"/>
    <d v="2017-06-30T00:00:00"/>
    <d v="1899-12-30T05:46:00"/>
    <n v="4"/>
    <s v="B"/>
    <x v="0"/>
  </r>
  <r>
    <x v="551"/>
    <d v="2017-06-30T00:00:00"/>
    <d v="1899-12-30T06:47:00"/>
    <n v="2"/>
    <s v="C"/>
    <x v="1"/>
  </r>
  <r>
    <x v="552"/>
    <d v="2017-06-30T00:00:00"/>
    <d v="1899-12-30T08:31:00"/>
    <n v="6"/>
    <s v="C"/>
    <x v="1"/>
  </r>
  <r>
    <x v="553"/>
    <d v="2017-06-30T00:00:00"/>
    <d v="1899-12-30T09:50:00"/>
    <n v="5"/>
    <s v="A"/>
    <x v="1"/>
  </r>
  <r>
    <x v="554"/>
    <d v="2017-06-30T00:00:00"/>
    <d v="1899-12-30T11:12:00"/>
    <n v="6"/>
    <s v="A"/>
    <x v="0"/>
  </r>
  <r>
    <x v="555"/>
    <d v="2017-06-30T00:00:00"/>
    <d v="1899-12-30T13:05:00"/>
    <n v="5"/>
    <s v="B"/>
    <x v="1"/>
  </r>
  <r>
    <x v="556"/>
    <d v="2017-06-30T00:00:00"/>
    <d v="1899-12-30T13:45:00"/>
    <n v="4"/>
    <s v="B"/>
    <x v="0"/>
  </r>
  <r>
    <x v="557"/>
    <d v="2017-06-30T00:00:00"/>
    <d v="1899-12-30T15:00:00"/>
    <n v="3"/>
    <s v="A"/>
    <x v="0"/>
  </r>
  <r>
    <x v="558"/>
    <d v="2017-06-30T00:00:00"/>
    <d v="1899-12-30T15:59:00"/>
    <n v="5"/>
    <s v="B"/>
    <x v="1"/>
  </r>
  <r>
    <x v="559"/>
    <d v="2017-06-30T00:00:00"/>
    <d v="1899-12-30T16:04:00"/>
    <n v="4"/>
    <s v="C"/>
    <x v="1"/>
  </r>
  <r>
    <x v="560"/>
    <d v="2017-06-30T00:00:00"/>
    <d v="1899-12-30T16:19:00"/>
    <n v="1"/>
    <s v="C"/>
    <x v="1"/>
  </r>
  <r>
    <x v="561"/>
    <d v="2017-06-30T00:00:00"/>
    <d v="1899-12-30T16:34:00"/>
    <n v="3"/>
    <s v="C"/>
    <x v="1"/>
  </r>
  <r>
    <x v="562"/>
    <d v="2017-06-30T00:00:00"/>
    <d v="1899-12-30T17:39:00"/>
    <n v="1"/>
    <s v="C"/>
    <x v="1"/>
  </r>
  <r>
    <x v="563"/>
    <d v="2017-06-30T00:00:00"/>
    <d v="1899-12-30T18:44:00"/>
    <n v="2"/>
    <s v="A"/>
    <x v="0"/>
  </r>
  <r>
    <x v="564"/>
    <d v="2017-06-30T00:00:00"/>
    <d v="1899-12-30T20:38:00"/>
    <n v="5"/>
    <s v="A"/>
    <x v="1"/>
  </r>
  <r>
    <x v="565"/>
    <d v="2017-06-30T00:00:00"/>
    <d v="1899-12-30T22:08:00"/>
    <n v="4"/>
    <s v="B"/>
    <x v="0"/>
  </r>
  <r>
    <x v="566"/>
    <d v="2017-07-01T00:00:00"/>
    <d v="1899-12-30T00:31:00"/>
    <n v="3"/>
    <s v="B"/>
    <x v="1"/>
  </r>
  <r>
    <x v="567"/>
    <d v="2017-07-01T00:00:00"/>
    <d v="1899-12-30T01:10:00"/>
    <n v="3"/>
    <s v="C"/>
    <x v="1"/>
  </r>
  <r>
    <x v="568"/>
    <d v="2017-07-01T00:00:00"/>
    <d v="1899-12-30T01:30:00"/>
    <n v="5"/>
    <s v="C"/>
    <x v="0"/>
  </r>
  <r>
    <x v="569"/>
    <d v="2017-07-01T00:00:00"/>
    <d v="1899-12-30T01:50:00"/>
    <n v="5"/>
    <s v="C"/>
    <x v="0"/>
  </r>
  <r>
    <x v="570"/>
    <d v="2017-07-01T00:00:00"/>
    <d v="1899-12-30T02:46:00"/>
    <n v="6"/>
    <s v="C"/>
    <x v="1"/>
  </r>
  <r>
    <x v="571"/>
    <d v="2017-07-01T00:00:00"/>
    <d v="1899-12-30T03:41:00"/>
    <n v="6"/>
    <s v="A"/>
    <x v="0"/>
  </r>
  <r>
    <x v="572"/>
    <d v="2017-07-01T00:00:00"/>
    <d v="1899-12-30T05:32:00"/>
    <n v="4"/>
    <s v="B"/>
    <x v="0"/>
  </r>
  <r>
    <x v="573"/>
    <d v="2017-07-01T00:00:00"/>
    <d v="1899-12-30T07:20:00"/>
    <n v="5"/>
    <s v="C"/>
    <x v="0"/>
  </r>
  <r>
    <x v="574"/>
    <d v="2017-07-01T00:00:00"/>
    <d v="1899-12-30T09:23:00"/>
    <n v="5"/>
    <s v="C"/>
    <x v="0"/>
  </r>
  <r>
    <x v="575"/>
    <d v="2017-07-01T00:00:00"/>
    <d v="1899-12-30T10:06:00"/>
    <n v="4"/>
    <s v="A"/>
    <x v="1"/>
  </r>
  <r>
    <x v="576"/>
    <d v="2017-07-01T00:00:00"/>
    <d v="1899-12-30T11:09:00"/>
    <n v="6"/>
    <s v="A"/>
    <x v="0"/>
  </r>
  <r>
    <x v="577"/>
    <d v="2017-07-01T00:00:00"/>
    <d v="1899-12-30T11:28:00"/>
    <n v="6"/>
    <s v="B"/>
    <x v="1"/>
  </r>
  <r>
    <x v="578"/>
    <d v="2017-07-01T00:00:00"/>
    <d v="1899-12-30T13:30:00"/>
    <n v="5"/>
    <s v="B"/>
    <x v="1"/>
  </r>
  <r>
    <x v="579"/>
    <d v="2017-07-01T00:00:00"/>
    <d v="1899-12-30T14:03:00"/>
    <n v="6"/>
    <s v="C"/>
    <x v="1"/>
  </r>
  <r>
    <x v="580"/>
    <d v="2017-07-01T00:00:00"/>
    <d v="1899-12-30T14:26:00"/>
    <n v="2"/>
    <s v="C"/>
    <x v="1"/>
  </r>
  <r>
    <x v="581"/>
    <d v="2017-07-01T00:00:00"/>
    <d v="1899-12-30T15:00:00"/>
    <n v="1"/>
    <s v="A"/>
    <x v="1"/>
  </r>
  <r>
    <x v="582"/>
    <d v="2017-07-01T00:00:00"/>
    <d v="1899-12-30T15:25:00"/>
    <n v="5"/>
    <s v="C"/>
    <x v="0"/>
  </r>
  <r>
    <x v="583"/>
    <d v="2017-07-01T00:00:00"/>
    <d v="1899-12-30T15:25:00"/>
    <n v="3"/>
    <s v="B"/>
    <x v="1"/>
  </r>
  <r>
    <x v="584"/>
    <d v="2017-07-01T00:00:00"/>
    <d v="1899-12-30T16:33:00"/>
    <n v="4"/>
    <s v="C"/>
    <x v="1"/>
  </r>
  <r>
    <x v="585"/>
    <d v="2017-07-01T00:00:00"/>
    <d v="1899-12-30T17:53:00"/>
    <n v="1"/>
    <s v="A"/>
    <x v="1"/>
  </r>
  <r>
    <x v="586"/>
    <d v="2017-07-01T00:00:00"/>
    <d v="1899-12-30T18:19:00"/>
    <n v="5"/>
    <s v="A"/>
    <x v="1"/>
  </r>
  <r>
    <x v="587"/>
    <d v="2017-07-01T00:00:00"/>
    <d v="1899-12-30T19:24:00"/>
    <n v="2"/>
    <s v="B"/>
    <x v="1"/>
  </r>
  <r>
    <x v="588"/>
    <d v="2017-07-01T00:00:00"/>
    <d v="1899-12-30T20:21:00"/>
    <n v="4"/>
    <s v="B"/>
    <x v="0"/>
  </r>
  <r>
    <x v="589"/>
    <d v="2017-07-01T00:00:00"/>
    <d v="1899-12-30T20:58:00"/>
    <n v="4"/>
    <s v="C"/>
    <x v="1"/>
  </r>
  <r>
    <x v="590"/>
    <d v="2017-07-01T00:00:00"/>
    <d v="1899-12-30T22:55:00"/>
    <n v="2"/>
    <s v="C"/>
    <x v="1"/>
  </r>
  <r>
    <x v="591"/>
    <d v="2017-07-01T00:00:00"/>
    <d v="1899-12-30T23:49:00"/>
    <n v="5"/>
    <s v="C"/>
    <x v="0"/>
  </r>
  <r>
    <x v="90"/>
    <d v="2017-07-02T00:00:00"/>
    <d v="1899-12-30T01:15:00"/>
    <n v="5"/>
    <s v="C"/>
    <x v="0"/>
  </r>
  <r>
    <x v="91"/>
    <d v="2017-07-02T00:00:00"/>
    <d v="1899-12-30T02:53:00"/>
    <n v="6"/>
    <s v="A"/>
    <x v="0"/>
  </r>
  <r>
    <x v="92"/>
    <d v="2017-07-02T00:00:00"/>
    <d v="1899-12-30T03:39:00"/>
    <n v="2"/>
    <s v="B"/>
    <x v="1"/>
  </r>
  <r>
    <x v="93"/>
    <d v="2017-07-02T00:00:00"/>
    <d v="1899-12-30T04:06:00"/>
    <n v="1"/>
    <s v="C"/>
    <x v="1"/>
  </r>
  <r>
    <x v="94"/>
    <d v="2017-07-02T00:00:00"/>
    <d v="1899-12-30T04:32:00"/>
    <n v="2"/>
    <s v="C"/>
    <x v="1"/>
  </r>
  <r>
    <x v="95"/>
    <d v="2017-07-02T00:00:00"/>
    <d v="1899-12-30T05:09:00"/>
    <n v="5"/>
    <s v="A"/>
    <x v="1"/>
  </r>
  <r>
    <x v="96"/>
    <d v="2017-07-02T00:00:00"/>
    <d v="1899-12-30T07:14:00"/>
    <n v="5"/>
    <s v="A"/>
    <x v="1"/>
  </r>
  <r>
    <x v="97"/>
    <d v="2017-07-02T00:00:00"/>
    <d v="1899-12-30T07:27:00"/>
    <n v="3"/>
    <s v="B"/>
    <x v="1"/>
  </r>
  <r>
    <x v="99"/>
    <d v="2017-07-02T00:00:00"/>
    <d v="1899-12-30T08:26:00"/>
    <n v="6"/>
    <s v="B"/>
    <x v="1"/>
  </r>
  <r>
    <x v="101"/>
    <d v="2017-07-02T00:00:00"/>
    <d v="1899-12-30T10:09:00"/>
    <n v="5"/>
    <s v="C"/>
    <x v="0"/>
  </r>
  <r>
    <x v="98"/>
    <d v="2017-07-02T00:00:00"/>
    <d v="1899-12-30T10:33:00"/>
    <n v="4"/>
    <s v="C"/>
    <x v="1"/>
  </r>
  <r>
    <x v="100"/>
    <d v="2017-07-02T00:00:00"/>
    <d v="1899-12-30T11:03:00"/>
    <n v="3"/>
    <s v="C"/>
    <x v="1"/>
  </r>
  <r>
    <x v="40"/>
    <d v="2017-07-02T00:00:00"/>
    <d v="1899-12-30T15:00:00"/>
    <n v="1"/>
    <s v="A"/>
    <x v="1"/>
  </r>
  <r>
    <x v="0"/>
    <d v="2017-07-02T00:00:00"/>
    <d v="1899-12-30T15:21:00"/>
    <n v="4"/>
    <s v="B"/>
    <x v="0"/>
  </r>
  <r>
    <x v="41"/>
    <d v="2017-07-02T00:00:00"/>
    <d v="1899-12-30T16:38:00"/>
    <n v="1"/>
    <s v="C"/>
    <x v="1"/>
  </r>
  <r>
    <x v="1"/>
    <d v="2017-07-02T00:00:00"/>
    <d v="1899-12-30T17:51:00"/>
    <n v="4"/>
    <s v="A"/>
    <x v="1"/>
  </r>
  <r>
    <x v="3"/>
    <d v="2017-07-02T00:00:00"/>
    <d v="1899-12-30T18:32:00"/>
    <n v="6"/>
    <s v="B"/>
    <x v="1"/>
  </r>
  <r>
    <x v="592"/>
    <d v="2017-07-02T00:00:00"/>
    <d v="1899-12-30T18:33:00"/>
    <n v="5"/>
    <s v="B"/>
    <x v="1"/>
  </r>
  <r>
    <x v="593"/>
    <d v="2017-07-02T00:00:00"/>
    <d v="1899-12-30T20:04:00"/>
    <n v="1"/>
    <s v="C"/>
    <x v="1"/>
  </r>
  <r>
    <x v="594"/>
    <d v="2017-07-02T00:00:00"/>
    <d v="1899-12-30T20:11:00"/>
    <n v="4"/>
    <s v="C"/>
    <x v="1"/>
  </r>
  <r>
    <x v="595"/>
    <d v="2017-07-02T00:00:00"/>
    <d v="1899-12-30T22:06:00"/>
    <n v="4"/>
    <s v="C"/>
    <x v="1"/>
  </r>
  <r>
    <x v="596"/>
    <d v="2017-07-02T00:00:00"/>
    <d v="1899-12-30T23:09:00"/>
    <n v="1"/>
    <s v="C"/>
    <x v="1"/>
  </r>
  <r>
    <x v="597"/>
    <d v="2017-07-03T00:00:00"/>
    <d v="1899-12-30T00:12:00"/>
    <n v="3"/>
    <s v="A"/>
    <x v="0"/>
  </r>
  <r>
    <x v="598"/>
    <d v="2017-07-03T00:00:00"/>
    <d v="1899-12-30T01:57:00"/>
    <n v="4"/>
    <s v="B"/>
    <x v="0"/>
  </r>
  <r>
    <x v="599"/>
    <d v="2017-07-03T00:00:00"/>
    <d v="1899-12-30T03:22:00"/>
    <n v="1"/>
    <s v="C"/>
    <x v="1"/>
  </r>
  <r>
    <x v="600"/>
    <d v="2017-07-03T00:00:00"/>
    <d v="1899-12-30T04:04:00"/>
    <n v="1"/>
    <s v="C"/>
    <x v="1"/>
  </r>
  <r>
    <x v="601"/>
    <d v="2017-07-03T00:00:00"/>
    <d v="1899-12-30T04:15:00"/>
    <n v="2"/>
    <s v="A"/>
    <x v="0"/>
  </r>
  <r>
    <x v="602"/>
    <d v="2017-07-03T00:00:00"/>
    <d v="1899-12-30T05:53:00"/>
    <n v="6"/>
    <s v="A"/>
    <x v="0"/>
  </r>
  <r>
    <x v="603"/>
    <d v="2017-07-03T00:00:00"/>
    <d v="1899-12-30T06:52:00"/>
    <n v="6"/>
    <s v="B"/>
    <x v="1"/>
  </r>
  <r>
    <x v="604"/>
    <d v="2017-07-03T00:00:00"/>
    <d v="1899-12-30T07:16:00"/>
    <n v="2"/>
    <s v="B"/>
    <x v="1"/>
  </r>
  <r>
    <x v="605"/>
    <d v="2017-07-03T00:00:00"/>
    <d v="1899-12-30T09:03:00"/>
    <n v="6"/>
    <s v="C"/>
    <x v="1"/>
  </r>
  <r>
    <x v="606"/>
    <d v="2017-07-03T00:00:00"/>
    <d v="1899-12-30T09:55:00"/>
    <n v="1"/>
    <s v="C"/>
    <x v="1"/>
  </r>
  <r>
    <x v="607"/>
    <d v="2017-07-03T00:00:00"/>
    <d v="1899-12-30T10:04:00"/>
    <n v="1"/>
    <s v="C"/>
    <x v="1"/>
  </r>
  <r>
    <x v="608"/>
    <d v="2017-07-03T00:00:00"/>
    <d v="1899-12-30T15:00:00"/>
    <n v="2"/>
    <s v="A"/>
    <x v="0"/>
  </r>
  <r>
    <x v="609"/>
    <d v="2017-07-03T00:00:00"/>
    <d v="1899-12-30T16:57:00"/>
    <n v="6"/>
    <s v="B"/>
    <x v="1"/>
  </r>
  <r>
    <x v="610"/>
    <d v="2017-07-03T00:00:00"/>
    <d v="1899-12-30T18:19:00"/>
    <n v="4"/>
    <s v="C"/>
    <x v="1"/>
  </r>
  <r>
    <x v="611"/>
    <d v="2017-07-03T00:00:00"/>
    <d v="1899-12-30T18:25:00"/>
    <n v="2"/>
    <s v="A"/>
    <x v="0"/>
  </r>
  <r>
    <x v="612"/>
    <d v="2017-07-03T00:00:00"/>
    <d v="1899-12-30T18:25:00"/>
    <n v="4"/>
    <s v="A"/>
    <x v="1"/>
  </r>
  <r>
    <x v="613"/>
    <d v="2017-07-03T00:00:00"/>
    <d v="1899-12-30T18:57:00"/>
    <n v="4"/>
    <s v="B"/>
    <x v="0"/>
  </r>
  <r>
    <x v="614"/>
    <d v="2017-07-03T00:00:00"/>
    <d v="1899-12-30T20:11:00"/>
    <n v="2"/>
    <s v="B"/>
    <x v="1"/>
  </r>
  <r>
    <x v="615"/>
    <d v="2017-07-03T00:00:00"/>
    <d v="1899-12-30T21:32:00"/>
    <n v="3"/>
    <s v="C"/>
    <x v="1"/>
  </r>
  <r>
    <x v="616"/>
    <d v="2017-07-03T00:00:00"/>
    <d v="1899-12-30T23:50:00"/>
    <n v="1"/>
    <s v="C"/>
    <x v="1"/>
  </r>
  <r>
    <x v="617"/>
    <d v="2017-07-04T00:00:00"/>
    <d v="1899-12-30T00:31:00"/>
    <n v="2"/>
    <s v="C"/>
    <x v="1"/>
  </r>
  <r>
    <x v="618"/>
    <d v="2017-07-04T00:00:00"/>
    <d v="1899-12-30T01:26:00"/>
    <n v="5"/>
    <s v="C"/>
    <x v="0"/>
  </r>
  <r>
    <x v="619"/>
    <d v="2017-07-04T00:00:00"/>
    <d v="1899-12-30T01:52:00"/>
    <n v="1"/>
    <s v="A"/>
    <x v="1"/>
  </r>
  <r>
    <x v="620"/>
    <d v="2017-07-04T00:00:00"/>
    <d v="1899-12-30T03:06:00"/>
    <n v="6"/>
    <s v="B"/>
    <x v="1"/>
  </r>
  <r>
    <x v="621"/>
    <d v="2017-07-04T00:00:00"/>
    <d v="1899-12-30T03:27:00"/>
    <n v="3"/>
    <s v="C"/>
    <x v="1"/>
  </r>
  <r>
    <x v="622"/>
    <d v="2017-07-04T00:00:00"/>
    <d v="1899-12-30T04:07:00"/>
    <n v="2"/>
    <s v="C"/>
    <x v="1"/>
  </r>
  <r>
    <x v="623"/>
    <d v="2017-07-04T00:00:00"/>
    <d v="1899-12-30T06:22:00"/>
    <n v="4"/>
    <s v="A"/>
    <x v="1"/>
  </r>
  <r>
    <x v="624"/>
    <d v="2017-07-04T00:00:00"/>
    <d v="1899-12-30T08:23:00"/>
    <n v="6"/>
    <s v="A"/>
    <x v="0"/>
  </r>
  <r>
    <x v="625"/>
    <d v="2017-07-04T00:00:00"/>
    <d v="1899-12-30T08:54:00"/>
    <n v="2"/>
    <s v="B"/>
    <x v="1"/>
  </r>
  <r>
    <x v="626"/>
    <d v="2017-07-04T00:00:00"/>
    <d v="1899-12-30T09:57:00"/>
    <n v="5"/>
    <s v="B"/>
    <x v="1"/>
  </r>
  <r>
    <x v="627"/>
    <d v="2017-07-04T00:00:00"/>
    <d v="1899-12-30T12:15:00"/>
    <n v="2"/>
    <s v="C"/>
    <x v="1"/>
  </r>
  <r>
    <x v="628"/>
    <d v="2017-07-04T00:00:00"/>
    <d v="1899-12-30T12:55:00"/>
    <n v="2"/>
    <s v="C"/>
    <x v="1"/>
  </r>
  <r>
    <x v="629"/>
    <d v="2017-07-04T00:00:00"/>
    <d v="1899-12-30T15:00:00"/>
    <n v="1"/>
    <s v="A"/>
    <x v="1"/>
  </r>
  <r>
    <x v="630"/>
    <d v="2017-07-04T00:00:00"/>
    <d v="1899-12-30T15:01:00"/>
    <n v="4"/>
    <s v="C"/>
    <x v="1"/>
  </r>
  <r>
    <x v="631"/>
    <d v="2017-07-04T00:00:00"/>
    <d v="1899-12-30T15:38:00"/>
    <n v="6"/>
    <s v="B"/>
    <x v="1"/>
  </r>
  <r>
    <x v="632"/>
    <d v="2017-07-04T00:00:00"/>
    <d v="1899-12-30T15:47:00"/>
    <n v="6"/>
    <s v="C"/>
    <x v="1"/>
  </r>
  <r>
    <x v="633"/>
    <d v="2017-07-04T00:00:00"/>
    <d v="1899-12-30T16:14:00"/>
    <n v="4"/>
    <s v="A"/>
    <x v="1"/>
  </r>
  <r>
    <x v="634"/>
    <d v="2017-07-04T00:00:00"/>
    <d v="1899-12-30T17:54:00"/>
    <n v="2"/>
    <s v="A"/>
    <x v="0"/>
  </r>
  <r>
    <x v="635"/>
    <d v="2017-07-04T00:00:00"/>
    <d v="1899-12-30T19:26:00"/>
    <n v="4"/>
    <s v="B"/>
    <x v="0"/>
  </r>
  <r>
    <x v="636"/>
    <d v="2017-07-04T00:00:00"/>
    <d v="1899-12-30T19:50:00"/>
    <n v="3"/>
    <s v="B"/>
    <x v="1"/>
  </r>
  <r>
    <x v="637"/>
    <d v="2017-07-04T00:00:00"/>
    <d v="1899-12-30T20:50:00"/>
    <n v="2"/>
    <s v="C"/>
    <x v="1"/>
  </r>
  <r>
    <x v="638"/>
    <d v="2017-07-04T00:00:00"/>
    <d v="1899-12-30T22:53:00"/>
    <n v="6"/>
    <s v="C"/>
    <x v="1"/>
  </r>
  <r>
    <x v="639"/>
    <d v="2017-07-05T00:00:00"/>
    <d v="1899-12-30T00:32:00"/>
    <n v="2"/>
    <s v="C"/>
    <x v="1"/>
  </r>
  <r>
    <x v="640"/>
    <d v="2017-07-05T00:00:00"/>
    <d v="1899-12-30T00:35:00"/>
    <n v="2"/>
    <s v="C"/>
    <x v="1"/>
  </r>
  <r>
    <x v="641"/>
    <d v="2017-07-05T00:00:00"/>
    <d v="1899-12-30T02:14:00"/>
    <n v="4"/>
    <s v="A"/>
    <x v="1"/>
  </r>
  <r>
    <x v="642"/>
    <d v="2017-07-05T00:00:00"/>
    <d v="1899-12-30T04:33:00"/>
    <n v="1"/>
    <s v="B"/>
    <x v="0"/>
  </r>
  <r>
    <x v="643"/>
    <d v="2017-07-05T00:00:00"/>
    <d v="1899-12-30T06:12:00"/>
    <n v="4"/>
    <s v="C"/>
    <x v="1"/>
  </r>
  <r>
    <x v="644"/>
    <d v="2017-07-05T00:00:00"/>
    <d v="1899-12-30T08:33:00"/>
    <n v="3"/>
    <s v="C"/>
    <x v="1"/>
  </r>
  <r>
    <x v="645"/>
    <d v="2017-07-05T00:00:00"/>
    <d v="1899-12-30T09:52:00"/>
    <n v="1"/>
    <s v="A"/>
    <x v="1"/>
  </r>
  <r>
    <x v="646"/>
    <d v="2017-07-05T00:00:00"/>
    <d v="1899-12-30T11:57:00"/>
    <n v="6"/>
    <s v="A"/>
    <x v="0"/>
  </r>
  <r>
    <x v="647"/>
    <d v="2017-07-05T00:00:00"/>
    <d v="1899-12-30T13:52:00"/>
    <n v="2"/>
    <s v="B"/>
    <x v="1"/>
  </r>
  <r>
    <x v="648"/>
    <d v="2017-07-05T00:00:00"/>
    <d v="1899-12-30T14:18:00"/>
    <n v="1"/>
    <s v="B"/>
    <x v="0"/>
  </r>
  <r>
    <x v="649"/>
    <d v="2017-07-05T00:00:00"/>
    <d v="1899-12-30T15:00:00"/>
    <n v="4"/>
    <s v="A"/>
    <x v="1"/>
  </r>
  <r>
    <x v="650"/>
    <d v="2017-07-05T00:00:00"/>
    <d v="1899-12-30T15:59:00"/>
    <n v="3"/>
    <s v="C"/>
    <x v="1"/>
  </r>
  <r>
    <x v="651"/>
    <d v="2017-07-05T00:00:00"/>
    <d v="1899-12-30T16:37:00"/>
    <n v="5"/>
    <s v="C"/>
    <x v="0"/>
  </r>
  <r>
    <x v="652"/>
    <d v="2017-07-05T00:00:00"/>
    <d v="1899-12-30T17:02:00"/>
    <n v="4"/>
    <s v="B"/>
    <x v="0"/>
  </r>
  <r>
    <x v="653"/>
    <d v="2017-07-05T00:00:00"/>
    <d v="1899-12-30T17:20:00"/>
    <n v="4"/>
    <s v="C"/>
    <x v="1"/>
  </r>
  <r>
    <x v="654"/>
    <d v="2017-07-05T00:00:00"/>
    <d v="1899-12-30T17:21:00"/>
    <n v="1"/>
    <s v="C"/>
    <x v="1"/>
  </r>
  <r>
    <x v="655"/>
    <d v="2017-07-05T00:00:00"/>
    <d v="1899-12-30T17:40:00"/>
    <n v="6"/>
    <s v="A"/>
    <x v="0"/>
  </r>
  <r>
    <x v="656"/>
    <d v="2017-07-05T00:00:00"/>
    <d v="1899-12-30T19:52:00"/>
    <n v="2"/>
    <s v="A"/>
    <x v="0"/>
  </r>
  <r>
    <x v="657"/>
    <d v="2017-07-05T00:00:00"/>
    <d v="1899-12-30T21:42:00"/>
    <n v="1"/>
    <s v="B"/>
    <x v="0"/>
  </r>
  <r>
    <x v="658"/>
    <d v="2017-07-05T00:00:00"/>
    <d v="1899-12-30T22:27:00"/>
    <n v="1"/>
    <s v="B"/>
    <x v="0"/>
  </r>
  <r>
    <x v="659"/>
    <d v="2017-07-06T00:00:00"/>
    <d v="1899-12-30T00:50:00"/>
    <n v="5"/>
    <s v="C"/>
    <x v="0"/>
  </r>
  <r>
    <x v="660"/>
    <d v="2017-07-06T00:00:00"/>
    <d v="1899-12-30T01:12:00"/>
    <n v="1"/>
    <s v="C"/>
    <x v="1"/>
  </r>
  <r>
    <x v="661"/>
    <d v="2017-07-06T00:00:00"/>
    <d v="1899-12-30T02:05:00"/>
    <n v="4"/>
    <s v="C"/>
    <x v="1"/>
  </r>
  <r>
    <x v="662"/>
    <d v="2017-07-06T00:00:00"/>
    <d v="1899-12-30T02:09:00"/>
    <n v="2"/>
    <s v="C"/>
    <x v="1"/>
  </r>
  <r>
    <x v="663"/>
    <d v="2017-07-06T00:00:00"/>
    <d v="1899-12-30T02:43:00"/>
    <n v="6"/>
    <s v="A"/>
    <x v="0"/>
  </r>
  <r>
    <x v="664"/>
    <d v="2017-07-06T00:00:00"/>
    <d v="1899-12-30T03:54:00"/>
    <n v="5"/>
    <s v="B"/>
    <x v="1"/>
  </r>
  <r>
    <x v="665"/>
    <d v="2017-07-06T00:00:00"/>
    <d v="1899-12-30T05:41:00"/>
    <n v="6"/>
    <s v="C"/>
    <x v="1"/>
  </r>
  <r>
    <x v="666"/>
    <d v="2017-07-06T00:00:00"/>
    <d v="1899-12-30T05:42:00"/>
    <n v="2"/>
    <s v="C"/>
    <x v="1"/>
  </r>
  <r>
    <x v="667"/>
    <d v="2017-07-06T00:00:00"/>
    <d v="1899-12-30T07:52:00"/>
    <n v="2"/>
    <s v="A"/>
    <x v="0"/>
  </r>
  <r>
    <x v="668"/>
    <d v="2017-07-06T00:00:00"/>
    <d v="1899-12-30T08:24:00"/>
    <n v="3"/>
    <s v="A"/>
    <x v="0"/>
  </r>
  <r>
    <x v="669"/>
    <d v="2017-07-06T00:00:00"/>
    <d v="1899-12-30T09:37:00"/>
    <n v="6"/>
    <s v="B"/>
    <x v="1"/>
  </r>
  <r>
    <x v="670"/>
    <d v="2017-07-06T00:00:00"/>
    <d v="1899-12-30T11:17:00"/>
    <n v="3"/>
    <s v="B"/>
    <x v="1"/>
  </r>
  <r>
    <x v="671"/>
    <d v="2017-07-06T00:00:00"/>
    <d v="1899-12-30T13:26:00"/>
    <n v="6"/>
    <s v="C"/>
    <x v="1"/>
  </r>
  <r>
    <x v="672"/>
    <d v="2017-07-06T00:00:00"/>
    <d v="1899-12-30T14:52:00"/>
    <n v="3"/>
    <s v="C"/>
    <x v="1"/>
  </r>
  <r>
    <x v="673"/>
    <d v="2017-07-06T00:00:00"/>
    <d v="1899-12-30T15:00:00"/>
    <n v="3"/>
    <s v="A"/>
    <x v="0"/>
  </r>
  <r>
    <x v="674"/>
    <d v="2017-07-06T00:00:00"/>
    <d v="1899-12-30T15:54:00"/>
    <n v="5"/>
    <s v="C"/>
    <x v="0"/>
  </r>
  <r>
    <x v="675"/>
    <d v="2017-07-06T00:00:00"/>
    <d v="1899-12-30T17:06:00"/>
    <n v="5"/>
    <s v="B"/>
    <x v="1"/>
  </r>
  <r>
    <x v="676"/>
    <d v="2017-07-06T00:00:00"/>
    <d v="1899-12-30T17:37:00"/>
    <n v="6"/>
    <s v="C"/>
    <x v="1"/>
  </r>
  <r>
    <x v="677"/>
    <d v="2017-07-06T00:00:00"/>
    <d v="1899-12-30T19:40:00"/>
    <n v="2"/>
    <s v="A"/>
    <x v="0"/>
  </r>
  <r>
    <x v="678"/>
    <d v="2017-07-06T00:00:00"/>
    <d v="1899-12-30T21:42:00"/>
    <n v="2"/>
    <s v="A"/>
    <x v="0"/>
  </r>
  <r>
    <x v="679"/>
    <d v="2017-07-06T00:00:00"/>
    <d v="1899-12-30T22:46:00"/>
    <n v="4"/>
    <s v="B"/>
    <x v="0"/>
  </r>
  <r>
    <x v="680"/>
    <d v="2017-07-06T00:00:00"/>
    <d v="1899-12-30T22:58:00"/>
    <n v="3"/>
    <s v="B"/>
    <x v="1"/>
  </r>
  <r>
    <x v="681"/>
    <d v="2017-07-06T00:00:00"/>
    <d v="1899-12-30T23:12:00"/>
    <n v="2"/>
    <s v="C"/>
    <x v="1"/>
  </r>
  <r>
    <x v="682"/>
    <d v="2017-07-07T00:00:00"/>
    <d v="1899-12-30T01:22:00"/>
    <n v="2"/>
    <s v="C"/>
    <x v="1"/>
  </r>
  <r>
    <x v="683"/>
    <d v="2017-07-07T00:00:00"/>
    <d v="1899-12-30T02:25:00"/>
    <n v="1"/>
    <s v="C"/>
    <x v="1"/>
  </r>
  <r>
    <x v="684"/>
    <d v="2017-07-07T00:00:00"/>
    <d v="1899-12-30T04:46:00"/>
    <n v="5"/>
    <s v="C"/>
    <x v="0"/>
  </r>
  <r>
    <x v="685"/>
    <d v="2017-07-07T00:00:00"/>
    <d v="1899-12-30T05:23:00"/>
    <n v="6"/>
    <s v="A"/>
    <x v="0"/>
  </r>
  <r>
    <x v="686"/>
    <d v="2017-07-07T00:00:00"/>
    <d v="1899-12-30T06:49:00"/>
    <n v="2"/>
    <s v="B"/>
    <x v="1"/>
  </r>
  <r>
    <x v="687"/>
    <d v="2017-07-07T00:00:00"/>
    <d v="1899-12-30T08:03:00"/>
    <n v="3"/>
    <s v="C"/>
    <x v="1"/>
  </r>
  <r>
    <x v="688"/>
    <d v="2017-07-07T00:00:00"/>
    <d v="1899-12-30T09:17:00"/>
    <n v="1"/>
    <s v="C"/>
    <x v="1"/>
  </r>
  <r>
    <x v="689"/>
    <d v="2017-07-07T00:00:00"/>
    <d v="1899-12-30T10:07:00"/>
    <n v="4"/>
    <s v="A"/>
    <x v="1"/>
  </r>
  <r>
    <x v="690"/>
    <d v="2017-07-07T00:00:00"/>
    <d v="1899-12-30T10:53:00"/>
    <n v="2"/>
    <s v="A"/>
    <x v="0"/>
  </r>
  <r>
    <x v="691"/>
    <d v="2017-07-07T00:00:00"/>
    <d v="1899-12-30T11:41:00"/>
    <n v="4"/>
    <s v="B"/>
    <x v="0"/>
  </r>
  <r>
    <x v="692"/>
    <d v="2017-07-07T00:00:00"/>
    <d v="1899-12-30T12:01:00"/>
    <n v="5"/>
    <s v="B"/>
    <x v="1"/>
  </r>
  <r>
    <x v="693"/>
    <d v="2017-07-07T00:00:00"/>
    <d v="1899-12-30T13:21:00"/>
    <n v="5"/>
    <s v="C"/>
    <x v="0"/>
  </r>
  <r>
    <x v="694"/>
    <d v="2017-07-07T00:00:00"/>
    <d v="1899-12-30T13:27:00"/>
    <n v="4"/>
    <s v="C"/>
    <x v="1"/>
  </r>
  <r>
    <x v="695"/>
    <d v="2017-07-07T00:00:00"/>
    <d v="1899-12-30T15:00:00"/>
    <n v="6"/>
    <s v="A"/>
    <x v="0"/>
  </r>
  <r>
    <x v="696"/>
    <d v="2017-07-07T00:00:00"/>
    <d v="1899-12-30T15:08:00"/>
    <n v="4"/>
    <s v="B"/>
    <x v="0"/>
  </r>
  <r>
    <x v="697"/>
    <d v="2017-07-07T00:00:00"/>
    <d v="1899-12-30T15:29:00"/>
    <n v="6"/>
    <s v="C"/>
    <x v="1"/>
  </r>
  <r>
    <x v="698"/>
    <d v="2017-07-07T00:00:00"/>
    <d v="1899-12-30T15:32:00"/>
    <n v="1"/>
    <s v="C"/>
    <x v="1"/>
  </r>
  <r>
    <x v="699"/>
    <d v="2017-07-07T00:00:00"/>
    <d v="1899-12-30T16:51:00"/>
    <n v="3"/>
    <s v="A"/>
    <x v="0"/>
  </r>
  <r>
    <x v="700"/>
    <d v="2017-07-07T00:00:00"/>
    <d v="1899-12-30T17:43:00"/>
    <n v="2"/>
    <s v="A"/>
    <x v="0"/>
  </r>
  <r>
    <x v="701"/>
    <d v="2017-07-07T00:00:00"/>
    <d v="1899-12-30T19:54:00"/>
    <n v="6"/>
    <s v="B"/>
    <x v="1"/>
  </r>
  <r>
    <x v="702"/>
    <d v="2017-07-07T00:00:00"/>
    <d v="1899-12-30T21:16:00"/>
    <n v="6"/>
    <s v="B"/>
    <x v="1"/>
  </r>
  <r>
    <x v="703"/>
    <d v="2017-07-07T00:00:00"/>
    <d v="1899-12-30T23:33:00"/>
    <n v="4"/>
    <s v="C"/>
    <x v="1"/>
  </r>
  <r>
    <x v="704"/>
    <d v="2017-07-07T00:00:00"/>
    <d v="1899-12-30T23:34:00"/>
    <n v="2"/>
    <s v="C"/>
    <x v="1"/>
  </r>
  <r>
    <x v="705"/>
    <d v="2017-07-08T00:00:00"/>
    <d v="1899-12-30T01:19:00"/>
    <n v="4"/>
    <s v="C"/>
    <x v="1"/>
  </r>
  <r>
    <x v="706"/>
    <d v="2017-07-08T00:00:00"/>
    <d v="1899-12-30T02:00:00"/>
    <n v="2"/>
    <s v="C"/>
    <x v="1"/>
  </r>
  <r>
    <x v="707"/>
    <d v="2017-07-08T00:00:00"/>
    <d v="1899-12-30T03:34:00"/>
    <n v="1"/>
    <s v="A"/>
    <x v="1"/>
  </r>
  <r>
    <x v="708"/>
    <d v="2017-07-08T00:00:00"/>
    <d v="1899-12-30T03:56:00"/>
    <n v="4"/>
    <s v="B"/>
    <x v="0"/>
  </r>
  <r>
    <x v="709"/>
    <d v="2017-07-08T00:00:00"/>
    <d v="1899-12-30T05:28:00"/>
    <n v="4"/>
    <s v="C"/>
    <x v="1"/>
  </r>
  <r>
    <x v="710"/>
    <d v="2017-07-08T00:00:00"/>
    <d v="1899-12-30T06:58:00"/>
    <n v="3"/>
    <s v="C"/>
    <x v="1"/>
  </r>
  <r>
    <x v="711"/>
    <d v="2017-07-08T00:00:00"/>
    <d v="1899-12-30T07:48:00"/>
    <n v="5"/>
    <s v="A"/>
    <x v="1"/>
  </r>
  <r>
    <x v="712"/>
    <d v="2017-07-08T00:00:00"/>
    <d v="1899-12-30T08:55:00"/>
    <n v="4"/>
    <s v="A"/>
    <x v="1"/>
  </r>
  <r>
    <x v="713"/>
    <d v="2017-07-08T00:00:00"/>
    <d v="1899-12-30T09:35:00"/>
    <n v="5"/>
    <s v="B"/>
    <x v="1"/>
  </r>
  <r>
    <x v="714"/>
    <d v="2017-07-08T00:00:00"/>
    <d v="1899-12-30T09:46:00"/>
    <n v="5"/>
    <s v="B"/>
    <x v="1"/>
  </r>
  <r>
    <x v="715"/>
    <d v="2017-07-08T00:00:00"/>
    <d v="1899-12-30T09:51:00"/>
    <n v="3"/>
    <s v="C"/>
    <x v="1"/>
  </r>
  <r>
    <x v="716"/>
    <d v="2017-07-08T00:00:00"/>
    <d v="1899-12-30T11:13:00"/>
    <n v="1"/>
    <s v="C"/>
    <x v="1"/>
  </r>
  <r>
    <x v="717"/>
    <d v="2017-07-08T00:00:00"/>
    <d v="1899-12-30T11:18:00"/>
    <n v="1"/>
    <s v="C"/>
    <x v="1"/>
  </r>
  <r>
    <x v="718"/>
    <d v="2017-07-08T00:00:00"/>
    <d v="1899-12-30T15:00:00"/>
    <n v="5"/>
    <s v="A"/>
    <x v="1"/>
  </r>
  <r>
    <x v="719"/>
    <d v="2017-07-08T00:00:00"/>
    <d v="1899-12-30T16:07:00"/>
    <n v="2"/>
    <s v="B"/>
    <x v="1"/>
  </r>
  <r>
    <x v="720"/>
    <d v="2017-07-08T00:00:00"/>
    <d v="1899-12-30T16:15:00"/>
    <n v="4"/>
    <s v="C"/>
    <x v="1"/>
  </r>
  <r>
    <x v="721"/>
    <d v="2017-07-08T00:00:00"/>
    <d v="1899-12-30T17:11:00"/>
    <n v="4"/>
    <s v="A"/>
    <x v="1"/>
  </r>
  <r>
    <x v="722"/>
    <d v="2017-07-08T00:00:00"/>
    <d v="1899-12-30T18:25:00"/>
    <n v="3"/>
    <s v="A"/>
    <x v="0"/>
  </r>
  <r>
    <x v="723"/>
    <d v="2017-07-08T00:00:00"/>
    <d v="1899-12-30T20:24:00"/>
    <n v="6"/>
    <s v="B"/>
    <x v="1"/>
  </r>
  <r>
    <x v="724"/>
    <d v="2017-07-08T00:00:00"/>
    <d v="1899-12-30T20:57:00"/>
    <n v="2"/>
    <s v="B"/>
    <x v="1"/>
  </r>
  <r>
    <x v="725"/>
    <d v="2017-07-08T00:00:00"/>
    <d v="1899-12-30T22:17:00"/>
    <n v="1"/>
    <s v="C"/>
    <x v="1"/>
  </r>
  <r>
    <x v="726"/>
    <d v="2017-07-08T00:00:00"/>
    <d v="1899-12-30T22:18:00"/>
    <n v="2"/>
    <s v="C"/>
    <x v="1"/>
  </r>
  <r>
    <x v="727"/>
    <d v="2017-07-08T00:00:00"/>
    <d v="1899-12-30T23:13:00"/>
    <n v="1"/>
    <s v="C"/>
    <x v="1"/>
  </r>
  <r>
    <x v="728"/>
    <d v="2017-07-09T00:00:00"/>
    <d v="1899-12-30T00:53:00"/>
    <n v="2"/>
    <s v="C"/>
    <x v="1"/>
  </r>
  <r>
    <x v="729"/>
    <d v="2017-07-09T00:00:00"/>
    <d v="1899-12-30T02:18:00"/>
    <n v="5"/>
    <s v="A"/>
    <x v="1"/>
  </r>
  <r>
    <x v="730"/>
    <d v="2017-07-09T00:00:00"/>
    <d v="1899-12-30T02:32:00"/>
    <n v="3"/>
    <s v="B"/>
    <x v="1"/>
  </r>
  <r>
    <x v="731"/>
    <d v="2017-07-09T00:00:00"/>
    <d v="1899-12-30T03:15:00"/>
    <n v="1"/>
    <s v="C"/>
    <x v="1"/>
  </r>
  <r>
    <x v="732"/>
    <d v="2017-07-09T00:00:00"/>
    <d v="1899-12-30T03:19:00"/>
    <n v="1"/>
    <s v="C"/>
    <x v="1"/>
  </r>
  <r>
    <x v="733"/>
    <d v="2017-07-09T00:00:00"/>
    <d v="1899-12-30T05:37:00"/>
    <n v="6"/>
    <s v="A"/>
    <x v="0"/>
  </r>
  <r>
    <x v="734"/>
    <d v="2017-07-09T00:00:00"/>
    <d v="1899-12-30T06:29:00"/>
    <n v="4"/>
    <s v="A"/>
    <x v="1"/>
  </r>
  <r>
    <x v="735"/>
    <d v="2017-07-09T00:00:00"/>
    <d v="1899-12-30T07:29:00"/>
    <n v="1"/>
    <s v="B"/>
    <x v="0"/>
  </r>
  <r>
    <x v="736"/>
    <d v="2017-07-09T00:00:00"/>
    <d v="1899-12-30T08:47:00"/>
    <n v="6"/>
    <s v="B"/>
    <x v="1"/>
  </r>
  <r>
    <x v="737"/>
    <d v="2017-07-09T00:00:00"/>
    <d v="1899-12-30T11:09:00"/>
    <n v="1"/>
    <s v="C"/>
    <x v="1"/>
  </r>
  <r>
    <x v="738"/>
    <d v="2017-07-09T00:00:00"/>
    <d v="1899-12-30T13:00:00"/>
    <n v="3"/>
    <s v="C"/>
    <x v="1"/>
  </r>
  <r>
    <x v="739"/>
    <d v="2017-07-09T00:00:00"/>
    <d v="1899-12-30T14:37:00"/>
    <n v="6"/>
    <s v="C"/>
    <x v="1"/>
  </r>
  <r>
    <x v="740"/>
    <d v="2017-07-09T00:00:00"/>
    <d v="1899-12-30T15:00:00"/>
    <n v="3"/>
    <s v="A"/>
    <x v="0"/>
  </r>
  <r>
    <x v="741"/>
    <d v="2017-07-09T00:00:00"/>
    <d v="1899-12-30T15:21:00"/>
    <n v="4"/>
    <s v="B"/>
    <x v="0"/>
  </r>
  <r>
    <x v="742"/>
    <d v="2017-07-09T00:00:00"/>
    <d v="1899-12-30T16:54:00"/>
    <n v="4"/>
    <s v="C"/>
    <x v="1"/>
  </r>
  <r>
    <x v="743"/>
    <d v="2017-07-09T00:00:00"/>
    <d v="1899-12-30T18:21:00"/>
    <n v="6"/>
    <s v="A"/>
    <x v="0"/>
  </r>
  <r>
    <x v="744"/>
    <d v="2017-07-09T00:00:00"/>
    <d v="1899-12-30T19:01:00"/>
    <n v="4"/>
    <s v="A"/>
    <x v="1"/>
  </r>
  <r>
    <x v="745"/>
    <d v="2017-07-09T00:00:00"/>
    <d v="1899-12-30T20:30:00"/>
    <n v="2"/>
    <s v="B"/>
    <x v="1"/>
  </r>
  <r>
    <x v="746"/>
    <d v="2017-07-09T00:00:00"/>
    <d v="1899-12-30T20:50:00"/>
    <n v="4"/>
    <s v="B"/>
    <x v="0"/>
  </r>
  <r>
    <x v="747"/>
    <d v="2017-07-09T00:00:00"/>
    <d v="1899-12-30T22:35:00"/>
    <n v="5"/>
    <s v="C"/>
    <x v="0"/>
  </r>
  <r>
    <x v="748"/>
    <d v="2017-07-10T00:00:00"/>
    <d v="1899-12-30T00:41:00"/>
    <n v="1"/>
    <s v="C"/>
    <x v="1"/>
  </r>
  <r>
    <x v="749"/>
    <d v="2017-07-10T00:00:00"/>
    <d v="1899-12-30T02:14:00"/>
    <n v="2"/>
    <s v="C"/>
    <x v="1"/>
  </r>
  <r>
    <x v="750"/>
    <d v="2017-07-10T00:00:00"/>
    <d v="1899-12-30T03:08:00"/>
    <n v="5"/>
    <s v="C"/>
    <x v="0"/>
  </r>
  <r>
    <x v="751"/>
    <d v="2017-07-10T00:00:00"/>
    <d v="1899-12-30T04:49:00"/>
    <n v="3"/>
    <s v="A"/>
    <x v="0"/>
  </r>
  <r>
    <x v="752"/>
    <d v="2017-07-10T00:00:00"/>
    <d v="1899-12-30T06:28:00"/>
    <n v="1"/>
    <s v="B"/>
    <x v="0"/>
  </r>
  <r>
    <x v="753"/>
    <d v="2017-07-10T00:00:00"/>
    <d v="1899-12-30T08:31:00"/>
    <n v="1"/>
    <s v="C"/>
    <x v="1"/>
  </r>
  <r>
    <x v="754"/>
    <d v="2017-07-10T00:00:00"/>
    <d v="1899-12-30T08:40:00"/>
    <n v="4"/>
    <s v="C"/>
    <x v="1"/>
  </r>
  <r>
    <x v="755"/>
    <d v="2017-07-10T00:00:00"/>
    <d v="1899-12-30T10:34:00"/>
    <n v="2"/>
    <s v="A"/>
    <x v="0"/>
  </r>
  <r>
    <x v="756"/>
    <d v="2017-07-10T00:00:00"/>
    <d v="1899-12-30T12:38:00"/>
    <n v="5"/>
    <s v="A"/>
    <x v="1"/>
  </r>
  <r>
    <x v="757"/>
    <d v="2017-07-10T00:00:00"/>
    <d v="1899-12-30T13:52:00"/>
    <n v="2"/>
    <s v="B"/>
    <x v="1"/>
  </r>
  <r>
    <x v="758"/>
    <d v="2017-07-10T00:00:00"/>
    <d v="1899-12-30T14:29:00"/>
    <n v="3"/>
    <s v="B"/>
    <x v="1"/>
  </r>
  <r>
    <x v="759"/>
    <d v="2017-07-10T00:00:00"/>
    <d v="1899-12-30T15:00:00"/>
    <n v="2"/>
    <s v="A"/>
    <x v="0"/>
  </r>
  <r>
    <x v="760"/>
    <d v="2017-07-10T00:00:00"/>
    <d v="1899-12-30T15:38:00"/>
    <n v="1"/>
    <s v="B"/>
    <x v="0"/>
  </r>
  <r>
    <x v="761"/>
    <d v="2017-07-10T00:00:00"/>
    <d v="1899-12-30T16:52:00"/>
    <n v="4"/>
    <s v="C"/>
    <x v="1"/>
  </r>
  <r>
    <x v="762"/>
    <d v="2017-07-10T00:00:00"/>
    <d v="1899-12-30T17:10:00"/>
    <n v="1"/>
    <s v="C"/>
    <x v="1"/>
  </r>
  <r>
    <x v="763"/>
    <d v="2017-07-10T00:00:00"/>
    <d v="1899-12-30T17:17:00"/>
    <n v="3"/>
    <s v="A"/>
    <x v="0"/>
  </r>
  <r>
    <x v="764"/>
    <d v="2017-07-10T00:00:00"/>
    <d v="1899-12-30T17:23:00"/>
    <n v="5"/>
    <s v="A"/>
    <x v="1"/>
  </r>
  <r>
    <x v="765"/>
    <d v="2017-07-10T00:00:00"/>
    <d v="1899-12-30T18:12:00"/>
    <n v="4"/>
    <s v="B"/>
    <x v="0"/>
  </r>
  <r>
    <x v="766"/>
    <d v="2017-07-10T00:00:00"/>
    <d v="1899-12-30T18:22:00"/>
    <n v="2"/>
    <s v="C"/>
    <x v="1"/>
  </r>
  <r>
    <x v="767"/>
    <d v="2017-07-10T00:00:00"/>
    <d v="1899-12-30T18:47:00"/>
    <n v="5"/>
    <s v="C"/>
    <x v="0"/>
  </r>
  <r>
    <x v="768"/>
    <d v="2017-07-10T00:00:00"/>
    <d v="1899-12-30T19:54:00"/>
    <n v="4"/>
    <s v="B"/>
    <x v="0"/>
  </r>
  <r>
    <x v="769"/>
    <d v="2017-07-10T00:00:00"/>
    <d v="1899-12-30T20:09:00"/>
    <n v="6"/>
    <s v="C"/>
    <x v="1"/>
  </r>
  <r>
    <x v="770"/>
    <d v="2017-07-10T00:00:00"/>
    <d v="1899-12-30T22:09:00"/>
    <n v="6"/>
    <s v="C"/>
    <x v="1"/>
  </r>
  <r>
    <x v="771"/>
    <d v="2017-07-11T00:00:00"/>
    <d v="1899-12-30T00:15:00"/>
    <n v="4"/>
    <s v="C"/>
    <x v="1"/>
  </r>
  <r>
    <x v="772"/>
    <d v="2017-07-11T00:00:00"/>
    <d v="1899-12-30T00:22:00"/>
    <n v="3"/>
    <s v="C"/>
    <x v="1"/>
  </r>
  <r>
    <x v="773"/>
    <d v="2017-07-11T00:00:00"/>
    <d v="1899-12-30T01:23:00"/>
    <n v="4"/>
    <s v="A"/>
    <x v="1"/>
  </r>
  <r>
    <x v="774"/>
    <d v="2017-07-11T00:00:00"/>
    <d v="1899-12-30T03:43:00"/>
    <n v="5"/>
    <s v="B"/>
    <x v="1"/>
  </r>
  <r>
    <x v="775"/>
    <d v="2017-07-11T00:00:00"/>
    <d v="1899-12-30T04:02:00"/>
    <n v="6"/>
    <s v="C"/>
    <x v="1"/>
  </r>
  <r>
    <x v="776"/>
    <d v="2017-07-11T00:00:00"/>
    <d v="1899-12-30T05:02:00"/>
    <n v="3"/>
    <s v="C"/>
    <x v="1"/>
  </r>
  <r>
    <x v="777"/>
    <d v="2017-07-11T00:00:00"/>
    <d v="1899-12-30T07:17:00"/>
    <n v="1"/>
    <s v="A"/>
    <x v="1"/>
  </r>
  <r>
    <x v="778"/>
    <d v="2017-07-11T00:00:00"/>
    <d v="1899-12-30T09:01:00"/>
    <n v="4"/>
    <s v="A"/>
    <x v="1"/>
  </r>
  <r>
    <x v="779"/>
    <d v="2017-07-11T00:00:00"/>
    <d v="1899-12-30T10:18:00"/>
    <n v="6"/>
    <s v="B"/>
    <x v="1"/>
  </r>
  <r>
    <x v="780"/>
    <d v="2017-07-11T00:00:00"/>
    <d v="1899-12-30T10:47:00"/>
    <n v="6"/>
    <s v="B"/>
    <x v="1"/>
  </r>
  <r>
    <x v="781"/>
    <d v="2017-07-11T00:00:00"/>
    <d v="1899-12-30T11:35:00"/>
    <n v="1"/>
    <s v="C"/>
    <x v="1"/>
  </r>
  <r>
    <x v="782"/>
    <d v="2017-07-11T00:00:00"/>
    <d v="1899-12-30T12:17:00"/>
    <n v="4"/>
    <s v="C"/>
    <x v="1"/>
  </r>
  <r>
    <x v="783"/>
    <d v="2017-07-11T00:00:00"/>
    <d v="1899-12-30T13:34:00"/>
    <n v="5"/>
    <s v="C"/>
    <x v="0"/>
  </r>
  <r>
    <x v="784"/>
    <d v="2017-07-11T00:00:00"/>
    <d v="1899-12-30T15:00:00"/>
    <n v="6"/>
    <s v="A"/>
    <x v="0"/>
  </r>
  <r>
    <x v="785"/>
    <d v="2017-07-11T00:00:00"/>
    <d v="1899-12-30T15:26:00"/>
    <n v="1"/>
    <s v="B"/>
    <x v="0"/>
  </r>
  <r>
    <x v="786"/>
    <d v="2017-07-11T00:00:00"/>
    <d v="1899-12-30T16:50:00"/>
    <n v="6"/>
    <s v="C"/>
    <x v="1"/>
  </r>
  <r>
    <x v="787"/>
    <d v="2017-07-11T00:00:00"/>
    <d v="1899-12-30T19:06:00"/>
    <n v="3"/>
    <s v="A"/>
    <x v="0"/>
  </r>
  <r>
    <x v="788"/>
    <d v="2017-07-11T00:00:00"/>
    <d v="1899-12-30T19:37:00"/>
    <n v="6"/>
    <s v="A"/>
    <x v="0"/>
  </r>
  <r>
    <x v="789"/>
    <d v="2017-07-11T00:00:00"/>
    <d v="1899-12-30T20:32:00"/>
    <n v="4"/>
    <s v="B"/>
    <x v="0"/>
  </r>
  <r>
    <x v="790"/>
    <d v="2017-07-11T00:00:00"/>
    <d v="1899-12-30T20:36:00"/>
    <n v="5"/>
    <s v="B"/>
    <x v="1"/>
  </r>
  <r>
    <x v="791"/>
    <d v="2017-07-11T00:00:00"/>
    <d v="1899-12-30T20:45:00"/>
    <n v="6"/>
    <s v="C"/>
    <x v="1"/>
  </r>
  <r>
    <x v="792"/>
    <d v="2017-07-11T00:00:00"/>
    <d v="1899-12-30T22:38:00"/>
    <n v="4"/>
    <s v="C"/>
    <x v="1"/>
  </r>
  <r>
    <x v="793"/>
    <d v="2017-07-12T00:00:00"/>
    <d v="1899-12-30T00:05:00"/>
    <n v="1"/>
    <s v="C"/>
    <x v="1"/>
  </r>
  <r>
    <x v="794"/>
    <d v="2017-07-12T00:00:00"/>
    <d v="1899-12-30T00:20:00"/>
    <n v="2"/>
    <s v="C"/>
    <x v="1"/>
  </r>
  <r>
    <x v="795"/>
    <d v="2017-07-12T00:00:00"/>
    <d v="1899-12-30T02:35:00"/>
    <n v="2"/>
    <s v="A"/>
    <x v="0"/>
  </r>
  <r>
    <x v="90"/>
    <d v="2017-07-12T00:00:00"/>
    <d v="1899-12-30T03:14:00"/>
    <n v="3"/>
    <s v="B"/>
    <x v="1"/>
  </r>
  <r>
    <x v="91"/>
    <d v="2017-07-12T00:00:00"/>
    <d v="1899-12-30T03:28:00"/>
    <n v="3"/>
    <s v="C"/>
    <x v="1"/>
  </r>
  <r>
    <x v="92"/>
    <d v="2017-07-12T00:00:00"/>
    <d v="1899-12-30T05:00:00"/>
    <n v="3"/>
    <s v="C"/>
    <x v="1"/>
  </r>
  <r>
    <x v="93"/>
    <d v="2017-07-12T00:00:00"/>
    <d v="1899-12-30T07:02:00"/>
    <n v="5"/>
    <s v="A"/>
    <x v="1"/>
  </r>
  <r>
    <x v="94"/>
    <d v="2017-07-12T00:00:00"/>
    <d v="1899-12-30T07:24:00"/>
    <n v="4"/>
    <s v="A"/>
    <x v="1"/>
  </r>
  <r>
    <x v="95"/>
    <d v="2017-07-12T00:00:00"/>
    <d v="1899-12-30T09:32:00"/>
    <n v="6"/>
    <s v="B"/>
    <x v="1"/>
  </r>
  <r>
    <x v="96"/>
    <d v="2017-07-12T00:00:00"/>
    <d v="1899-12-30T11:43:00"/>
    <n v="3"/>
    <s v="B"/>
    <x v="1"/>
  </r>
  <r>
    <x v="97"/>
    <d v="2017-07-12T00:00:00"/>
    <d v="1899-12-30T14:02:00"/>
    <n v="4"/>
    <s v="C"/>
    <x v="1"/>
  </r>
  <r>
    <x v="98"/>
    <d v="2017-07-12T00:00:00"/>
    <d v="1899-12-30T15:00:00"/>
    <n v="3"/>
    <s v="A"/>
    <x v="0"/>
  </r>
  <r>
    <x v="99"/>
    <d v="2017-07-12T00:00:00"/>
    <d v="1899-12-30T15:11:00"/>
    <n v="2"/>
    <s v="C"/>
    <x v="1"/>
  </r>
  <r>
    <x v="100"/>
    <d v="2017-07-12T00:00:00"/>
    <d v="1899-12-30T15:33:00"/>
    <n v="1"/>
    <s v="B"/>
    <x v="0"/>
  </r>
  <r>
    <x v="40"/>
    <d v="2017-07-12T00:00:00"/>
    <d v="1899-12-30T16:18:00"/>
    <n v="4"/>
    <s v="C"/>
    <x v="1"/>
  </r>
  <r>
    <x v="0"/>
    <d v="2017-07-12T00:00:00"/>
    <d v="1899-12-30T16:26:00"/>
    <n v="6"/>
    <s v="A"/>
    <x v="0"/>
  </r>
  <r>
    <x v="41"/>
    <d v="2017-07-12T00:00:00"/>
    <d v="1899-12-30T16:37:00"/>
    <n v="2"/>
    <s v="A"/>
    <x v="0"/>
  </r>
  <r>
    <x v="101"/>
    <d v="2017-07-12T00:00:00"/>
    <d v="1899-12-30T16:55:00"/>
    <n v="3"/>
    <s v="C"/>
    <x v="1"/>
  </r>
  <r>
    <x v="1"/>
    <d v="2017-07-12T00:00:00"/>
    <d v="1899-12-30T17:10:00"/>
    <n v="1"/>
    <s v="B"/>
    <x v="0"/>
  </r>
  <r>
    <x v="2"/>
    <d v="2017-07-12T00:00:00"/>
    <d v="1899-12-30T17:38:00"/>
    <n v="5"/>
    <s v="B"/>
    <x v="1"/>
  </r>
  <r>
    <x v="3"/>
    <d v="2017-07-12T00:00:00"/>
    <d v="1899-12-30T19:28:00"/>
    <n v="5"/>
    <s v="C"/>
    <x v="0"/>
  </r>
  <r>
    <x v="4"/>
    <d v="2017-07-12T00:00:00"/>
    <d v="1899-12-30T19:52:00"/>
    <n v="2"/>
    <s v="C"/>
    <x v="1"/>
  </r>
  <r>
    <x v="5"/>
    <d v="2017-07-12T00:00:00"/>
    <d v="1899-12-30T21:03:00"/>
    <n v="6"/>
    <s v="C"/>
    <x v="1"/>
  </r>
  <r>
    <x v="6"/>
    <d v="2017-07-12T00:00:00"/>
    <d v="1899-12-30T22:52:00"/>
    <n v="6"/>
    <s v="C"/>
    <x v="1"/>
  </r>
  <r>
    <x v="7"/>
    <d v="2017-07-13T00:00:00"/>
    <d v="1899-12-30T00:42:00"/>
    <n v="3"/>
    <s v="A"/>
    <x v="0"/>
  </r>
  <r>
    <x v="8"/>
    <d v="2017-07-13T00:00:00"/>
    <d v="1899-12-30T02:28:00"/>
    <n v="2"/>
    <s v="B"/>
    <x v="1"/>
  </r>
  <r>
    <x v="9"/>
    <d v="2017-07-13T00:00:00"/>
    <d v="1899-12-30T04:10:00"/>
    <n v="2"/>
    <s v="C"/>
    <x v="1"/>
  </r>
  <r>
    <x v="10"/>
    <d v="2017-07-13T00:00:00"/>
    <d v="1899-12-30T05:54:00"/>
    <n v="6"/>
    <s v="C"/>
    <x v="1"/>
  </r>
  <r>
    <x v="11"/>
    <d v="2017-07-13T00:00:00"/>
    <d v="1899-12-30T08:05:00"/>
    <n v="3"/>
    <s v="A"/>
    <x v="0"/>
  </r>
  <r>
    <x v="12"/>
    <d v="2017-07-13T00:00:00"/>
    <d v="1899-12-30T08:57:00"/>
    <n v="1"/>
    <s v="A"/>
    <x v="1"/>
  </r>
  <r>
    <x v="13"/>
    <d v="2017-07-13T00:00:00"/>
    <d v="1899-12-30T09:20:00"/>
    <n v="4"/>
    <s v="B"/>
    <x v="0"/>
  </r>
  <r>
    <x v="14"/>
    <d v="2017-07-13T00:00:00"/>
    <d v="1899-12-30T10:44:00"/>
    <n v="5"/>
    <s v="B"/>
    <x v="1"/>
  </r>
  <r>
    <x v="15"/>
    <d v="2017-07-13T00:00:00"/>
    <d v="1899-12-30T11:44:00"/>
    <n v="2"/>
    <s v="C"/>
    <x v="1"/>
  </r>
  <r>
    <x v="16"/>
    <d v="2017-07-13T00:00:00"/>
    <d v="1899-12-30T13:07:00"/>
    <n v="6"/>
    <s v="C"/>
    <x v="1"/>
  </r>
  <r>
    <x v="17"/>
    <d v="2017-07-13T00:00:00"/>
    <d v="1899-12-30T14:10:00"/>
    <n v="2"/>
    <s v="C"/>
    <x v="1"/>
  </r>
  <r>
    <x v="18"/>
    <d v="2017-07-13T00:00:00"/>
    <d v="1899-12-30T15:00:00"/>
    <n v="5"/>
    <s v="A"/>
    <x v="1"/>
  </r>
  <r>
    <x v="19"/>
    <d v="2017-07-13T00:00:00"/>
    <d v="1899-12-30T16:54:00"/>
    <n v="3"/>
    <s v="B"/>
    <x v="1"/>
  </r>
  <r>
    <x v="21"/>
    <d v="2017-07-13T00:00:00"/>
    <d v="1899-12-30T18:55:00"/>
    <n v="2"/>
    <s v="C"/>
    <x v="1"/>
  </r>
  <r>
    <x v="20"/>
    <d v="2017-07-13T00:00:00"/>
    <d v="1899-12-30T21:18:00"/>
    <n v="2"/>
    <s v="A"/>
    <x v="0"/>
  </r>
  <r>
    <x v="22"/>
    <d v="2017-07-13T00:00:00"/>
    <d v="1899-12-30T22:34:00"/>
    <n v="4"/>
    <s v="A"/>
    <x v="1"/>
  </r>
  <r>
    <x v="23"/>
    <d v="2017-07-13T00:00:00"/>
    <d v="1899-12-30T22:50:00"/>
    <n v="5"/>
    <s v="B"/>
    <x v="1"/>
  </r>
  <r>
    <x v="24"/>
    <d v="2017-07-14T00:00:00"/>
    <d v="1899-12-30T00:06:00"/>
    <n v="1"/>
    <s v="B"/>
    <x v="0"/>
  </r>
  <r>
    <x v="25"/>
    <d v="2017-07-14T00:00:00"/>
    <d v="1899-12-30T00:59:00"/>
    <n v="1"/>
    <s v="C"/>
    <x v="1"/>
  </r>
  <r>
    <x v="26"/>
    <d v="2017-07-14T00:00:00"/>
    <d v="1899-12-30T02:53:00"/>
    <n v="1"/>
    <s v="C"/>
    <x v="1"/>
  </r>
  <r>
    <x v="27"/>
    <d v="2017-07-14T00:00:00"/>
    <d v="1899-12-30T02:55:00"/>
    <n v="6"/>
    <s v="C"/>
    <x v="1"/>
  </r>
  <r>
    <x v="28"/>
    <d v="2017-07-14T00:00:00"/>
    <d v="1899-12-30T03:23:00"/>
    <n v="2"/>
    <s v="C"/>
    <x v="1"/>
  </r>
  <r>
    <x v="29"/>
    <d v="2017-07-14T00:00:00"/>
    <d v="1899-12-30T04:16:00"/>
    <n v="2"/>
    <s v="A"/>
    <x v="0"/>
  </r>
  <r>
    <x v="30"/>
    <d v="2017-07-14T00:00:00"/>
    <d v="1899-12-30T05:47:00"/>
    <n v="4"/>
    <s v="B"/>
    <x v="0"/>
  </r>
  <r>
    <x v="32"/>
    <d v="2017-07-14T00:00:00"/>
    <d v="1899-12-30T10:00:00"/>
    <n v="4"/>
    <s v="C"/>
    <x v="1"/>
  </r>
  <r>
    <x v="33"/>
    <d v="2017-07-14T00:00:00"/>
    <d v="1899-12-30T10:38:00"/>
    <n v="3"/>
    <s v="A"/>
    <x v="0"/>
  </r>
  <r>
    <x v="34"/>
    <d v="2017-07-14T00:00:00"/>
    <d v="1899-12-30T10:43:00"/>
    <n v="6"/>
    <s v="A"/>
    <x v="0"/>
  </r>
  <r>
    <x v="796"/>
    <d v="2017-07-14T00:00:00"/>
    <d v="1899-12-30T12:06:00"/>
    <n v="6"/>
    <s v="B"/>
    <x v="1"/>
  </r>
  <r>
    <x v="30"/>
    <d v="2017-07-14T00:00:00"/>
    <d v="1899-12-30T14:40:00"/>
    <n v="1"/>
    <s v="C"/>
    <x v="1"/>
  </r>
  <r>
    <x v="33"/>
    <d v="2017-07-14T00:00:00"/>
    <d v="1899-12-30T15:00:00"/>
    <n v="2"/>
    <s v="A"/>
    <x v="0"/>
  </r>
  <r>
    <x v="31"/>
    <d v="2017-07-14T00:00:00"/>
    <d v="1899-12-30T15:08:00"/>
    <n v="2"/>
    <s v="C"/>
    <x v="1"/>
  </r>
  <r>
    <x v="34"/>
    <d v="2017-07-14T00:00:00"/>
    <d v="1899-12-30T16:08:00"/>
    <n v="5"/>
    <s v="B"/>
    <x v="1"/>
  </r>
  <r>
    <x v="797"/>
    <d v="2017-07-14T00:00:00"/>
    <d v="1899-12-30T17:36:00"/>
    <n v="5"/>
    <s v="C"/>
    <x v="0"/>
  </r>
  <r>
    <x v="798"/>
    <d v="2017-07-14T00:00:00"/>
    <d v="1899-12-30T18:48:00"/>
    <n v="2"/>
    <s v="A"/>
    <x v="0"/>
  </r>
  <r>
    <x v="799"/>
    <d v="2017-07-14T00:00:00"/>
    <d v="1899-12-30T19:47:00"/>
    <n v="1"/>
    <s v="A"/>
    <x v="1"/>
  </r>
  <r>
    <x v="800"/>
    <d v="2017-07-14T00:00:00"/>
    <d v="1899-12-30T20:18:00"/>
    <n v="2"/>
    <s v="B"/>
    <x v="1"/>
  </r>
  <r>
    <x v="40"/>
    <d v="2017-07-14T00:00:00"/>
    <d v="1899-12-30T21:18:00"/>
    <n v="6"/>
    <s v="B"/>
    <x v="1"/>
  </r>
  <r>
    <x v="41"/>
    <d v="2017-07-14T00:00:00"/>
    <d v="1899-12-30T23:34:00"/>
    <n v="3"/>
    <s v="C"/>
    <x v="1"/>
  </r>
  <r>
    <x v="2"/>
    <d v="2017-07-15T00:00:00"/>
    <d v="1899-12-30T03:49:00"/>
    <n v="4"/>
    <s v="C"/>
    <x v="1"/>
  </r>
  <r>
    <x v="4"/>
    <d v="2017-07-15T00:00:00"/>
    <d v="1899-12-30T06:31:00"/>
    <n v="3"/>
    <s v="B"/>
    <x v="1"/>
  </r>
  <r>
    <x v="5"/>
    <d v="2017-07-15T00:00:00"/>
    <d v="1899-12-30T06:49:00"/>
    <n v="4"/>
    <s v="C"/>
    <x v="1"/>
  </r>
  <r>
    <x v="6"/>
    <d v="2017-07-15T00:00:00"/>
    <d v="1899-12-30T07:13:00"/>
    <n v="3"/>
    <s v="C"/>
    <x v="1"/>
  </r>
  <r>
    <x v="7"/>
    <d v="2017-07-15T00:00:00"/>
    <d v="1899-12-30T09:16:00"/>
    <n v="5"/>
    <s v="A"/>
    <x v="1"/>
  </r>
  <r>
    <x v="8"/>
    <d v="2017-07-15T00:00:00"/>
    <d v="1899-12-30T10:34:00"/>
    <n v="4"/>
    <s v="A"/>
    <x v="1"/>
  </r>
  <r>
    <x v="9"/>
    <d v="2017-07-15T00:00:00"/>
    <d v="1899-12-30T11:41:00"/>
    <n v="3"/>
    <s v="B"/>
    <x v="1"/>
  </r>
  <r>
    <x v="10"/>
    <d v="2017-07-15T00:00:00"/>
    <d v="1899-12-30T13:57:00"/>
    <n v="3"/>
    <s v="B"/>
    <x v="1"/>
  </r>
  <r>
    <x v="14"/>
    <d v="2017-07-15T00:00:00"/>
    <d v="1899-12-30T15:00:00"/>
    <n v="4"/>
    <s v="A"/>
    <x v="1"/>
  </r>
  <r>
    <x v="15"/>
    <d v="2017-07-15T00:00:00"/>
    <d v="1899-12-30T15:24:00"/>
    <n v="3"/>
    <s v="B"/>
    <x v="1"/>
  </r>
  <r>
    <x v="11"/>
    <d v="2017-07-15T00:00:00"/>
    <d v="1899-12-30T16:20:00"/>
    <n v="5"/>
    <s v="C"/>
    <x v="0"/>
  </r>
  <r>
    <x v="16"/>
    <d v="2017-07-15T00:00:00"/>
    <d v="1899-12-30T17:22:00"/>
    <n v="4"/>
    <s v="C"/>
    <x v="1"/>
  </r>
  <r>
    <x v="17"/>
    <d v="2017-07-15T00:00:00"/>
    <d v="1899-12-30T17:27:00"/>
    <n v="3"/>
    <s v="A"/>
    <x v="0"/>
  </r>
  <r>
    <x v="12"/>
    <d v="2017-07-15T00:00:00"/>
    <d v="1899-12-30T17:29:00"/>
    <n v="6"/>
    <s v="C"/>
    <x v="1"/>
  </r>
  <r>
    <x v="18"/>
    <d v="2017-07-15T00:00:00"/>
    <d v="1899-12-30T18:26:00"/>
    <n v="4"/>
    <s v="A"/>
    <x v="1"/>
  </r>
  <r>
    <x v="13"/>
    <d v="2017-07-15T00:00:00"/>
    <d v="1899-12-30T19:13:00"/>
    <n v="5"/>
    <s v="C"/>
    <x v="0"/>
  </r>
  <r>
    <x v="19"/>
    <d v="2017-07-15T00:00:00"/>
    <d v="1899-12-30T20:17:00"/>
    <n v="4"/>
    <s v="B"/>
    <x v="0"/>
  </r>
  <r>
    <x v="21"/>
    <d v="2017-07-15T00:00:00"/>
    <d v="1899-12-30T20:18:00"/>
    <n v="5"/>
    <s v="B"/>
    <x v="1"/>
  </r>
  <r>
    <x v="20"/>
    <d v="2017-07-15T00:00:00"/>
    <d v="1899-12-30T20:26:00"/>
    <n v="4"/>
    <s v="C"/>
    <x v="1"/>
  </r>
  <r>
    <x v="22"/>
    <d v="2017-07-15T00:00:00"/>
    <d v="1899-12-30T21:11:00"/>
    <n v="5"/>
    <s v="C"/>
    <x v="0"/>
  </r>
  <r>
    <x v="23"/>
    <d v="2017-07-15T00:00:00"/>
    <d v="1899-12-30T21:11:00"/>
    <n v="3"/>
    <s v="C"/>
    <x v="1"/>
  </r>
  <r>
    <x v="24"/>
    <d v="2017-07-15T00:00:00"/>
    <d v="1899-12-30T21:33:00"/>
    <n v="4"/>
    <s v="C"/>
    <x v="1"/>
  </r>
  <r>
    <x v="25"/>
    <d v="2017-07-15T00:00:00"/>
    <d v="1899-12-30T23:20:00"/>
    <n v="3"/>
    <s v="A"/>
    <x v="0"/>
  </r>
  <r>
    <x v="26"/>
    <d v="2017-07-16T00:00:00"/>
    <d v="1899-12-30T00:30:00"/>
    <n v="2"/>
    <s v="B"/>
    <x v="1"/>
  </r>
  <r>
    <x v="27"/>
    <d v="2017-07-16T00:00:00"/>
    <d v="1899-12-30T01:51:00"/>
    <n v="3"/>
    <s v="C"/>
    <x v="1"/>
  </r>
  <r>
    <x v="801"/>
    <d v="2017-07-16T00:00:00"/>
    <d v="1899-12-30T03:16:00"/>
    <n v="5"/>
    <s v="C"/>
    <x v="0"/>
  </r>
  <r>
    <x v="31"/>
    <d v="2017-07-16T00:00:00"/>
    <d v="1899-12-30T08:28:00"/>
    <n v="4"/>
    <s v="B"/>
    <x v="0"/>
  </r>
  <r>
    <x v="33"/>
    <d v="2017-07-16T00:00:00"/>
    <d v="1899-12-30T11:17:00"/>
    <n v="1"/>
    <s v="C"/>
    <x v="1"/>
  </r>
  <r>
    <x v="34"/>
    <d v="2017-07-16T00:00:00"/>
    <d v="1899-12-30T11:27:00"/>
    <n v="1"/>
    <s v="C"/>
    <x v="1"/>
  </r>
  <r>
    <x v="802"/>
    <d v="2017-07-16T00:00:00"/>
    <d v="1899-12-30T13:25:00"/>
    <n v="6"/>
    <s v="C"/>
    <x v="1"/>
  </r>
  <r>
    <x v="29"/>
    <d v="2017-07-16T00:00:00"/>
    <d v="1899-12-30T15:00:00"/>
    <n v="1"/>
    <s v="A"/>
    <x v="1"/>
  </r>
  <r>
    <x v="31"/>
    <d v="2017-07-16T00:00:00"/>
    <d v="1899-12-30T17:44:00"/>
    <n v="1"/>
    <s v="C"/>
    <x v="1"/>
  </r>
  <r>
    <x v="803"/>
    <d v="2017-07-16T00:00:00"/>
    <d v="1899-12-30T21:23:00"/>
    <n v="6"/>
    <s v="B"/>
    <x v="1"/>
  </r>
  <r>
    <x v="804"/>
    <d v="2017-07-16T00:00:00"/>
    <d v="1899-12-30T21:31:00"/>
    <n v="6"/>
    <s v="B"/>
    <x v="1"/>
  </r>
  <r>
    <x v="805"/>
    <d v="2017-07-16T00:00:00"/>
    <d v="1899-12-30T22:28:00"/>
    <n v="2"/>
    <s v="C"/>
    <x v="1"/>
  </r>
  <r>
    <x v="806"/>
    <d v="2017-07-17T00:00:00"/>
    <d v="1899-12-30T00:13:00"/>
    <n v="3"/>
    <s v="C"/>
    <x v="1"/>
  </r>
  <r>
    <x v="807"/>
    <d v="2017-07-17T00:00:00"/>
    <d v="1899-12-30T01:50:00"/>
    <n v="5"/>
    <s v="C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2D100E-C61E-43A3-AD20-C287A16A3F57}" name="Tabela przestawna1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6">
    <pivotField axis="axisRow" showAll="0" measureFilter="1">
      <items count="809">
        <item x="477"/>
        <item x="682"/>
        <item x="278"/>
        <item x="649"/>
        <item x="653"/>
        <item x="304"/>
        <item x="452"/>
        <item x="310"/>
        <item x="158"/>
        <item x="674"/>
        <item x="524"/>
        <item x="320"/>
        <item x="222"/>
        <item x="609"/>
        <item x="289"/>
        <item x="761"/>
        <item x="54"/>
        <item x="200"/>
        <item x="798"/>
        <item x="671"/>
        <item x="176"/>
        <item x="574"/>
        <item x="697"/>
        <item x="290"/>
        <item x="805"/>
        <item x="538"/>
        <item x="577"/>
        <item x="260"/>
        <item x="379"/>
        <item x="131"/>
        <item x="143"/>
        <item x="30"/>
        <item x="22"/>
        <item x="47"/>
        <item x="365"/>
        <item x="770"/>
        <item x="179"/>
        <item x="236"/>
        <item x="253"/>
        <item x="413"/>
        <item x="763"/>
        <item x="279"/>
        <item x="406"/>
        <item x="692"/>
        <item x="596"/>
        <item x="412"/>
        <item x="360"/>
        <item x="730"/>
        <item x="227"/>
        <item x="628"/>
        <item x="765"/>
        <item x="1"/>
        <item x="124"/>
        <item x="690"/>
        <item x="83"/>
        <item x="607"/>
        <item x="63"/>
        <item x="229"/>
        <item x="753"/>
        <item x="683"/>
        <item x="306"/>
        <item x="138"/>
        <item x="620"/>
        <item x="716"/>
        <item x="252"/>
        <item x="601"/>
        <item x="353"/>
        <item x="427"/>
        <item x="415"/>
        <item x="388"/>
        <item x="666"/>
        <item x="572"/>
        <item x="148"/>
        <item x="51"/>
        <item x="621"/>
        <item x="698"/>
        <item x="605"/>
        <item x="488"/>
        <item x="366"/>
        <item x="48"/>
        <item x="707"/>
        <item x="28"/>
        <item x="796"/>
        <item x="801"/>
        <item x="802"/>
        <item x="516"/>
        <item x="711"/>
        <item x="556"/>
        <item x="440"/>
        <item x="189"/>
        <item x="146"/>
        <item x="247"/>
        <item x="361"/>
        <item x="135"/>
        <item x="220"/>
        <item x="86"/>
        <item x="331"/>
        <item x="724"/>
        <item x="114"/>
        <item x="750"/>
        <item x="187"/>
        <item x="542"/>
        <item x="496"/>
        <item x="351"/>
        <item x="316"/>
        <item x="256"/>
        <item x="681"/>
        <item x="7"/>
        <item x="258"/>
        <item x="129"/>
        <item x="392"/>
        <item x="703"/>
        <item x="578"/>
        <item x="480"/>
        <item x="758"/>
        <item x="444"/>
        <item x="267"/>
        <item x="29"/>
        <item x="447"/>
        <item x="234"/>
        <item x="245"/>
        <item x="342"/>
        <item x="668"/>
        <item x="616"/>
        <item x="615"/>
        <item x="172"/>
        <item x="328"/>
        <item x="468"/>
        <item x="523"/>
        <item x="286"/>
        <item x="645"/>
        <item x="699"/>
        <item x="461"/>
        <item x="752"/>
        <item x="35"/>
        <item x="737"/>
        <item x="285"/>
        <item x="584"/>
        <item x="383"/>
        <item x="296"/>
        <item x="748"/>
        <item x="495"/>
        <item x="142"/>
        <item x="27"/>
        <item x="708"/>
        <item x="197"/>
        <item x="170"/>
        <item x="338"/>
        <item x="457"/>
        <item x="774"/>
        <item x="221"/>
        <item x="587"/>
        <item x="537"/>
        <item x="39"/>
        <item x="436"/>
        <item x="2"/>
        <item x="298"/>
        <item x="403"/>
        <item x="522"/>
        <item x="49"/>
        <item x="672"/>
        <item x="237"/>
        <item x="352"/>
        <item x="598"/>
        <item x="101"/>
        <item x="777"/>
        <item x="112"/>
        <item x="510"/>
        <item x="667"/>
        <item x="31"/>
        <item x="548"/>
        <item x="530"/>
        <item x="369"/>
        <item x="764"/>
        <item x="219"/>
        <item x="503"/>
        <item x="43"/>
        <item x="728"/>
        <item x="287"/>
        <item x="259"/>
        <item x="79"/>
        <item x="759"/>
        <item x="140"/>
        <item x="263"/>
        <item x="349"/>
        <item x="213"/>
        <item x="209"/>
        <item x="249"/>
        <item x="121"/>
        <item x="429"/>
        <item x="8"/>
        <item x="161"/>
        <item x="482"/>
        <item x="393"/>
        <item x="362"/>
        <item x="742"/>
        <item x="149"/>
        <item x="120"/>
        <item x="611"/>
        <item x="40"/>
        <item x="299"/>
        <item x="199"/>
        <item x="719"/>
        <item x="235"/>
        <item x="400"/>
        <item x="458"/>
        <item x="210"/>
        <item x="173"/>
        <item x="273"/>
        <item x="746"/>
        <item x="551"/>
        <item x="318"/>
        <item x="734"/>
        <item x="13"/>
        <item x="293"/>
        <item x="571"/>
        <item x="46"/>
        <item x="483"/>
        <item x="3"/>
        <item x="778"/>
        <item x="680"/>
        <item x="32"/>
        <item x="543"/>
        <item x="541"/>
        <item x="72"/>
        <item x="65"/>
        <item x="308"/>
        <item x="303"/>
        <item x="423"/>
        <item x="521"/>
        <item x="627"/>
        <item x="786"/>
        <item x="582"/>
        <item x="686"/>
        <item x="93"/>
        <item x="581"/>
        <item x="580"/>
        <item x="350"/>
        <item x="625"/>
        <item x="232"/>
        <item x="198"/>
        <item x="226"/>
        <item x="242"/>
        <item x="473"/>
        <item x="321"/>
        <item x="517"/>
        <item x="346"/>
        <item x="59"/>
        <item x="262"/>
        <item x="376"/>
        <item x="600"/>
        <item x="526"/>
        <item x="751"/>
        <item x="565"/>
        <item x="84"/>
        <item x="795"/>
        <item x="196"/>
        <item x="618"/>
        <item x="506"/>
        <item x="105"/>
        <item x="554"/>
        <item x="634"/>
        <item x="570"/>
        <item x="449"/>
        <item x="23"/>
        <item x="426"/>
        <item x="324"/>
        <item x="266"/>
        <item x="623"/>
        <item x="498"/>
        <item x="508"/>
        <item x="729"/>
        <item x="397"/>
        <item x="71"/>
        <item x="414"/>
        <item x="443"/>
        <item x="58"/>
        <item x="779"/>
        <item x="64"/>
        <item x="163"/>
        <item x="250"/>
        <item x="454"/>
        <item x="212"/>
        <item x="323"/>
        <item x="60"/>
        <item x="373"/>
        <item x="206"/>
        <item x="42"/>
        <item x="91"/>
        <item x="312"/>
        <item x="455"/>
        <item x="790"/>
        <item x="437"/>
        <item x="150"/>
        <item x="606"/>
        <item x="714"/>
        <item x="435"/>
        <item x="157"/>
        <item x="359"/>
        <item x="224"/>
        <item x="238"/>
        <item x="162"/>
        <item x="564"/>
        <item x="116"/>
        <item x="56"/>
        <item x="20"/>
        <item x="409"/>
        <item x="614"/>
        <item x="183"/>
        <item x="448"/>
        <item x="188"/>
        <item x="421"/>
        <item x="382"/>
        <item x="559"/>
        <item x="333"/>
        <item x="218"/>
        <item x="650"/>
        <item x="230"/>
        <item x="478"/>
        <item x="470"/>
        <item x="281"/>
        <item x="77"/>
        <item x="407"/>
        <item x="95"/>
        <item x="330"/>
        <item x="450"/>
        <item x="432"/>
        <item x="756"/>
        <item x="511"/>
        <item x="67"/>
        <item x="153"/>
        <item x="599"/>
        <item x="641"/>
        <item x="769"/>
        <item x="339"/>
        <item x="119"/>
        <item x="504"/>
        <item x="87"/>
        <item x="561"/>
        <item x="181"/>
        <item x="123"/>
        <item x="386"/>
        <item x="356"/>
        <item x="453"/>
        <item x="45"/>
        <item x="82"/>
        <item x="301"/>
        <item x="169"/>
        <item x="24"/>
        <item x="709"/>
        <item x="518"/>
        <item x="239"/>
        <item x="5"/>
        <item x="204"/>
        <item x="122"/>
        <item x="228"/>
        <item x="486"/>
        <item x="550"/>
        <item x="675"/>
        <item x="569"/>
        <item x="783"/>
        <item x="608"/>
        <item x="631"/>
        <item x="789"/>
        <item x="130"/>
        <item x="261"/>
        <item x="50"/>
        <item x="26"/>
        <item x="98"/>
        <item x="762"/>
        <item x="203"/>
        <item x="294"/>
        <item x="712"/>
        <item x="654"/>
        <item x="766"/>
        <item x="677"/>
        <item x="509"/>
        <item x="174"/>
        <item x="404"/>
        <item x="657"/>
        <item x="434"/>
        <item x="233"/>
        <item x="185"/>
        <item x="19"/>
        <item x="442"/>
        <item x="792"/>
        <item x="66"/>
        <item x="648"/>
        <item x="33"/>
        <item x="772"/>
        <item x="555"/>
        <item x="97"/>
        <item x="755"/>
        <item x="566"/>
        <item x="723"/>
        <item x="704"/>
        <item x="499"/>
        <item x="160"/>
        <item x="36"/>
        <item x="21"/>
        <item x="717"/>
        <item x="659"/>
        <item x="334"/>
        <item x="725"/>
        <item x="280"/>
        <item x="76"/>
        <item x="215"/>
        <item x="589"/>
        <item x="367"/>
        <item x="223"/>
        <item x="136"/>
        <item x="156"/>
        <item x="62"/>
        <item x="107"/>
        <item x="113"/>
        <item x="311"/>
        <item x="417"/>
        <item x="240"/>
        <item x="182"/>
        <item x="639"/>
        <item x="512"/>
        <item x="451"/>
        <item x="701"/>
        <item x="700"/>
        <item x="776"/>
        <item x="18"/>
        <item x="211"/>
        <item x="693"/>
        <item x="481"/>
        <item x="679"/>
        <item x="70"/>
        <item x="10"/>
        <item x="75"/>
        <item x="532"/>
        <item x="80"/>
        <item x="192"/>
        <item x="265"/>
        <item x="787"/>
        <item x="552"/>
        <item x="420"/>
        <item x="635"/>
        <item x="102"/>
        <item x="702"/>
        <item x="431"/>
        <item x="425"/>
        <item x="145"/>
        <item x="782"/>
        <item x="685"/>
        <item x="214"/>
        <item x="560"/>
        <item x="104"/>
        <item x="479"/>
        <item x="669"/>
        <item x="553"/>
        <item x="663"/>
        <item x="602"/>
        <item x="465"/>
        <item x="781"/>
        <item x="720"/>
        <item x="295"/>
        <item x="466"/>
        <item x="597"/>
        <item x="164"/>
        <item x="191"/>
        <item x="419"/>
        <item x="53"/>
        <item x="594"/>
        <item x="747"/>
        <item x="385"/>
        <item x="771"/>
        <item x="74"/>
        <item x="340"/>
        <item x="0"/>
        <item x="302"/>
        <item x="277"/>
        <item x="773"/>
        <item x="78"/>
        <item x="194"/>
        <item x="689"/>
        <item x="132"/>
        <item x="735"/>
        <item x="673"/>
        <item x="533"/>
        <item x="462"/>
        <item x="536"/>
        <item x="579"/>
        <item x="370"/>
        <item x="61"/>
        <item x="374"/>
        <item x="438"/>
        <item x="357"/>
        <item x="727"/>
        <item x="92"/>
        <item x="171"/>
        <item x="665"/>
        <item x="696"/>
        <item x="327"/>
        <item x="544"/>
        <item x="670"/>
        <item x="636"/>
        <item x="90"/>
        <item x="384"/>
        <item x="475"/>
        <item x="619"/>
        <item x="799"/>
        <item x="502"/>
        <item x="490"/>
        <item x="305"/>
        <item x="6"/>
        <item x="115"/>
        <item x="69"/>
        <item x="216"/>
        <item x="25"/>
        <item x="740"/>
        <item x="118"/>
        <item x="402"/>
        <item x="573"/>
        <item x="519"/>
        <item x="288"/>
        <item x="418"/>
        <item x="784"/>
        <item x="111"/>
        <item x="88"/>
        <item x="445"/>
        <item x="655"/>
        <item x="317"/>
        <item x="803"/>
        <item x="527"/>
        <item x="126"/>
        <item x="718"/>
        <item x="767"/>
        <item x="644"/>
        <item x="268"/>
        <item x="626"/>
        <item x="12"/>
        <item x="391"/>
        <item x="661"/>
        <item x="424"/>
        <item x="558"/>
        <item x="313"/>
        <item x="780"/>
        <item x="73"/>
        <item x="283"/>
        <item x="325"/>
        <item x="441"/>
        <item x="137"/>
        <item x="398"/>
        <item x="190"/>
        <item x="205"/>
        <item x="694"/>
        <item x="459"/>
        <item x="41"/>
        <item x="110"/>
        <item x="741"/>
        <item x="139"/>
        <item x="178"/>
        <item x="217"/>
        <item x="652"/>
        <item x="416"/>
        <item x="395"/>
        <item x="695"/>
        <item x="159"/>
        <item x="309"/>
        <item x="380"/>
        <item x="38"/>
        <item x="225"/>
        <item x="547"/>
        <item x="785"/>
        <item x="177"/>
        <item x="166"/>
        <item x="108"/>
        <item x="341"/>
        <item x="775"/>
        <item x="593"/>
        <item x="4"/>
        <item x="603"/>
        <item x="760"/>
        <item x="494"/>
        <item x="125"/>
        <item x="292"/>
        <item x="282"/>
        <item x="243"/>
        <item x="546"/>
        <item x="128"/>
        <item x="329"/>
        <item x="117"/>
        <item x="491"/>
        <item x="586"/>
        <item x="472"/>
        <item x="270"/>
        <item x="326"/>
        <item x="144"/>
        <item x="744"/>
        <item x="487"/>
        <item x="332"/>
        <item x="275"/>
        <item x="336"/>
        <item x="529"/>
        <item x="52"/>
        <item x="208"/>
        <item x="528"/>
        <item x="613"/>
        <item x="446"/>
        <item x="231"/>
        <item x="389"/>
        <item x="377"/>
        <item x="662"/>
        <item x="563"/>
        <item x="484"/>
        <item x="147"/>
        <item x="81"/>
        <item x="497"/>
        <item x="355"/>
        <item x="16"/>
        <item x="732"/>
        <item x="167"/>
        <item x="525"/>
        <item x="754"/>
        <item x="152"/>
        <item x="155"/>
        <item x="549"/>
        <item x="505"/>
        <item x="684"/>
        <item x="731"/>
        <item x="591"/>
        <item x="410"/>
        <item x="439"/>
        <item x="757"/>
        <item x="567"/>
        <item x="633"/>
        <item x="713"/>
        <item x="797"/>
        <item x="375"/>
        <item x="300"/>
        <item x="390"/>
        <item x="358"/>
        <item x="363"/>
        <item x="476"/>
        <item x="629"/>
        <item x="255"/>
        <item x="612"/>
        <item x="141"/>
        <item x="534"/>
        <item x="471"/>
        <item x="485"/>
        <item x="15"/>
        <item x="469"/>
        <item x="354"/>
        <item x="722"/>
        <item x="246"/>
        <item x="806"/>
        <item x="676"/>
        <item x="322"/>
        <item x="585"/>
        <item x="401"/>
        <item x="715"/>
        <item x="99"/>
        <item x="721"/>
        <item x="656"/>
        <item x="274"/>
        <item x="800"/>
        <item x="658"/>
        <item x="100"/>
        <item x="343"/>
        <item x="422"/>
        <item x="460"/>
        <item x="624"/>
        <item x="768"/>
        <item x="257"/>
        <item x="180"/>
        <item x="337"/>
        <item x="345"/>
        <item x="726"/>
        <item x="175"/>
        <item x="315"/>
        <item x="705"/>
        <item x="378"/>
        <item x="710"/>
        <item x="590"/>
        <item x="387"/>
        <item x="515"/>
        <item x="134"/>
        <item x="184"/>
        <item x="34"/>
        <item x="103"/>
        <item x="691"/>
        <item x="284"/>
        <item x="738"/>
        <item x="89"/>
        <item x="562"/>
        <item x="513"/>
        <item x="271"/>
        <item x="501"/>
        <item x="307"/>
        <item x="248"/>
        <item x="344"/>
        <item x="106"/>
        <item x="492"/>
        <item x="464"/>
        <item x="807"/>
        <item x="651"/>
        <item x="94"/>
        <item x="500"/>
        <item x="595"/>
        <item x="96"/>
        <item x="617"/>
        <item x="319"/>
        <item x="463"/>
        <item x="251"/>
        <item x="195"/>
        <item x="57"/>
        <item x="804"/>
        <item x="557"/>
        <item x="535"/>
        <item x="127"/>
        <item x="632"/>
        <item x="186"/>
        <item x="408"/>
        <item x="575"/>
        <item x="254"/>
        <item x="314"/>
        <item x="244"/>
        <item x="17"/>
        <item x="165"/>
        <item x="660"/>
        <item x="202"/>
        <item x="793"/>
        <item x="381"/>
        <item x="348"/>
        <item x="592"/>
        <item x="664"/>
        <item x="749"/>
        <item x="154"/>
        <item x="688"/>
        <item x="276"/>
        <item x="739"/>
        <item x="44"/>
        <item x="428"/>
        <item x="394"/>
        <item x="687"/>
        <item x="368"/>
        <item x="640"/>
        <item x="14"/>
        <item x="514"/>
        <item x="493"/>
        <item x="347"/>
        <item x="643"/>
        <item x="576"/>
        <item x="241"/>
        <item x="201"/>
        <item x="588"/>
        <item x="540"/>
        <item x="637"/>
        <item x="269"/>
        <item x="9"/>
        <item x="335"/>
        <item x="430"/>
        <item x="743"/>
        <item x="539"/>
        <item x="794"/>
        <item x="371"/>
        <item x="678"/>
        <item x="622"/>
        <item x="706"/>
        <item x="291"/>
        <item x="474"/>
        <item x="151"/>
        <item x="297"/>
        <item x="467"/>
        <item x="733"/>
        <item x="646"/>
        <item x="647"/>
        <item x="405"/>
        <item x="507"/>
        <item x="791"/>
        <item x="37"/>
        <item x="745"/>
        <item x="109"/>
        <item x="264"/>
        <item x="638"/>
        <item x="604"/>
        <item x="133"/>
        <item x="531"/>
        <item x="411"/>
        <item x="372"/>
        <item x="610"/>
        <item x="433"/>
        <item x="788"/>
        <item x="55"/>
        <item x="85"/>
        <item x="399"/>
        <item x="545"/>
        <item x="583"/>
        <item x="456"/>
        <item x="11"/>
        <item x="396"/>
        <item x="168"/>
        <item x="642"/>
        <item x="568"/>
        <item x="736"/>
        <item x="520"/>
        <item x="207"/>
        <item x="489"/>
        <item x="68"/>
        <item x="272"/>
        <item x="630"/>
        <item x="193"/>
        <item x="364"/>
        <item t="default"/>
      </items>
    </pivotField>
    <pivotField numFmtId="14" showAll="0"/>
    <pivotField numFmtId="164" showAll="0"/>
    <pivotField showAll="0"/>
    <pivotField showAll="0"/>
    <pivotField axis="axisPage" dataField="1" showAll="0">
      <items count="3">
        <item x="1"/>
        <item x="0"/>
        <item t="default"/>
      </items>
    </pivotField>
  </pivotFields>
  <rowFields count="1">
    <field x="0"/>
  </rowFields>
  <rowItems count="2">
    <i>
      <x v="472"/>
    </i>
    <i t="grand">
      <x/>
    </i>
  </rowItems>
  <colItems count="1">
    <i/>
  </colItems>
  <pageFields count="1">
    <pageField fld="5" item="1" hier="-1"/>
  </pageFields>
  <dataFields count="1">
    <dataField name="Liczba z czy_poprawna_odp" fld="5" subtotal="count" baseField="0" baseItem="0"/>
  </dataFields>
  <pivotTableStyleInfo name="PivotStyleLight16" showRowHeaders="1" showColHeaders="1" showRowStripes="0" showColStripes="0" showLastColumn="1"/>
  <filters count="1">
    <filter fld="0" type="valueEqual" evalOrder="-1" id="1" iMeasureFld="0">
      <autoFilter ref="A1">
        <filterColumn colId="0">
          <customFilters>
            <customFilter val="6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B2236F4-6CD2-42C0-A385-BF5A46586C37}" autoFormatId="16" applyNumberFormats="0" applyBorderFormats="0" applyFontFormats="0" applyPatternFormats="0" applyAlignmentFormats="0" applyWidthHeightFormats="0">
  <queryTableRefresh nextId="8" unboundColumnsRight="1">
    <queryTableFields count="6">
      <queryTableField id="1" name="nr_telefonu" tableColumnId="1"/>
      <queryTableField id="2" name="data_godz_polaczenia" tableColumnId="2"/>
      <queryTableField id="5" dataBound="0" tableColumnId="5"/>
      <queryTableField id="3" name="nr_pytania" tableColumnId="3"/>
      <queryTableField id="4" name="odp" tableColumnId="4"/>
      <queryTableField id="7" dataBound="0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7AB33A31-AF47-4482-A23E-697F30ED578A}" autoFormatId="16" applyNumberFormats="0" applyBorderFormats="0" applyFontFormats="0" applyPatternFormats="0" applyAlignmentFormats="0" applyWidthHeightFormats="0">
  <queryTableRefresh nextId="3">
    <queryTableFields count="2">
      <queryTableField id="1" name="Numer pytania" tableColumnId="1"/>
      <queryTableField id="2" name="Odpowiedz prawidlowa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724E091-F27C-459B-8C74-588F405C3E8E}" autoFormatId="16" applyNumberFormats="0" applyBorderFormats="0" applyFontFormats="0" applyPatternFormats="0" applyAlignmentFormats="0" applyWidthHeightFormats="0">
  <queryTableRefresh nextId="3">
    <queryTableFields count="2">
      <queryTableField id="1" name="Numer pytania" tableColumnId="1"/>
      <queryTableField id="2" name="Odpowiedz prawidlowa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F42B07-C00D-4F14-A258-273D500F62BB}" name="konkurs" displayName="konkurs" ref="A1:F981" tableType="queryTable" totalsRowShown="0">
  <autoFilter ref="A1:F981" xr:uid="{20F42B07-C00D-4F14-A258-273D500F62BB}"/>
  <tableColumns count="6">
    <tableColumn id="1" xr3:uid="{D8945647-4D18-46D5-95A3-62F4B721935C}" uniqueName="1" name="nr_telefonu" queryTableFieldId="1"/>
    <tableColumn id="2" xr3:uid="{7878949C-BCCF-41D2-90A2-69BCB4FD90DB}" uniqueName="2" name="data" queryTableFieldId="2" dataDxfId="8"/>
    <tableColumn id="5" xr3:uid="{47071227-F75B-41A3-AC8B-9DEB4A3A9211}" uniqueName="5" name="godz_polaczenia" queryTableFieldId="5" dataDxfId="7"/>
    <tableColumn id="3" xr3:uid="{B44D0FA1-C6FC-49E9-847F-E01211A15268}" uniqueName="3" name="nr_pytania" queryTableFieldId="3"/>
    <tableColumn id="4" xr3:uid="{80CC1602-09C0-4E0F-8366-461F52D323B3}" uniqueName="4" name="odp" queryTableFieldId="4" dataDxfId="6"/>
    <tableColumn id="7" xr3:uid="{107BE111-8091-4477-A6E8-5671AAF7AA16}" uniqueName="7" name="czy_poprawna_odp" queryTableFieldId="7" dataDxfId="5">
      <calculatedColumnFormula>IF(E2=VLOOKUP(D2,$M$23:$O$30,2,FALSE),"Tak","Nie")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2FB6D7B-E0CD-4E58-81A2-DCDBE69A01F1}" name="odpowiedzi569" displayName="odpowiedzi569" ref="M22:N28" tableType="queryTable" totalsRowShown="0">
  <tableColumns count="2">
    <tableColumn id="1" xr3:uid="{533BEAB9-ED6A-4A05-B69A-0AD2A477BF55}" uniqueName="1" name="Numer pytania" queryTableFieldId="1"/>
    <tableColumn id="2" xr3:uid="{1F4CCC1E-0D8B-463F-8B90-FE280B490A9F}" uniqueName="2" name="Odpowiedz prawidlowa" queryTableFieldId="2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6926823-84F9-46AD-8D98-731337D6AFCE}" name="Tabela2710" displayName="Tabela2710" ref="M12:N18" totalsRowShown="0">
  <tableColumns count="2">
    <tableColumn id="1" xr3:uid="{50E4D0F9-ACF4-48C0-9BF9-4824887CDB76}" name="nr_pytania"/>
    <tableColumn id="2" xr3:uid="{BE7FEFC1-535D-428A-9C78-0952A7FC75E4}" name="liczba_odp" dataDxfId="3">
      <calculatedColumnFormula>COUNTIF(D2:D981, M13)</calculatedColumnFormula>
    </tableColumn>
  </tableColumns>
  <tableStyleInfo name="TableStyleMedium2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6FAD272-912F-42E9-BE39-4E47A00DDB4D}" name="Tabela10" displayName="Tabela10" ref="M31:N37" totalsRowShown="0">
  <tableColumns count="2">
    <tableColumn id="1" xr3:uid="{DAF9C5EF-9829-4FED-B645-ABD697AD846F}" name="nr_pytania"/>
    <tableColumn id="3" xr3:uid="{2365DEBC-15D7-4B0A-919E-30EB4C98FE3B}" name="łatwość" dataDxfId="2">
      <calculatedColumnFormula>ROUND(Q23/N13,3)</calculatedColumnFormula>
    </tableColumn>
  </tableColumns>
  <tableStyleInfo name="TableStyleMedium2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C483FD2-845E-43E0-806B-E6FC92D9C783}" name="Tabela11" displayName="Tabela11" ref="P22:Q28" totalsRowShown="0">
  <autoFilter ref="P22:Q28" xr:uid="{4C483FD2-845E-43E0-806B-E6FC92D9C783}"/>
  <tableColumns count="2">
    <tableColumn id="1" xr3:uid="{A1818113-6CB6-4CD9-AA43-A4E4E2986BDF}" name="nr_pytania"/>
    <tableColumn id="2" xr3:uid="{E2687D7A-BF6D-4081-A686-981834ED3A67}" name="liczba_poprawnych_odp" dataDxfId="1">
      <calculatedColumnFormula>COUNTIFS(D2:D981,1,F2:F981,"Tak")</calculatedColumnFormula>
    </tableColumn>
  </tableColumns>
  <tableStyleInfo name="TableStyleMedium2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2E1256-6ADE-4859-9613-ED25745FD745}" name="odpowiedzi" displayName="odpowiedzi" ref="A1:B7" tableType="queryTable" totalsRowShown="0">
  <autoFilter ref="A1:B7" xr:uid="{3F2E1256-6ADE-4859-9613-ED25745FD745}"/>
  <tableColumns count="2">
    <tableColumn id="1" xr3:uid="{5E0E5551-6F54-4289-BFBA-5C54791368B3}" uniqueName="1" name="Numer pytania" queryTableFieldId="1"/>
    <tableColumn id="2" xr3:uid="{2B551A85-3FF3-4269-B607-4F172116DFB9}" uniqueName="2" name="Odpowiedz prawidlowa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1816E-BEC4-4E3C-9270-9823CFB05C9E}">
  <dimension ref="A1:Q981"/>
  <sheetViews>
    <sheetView tabSelected="1" topLeftCell="A7" zoomScale="115" zoomScaleNormal="115" workbookViewId="0">
      <selection activeCell="N44" sqref="N44"/>
    </sheetView>
  </sheetViews>
  <sheetFormatPr defaultRowHeight="15" x14ac:dyDescent="0.25"/>
  <cols>
    <col min="1" max="1" width="13.7109375" bestFit="1" customWidth="1"/>
    <col min="2" max="2" width="22.85546875" style="1" bestFit="1" customWidth="1"/>
    <col min="3" max="3" width="22.85546875" style="2" customWidth="1"/>
    <col min="4" max="4" width="12.5703125" bestFit="1" customWidth="1"/>
    <col min="5" max="5" width="6.7109375" bestFit="1" customWidth="1"/>
    <col min="6" max="6" width="20.28515625" bestFit="1" customWidth="1"/>
    <col min="13" max="13" width="14.28515625" bestFit="1" customWidth="1"/>
    <col min="14" max="14" width="22" bestFit="1" customWidth="1"/>
    <col min="15" max="15" width="10.5703125" customWidth="1"/>
    <col min="16" max="16" width="11.140625" customWidth="1"/>
    <col min="17" max="17" width="22.7109375" bestFit="1" customWidth="1"/>
  </cols>
  <sheetData>
    <row r="1" spans="1:14" x14ac:dyDescent="0.25">
      <c r="A1" t="s">
        <v>0</v>
      </c>
      <c r="B1" s="1" t="s">
        <v>7</v>
      </c>
      <c r="C1" s="2" t="s">
        <v>6</v>
      </c>
      <c r="D1" t="s">
        <v>1</v>
      </c>
      <c r="E1" t="s">
        <v>2</v>
      </c>
      <c r="F1" t="s">
        <v>17</v>
      </c>
    </row>
    <row r="2" spans="1:14" x14ac:dyDescent="0.25">
      <c r="A2">
        <v>735284701</v>
      </c>
      <c r="B2" s="1">
        <v>42887</v>
      </c>
      <c r="C2" s="2">
        <v>0.625</v>
      </c>
      <c r="D2">
        <v>1</v>
      </c>
      <c r="E2" t="s">
        <v>3</v>
      </c>
      <c r="F2" t="str">
        <f t="shared" ref="F2:F65" si="0">IF(E2=VLOOKUP(D2,$M$23:$O$30,2,FALSE),"Tak","Nie")</f>
        <v>Tak</v>
      </c>
    </row>
    <row r="3" spans="1:14" x14ac:dyDescent="0.25">
      <c r="A3">
        <v>435583833</v>
      </c>
      <c r="B3" s="1">
        <v>42887</v>
      </c>
      <c r="C3" s="2">
        <v>0.68333333333333335</v>
      </c>
      <c r="D3">
        <v>2</v>
      </c>
      <c r="E3" t="s">
        <v>4</v>
      </c>
      <c r="F3" t="str">
        <f t="shared" si="0"/>
        <v>Nie</v>
      </c>
    </row>
    <row r="4" spans="1:14" ht="15.75" thickBot="1" x14ac:dyDescent="0.3">
      <c r="A4">
        <v>500093166</v>
      </c>
      <c r="B4" s="1">
        <v>42887</v>
      </c>
      <c r="C4" s="2">
        <v>0.70208333333333328</v>
      </c>
      <c r="D4">
        <v>2</v>
      </c>
      <c r="E4" t="s">
        <v>5</v>
      </c>
      <c r="F4" t="str">
        <f t="shared" si="0"/>
        <v>Tak</v>
      </c>
    </row>
    <row r="5" spans="1:14" ht="15.75" thickBot="1" x14ac:dyDescent="0.3">
      <c r="A5">
        <v>543967501</v>
      </c>
      <c r="B5" s="1">
        <v>42887</v>
      </c>
      <c r="C5" s="2">
        <v>0.75624999999999998</v>
      </c>
      <c r="D5">
        <v>2</v>
      </c>
      <c r="E5" t="s">
        <v>5</v>
      </c>
      <c r="F5" t="str">
        <f t="shared" si="0"/>
        <v>Tak</v>
      </c>
      <c r="M5" s="3" t="s">
        <v>13</v>
      </c>
      <c r="N5" s="3">
        <f>COUNTIFS(C2:C981,"&gt;="&amp;TIME(16,0,0),C2:C981,"&lt;="&amp;TIME(17,59,59))</f>
        <v>103</v>
      </c>
    </row>
    <row r="6" spans="1:14" ht="15.75" thickBot="1" x14ac:dyDescent="0.3">
      <c r="A6">
        <v>815057747</v>
      </c>
      <c r="B6" s="1">
        <v>42887</v>
      </c>
      <c r="C6" s="2">
        <v>0.84375</v>
      </c>
      <c r="D6">
        <v>5</v>
      </c>
      <c r="E6" t="s">
        <v>3</v>
      </c>
      <c r="F6" t="str">
        <f t="shared" si="0"/>
        <v>Nie</v>
      </c>
    </row>
    <row r="7" spans="1:14" ht="15.75" thickBot="1" x14ac:dyDescent="0.3">
      <c r="A7">
        <v>658486083</v>
      </c>
      <c r="B7" s="1">
        <v>42887</v>
      </c>
      <c r="C7" s="2">
        <v>0.8881944444444444</v>
      </c>
      <c r="D7">
        <v>5</v>
      </c>
      <c r="E7" t="s">
        <v>3</v>
      </c>
      <c r="F7" t="str">
        <f t="shared" si="0"/>
        <v>Nie</v>
      </c>
      <c r="M7" s="3" t="s">
        <v>14</v>
      </c>
      <c r="N7" s="3" cm="1">
        <f t="array" ref="N7">SUMPRODUCT(--(WEEKDAY(B2:B981,2)&gt;5))</f>
        <v>298</v>
      </c>
    </row>
    <row r="8" spans="1:14" x14ac:dyDescent="0.25">
      <c r="A8">
        <v>761645826</v>
      </c>
      <c r="B8" s="1">
        <v>42887</v>
      </c>
      <c r="C8" s="2">
        <v>0.95972222222222225</v>
      </c>
      <c r="D8">
        <v>1</v>
      </c>
      <c r="E8" t="s">
        <v>4</v>
      </c>
      <c r="F8" t="str">
        <f t="shared" si="0"/>
        <v>Nie</v>
      </c>
    </row>
    <row r="9" spans="1:14" x14ac:dyDescent="0.25">
      <c r="A9">
        <v>474633859</v>
      </c>
      <c r="B9" s="1">
        <v>42887</v>
      </c>
      <c r="C9" s="2">
        <v>0.97777777777777775</v>
      </c>
      <c r="D9">
        <v>1</v>
      </c>
      <c r="E9" t="s">
        <v>4</v>
      </c>
      <c r="F9" t="str">
        <f t="shared" si="0"/>
        <v>Nie</v>
      </c>
    </row>
    <row r="10" spans="1:14" x14ac:dyDescent="0.25">
      <c r="A10">
        <v>523809386</v>
      </c>
      <c r="B10" s="1">
        <v>42888</v>
      </c>
      <c r="C10" s="2">
        <v>2.013888888888889E-2</v>
      </c>
      <c r="D10">
        <v>3</v>
      </c>
      <c r="E10" t="s">
        <v>4</v>
      </c>
      <c r="F10" t="str">
        <f t="shared" si="0"/>
        <v>Nie</v>
      </c>
    </row>
    <row r="11" spans="1:14" x14ac:dyDescent="0.25">
      <c r="A11">
        <v>956870062</v>
      </c>
      <c r="B11" s="1">
        <v>42888</v>
      </c>
      <c r="C11" s="2">
        <v>0.11527777777777778</v>
      </c>
      <c r="D11">
        <v>5</v>
      </c>
      <c r="E11" t="s">
        <v>4</v>
      </c>
      <c r="F11" t="str">
        <f t="shared" si="0"/>
        <v>Tak</v>
      </c>
      <c r="M11" t="s">
        <v>8</v>
      </c>
    </row>
    <row r="12" spans="1:14" x14ac:dyDescent="0.25">
      <c r="A12">
        <v>708776804</v>
      </c>
      <c r="B12" s="1">
        <v>42888</v>
      </c>
      <c r="C12" s="2">
        <v>0.1451388888888889</v>
      </c>
      <c r="D12">
        <v>2</v>
      </c>
      <c r="E12" t="s">
        <v>5</v>
      </c>
      <c r="F12" t="str">
        <f t="shared" si="0"/>
        <v>Tak</v>
      </c>
      <c r="M12" t="s">
        <v>1</v>
      </c>
      <c r="N12" t="s">
        <v>9</v>
      </c>
    </row>
    <row r="13" spans="1:14" x14ac:dyDescent="0.25">
      <c r="A13">
        <v>975764618</v>
      </c>
      <c r="B13" s="1">
        <v>42888</v>
      </c>
      <c r="C13" s="2">
        <v>0.18819444444444444</v>
      </c>
      <c r="D13">
        <v>2</v>
      </c>
      <c r="E13" t="s">
        <v>3</v>
      </c>
      <c r="F13" t="str">
        <f t="shared" si="0"/>
        <v>Nie</v>
      </c>
      <c r="M13">
        <v>1</v>
      </c>
      <c r="N13">
        <f t="shared" ref="N13:N18" si="1">COUNTIF(D2:D981, M13)</f>
        <v>167</v>
      </c>
    </row>
    <row r="14" spans="1:14" x14ac:dyDescent="0.25">
      <c r="A14">
        <v>782343523</v>
      </c>
      <c r="B14" s="1">
        <v>42888</v>
      </c>
      <c r="C14" s="2">
        <v>0.25763888888888886</v>
      </c>
      <c r="D14">
        <v>3</v>
      </c>
      <c r="E14" t="s">
        <v>4</v>
      </c>
      <c r="F14" t="str">
        <f t="shared" si="0"/>
        <v>Nie</v>
      </c>
      <c r="M14">
        <v>2</v>
      </c>
      <c r="N14">
        <f t="shared" si="1"/>
        <v>172</v>
      </c>
    </row>
    <row r="15" spans="1:14" x14ac:dyDescent="0.25">
      <c r="A15">
        <v>541031973</v>
      </c>
      <c r="B15" s="1">
        <v>42888</v>
      </c>
      <c r="C15" s="2">
        <v>0.29375000000000001</v>
      </c>
      <c r="D15">
        <v>2</v>
      </c>
      <c r="E15" t="s">
        <v>4</v>
      </c>
      <c r="F15" t="str">
        <f t="shared" si="0"/>
        <v>Nie</v>
      </c>
      <c r="M15">
        <v>3</v>
      </c>
      <c r="N15">
        <f t="shared" si="1"/>
        <v>153</v>
      </c>
    </row>
    <row r="16" spans="1:14" x14ac:dyDescent="0.25">
      <c r="A16">
        <v>949410531</v>
      </c>
      <c r="B16" s="1">
        <v>42888</v>
      </c>
      <c r="C16" s="2">
        <v>0.3888888888888889</v>
      </c>
      <c r="D16">
        <v>2</v>
      </c>
      <c r="E16" t="s">
        <v>5</v>
      </c>
      <c r="F16" t="str">
        <f t="shared" si="0"/>
        <v>Tak</v>
      </c>
      <c r="M16">
        <v>4</v>
      </c>
      <c r="N16">
        <f t="shared" si="1"/>
        <v>173</v>
      </c>
    </row>
    <row r="17" spans="1:17" x14ac:dyDescent="0.25">
      <c r="A17">
        <v>875806925</v>
      </c>
      <c r="B17" s="1">
        <v>42888</v>
      </c>
      <c r="C17" s="2">
        <v>0.39097222222222222</v>
      </c>
      <c r="D17">
        <v>4</v>
      </c>
      <c r="E17" t="s">
        <v>5</v>
      </c>
      <c r="F17" t="str">
        <f t="shared" si="0"/>
        <v>Nie</v>
      </c>
      <c r="M17">
        <v>5</v>
      </c>
      <c r="N17">
        <f t="shared" si="1"/>
        <v>155</v>
      </c>
    </row>
    <row r="18" spans="1:17" x14ac:dyDescent="0.25">
      <c r="A18">
        <v>842000234</v>
      </c>
      <c r="B18" s="1">
        <v>42888</v>
      </c>
      <c r="C18" s="2">
        <v>0.40138888888888891</v>
      </c>
      <c r="D18">
        <v>5</v>
      </c>
      <c r="E18" t="s">
        <v>3</v>
      </c>
      <c r="F18" t="str">
        <f t="shared" si="0"/>
        <v>Nie</v>
      </c>
      <c r="M18">
        <v>6</v>
      </c>
      <c r="N18">
        <f t="shared" si="1"/>
        <v>160</v>
      </c>
    </row>
    <row r="19" spans="1:17" x14ac:dyDescent="0.25">
      <c r="A19">
        <v>934478749</v>
      </c>
      <c r="B19" s="1">
        <v>42888</v>
      </c>
      <c r="C19" s="2">
        <v>0.44305555555555554</v>
      </c>
      <c r="D19">
        <v>4</v>
      </c>
      <c r="E19" t="s">
        <v>3</v>
      </c>
      <c r="F19" t="str">
        <f t="shared" si="0"/>
        <v>Tak</v>
      </c>
    </row>
    <row r="20" spans="1:17" x14ac:dyDescent="0.25">
      <c r="A20">
        <v>705547630</v>
      </c>
      <c r="B20" s="1">
        <v>42888</v>
      </c>
      <c r="C20" s="2">
        <v>0.47291666666666665</v>
      </c>
      <c r="D20">
        <v>1</v>
      </c>
      <c r="E20" t="s">
        <v>4</v>
      </c>
      <c r="F20" t="str">
        <f t="shared" si="0"/>
        <v>Nie</v>
      </c>
    </row>
    <row r="21" spans="1:17" x14ac:dyDescent="0.25">
      <c r="A21">
        <v>681634279</v>
      </c>
      <c r="B21" s="1">
        <v>42888</v>
      </c>
      <c r="C21" s="2">
        <v>0.54513888888888884</v>
      </c>
      <c r="D21">
        <v>1</v>
      </c>
      <c r="E21" t="s">
        <v>4</v>
      </c>
      <c r="F21" t="str">
        <f t="shared" si="0"/>
        <v>Nie</v>
      </c>
    </row>
    <row r="22" spans="1:17" x14ac:dyDescent="0.25">
      <c r="A22">
        <v>611917762</v>
      </c>
      <c r="B22" s="1">
        <v>42888</v>
      </c>
      <c r="C22" s="2">
        <v>0.625</v>
      </c>
      <c r="D22">
        <v>3</v>
      </c>
      <c r="E22" t="s">
        <v>5</v>
      </c>
      <c r="F22" t="str">
        <f t="shared" si="0"/>
        <v>Tak</v>
      </c>
      <c r="M22" t="s">
        <v>10</v>
      </c>
      <c r="N22" t="s">
        <v>11</v>
      </c>
      <c r="P22" t="s">
        <v>1</v>
      </c>
      <c r="Q22" t="s">
        <v>16</v>
      </c>
    </row>
    <row r="23" spans="1:17" x14ac:dyDescent="0.25">
      <c r="A23">
        <v>690837654</v>
      </c>
      <c r="B23" s="1">
        <v>42888</v>
      </c>
      <c r="C23" s="2">
        <v>0.62708333333333333</v>
      </c>
      <c r="D23">
        <v>6</v>
      </c>
      <c r="E23" t="s">
        <v>4</v>
      </c>
      <c r="F23" t="str">
        <f t="shared" si="0"/>
        <v>Nie</v>
      </c>
      <c r="M23">
        <v>1</v>
      </c>
      <c r="N23" t="s">
        <v>3</v>
      </c>
      <c r="P23">
        <v>1</v>
      </c>
      <c r="Q23">
        <f t="shared" ref="Q23" si="2">COUNTIFS(D2:D981,1,F2:F981,"Tak")</f>
        <v>39</v>
      </c>
    </row>
    <row r="24" spans="1:17" x14ac:dyDescent="0.25">
      <c r="A24">
        <v>422562723</v>
      </c>
      <c r="B24" s="1">
        <v>42888</v>
      </c>
      <c r="C24" s="2">
        <v>0.72013888888888888</v>
      </c>
      <c r="D24">
        <v>2</v>
      </c>
      <c r="E24" t="s">
        <v>3</v>
      </c>
      <c r="F24" t="str">
        <f t="shared" si="0"/>
        <v>Nie</v>
      </c>
      <c r="M24">
        <v>2</v>
      </c>
      <c r="N24" t="s">
        <v>5</v>
      </c>
      <c r="P24">
        <v>2</v>
      </c>
      <c r="Q24">
        <f>COUNTIFS(D2:D981,2,F2:F981,"Tak")</f>
        <v>53</v>
      </c>
    </row>
    <row r="25" spans="1:17" x14ac:dyDescent="0.25">
      <c r="A25">
        <v>580833489</v>
      </c>
      <c r="B25" s="1">
        <v>42888</v>
      </c>
      <c r="C25" s="2">
        <v>0.73402777777777772</v>
      </c>
      <c r="D25">
        <v>2</v>
      </c>
      <c r="E25" t="s">
        <v>4</v>
      </c>
      <c r="F25" t="str">
        <f t="shared" si="0"/>
        <v>Nie</v>
      </c>
      <c r="M25">
        <v>3</v>
      </c>
      <c r="N25" t="s">
        <v>5</v>
      </c>
      <c r="P25">
        <v>3</v>
      </c>
      <c r="Q25">
        <f>COUNTIFS(D2:D981,3,F2:F981,"Tak")</f>
        <v>39</v>
      </c>
    </row>
    <row r="26" spans="1:17" x14ac:dyDescent="0.25">
      <c r="A26">
        <v>654692587</v>
      </c>
      <c r="B26" s="1">
        <v>42888</v>
      </c>
      <c r="C26" s="2">
        <v>0.7993055555555556</v>
      </c>
      <c r="D26">
        <v>5</v>
      </c>
      <c r="E26" t="s">
        <v>5</v>
      </c>
      <c r="F26" t="str">
        <f t="shared" si="0"/>
        <v>Nie</v>
      </c>
      <c r="M26">
        <v>4</v>
      </c>
      <c r="N26" t="s">
        <v>3</v>
      </c>
      <c r="P26">
        <v>4</v>
      </c>
      <c r="Q26">
        <f>COUNTIFS(D2:D981,4,F2:F981,"Tak")</f>
        <v>54</v>
      </c>
    </row>
    <row r="27" spans="1:17" x14ac:dyDescent="0.25">
      <c r="A27">
        <v>766256726</v>
      </c>
      <c r="B27" s="1">
        <v>42888</v>
      </c>
      <c r="C27" s="2">
        <v>0.80208333333333337</v>
      </c>
      <c r="D27">
        <v>6</v>
      </c>
      <c r="E27" t="s">
        <v>5</v>
      </c>
      <c r="F27" t="str">
        <f t="shared" si="0"/>
        <v>Tak</v>
      </c>
      <c r="M27">
        <v>5</v>
      </c>
      <c r="N27" t="s">
        <v>4</v>
      </c>
      <c r="P27">
        <v>5</v>
      </c>
      <c r="Q27">
        <f>COUNTIFS(D2:D981,5,F2:F981,"Tak")</f>
        <v>67</v>
      </c>
    </row>
    <row r="28" spans="1:17" x14ac:dyDescent="0.25">
      <c r="A28">
        <v>670582908</v>
      </c>
      <c r="B28" s="1">
        <v>42888</v>
      </c>
      <c r="C28" s="2">
        <v>0.8125</v>
      </c>
      <c r="D28">
        <v>5</v>
      </c>
      <c r="E28" t="s">
        <v>3</v>
      </c>
      <c r="F28" t="str">
        <f t="shared" si="0"/>
        <v>Nie</v>
      </c>
      <c r="M28">
        <v>6</v>
      </c>
      <c r="N28" t="s">
        <v>5</v>
      </c>
      <c r="P28">
        <v>6</v>
      </c>
      <c r="Q28">
        <f>COUNTIFS(D2:D981,6,F2:F981,"Tak")</f>
        <v>46</v>
      </c>
    </row>
    <row r="29" spans="1:17" x14ac:dyDescent="0.25">
      <c r="A29">
        <v>495291166</v>
      </c>
      <c r="B29" s="1">
        <v>42888</v>
      </c>
      <c r="C29" s="2">
        <v>0.84930555555555554</v>
      </c>
      <c r="D29">
        <v>1</v>
      </c>
      <c r="E29" t="s">
        <v>3</v>
      </c>
      <c r="F29" t="str">
        <f t="shared" si="0"/>
        <v>Tak</v>
      </c>
    </row>
    <row r="30" spans="1:17" x14ac:dyDescent="0.25">
      <c r="A30">
        <v>456754712</v>
      </c>
      <c r="B30" s="1">
        <v>42888</v>
      </c>
      <c r="C30" s="2">
        <v>0.92500000000000004</v>
      </c>
      <c r="D30">
        <v>1</v>
      </c>
      <c r="E30" t="s">
        <v>4</v>
      </c>
      <c r="F30" t="str">
        <f t="shared" si="0"/>
        <v>Nie</v>
      </c>
      <c r="M30" t="s">
        <v>12</v>
      </c>
    </row>
    <row r="31" spans="1:17" x14ac:dyDescent="0.25">
      <c r="A31">
        <v>479537587</v>
      </c>
      <c r="B31" s="1">
        <v>42889</v>
      </c>
      <c r="C31" s="2">
        <v>2.5000000000000001E-2</v>
      </c>
      <c r="D31">
        <v>3</v>
      </c>
      <c r="E31" t="s">
        <v>4</v>
      </c>
      <c r="F31" t="str">
        <f t="shared" si="0"/>
        <v>Nie</v>
      </c>
      <c r="M31" t="s">
        <v>1</v>
      </c>
      <c r="N31" t="s">
        <v>15</v>
      </c>
    </row>
    <row r="32" spans="1:17" x14ac:dyDescent="0.25">
      <c r="A32">
        <v>421153691</v>
      </c>
      <c r="B32" s="1">
        <v>42889</v>
      </c>
      <c r="C32" s="2">
        <v>3.4722222222222224E-2</v>
      </c>
      <c r="D32">
        <v>3</v>
      </c>
      <c r="E32" t="s">
        <v>4</v>
      </c>
      <c r="F32" t="str">
        <f t="shared" si="0"/>
        <v>Nie</v>
      </c>
      <c r="M32">
        <v>1</v>
      </c>
      <c r="N32">
        <f t="shared" ref="N32:N37" si="3">ROUND(Q23/N13,3)</f>
        <v>0.23400000000000001</v>
      </c>
    </row>
    <row r="33" spans="1:14" x14ac:dyDescent="0.25">
      <c r="A33">
        <v>511191374</v>
      </c>
      <c r="B33" s="1">
        <v>42889</v>
      </c>
      <c r="C33" s="2">
        <v>5.8333333333333334E-2</v>
      </c>
      <c r="D33">
        <v>6</v>
      </c>
      <c r="E33" t="s">
        <v>4</v>
      </c>
      <c r="F33" t="str">
        <f t="shared" si="0"/>
        <v>Nie</v>
      </c>
      <c r="M33">
        <v>2</v>
      </c>
      <c r="N33">
        <f t="shared" si="3"/>
        <v>0.308</v>
      </c>
    </row>
    <row r="34" spans="1:14" x14ac:dyDescent="0.25">
      <c r="A34">
        <v>546989206</v>
      </c>
      <c r="B34" s="1">
        <v>42889</v>
      </c>
      <c r="C34" s="2">
        <v>0.12291666666666666</v>
      </c>
      <c r="D34">
        <v>6</v>
      </c>
      <c r="E34" t="s">
        <v>5</v>
      </c>
      <c r="F34" t="str">
        <f t="shared" si="0"/>
        <v>Tak</v>
      </c>
      <c r="M34">
        <v>3</v>
      </c>
      <c r="N34">
        <f t="shared" si="3"/>
        <v>0.255</v>
      </c>
    </row>
    <row r="35" spans="1:14" x14ac:dyDescent="0.25">
      <c r="A35">
        <v>684852681</v>
      </c>
      <c r="B35" s="1">
        <v>42889</v>
      </c>
      <c r="C35" s="2">
        <v>0.17152777777777778</v>
      </c>
      <c r="D35">
        <v>6</v>
      </c>
      <c r="E35" t="s">
        <v>3</v>
      </c>
      <c r="F35" t="str">
        <f t="shared" si="0"/>
        <v>Nie</v>
      </c>
      <c r="M35">
        <v>4</v>
      </c>
      <c r="N35">
        <f t="shared" si="3"/>
        <v>0.312</v>
      </c>
    </row>
    <row r="36" spans="1:14" x14ac:dyDescent="0.25">
      <c r="A36">
        <v>906605372</v>
      </c>
      <c r="B36" s="1">
        <v>42889</v>
      </c>
      <c r="C36" s="2">
        <v>0.18124999999999999</v>
      </c>
      <c r="D36">
        <v>3</v>
      </c>
      <c r="E36" t="s">
        <v>4</v>
      </c>
      <c r="F36" t="str">
        <f t="shared" si="0"/>
        <v>Nie</v>
      </c>
      <c r="M36">
        <v>5</v>
      </c>
      <c r="N36">
        <f t="shared" si="3"/>
        <v>0.432</v>
      </c>
    </row>
    <row r="37" spans="1:14" x14ac:dyDescent="0.25">
      <c r="A37">
        <v>456754712</v>
      </c>
      <c r="B37" s="1">
        <v>42889</v>
      </c>
      <c r="C37" s="2">
        <v>0.21875</v>
      </c>
      <c r="D37">
        <v>4</v>
      </c>
      <c r="E37" t="s">
        <v>4</v>
      </c>
      <c r="F37" t="str">
        <f t="shared" si="0"/>
        <v>Nie</v>
      </c>
      <c r="M37">
        <v>6</v>
      </c>
      <c r="N37">
        <f t="shared" si="3"/>
        <v>0.28799999999999998</v>
      </c>
    </row>
    <row r="38" spans="1:14" x14ac:dyDescent="0.25">
      <c r="A38">
        <v>479537587</v>
      </c>
      <c r="B38" s="1">
        <v>42889</v>
      </c>
      <c r="C38" s="2">
        <v>0.31805555555555554</v>
      </c>
      <c r="D38">
        <v>5</v>
      </c>
      <c r="E38" t="s">
        <v>5</v>
      </c>
      <c r="F38" t="str">
        <f t="shared" si="0"/>
        <v>Nie</v>
      </c>
    </row>
    <row r="39" spans="1:14" x14ac:dyDescent="0.25">
      <c r="A39">
        <v>421153691</v>
      </c>
      <c r="B39" s="1">
        <v>42889</v>
      </c>
      <c r="C39" s="2">
        <v>0.41111111111111109</v>
      </c>
      <c r="D39">
        <v>2</v>
      </c>
      <c r="E39" t="s">
        <v>5</v>
      </c>
      <c r="F39" t="str">
        <f t="shared" si="0"/>
        <v>Tak</v>
      </c>
    </row>
    <row r="40" spans="1:14" x14ac:dyDescent="0.25">
      <c r="A40">
        <v>546989206</v>
      </c>
      <c r="B40" s="1">
        <v>42889</v>
      </c>
      <c r="C40" s="2">
        <v>0.51597222222222228</v>
      </c>
      <c r="D40">
        <v>3</v>
      </c>
      <c r="E40" t="s">
        <v>3</v>
      </c>
      <c r="F40" t="str">
        <f t="shared" si="0"/>
        <v>Nie</v>
      </c>
    </row>
    <row r="41" spans="1:14" x14ac:dyDescent="0.25">
      <c r="A41">
        <v>684852681</v>
      </c>
      <c r="B41" s="1">
        <v>42889</v>
      </c>
      <c r="C41" s="2">
        <v>0.55763888888888891</v>
      </c>
      <c r="D41">
        <v>5</v>
      </c>
      <c r="E41" t="s">
        <v>4</v>
      </c>
      <c r="F41" t="str">
        <f t="shared" si="0"/>
        <v>Tak</v>
      </c>
    </row>
    <row r="42" spans="1:14" x14ac:dyDescent="0.25">
      <c r="A42">
        <v>456754712</v>
      </c>
      <c r="B42" s="1">
        <v>42889</v>
      </c>
      <c r="C42" s="2">
        <v>0.61250000000000004</v>
      </c>
      <c r="D42">
        <v>6</v>
      </c>
      <c r="E42" t="s">
        <v>4</v>
      </c>
      <c r="F42" t="str">
        <f t="shared" si="0"/>
        <v>Nie</v>
      </c>
      <c r="M42" t="s">
        <v>18</v>
      </c>
      <c r="N42" s="5">
        <v>735284701</v>
      </c>
    </row>
    <row r="43" spans="1:14" x14ac:dyDescent="0.25">
      <c r="A43">
        <v>479537587</v>
      </c>
      <c r="B43" s="1">
        <v>42889</v>
      </c>
      <c r="C43" s="2">
        <v>0.67569444444444449</v>
      </c>
      <c r="D43">
        <v>4</v>
      </c>
      <c r="E43" t="s">
        <v>4</v>
      </c>
      <c r="F43" t="str">
        <f t="shared" si="0"/>
        <v>Nie</v>
      </c>
    </row>
    <row r="44" spans="1:14" x14ac:dyDescent="0.25">
      <c r="A44">
        <v>546989206</v>
      </c>
      <c r="B44" s="1">
        <v>42889</v>
      </c>
      <c r="C44" s="2">
        <v>0.7104166666666667</v>
      </c>
      <c r="D44">
        <v>5</v>
      </c>
      <c r="E44" t="s">
        <v>4</v>
      </c>
      <c r="F44" t="str">
        <f t="shared" si="0"/>
        <v>Tak</v>
      </c>
    </row>
    <row r="45" spans="1:14" x14ac:dyDescent="0.25">
      <c r="A45">
        <v>684852681</v>
      </c>
      <c r="B45" s="1">
        <v>42889</v>
      </c>
      <c r="C45" s="2">
        <v>0.71597222222222223</v>
      </c>
      <c r="D45">
        <v>4</v>
      </c>
      <c r="E45" t="s">
        <v>5</v>
      </c>
      <c r="F45" t="str">
        <f t="shared" si="0"/>
        <v>Nie</v>
      </c>
    </row>
    <row r="46" spans="1:14" x14ac:dyDescent="0.25">
      <c r="A46">
        <v>489123784</v>
      </c>
      <c r="B46" s="1">
        <v>42889</v>
      </c>
      <c r="C46" s="2">
        <v>0.7680555555555556</v>
      </c>
      <c r="D46">
        <v>6</v>
      </c>
      <c r="E46" t="s">
        <v>5</v>
      </c>
      <c r="F46" t="str">
        <f t="shared" si="0"/>
        <v>Tak</v>
      </c>
    </row>
    <row r="47" spans="1:14" x14ac:dyDescent="0.25">
      <c r="A47">
        <v>689990038</v>
      </c>
      <c r="B47" s="1">
        <v>42889</v>
      </c>
      <c r="C47" s="2">
        <v>0.82013888888888886</v>
      </c>
      <c r="D47">
        <v>1</v>
      </c>
      <c r="E47" t="s">
        <v>3</v>
      </c>
      <c r="F47" t="str">
        <f t="shared" si="0"/>
        <v>Tak</v>
      </c>
    </row>
    <row r="48" spans="1:14" x14ac:dyDescent="0.25">
      <c r="A48">
        <v>966520497</v>
      </c>
      <c r="B48" s="1">
        <v>42889</v>
      </c>
      <c r="C48" s="2">
        <v>0.87430555555555556</v>
      </c>
      <c r="D48">
        <v>2</v>
      </c>
      <c r="E48" t="s">
        <v>3</v>
      </c>
      <c r="F48" t="str">
        <f t="shared" si="0"/>
        <v>Nie</v>
      </c>
    </row>
    <row r="49" spans="1:6" x14ac:dyDescent="0.25">
      <c r="A49">
        <v>808560549</v>
      </c>
      <c r="B49" s="1">
        <v>42889</v>
      </c>
      <c r="C49" s="2">
        <v>0.90486111111111112</v>
      </c>
      <c r="D49">
        <v>6</v>
      </c>
      <c r="E49" t="s">
        <v>4</v>
      </c>
      <c r="F49" t="str">
        <f t="shared" si="0"/>
        <v>Nie</v>
      </c>
    </row>
    <row r="50" spans="1:6" x14ac:dyDescent="0.25">
      <c r="A50">
        <v>499609636</v>
      </c>
      <c r="B50" s="1">
        <v>42889</v>
      </c>
      <c r="C50" s="2">
        <v>0.90833333333333333</v>
      </c>
      <c r="D50">
        <v>3</v>
      </c>
      <c r="E50" t="s">
        <v>4</v>
      </c>
      <c r="F50" t="str">
        <f t="shared" si="0"/>
        <v>Nie</v>
      </c>
    </row>
    <row r="51" spans="1:6" x14ac:dyDescent="0.25">
      <c r="A51">
        <v>529069571</v>
      </c>
      <c r="B51" s="1">
        <v>42890</v>
      </c>
      <c r="C51" s="2">
        <v>4.1666666666666666E-3</v>
      </c>
      <c r="D51">
        <v>5</v>
      </c>
      <c r="E51" t="s">
        <v>4</v>
      </c>
      <c r="F51" t="str">
        <f t="shared" si="0"/>
        <v>Tak</v>
      </c>
    </row>
    <row r="52" spans="1:6" x14ac:dyDescent="0.25">
      <c r="A52">
        <v>735284701</v>
      </c>
      <c r="B52" s="1">
        <v>42890</v>
      </c>
      <c r="C52" s="2">
        <v>6.9444444444444448E-2</v>
      </c>
      <c r="D52">
        <v>5</v>
      </c>
      <c r="E52" t="s">
        <v>4</v>
      </c>
      <c r="F52" t="str">
        <f t="shared" si="0"/>
        <v>Tak</v>
      </c>
    </row>
    <row r="53" spans="1:6" x14ac:dyDescent="0.25">
      <c r="A53">
        <v>798064543</v>
      </c>
      <c r="B53" s="1">
        <v>42890</v>
      </c>
      <c r="C53" s="2">
        <v>7.5694444444444439E-2</v>
      </c>
      <c r="D53">
        <v>6</v>
      </c>
      <c r="E53" t="s">
        <v>5</v>
      </c>
      <c r="F53" t="str">
        <f t="shared" si="0"/>
        <v>Tak</v>
      </c>
    </row>
    <row r="54" spans="1:6" x14ac:dyDescent="0.25">
      <c r="A54">
        <v>435583833</v>
      </c>
      <c r="B54" s="1">
        <v>42890</v>
      </c>
      <c r="C54" s="2">
        <v>0.16180555555555556</v>
      </c>
      <c r="D54">
        <v>6</v>
      </c>
      <c r="E54" t="s">
        <v>3</v>
      </c>
      <c r="F54" t="str">
        <f t="shared" si="0"/>
        <v>Nie</v>
      </c>
    </row>
    <row r="55" spans="1:6" x14ac:dyDescent="0.25">
      <c r="A55">
        <v>500093166</v>
      </c>
      <c r="B55" s="1">
        <v>42890</v>
      </c>
      <c r="C55" s="2">
        <v>0.17569444444444443</v>
      </c>
      <c r="D55">
        <v>6</v>
      </c>
      <c r="E55" t="s">
        <v>4</v>
      </c>
      <c r="F55" t="str">
        <f t="shared" si="0"/>
        <v>Nie</v>
      </c>
    </row>
    <row r="56" spans="1:6" x14ac:dyDescent="0.25">
      <c r="A56">
        <v>543967501</v>
      </c>
      <c r="B56" s="1">
        <v>42890</v>
      </c>
      <c r="C56" s="2">
        <v>0.27500000000000002</v>
      </c>
      <c r="D56">
        <v>3</v>
      </c>
      <c r="E56" t="s">
        <v>4</v>
      </c>
      <c r="F56" t="str">
        <f t="shared" si="0"/>
        <v>Nie</v>
      </c>
    </row>
    <row r="57" spans="1:6" x14ac:dyDescent="0.25">
      <c r="A57">
        <v>815057747</v>
      </c>
      <c r="B57" s="1">
        <v>42890</v>
      </c>
      <c r="C57" s="2">
        <v>0.31041666666666667</v>
      </c>
      <c r="D57">
        <v>1</v>
      </c>
      <c r="E57" t="s">
        <v>5</v>
      </c>
      <c r="F57" t="str">
        <f t="shared" si="0"/>
        <v>Nie</v>
      </c>
    </row>
    <row r="58" spans="1:6" x14ac:dyDescent="0.25">
      <c r="A58">
        <v>658486083</v>
      </c>
      <c r="B58" s="1">
        <v>42890</v>
      </c>
      <c r="C58" s="2">
        <v>0.37916666666666665</v>
      </c>
      <c r="D58">
        <v>2</v>
      </c>
      <c r="E58" t="s">
        <v>5</v>
      </c>
      <c r="F58" t="str">
        <f t="shared" si="0"/>
        <v>Tak</v>
      </c>
    </row>
    <row r="59" spans="1:6" x14ac:dyDescent="0.25">
      <c r="A59">
        <v>761645826</v>
      </c>
      <c r="B59" s="1">
        <v>42890</v>
      </c>
      <c r="C59" s="2">
        <v>0.45208333333333334</v>
      </c>
      <c r="D59">
        <v>2</v>
      </c>
      <c r="E59" t="s">
        <v>3</v>
      </c>
      <c r="F59" t="str">
        <f t="shared" si="0"/>
        <v>Nie</v>
      </c>
    </row>
    <row r="60" spans="1:6" x14ac:dyDescent="0.25">
      <c r="A60">
        <v>474633859</v>
      </c>
      <c r="B60" s="1">
        <v>42890</v>
      </c>
      <c r="C60" s="2">
        <v>0.45694444444444443</v>
      </c>
      <c r="D60">
        <v>2</v>
      </c>
      <c r="E60" t="s">
        <v>3</v>
      </c>
      <c r="F60" t="str">
        <f t="shared" si="0"/>
        <v>Nie</v>
      </c>
    </row>
    <row r="61" spans="1:6" x14ac:dyDescent="0.25">
      <c r="A61">
        <v>523809386</v>
      </c>
      <c r="B61" s="1">
        <v>42890</v>
      </c>
      <c r="C61" s="2">
        <v>0.47499999999999998</v>
      </c>
      <c r="D61">
        <v>6</v>
      </c>
      <c r="E61" t="s">
        <v>4</v>
      </c>
      <c r="F61" t="str">
        <f t="shared" si="0"/>
        <v>Nie</v>
      </c>
    </row>
    <row r="62" spans="1:6" x14ac:dyDescent="0.25">
      <c r="A62">
        <v>956870062</v>
      </c>
      <c r="B62" s="1">
        <v>42890</v>
      </c>
      <c r="C62" s="2">
        <v>0.49861111111111112</v>
      </c>
      <c r="D62">
        <v>6</v>
      </c>
      <c r="E62" t="s">
        <v>4</v>
      </c>
      <c r="F62" t="str">
        <f t="shared" si="0"/>
        <v>Nie</v>
      </c>
    </row>
    <row r="63" spans="1:6" x14ac:dyDescent="0.25">
      <c r="A63">
        <v>708776804</v>
      </c>
      <c r="B63" s="1">
        <v>42890</v>
      </c>
      <c r="C63" s="2">
        <v>0.58888888888888891</v>
      </c>
      <c r="D63">
        <v>1</v>
      </c>
      <c r="E63" t="s">
        <v>4</v>
      </c>
      <c r="F63" t="str">
        <f t="shared" si="0"/>
        <v>Nie</v>
      </c>
    </row>
    <row r="64" spans="1:6" x14ac:dyDescent="0.25">
      <c r="A64">
        <v>975764618</v>
      </c>
      <c r="B64" s="1">
        <v>42890</v>
      </c>
      <c r="C64" s="2">
        <v>0.625</v>
      </c>
      <c r="D64">
        <v>4</v>
      </c>
      <c r="E64" t="s">
        <v>5</v>
      </c>
      <c r="F64" t="str">
        <f t="shared" si="0"/>
        <v>Nie</v>
      </c>
    </row>
    <row r="65" spans="1:6" x14ac:dyDescent="0.25">
      <c r="A65">
        <v>782343523</v>
      </c>
      <c r="B65" s="1">
        <v>42890</v>
      </c>
      <c r="C65" s="2">
        <v>0.67777777777777781</v>
      </c>
      <c r="D65">
        <v>2</v>
      </c>
      <c r="E65" t="s">
        <v>3</v>
      </c>
      <c r="F65" t="str">
        <f t="shared" si="0"/>
        <v>Nie</v>
      </c>
    </row>
    <row r="66" spans="1:6" x14ac:dyDescent="0.25">
      <c r="A66">
        <v>541031973</v>
      </c>
      <c r="B66" s="1">
        <v>42890</v>
      </c>
      <c r="C66" s="2">
        <v>0.70208333333333328</v>
      </c>
      <c r="D66">
        <v>1</v>
      </c>
      <c r="E66" t="s">
        <v>4</v>
      </c>
      <c r="F66" t="str">
        <f t="shared" ref="F66:F129" si="4">IF(E66=VLOOKUP(D66,$M$23:$O$30,2,FALSE),"Tak","Nie")</f>
        <v>Nie</v>
      </c>
    </row>
    <row r="67" spans="1:6" x14ac:dyDescent="0.25">
      <c r="A67">
        <v>949410531</v>
      </c>
      <c r="B67" s="1">
        <v>42890</v>
      </c>
      <c r="C67" s="2">
        <v>0.78194444444444444</v>
      </c>
      <c r="D67">
        <v>3</v>
      </c>
      <c r="E67" t="s">
        <v>5</v>
      </c>
      <c r="F67" t="str">
        <f t="shared" si="4"/>
        <v>Tak</v>
      </c>
    </row>
    <row r="68" spans="1:6" x14ac:dyDescent="0.25">
      <c r="A68">
        <v>875806925</v>
      </c>
      <c r="B68" s="1">
        <v>42890</v>
      </c>
      <c r="C68" s="2">
        <v>0.85347222222222219</v>
      </c>
      <c r="D68">
        <v>5</v>
      </c>
      <c r="E68" t="s">
        <v>5</v>
      </c>
      <c r="F68" t="str">
        <f t="shared" si="4"/>
        <v>Nie</v>
      </c>
    </row>
    <row r="69" spans="1:6" x14ac:dyDescent="0.25">
      <c r="A69">
        <v>842000234</v>
      </c>
      <c r="B69" s="1">
        <v>42890</v>
      </c>
      <c r="C69" s="2">
        <v>0.92708333333333337</v>
      </c>
      <c r="D69">
        <v>3</v>
      </c>
      <c r="E69" t="s">
        <v>3</v>
      </c>
      <c r="F69" t="str">
        <f t="shared" si="4"/>
        <v>Nie</v>
      </c>
    </row>
    <row r="70" spans="1:6" x14ac:dyDescent="0.25">
      <c r="A70">
        <v>934478749</v>
      </c>
      <c r="B70" s="1">
        <v>42890</v>
      </c>
      <c r="C70" s="2">
        <v>0.97291666666666665</v>
      </c>
      <c r="D70">
        <v>1</v>
      </c>
      <c r="E70" t="s">
        <v>3</v>
      </c>
      <c r="F70" t="str">
        <f t="shared" si="4"/>
        <v>Tak</v>
      </c>
    </row>
    <row r="71" spans="1:6" x14ac:dyDescent="0.25">
      <c r="A71">
        <v>705547630</v>
      </c>
      <c r="B71" s="1">
        <v>42891</v>
      </c>
      <c r="C71" s="2">
        <v>1.3888888888888889E-3</v>
      </c>
      <c r="D71">
        <v>3</v>
      </c>
      <c r="E71" t="s">
        <v>4</v>
      </c>
      <c r="F71" t="str">
        <f t="shared" si="4"/>
        <v>Nie</v>
      </c>
    </row>
    <row r="72" spans="1:6" x14ac:dyDescent="0.25">
      <c r="A72">
        <v>681634279</v>
      </c>
      <c r="B72" s="1">
        <v>42891</v>
      </c>
      <c r="C72" s="2">
        <v>9.6527777777777782E-2</v>
      </c>
      <c r="D72">
        <v>2</v>
      </c>
      <c r="E72" t="s">
        <v>4</v>
      </c>
      <c r="F72" t="str">
        <f t="shared" si="4"/>
        <v>Nie</v>
      </c>
    </row>
    <row r="73" spans="1:6" x14ac:dyDescent="0.25">
      <c r="A73">
        <v>690837654</v>
      </c>
      <c r="B73" s="1">
        <v>42891</v>
      </c>
      <c r="C73" s="2">
        <v>0.14930555555555555</v>
      </c>
      <c r="D73">
        <v>3</v>
      </c>
      <c r="E73" t="s">
        <v>4</v>
      </c>
      <c r="F73" t="str">
        <f t="shared" si="4"/>
        <v>Nie</v>
      </c>
    </row>
    <row r="74" spans="1:6" x14ac:dyDescent="0.25">
      <c r="A74">
        <v>611917762</v>
      </c>
      <c r="B74" s="1">
        <v>42891</v>
      </c>
      <c r="C74" s="2">
        <v>0.20069444444444445</v>
      </c>
      <c r="D74">
        <v>1</v>
      </c>
      <c r="E74" t="s">
        <v>4</v>
      </c>
      <c r="F74" t="str">
        <f t="shared" si="4"/>
        <v>Nie</v>
      </c>
    </row>
    <row r="75" spans="1:6" x14ac:dyDescent="0.25">
      <c r="A75">
        <v>422562723</v>
      </c>
      <c r="B75" s="1">
        <v>42891</v>
      </c>
      <c r="C75" s="2">
        <v>0.28472222222222221</v>
      </c>
      <c r="D75">
        <v>3</v>
      </c>
      <c r="E75" t="s">
        <v>5</v>
      </c>
      <c r="F75" t="str">
        <f t="shared" si="4"/>
        <v>Tak</v>
      </c>
    </row>
    <row r="76" spans="1:6" x14ac:dyDescent="0.25">
      <c r="A76">
        <v>580833489</v>
      </c>
      <c r="B76" s="1">
        <v>42891</v>
      </c>
      <c r="C76" s="2">
        <v>0.31666666666666665</v>
      </c>
      <c r="D76">
        <v>1</v>
      </c>
      <c r="E76" t="s">
        <v>3</v>
      </c>
      <c r="F76" t="str">
        <f t="shared" si="4"/>
        <v>Tak</v>
      </c>
    </row>
    <row r="77" spans="1:6" x14ac:dyDescent="0.25">
      <c r="A77">
        <v>654692587</v>
      </c>
      <c r="B77" s="1">
        <v>42891</v>
      </c>
      <c r="C77" s="2">
        <v>0.32291666666666669</v>
      </c>
      <c r="D77">
        <v>6</v>
      </c>
      <c r="E77" t="s">
        <v>4</v>
      </c>
      <c r="F77" t="str">
        <f t="shared" si="4"/>
        <v>Nie</v>
      </c>
    </row>
    <row r="78" spans="1:6" x14ac:dyDescent="0.25">
      <c r="A78">
        <v>766256726</v>
      </c>
      <c r="B78" s="1">
        <v>42891</v>
      </c>
      <c r="C78" s="2">
        <v>0.34861111111111109</v>
      </c>
      <c r="D78">
        <v>2</v>
      </c>
      <c r="E78" t="s">
        <v>4</v>
      </c>
      <c r="F78" t="str">
        <f t="shared" si="4"/>
        <v>Nie</v>
      </c>
    </row>
    <row r="79" spans="1:6" x14ac:dyDescent="0.25">
      <c r="A79">
        <v>670582908</v>
      </c>
      <c r="B79" s="1">
        <v>42891</v>
      </c>
      <c r="C79" s="2">
        <v>0.40069444444444446</v>
      </c>
      <c r="D79">
        <v>4</v>
      </c>
      <c r="E79" t="s">
        <v>5</v>
      </c>
      <c r="F79" t="str">
        <f t="shared" si="4"/>
        <v>Nie</v>
      </c>
    </row>
    <row r="80" spans="1:6" x14ac:dyDescent="0.25">
      <c r="A80">
        <v>495291166</v>
      </c>
      <c r="B80" s="1">
        <v>42891</v>
      </c>
      <c r="C80" s="2">
        <v>0.42708333333333331</v>
      </c>
      <c r="D80">
        <v>5</v>
      </c>
      <c r="E80" t="s">
        <v>5</v>
      </c>
      <c r="F80" t="str">
        <f t="shared" si="4"/>
        <v>Nie</v>
      </c>
    </row>
    <row r="81" spans="1:6" x14ac:dyDescent="0.25">
      <c r="A81">
        <v>456754712</v>
      </c>
      <c r="B81" s="1">
        <v>42891</v>
      </c>
      <c r="C81" s="2">
        <v>0.49375000000000002</v>
      </c>
      <c r="D81">
        <v>5</v>
      </c>
      <c r="E81" t="s">
        <v>3</v>
      </c>
      <c r="F81" t="str">
        <f t="shared" si="4"/>
        <v>Nie</v>
      </c>
    </row>
    <row r="82" spans="1:6" x14ac:dyDescent="0.25">
      <c r="A82">
        <v>421153691</v>
      </c>
      <c r="B82" s="1">
        <v>42891</v>
      </c>
      <c r="C82" s="2">
        <v>0.6333333333333333</v>
      </c>
      <c r="D82">
        <v>6</v>
      </c>
      <c r="E82" t="s">
        <v>4</v>
      </c>
      <c r="F82" t="str">
        <f t="shared" si="4"/>
        <v>Nie</v>
      </c>
    </row>
    <row r="83" spans="1:6" x14ac:dyDescent="0.25">
      <c r="A83">
        <v>906605372</v>
      </c>
      <c r="B83" s="1">
        <v>42891</v>
      </c>
      <c r="C83" s="2">
        <v>0.63541666666666663</v>
      </c>
      <c r="D83">
        <v>2</v>
      </c>
      <c r="E83" t="s">
        <v>3</v>
      </c>
      <c r="F83" t="str">
        <f t="shared" si="4"/>
        <v>Nie</v>
      </c>
    </row>
    <row r="84" spans="1:6" x14ac:dyDescent="0.25">
      <c r="A84">
        <v>511191374</v>
      </c>
      <c r="B84" s="1">
        <v>42891</v>
      </c>
      <c r="C84" s="2">
        <v>0.68333333333333335</v>
      </c>
      <c r="D84">
        <v>5</v>
      </c>
      <c r="E84" t="s">
        <v>4</v>
      </c>
      <c r="F84" t="str">
        <f t="shared" si="4"/>
        <v>Tak</v>
      </c>
    </row>
    <row r="85" spans="1:6" x14ac:dyDescent="0.25">
      <c r="A85">
        <v>456754712</v>
      </c>
      <c r="B85" s="1">
        <v>42891</v>
      </c>
      <c r="C85" s="2">
        <v>0.71527777777777779</v>
      </c>
      <c r="D85">
        <v>3</v>
      </c>
      <c r="E85" t="s">
        <v>4</v>
      </c>
      <c r="F85" t="str">
        <f t="shared" si="4"/>
        <v>Nie</v>
      </c>
    </row>
    <row r="86" spans="1:6" x14ac:dyDescent="0.25">
      <c r="A86">
        <v>479537587</v>
      </c>
      <c r="B86" s="1">
        <v>42891</v>
      </c>
      <c r="C86" s="2">
        <v>0.72291666666666665</v>
      </c>
      <c r="D86">
        <v>6</v>
      </c>
      <c r="E86" t="s">
        <v>5</v>
      </c>
      <c r="F86" t="str">
        <f t="shared" si="4"/>
        <v>Tak</v>
      </c>
    </row>
    <row r="87" spans="1:6" x14ac:dyDescent="0.25">
      <c r="A87">
        <v>421153691</v>
      </c>
      <c r="B87" s="1">
        <v>42891</v>
      </c>
      <c r="C87" s="2">
        <v>0.76388888888888884</v>
      </c>
      <c r="D87">
        <v>5</v>
      </c>
      <c r="E87" t="s">
        <v>5</v>
      </c>
      <c r="F87" t="str">
        <f t="shared" si="4"/>
        <v>Nie</v>
      </c>
    </row>
    <row r="88" spans="1:6" x14ac:dyDescent="0.25">
      <c r="A88">
        <v>546989206</v>
      </c>
      <c r="B88" s="1">
        <v>42891</v>
      </c>
      <c r="C88" s="2">
        <v>0.77430555555555558</v>
      </c>
      <c r="D88">
        <v>1</v>
      </c>
      <c r="E88" t="s">
        <v>4</v>
      </c>
      <c r="F88" t="str">
        <f t="shared" si="4"/>
        <v>Nie</v>
      </c>
    </row>
    <row r="89" spans="1:6" x14ac:dyDescent="0.25">
      <c r="A89">
        <v>511191374</v>
      </c>
      <c r="B89" s="1">
        <v>42891</v>
      </c>
      <c r="C89" s="2">
        <v>0.83472222222222225</v>
      </c>
      <c r="D89">
        <v>3</v>
      </c>
      <c r="E89" t="s">
        <v>3</v>
      </c>
      <c r="F89" t="str">
        <f t="shared" si="4"/>
        <v>Nie</v>
      </c>
    </row>
    <row r="90" spans="1:6" x14ac:dyDescent="0.25">
      <c r="A90">
        <v>546989206</v>
      </c>
      <c r="B90" s="1">
        <v>42891</v>
      </c>
      <c r="C90" s="2">
        <v>0.92152777777777772</v>
      </c>
      <c r="D90">
        <v>2</v>
      </c>
      <c r="E90" t="s">
        <v>3</v>
      </c>
      <c r="F90" t="str">
        <f t="shared" si="4"/>
        <v>Nie</v>
      </c>
    </row>
    <row r="91" spans="1:6" x14ac:dyDescent="0.25">
      <c r="A91">
        <v>599674070</v>
      </c>
      <c r="B91" s="1">
        <v>42892</v>
      </c>
      <c r="C91" s="2">
        <v>6.1805555555555558E-2</v>
      </c>
      <c r="D91">
        <v>6</v>
      </c>
      <c r="E91" t="s">
        <v>4</v>
      </c>
      <c r="F91" t="str">
        <f t="shared" si="4"/>
        <v>Nie</v>
      </c>
    </row>
    <row r="92" spans="1:6" x14ac:dyDescent="0.25">
      <c r="A92">
        <v>515507348</v>
      </c>
      <c r="B92" s="1">
        <v>42892</v>
      </c>
      <c r="C92" s="2">
        <v>9.2361111111111116E-2</v>
      </c>
      <c r="D92">
        <v>2</v>
      </c>
      <c r="E92" t="s">
        <v>4</v>
      </c>
      <c r="F92" t="str">
        <f t="shared" si="4"/>
        <v>Nie</v>
      </c>
    </row>
    <row r="93" spans="1:6" x14ac:dyDescent="0.25">
      <c r="A93">
        <v>947791832</v>
      </c>
      <c r="B93" s="1">
        <v>42892</v>
      </c>
      <c r="C93" s="2">
        <v>0.18541666666666667</v>
      </c>
      <c r="D93">
        <v>2</v>
      </c>
      <c r="E93" t="s">
        <v>4</v>
      </c>
      <c r="F93" t="str">
        <f t="shared" si="4"/>
        <v>Nie</v>
      </c>
    </row>
    <row r="94" spans="1:6" x14ac:dyDescent="0.25">
      <c r="A94">
        <v>652007245</v>
      </c>
      <c r="B94" s="1">
        <v>42892</v>
      </c>
      <c r="C94" s="2">
        <v>0.26597222222222222</v>
      </c>
      <c r="D94">
        <v>1</v>
      </c>
      <c r="E94" t="s">
        <v>5</v>
      </c>
      <c r="F94" t="str">
        <f t="shared" si="4"/>
        <v>Nie</v>
      </c>
    </row>
    <row r="95" spans="1:6" x14ac:dyDescent="0.25">
      <c r="A95">
        <v>543292172</v>
      </c>
      <c r="B95" s="1">
        <v>42892</v>
      </c>
      <c r="C95" s="2">
        <v>0.29652777777777778</v>
      </c>
      <c r="D95">
        <v>4</v>
      </c>
      <c r="E95" t="s">
        <v>3</v>
      </c>
      <c r="F95" t="str">
        <f t="shared" si="4"/>
        <v>Tak</v>
      </c>
    </row>
    <row r="96" spans="1:6" x14ac:dyDescent="0.25">
      <c r="A96">
        <v>422785214</v>
      </c>
      <c r="B96" s="1">
        <v>42892</v>
      </c>
      <c r="C96" s="2">
        <v>0.33888888888888891</v>
      </c>
      <c r="D96">
        <v>5</v>
      </c>
      <c r="E96" t="s">
        <v>4</v>
      </c>
      <c r="F96" t="str">
        <f t="shared" si="4"/>
        <v>Tak</v>
      </c>
    </row>
    <row r="97" spans="1:6" x14ac:dyDescent="0.25">
      <c r="A97">
        <v>455337641</v>
      </c>
      <c r="B97" s="1">
        <v>42892</v>
      </c>
      <c r="C97" s="2">
        <v>0.37430555555555556</v>
      </c>
      <c r="D97">
        <v>5</v>
      </c>
      <c r="E97" t="s">
        <v>4</v>
      </c>
      <c r="F97" t="str">
        <f t="shared" si="4"/>
        <v>Tak</v>
      </c>
    </row>
    <row r="98" spans="1:6" x14ac:dyDescent="0.25">
      <c r="A98">
        <v>502418125</v>
      </c>
      <c r="B98" s="1">
        <v>42892</v>
      </c>
      <c r="C98" s="2">
        <v>0.4</v>
      </c>
      <c r="D98">
        <v>4</v>
      </c>
      <c r="E98" t="s">
        <v>5</v>
      </c>
      <c r="F98" t="str">
        <f t="shared" si="4"/>
        <v>Nie</v>
      </c>
    </row>
    <row r="99" spans="1:6" x14ac:dyDescent="0.25">
      <c r="A99">
        <v>670177762</v>
      </c>
      <c r="B99" s="1">
        <v>42892</v>
      </c>
      <c r="C99" s="2">
        <v>0.41666666666666669</v>
      </c>
      <c r="D99">
        <v>1</v>
      </c>
      <c r="E99" t="s">
        <v>5</v>
      </c>
      <c r="F99" t="str">
        <f t="shared" si="4"/>
        <v>Nie</v>
      </c>
    </row>
    <row r="100" spans="1:6" x14ac:dyDescent="0.25">
      <c r="A100">
        <v>449386970</v>
      </c>
      <c r="B100" s="1">
        <v>42892</v>
      </c>
      <c r="C100" s="2">
        <v>0.48472222222222222</v>
      </c>
      <c r="D100">
        <v>1</v>
      </c>
      <c r="E100" t="s">
        <v>3</v>
      </c>
      <c r="F100" t="str">
        <f t="shared" si="4"/>
        <v>Tak</v>
      </c>
    </row>
    <row r="101" spans="1:6" x14ac:dyDescent="0.25">
      <c r="A101">
        <v>834812184</v>
      </c>
      <c r="B101" s="1">
        <v>42892</v>
      </c>
      <c r="C101" s="2">
        <v>0.5</v>
      </c>
      <c r="D101">
        <v>3</v>
      </c>
      <c r="E101" t="s">
        <v>3</v>
      </c>
      <c r="F101" t="str">
        <f t="shared" si="4"/>
        <v>Nie</v>
      </c>
    </row>
    <row r="102" spans="1:6" x14ac:dyDescent="0.25">
      <c r="A102">
        <v>730479543</v>
      </c>
      <c r="B102" s="1">
        <v>42892</v>
      </c>
      <c r="C102" s="2">
        <v>0.56874999999999998</v>
      </c>
      <c r="D102">
        <v>3</v>
      </c>
      <c r="E102" t="s">
        <v>4</v>
      </c>
      <c r="F102" t="str">
        <f t="shared" si="4"/>
        <v>Nie</v>
      </c>
    </row>
    <row r="103" spans="1:6" x14ac:dyDescent="0.25">
      <c r="A103">
        <v>408900499</v>
      </c>
      <c r="B103" s="1">
        <v>42892</v>
      </c>
      <c r="C103" s="2">
        <v>0.58680555555555558</v>
      </c>
      <c r="D103">
        <v>3</v>
      </c>
      <c r="E103" t="s">
        <v>4</v>
      </c>
      <c r="F103" t="str">
        <f t="shared" si="4"/>
        <v>Nie</v>
      </c>
    </row>
    <row r="104" spans="1:6" x14ac:dyDescent="0.25">
      <c r="A104">
        <v>971924080</v>
      </c>
      <c r="B104" s="1">
        <v>42892</v>
      </c>
      <c r="C104" s="2">
        <v>0.61944444444444446</v>
      </c>
      <c r="D104">
        <v>3</v>
      </c>
      <c r="E104" t="s">
        <v>4</v>
      </c>
      <c r="F104" t="str">
        <f t="shared" si="4"/>
        <v>Nie</v>
      </c>
    </row>
    <row r="105" spans="1:6" x14ac:dyDescent="0.25">
      <c r="A105">
        <v>610968833</v>
      </c>
      <c r="B105" s="1">
        <v>42892</v>
      </c>
      <c r="C105" s="2">
        <v>0.625</v>
      </c>
      <c r="D105">
        <v>4</v>
      </c>
      <c r="E105" t="s">
        <v>5</v>
      </c>
      <c r="F105" t="str">
        <f t="shared" si="4"/>
        <v>Nie</v>
      </c>
    </row>
    <row r="106" spans="1:6" x14ac:dyDescent="0.25">
      <c r="A106">
        <v>925971805</v>
      </c>
      <c r="B106" s="1">
        <v>42892</v>
      </c>
      <c r="C106" s="2">
        <v>0.69374999999999998</v>
      </c>
      <c r="D106">
        <v>5</v>
      </c>
      <c r="E106" t="s">
        <v>3</v>
      </c>
      <c r="F106" t="str">
        <f t="shared" si="4"/>
        <v>Nie</v>
      </c>
    </row>
    <row r="107" spans="1:6" x14ac:dyDescent="0.25">
      <c r="A107">
        <v>589043879</v>
      </c>
      <c r="B107" s="1">
        <v>42892</v>
      </c>
      <c r="C107" s="2">
        <v>0.78611111111111109</v>
      </c>
      <c r="D107">
        <v>1</v>
      </c>
      <c r="E107" t="s">
        <v>4</v>
      </c>
      <c r="F107" t="str">
        <f t="shared" si="4"/>
        <v>Nie</v>
      </c>
    </row>
    <row r="108" spans="1:6" x14ac:dyDescent="0.25">
      <c r="A108">
        <v>565021598</v>
      </c>
      <c r="B108" s="1">
        <v>42892</v>
      </c>
      <c r="C108" s="2">
        <v>0.8208333333333333</v>
      </c>
      <c r="D108">
        <v>5</v>
      </c>
      <c r="E108" t="s">
        <v>5</v>
      </c>
      <c r="F108" t="str">
        <f t="shared" si="4"/>
        <v>Nie</v>
      </c>
    </row>
    <row r="109" spans="1:6" x14ac:dyDescent="0.25">
      <c r="A109">
        <v>597514859</v>
      </c>
      <c r="B109" s="1">
        <v>42892</v>
      </c>
      <c r="C109" s="2">
        <v>0.86319444444444449</v>
      </c>
      <c r="D109">
        <v>2</v>
      </c>
      <c r="E109" t="s">
        <v>5</v>
      </c>
      <c r="F109" t="str">
        <f t="shared" si="4"/>
        <v>Tak</v>
      </c>
    </row>
    <row r="110" spans="1:6" x14ac:dyDescent="0.25">
      <c r="A110">
        <v>748479317</v>
      </c>
      <c r="B110" s="1">
        <v>42892</v>
      </c>
      <c r="C110" s="2">
        <v>0.87638888888888888</v>
      </c>
      <c r="D110">
        <v>2</v>
      </c>
      <c r="E110" t="s">
        <v>3</v>
      </c>
      <c r="F110" t="str">
        <f t="shared" si="4"/>
        <v>Nie</v>
      </c>
    </row>
    <row r="111" spans="1:6" x14ac:dyDescent="0.25">
      <c r="A111">
        <v>700352103</v>
      </c>
      <c r="B111" s="1">
        <v>42892</v>
      </c>
      <c r="C111" s="2">
        <v>0.95</v>
      </c>
      <c r="D111">
        <v>1</v>
      </c>
      <c r="E111" t="s">
        <v>3</v>
      </c>
      <c r="F111" t="str">
        <f t="shared" si="4"/>
        <v>Tak</v>
      </c>
    </row>
    <row r="112" spans="1:6" x14ac:dyDescent="0.25">
      <c r="A112">
        <v>438645738</v>
      </c>
      <c r="B112" s="1">
        <v>42892</v>
      </c>
      <c r="C112" s="2">
        <v>0.95694444444444449</v>
      </c>
      <c r="D112">
        <v>5</v>
      </c>
      <c r="E112" t="s">
        <v>4</v>
      </c>
      <c r="F112" t="str">
        <f t="shared" si="4"/>
        <v>Tak</v>
      </c>
    </row>
    <row r="113" spans="1:6" x14ac:dyDescent="0.25">
      <c r="A113">
        <v>592008600</v>
      </c>
      <c r="B113" s="1">
        <v>42893</v>
      </c>
      <c r="C113" s="2">
        <v>5.5555555555555558E-3</v>
      </c>
      <c r="D113">
        <v>1</v>
      </c>
      <c r="E113" t="s">
        <v>4</v>
      </c>
      <c r="F113" t="str">
        <f t="shared" si="4"/>
        <v>Nie</v>
      </c>
    </row>
    <row r="114" spans="1:6" x14ac:dyDescent="0.25">
      <c r="A114">
        <v>549143211</v>
      </c>
      <c r="B114" s="1">
        <v>42893</v>
      </c>
      <c r="C114" s="2">
        <v>4.2361111111111113E-2</v>
      </c>
      <c r="D114">
        <v>4</v>
      </c>
      <c r="E114" t="s">
        <v>4</v>
      </c>
      <c r="F114" t="str">
        <f t="shared" si="4"/>
        <v>Nie</v>
      </c>
    </row>
    <row r="115" spans="1:6" x14ac:dyDescent="0.25">
      <c r="A115">
        <v>684097956</v>
      </c>
      <c r="B115" s="1">
        <v>42893</v>
      </c>
      <c r="C115" s="2">
        <v>9.3055555555555558E-2</v>
      </c>
      <c r="D115">
        <v>4</v>
      </c>
      <c r="E115" t="s">
        <v>4</v>
      </c>
      <c r="F115" t="str">
        <f t="shared" si="4"/>
        <v>Nie</v>
      </c>
    </row>
    <row r="116" spans="1:6" x14ac:dyDescent="0.25">
      <c r="A116">
        <v>636289590</v>
      </c>
      <c r="B116" s="1">
        <v>42893</v>
      </c>
      <c r="C116" s="2">
        <v>0.18124999999999999</v>
      </c>
      <c r="D116">
        <v>4</v>
      </c>
      <c r="E116" t="s">
        <v>5</v>
      </c>
      <c r="F116" t="str">
        <f t="shared" si="4"/>
        <v>Nie</v>
      </c>
    </row>
    <row r="117" spans="1:6" x14ac:dyDescent="0.25">
      <c r="A117">
        <v>983520611</v>
      </c>
      <c r="B117" s="1">
        <v>42893</v>
      </c>
      <c r="C117" s="2">
        <v>0.21944444444444444</v>
      </c>
      <c r="D117">
        <v>6</v>
      </c>
      <c r="E117" t="s">
        <v>3</v>
      </c>
      <c r="F117" t="str">
        <f t="shared" si="4"/>
        <v>Nie</v>
      </c>
    </row>
    <row r="118" spans="1:6" x14ac:dyDescent="0.25">
      <c r="A118">
        <v>762138964</v>
      </c>
      <c r="B118" s="1">
        <v>42893</v>
      </c>
      <c r="C118" s="2">
        <v>0.3</v>
      </c>
      <c r="D118">
        <v>5</v>
      </c>
      <c r="E118" t="s">
        <v>4</v>
      </c>
      <c r="F118" t="str">
        <f t="shared" si="4"/>
        <v>Tak</v>
      </c>
    </row>
    <row r="119" spans="1:6" x14ac:dyDescent="0.25">
      <c r="A119">
        <v>707373053</v>
      </c>
      <c r="B119" s="1">
        <v>42893</v>
      </c>
      <c r="C119" s="2">
        <v>0.35625000000000001</v>
      </c>
      <c r="D119">
        <v>5</v>
      </c>
      <c r="E119" t="s">
        <v>4</v>
      </c>
      <c r="F119" t="str">
        <f t="shared" si="4"/>
        <v>Tak</v>
      </c>
    </row>
    <row r="120" spans="1:6" x14ac:dyDescent="0.25">
      <c r="A120">
        <v>587330211</v>
      </c>
      <c r="B120" s="1">
        <v>42893</v>
      </c>
      <c r="C120" s="2">
        <v>0.44166666666666665</v>
      </c>
      <c r="D120">
        <v>2</v>
      </c>
      <c r="E120" t="s">
        <v>5</v>
      </c>
      <c r="F120" t="str">
        <f t="shared" si="4"/>
        <v>Tak</v>
      </c>
    </row>
    <row r="121" spans="1:6" x14ac:dyDescent="0.25">
      <c r="A121">
        <v>548875001</v>
      </c>
      <c r="B121" s="1">
        <v>42893</v>
      </c>
      <c r="C121" s="2">
        <v>0.50763888888888886</v>
      </c>
      <c r="D121">
        <v>4</v>
      </c>
      <c r="E121" t="s">
        <v>5</v>
      </c>
      <c r="F121" t="str">
        <f t="shared" si="4"/>
        <v>Nie</v>
      </c>
    </row>
    <row r="122" spans="1:6" x14ac:dyDescent="0.25">
      <c r="A122">
        <v>788968632</v>
      </c>
      <c r="B122" s="1">
        <v>42893</v>
      </c>
      <c r="C122" s="2">
        <v>0.59583333333333333</v>
      </c>
      <c r="D122">
        <v>4</v>
      </c>
      <c r="E122" t="s">
        <v>3</v>
      </c>
      <c r="F122" t="str">
        <f t="shared" si="4"/>
        <v>Tak</v>
      </c>
    </row>
    <row r="123" spans="1:6" x14ac:dyDescent="0.25">
      <c r="A123">
        <v>735101463</v>
      </c>
      <c r="B123" s="1">
        <v>42893</v>
      </c>
      <c r="C123" s="2">
        <v>0.625</v>
      </c>
      <c r="D123">
        <v>2</v>
      </c>
      <c r="E123" t="s">
        <v>5</v>
      </c>
      <c r="F123" t="str">
        <f t="shared" si="4"/>
        <v>Tak</v>
      </c>
    </row>
    <row r="124" spans="1:6" x14ac:dyDescent="0.25">
      <c r="A124">
        <v>709848261</v>
      </c>
      <c r="B124" s="1">
        <v>42893</v>
      </c>
      <c r="C124" s="2">
        <v>0.63611111111111107</v>
      </c>
      <c r="D124">
        <v>1</v>
      </c>
      <c r="E124" t="s">
        <v>3</v>
      </c>
      <c r="F124" t="str">
        <f t="shared" si="4"/>
        <v>Tak</v>
      </c>
    </row>
    <row r="125" spans="1:6" x14ac:dyDescent="0.25">
      <c r="A125">
        <v>695453881</v>
      </c>
      <c r="B125" s="1">
        <v>42893</v>
      </c>
      <c r="C125" s="2">
        <v>0.65555555555555556</v>
      </c>
      <c r="D125">
        <v>4</v>
      </c>
      <c r="E125" t="s">
        <v>3</v>
      </c>
      <c r="F125" t="str">
        <f t="shared" si="4"/>
        <v>Tak</v>
      </c>
    </row>
    <row r="126" spans="1:6" x14ac:dyDescent="0.25">
      <c r="A126">
        <v>629273399</v>
      </c>
      <c r="B126" s="1">
        <v>42893</v>
      </c>
      <c r="C126" s="2">
        <v>0.65625</v>
      </c>
      <c r="D126">
        <v>5</v>
      </c>
      <c r="E126" t="s">
        <v>4</v>
      </c>
      <c r="F126" t="str">
        <f t="shared" si="4"/>
        <v>Tak</v>
      </c>
    </row>
    <row r="127" spans="1:6" x14ac:dyDescent="0.25">
      <c r="A127">
        <v>737594619</v>
      </c>
      <c r="B127" s="1">
        <v>42893</v>
      </c>
      <c r="C127" s="2">
        <v>0.6694444444444444</v>
      </c>
      <c r="D127">
        <v>3</v>
      </c>
      <c r="E127" t="s">
        <v>4</v>
      </c>
      <c r="F127" t="str">
        <f t="shared" si="4"/>
        <v>Nie</v>
      </c>
    </row>
    <row r="128" spans="1:6" x14ac:dyDescent="0.25">
      <c r="A128">
        <v>517317350</v>
      </c>
      <c r="B128" s="1">
        <v>42893</v>
      </c>
      <c r="C128" s="2">
        <v>0.72847222222222219</v>
      </c>
      <c r="D128">
        <v>3</v>
      </c>
      <c r="E128" t="s">
        <v>4</v>
      </c>
      <c r="F128" t="str">
        <f t="shared" si="4"/>
        <v>Nie</v>
      </c>
    </row>
    <row r="129" spans="1:6" x14ac:dyDescent="0.25">
      <c r="A129">
        <v>709965002</v>
      </c>
      <c r="B129" s="1">
        <v>42893</v>
      </c>
      <c r="C129" s="2">
        <v>0.74444444444444446</v>
      </c>
      <c r="D129">
        <v>6</v>
      </c>
      <c r="E129" t="s">
        <v>4</v>
      </c>
      <c r="F129" t="str">
        <f t="shared" si="4"/>
        <v>Nie</v>
      </c>
    </row>
    <row r="130" spans="1:6" x14ac:dyDescent="0.25">
      <c r="A130">
        <v>839612566</v>
      </c>
      <c r="B130" s="1">
        <v>42893</v>
      </c>
      <c r="C130" s="2">
        <v>0.79027777777777775</v>
      </c>
      <c r="D130">
        <v>6</v>
      </c>
      <c r="E130" t="s">
        <v>5</v>
      </c>
      <c r="F130" t="str">
        <f t="shared" ref="F130:F193" si="5">IF(E130=VLOOKUP(D130,$M$23:$O$30,2,FALSE),"Tak","Nie")</f>
        <v>Tak</v>
      </c>
    </row>
    <row r="131" spans="1:6" x14ac:dyDescent="0.25">
      <c r="A131">
        <v>652640182</v>
      </c>
      <c r="B131" s="1">
        <v>42893</v>
      </c>
      <c r="C131" s="2">
        <v>0.80555555555555558</v>
      </c>
      <c r="D131">
        <v>3</v>
      </c>
      <c r="E131" t="s">
        <v>5</v>
      </c>
      <c r="F131" t="str">
        <f t="shared" si="5"/>
        <v>Tak</v>
      </c>
    </row>
    <row r="132" spans="1:6" x14ac:dyDescent="0.25">
      <c r="A132">
        <v>437051994</v>
      </c>
      <c r="B132" s="1">
        <v>42893</v>
      </c>
      <c r="C132" s="2">
        <v>0.84027777777777779</v>
      </c>
      <c r="D132">
        <v>1</v>
      </c>
      <c r="E132" t="s">
        <v>3</v>
      </c>
      <c r="F132" t="str">
        <f t="shared" si="5"/>
        <v>Tak</v>
      </c>
    </row>
    <row r="133" spans="1:6" x14ac:dyDescent="0.25">
      <c r="A133">
        <v>570619229</v>
      </c>
      <c r="B133" s="1">
        <v>42893</v>
      </c>
      <c r="C133" s="2">
        <v>0.93680555555555556</v>
      </c>
      <c r="D133">
        <v>2</v>
      </c>
      <c r="E133" t="s">
        <v>3</v>
      </c>
      <c r="F133" t="str">
        <f t="shared" si="5"/>
        <v>Nie</v>
      </c>
    </row>
    <row r="134" spans="1:6" x14ac:dyDescent="0.25">
      <c r="A134">
        <v>972127523</v>
      </c>
      <c r="B134" s="1">
        <v>42894</v>
      </c>
      <c r="C134" s="2">
        <v>6.2500000000000003E-3</v>
      </c>
      <c r="D134">
        <v>3</v>
      </c>
      <c r="E134" t="s">
        <v>4</v>
      </c>
      <c r="F134" t="str">
        <f t="shared" si="5"/>
        <v>Nie</v>
      </c>
    </row>
    <row r="135" spans="1:6" x14ac:dyDescent="0.25">
      <c r="A135">
        <v>463672014</v>
      </c>
      <c r="B135" s="1">
        <v>42894</v>
      </c>
      <c r="C135" s="2">
        <v>0.10069444444444445</v>
      </c>
      <c r="D135">
        <v>3</v>
      </c>
      <c r="E135" t="s">
        <v>4</v>
      </c>
      <c r="F135" t="str">
        <f t="shared" si="5"/>
        <v>Nie</v>
      </c>
    </row>
    <row r="136" spans="1:6" x14ac:dyDescent="0.25">
      <c r="A136">
        <v>644680714</v>
      </c>
      <c r="B136" s="1">
        <v>42894</v>
      </c>
      <c r="C136" s="2">
        <v>0.1125</v>
      </c>
      <c r="D136">
        <v>3</v>
      </c>
      <c r="E136" t="s">
        <v>4</v>
      </c>
      <c r="F136" t="str">
        <f t="shared" si="5"/>
        <v>Nie</v>
      </c>
    </row>
    <row r="137" spans="1:6" x14ac:dyDescent="0.25">
      <c r="A137">
        <v>773291555</v>
      </c>
      <c r="B137" s="1">
        <v>42894</v>
      </c>
      <c r="C137" s="2">
        <v>0.14722222222222223</v>
      </c>
      <c r="D137">
        <v>2</v>
      </c>
      <c r="E137" t="s">
        <v>4</v>
      </c>
      <c r="F137" t="str">
        <f t="shared" si="5"/>
        <v>Nie</v>
      </c>
    </row>
    <row r="138" spans="1:6" x14ac:dyDescent="0.25">
      <c r="A138">
        <v>913046978</v>
      </c>
      <c r="B138" s="1">
        <v>42894</v>
      </c>
      <c r="C138" s="2">
        <v>0.2</v>
      </c>
      <c r="D138">
        <v>1</v>
      </c>
      <c r="E138" t="s">
        <v>5</v>
      </c>
      <c r="F138" t="str">
        <f t="shared" si="5"/>
        <v>Nie</v>
      </c>
    </row>
    <row r="139" spans="1:6" x14ac:dyDescent="0.25">
      <c r="A139">
        <v>757519899</v>
      </c>
      <c r="B139" s="1">
        <v>42894</v>
      </c>
      <c r="C139" s="2">
        <v>0.25208333333333333</v>
      </c>
      <c r="D139">
        <v>4</v>
      </c>
      <c r="E139" t="s">
        <v>3</v>
      </c>
      <c r="F139" t="str">
        <f t="shared" si="5"/>
        <v>Tak</v>
      </c>
    </row>
    <row r="140" spans="1:6" x14ac:dyDescent="0.25">
      <c r="A140">
        <v>601071162</v>
      </c>
      <c r="B140" s="1">
        <v>42894</v>
      </c>
      <c r="C140" s="2">
        <v>0.26319444444444445</v>
      </c>
      <c r="D140">
        <v>5</v>
      </c>
      <c r="E140" t="s">
        <v>4</v>
      </c>
      <c r="F140" t="str">
        <f t="shared" si="5"/>
        <v>Tak</v>
      </c>
    </row>
    <row r="141" spans="1:6" x14ac:dyDescent="0.25">
      <c r="A141">
        <v>751080209</v>
      </c>
      <c r="B141" s="1">
        <v>42894</v>
      </c>
      <c r="C141" s="2">
        <v>0.35347222222222224</v>
      </c>
      <c r="D141">
        <v>1</v>
      </c>
      <c r="E141" t="s">
        <v>4</v>
      </c>
      <c r="F141" t="str">
        <f t="shared" si="5"/>
        <v>Nie</v>
      </c>
    </row>
    <row r="142" spans="1:6" x14ac:dyDescent="0.25">
      <c r="A142">
        <v>557059595</v>
      </c>
      <c r="B142" s="1">
        <v>42894</v>
      </c>
      <c r="C142" s="2">
        <v>0.38055555555555554</v>
      </c>
      <c r="D142">
        <v>2</v>
      </c>
      <c r="E142" t="s">
        <v>5</v>
      </c>
      <c r="F142" t="str">
        <f t="shared" si="5"/>
        <v>Tak</v>
      </c>
    </row>
    <row r="143" spans="1:6" x14ac:dyDescent="0.25">
      <c r="A143">
        <v>919448492</v>
      </c>
      <c r="B143" s="1">
        <v>42894</v>
      </c>
      <c r="C143" s="2">
        <v>0.39861111111111114</v>
      </c>
      <c r="D143">
        <v>6</v>
      </c>
      <c r="E143" t="s">
        <v>5</v>
      </c>
      <c r="F143" t="str">
        <f t="shared" si="5"/>
        <v>Tak</v>
      </c>
    </row>
    <row r="144" spans="1:6" x14ac:dyDescent="0.25">
      <c r="A144">
        <v>630181135</v>
      </c>
      <c r="B144" s="1">
        <v>42894</v>
      </c>
      <c r="C144" s="2">
        <v>0.41597222222222224</v>
      </c>
      <c r="D144">
        <v>1</v>
      </c>
      <c r="E144" t="s">
        <v>3</v>
      </c>
      <c r="F144" t="str">
        <f t="shared" si="5"/>
        <v>Tak</v>
      </c>
    </row>
    <row r="145" spans="1:6" x14ac:dyDescent="0.25">
      <c r="A145">
        <v>921394114</v>
      </c>
      <c r="B145" s="1">
        <v>42894</v>
      </c>
      <c r="C145" s="2">
        <v>0.47847222222222224</v>
      </c>
      <c r="D145">
        <v>2</v>
      </c>
      <c r="E145" t="s">
        <v>3</v>
      </c>
      <c r="F145" t="str">
        <f t="shared" si="5"/>
        <v>Nie</v>
      </c>
    </row>
    <row r="146" spans="1:6" x14ac:dyDescent="0.25">
      <c r="A146">
        <v>687213103</v>
      </c>
      <c r="B146" s="1">
        <v>42894</v>
      </c>
      <c r="C146" s="2">
        <v>0.56805555555555554</v>
      </c>
      <c r="D146">
        <v>6</v>
      </c>
      <c r="E146" t="s">
        <v>4</v>
      </c>
      <c r="F146" t="str">
        <f t="shared" si="5"/>
        <v>Nie</v>
      </c>
    </row>
    <row r="147" spans="1:6" x14ac:dyDescent="0.25">
      <c r="A147">
        <v>670854717</v>
      </c>
      <c r="B147" s="1">
        <v>42894</v>
      </c>
      <c r="C147" s="2">
        <v>0.625</v>
      </c>
      <c r="D147">
        <v>1</v>
      </c>
      <c r="E147" t="s">
        <v>5</v>
      </c>
      <c r="F147" t="str">
        <f t="shared" si="5"/>
        <v>Nie</v>
      </c>
    </row>
    <row r="148" spans="1:6" x14ac:dyDescent="0.25">
      <c r="A148">
        <v>882751328</v>
      </c>
      <c r="B148" s="1">
        <v>42894</v>
      </c>
      <c r="C148" s="2">
        <v>0.63888888888888884</v>
      </c>
      <c r="D148">
        <v>1</v>
      </c>
      <c r="E148" t="s">
        <v>4</v>
      </c>
      <c r="F148" t="str">
        <f t="shared" si="5"/>
        <v>Nie</v>
      </c>
    </row>
    <row r="149" spans="1:6" x14ac:dyDescent="0.25">
      <c r="A149">
        <v>885343232</v>
      </c>
      <c r="B149" s="1">
        <v>42894</v>
      </c>
      <c r="C149" s="2">
        <v>0.64166666666666672</v>
      </c>
      <c r="D149">
        <v>6</v>
      </c>
      <c r="E149" t="s">
        <v>3</v>
      </c>
      <c r="F149" t="str">
        <f t="shared" si="5"/>
        <v>Nie</v>
      </c>
    </row>
    <row r="150" spans="1:6" x14ac:dyDescent="0.25">
      <c r="A150">
        <v>507120351</v>
      </c>
      <c r="B150" s="1">
        <v>42894</v>
      </c>
      <c r="C150" s="2">
        <v>0.68472222222222223</v>
      </c>
      <c r="D150">
        <v>6</v>
      </c>
      <c r="E150" t="s">
        <v>4</v>
      </c>
      <c r="F150" t="str">
        <f t="shared" si="5"/>
        <v>Nie</v>
      </c>
    </row>
    <row r="151" spans="1:6" x14ac:dyDescent="0.25">
      <c r="A151">
        <v>529069571</v>
      </c>
      <c r="B151" s="1">
        <v>42894</v>
      </c>
      <c r="C151" s="2">
        <v>0.73958333333333337</v>
      </c>
      <c r="D151">
        <v>3</v>
      </c>
      <c r="E151" t="s">
        <v>4</v>
      </c>
      <c r="F151" t="str">
        <f t="shared" si="5"/>
        <v>Nie</v>
      </c>
    </row>
    <row r="152" spans="1:6" x14ac:dyDescent="0.25">
      <c r="A152">
        <v>735284701</v>
      </c>
      <c r="B152" s="1">
        <v>42894</v>
      </c>
      <c r="C152" s="2">
        <v>0.82152777777777775</v>
      </c>
      <c r="D152">
        <v>3</v>
      </c>
      <c r="E152" t="s">
        <v>5</v>
      </c>
      <c r="F152" t="str">
        <f t="shared" si="5"/>
        <v>Tak</v>
      </c>
    </row>
    <row r="153" spans="1:6" x14ac:dyDescent="0.25">
      <c r="A153">
        <v>798064543</v>
      </c>
      <c r="B153" s="1">
        <v>42894</v>
      </c>
      <c r="C153" s="2">
        <v>0.84652777777777777</v>
      </c>
      <c r="D153">
        <v>5</v>
      </c>
      <c r="E153" t="s">
        <v>5</v>
      </c>
      <c r="F153" t="str">
        <f t="shared" si="5"/>
        <v>Nie</v>
      </c>
    </row>
    <row r="154" spans="1:6" x14ac:dyDescent="0.25">
      <c r="A154">
        <v>435583833</v>
      </c>
      <c r="B154" s="1">
        <v>42894</v>
      </c>
      <c r="C154" s="2">
        <v>0.90625</v>
      </c>
      <c r="D154">
        <v>5</v>
      </c>
      <c r="E154" t="s">
        <v>3</v>
      </c>
      <c r="F154" t="str">
        <f t="shared" si="5"/>
        <v>Nie</v>
      </c>
    </row>
    <row r="155" spans="1:6" x14ac:dyDescent="0.25">
      <c r="A155">
        <v>500093166</v>
      </c>
      <c r="B155" s="1">
        <v>42895</v>
      </c>
      <c r="C155" s="2">
        <v>4.8611111111111112E-3</v>
      </c>
      <c r="D155">
        <v>3</v>
      </c>
      <c r="E155" t="s">
        <v>3</v>
      </c>
      <c r="F155" t="str">
        <f t="shared" si="5"/>
        <v>Nie</v>
      </c>
    </row>
    <row r="156" spans="1:6" x14ac:dyDescent="0.25">
      <c r="A156">
        <v>543967501</v>
      </c>
      <c r="B156" s="1">
        <v>42895</v>
      </c>
      <c r="C156" s="2">
        <v>3.7499999999999999E-2</v>
      </c>
      <c r="D156">
        <v>1</v>
      </c>
      <c r="E156" t="s">
        <v>4</v>
      </c>
      <c r="F156" t="str">
        <f t="shared" si="5"/>
        <v>Nie</v>
      </c>
    </row>
    <row r="157" spans="1:6" x14ac:dyDescent="0.25">
      <c r="A157">
        <v>714435879</v>
      </c>
      <c r="B157" s="1">
        <v>42895</v>
      </c>
      <c r="C157" s="2">
        <v>8.7499999999999994E-2</v>
      </c>
      <c r="D157">
        <v>1</v>
      </c>
      <c r="E157" t="s">
        <v>4</v>
      </c>
      <c r="F157" t="str">
        <f t="shared" si="5"/>
        <v>Nie</v>
      </c>
    </row>
    <row r="158" spans="1:6" x14ac:dyDescent="0.25">
      <c r="A158">
        <v>906814093</v>
      </c>
      <c r="B158" s="1">
        <v>42895</v>
      </c>
      <c r="C158" s="2">
        <v>0.1111111111111111</v>
      </c>
      <c r="D158">
        <v>1</v>
      </c>
      <c r="E158" t="s">
        <v>4</v>
      </c>
      <c r="F158" t="str">
        <f t="shared" si="5"/>
        <v>Nie</v>
      </c>
    </row>
    <row r="159" spans="1:6" x14ac:dyDescent="0.25">
      <c r="A159">
        <v>721523987</v>
      </c>
      <c r="B159" s="1">
        <v>42895</v>
      </c>
      <c r="C159" s="2">
        <v>0.15277777777777779</v>
      </c>
      <c r="D159">
        <v>3</v>
      </c>
      <c r="E159" t="s">
        <v>4</v>
      </c>
      <c r="F159" t="str">
        <f t="shared" si="5"/>
        <v>Nie</v>
      </c>
    </row>
    <row r="160" spans="1:6" x14ac:dyDescent="0.25">
      <c r="A160">
        <v>574453310</v>
      </c>
      <c r="B160" s="1">
        <v>42895</v>
      </c>
      <c r="C160" s="2">
        <v>0.2</v>
      </c>
      <c r="D160">
        <v>4</v>
      </c>
      <c r="E160" t="s">
        <v>5</v>
      </c>
      <c r="F160" t="str">
        <f t="shared" si="5"/>
        <v>Nie</v>
      </c>
    </row>
    <row r="161" spans="1:6" x14ac:dyDescent="0.25">
      <c r="A161">
        <v>918128702</v>
      </c>
      <c r="B161" s="1">
        <v>42895</v>
      </c>
      <c r="C161" s="2">
        <v>0.26944444444444443</v>
      </c>
      <c r="D161">
        <v>5</v>
      </c>
      <c r="E161" t="s">
        <v>3</v>
      </c>
      <c r="F161" t="str">
        <f t="shared" si="5"/>
        <v>Nie</v>
      </c>
    </row>
    <row r="162" spans="1:6" x14ac:dyDescent="0.25">
      <c r="A162">
        <v>700495086</v>
      </c>
      <c r="B162" s="1">
        <v>42895</v>
      </c>
      <c r="C162" s="2">
        <v>0.32500000000000001</v>
      </c>
      <c r="D162">
        <v>3</v>
      </c>
      <c r="E162" t="s">
        <v>4</v>
      </c>
      <c r="F162" t="str">
        <f t="shared" si="5"/>
        <v>Nie</v>
      </c>
    </row>
    <row r="163" spans="1:6" x14ac:dyDescent="0.25">
      <c r="A163">
        <v>812963280</v>
      </c>
      <c r="B163" s="1">
        <v>42895</v>
      </c>
      <c r="C163" s="2">
        <v>0.42430555555555555</v>
      </c>
      <c r="D163">
        <v>4</v>
      </c>
      <c r="E163" t="s">
        <v>4</v>
      </c>
      <c r="F163" t="str">
        <f t="shared" si="5"/>
        <v>Nie</v>
      </c>
    </row>
    <row r="164" spans="1:6" x14ac:dyDescent="0.25">
      <c r="A164">
        <v>966891570</v>
      </c>
      <c r="B164" s="1">
        <v>42895</v>
      </c>
      <c r="C164" s="2">
        <v>0.44374999999999998</v>
      </c>
      <c r="D164">
        <v>6</v>
      </c>
      <c r="E164" t="s">
        <v>5</v>
      </c>
      <c r="F164" t="str">
        <f t="shared" si="5"/>
        <v>Tak</v>
      </c>
    </row>
    <row r="165" spans="1:6" x14ac:dyDescent="0.25">
      <c r="A165">
        <v>798172945</v>
      </c>
      <c r="B165" s="1">
        <v>42895</v>
      </c>
      <c r="C165" s="2">
        <v>0.47569444444444442</v>
      </c>
      <c r="D165">
        <v>1</v>
      </c>
      <c r="E165" t="s">
        <v>5</v>
      </c>
      <c r="F165" t="str">
        <f t="shared" si="5"/>
        <v>Nie</v>
      </c>
    </row>
    <row r="166" spans="1:6" x14ac:dyDescent="0.25">
      <c r="A166">
        <v>771900851</v>
      </c>
      <c r="B166" s="1">
        <v>42895</v>
      </c>
      <c r="C166" s="2">
        <v>0.54722222222222228</v>
      </c>
      <c r="D166">
        <v>3</v>
      </c>
      <c r="E166" t="s">
        <v>3</v>
      </c>
      <c r="F166" t="str">
        <f t="shared" si="5"/>
        <v>Nie</v>
      </c>
    </row>
    <row r="167" spans="1:6" x14ac:dyDescent="0.25">
      <c r="A167">
        <v>510545620</v>
      </c>
      <c r="B167" s="1">
        <v>42895</v>
      </c>
      <c r="C167" s="2">
        <v>0.54861111111111116</v>
      </c>
      <c r="D167">
        <v>1</v>
      </c>
      <c r="E167" t="s">
        <v>3</v>
      </c>
      <c r="F167" t="str">
        <f t="shared" si="5"/>
        <v>Tak</v>
      </c>
    </row>
    <row r="168" spans="1:6" x14ac:dyDescent="0.25">
      <c r="A168">
        <v>700904288</v>
      </c>
      <c r="B168" s="1">
        <v>42895</v>
      </c>
      <c r="C168" s="2">
        <v>0.625</v>
      </c>
      <c r="D168">
        <v>3</v>
      </c>
      <c r="E168" t="s">
        <v>5</v>
      </c>
      <c r="F168" t="str">
        <f t="shared" si="5"/>
        <v>Tak</v>
      </c>
    </row>
    <row r="169" spans="1:6" x14ac:dyDescent="0.25">
      <c r="A169">
        <v>465117230</v>
      </c>
      <c r="B169" s="1">
        <v>42895</v>
      </c>
      <c r="C169" s="2">
        <v>0.62569444444444444</v>
      </c>
      <c r="D169">
        <v>2</v>
      </c>
      <c r="E169" t="s">
        <v>4</v>
      </c>
      <c r="F169" t="str">
        <f t="shared" si="5"/>
        <v>Nie</v>
      </c>
    </row>
    <row r="170" spans="1:6" x14ac:dyDescent="0.25">
      <c r="A170">
        <v>761865210</v>
      </c>
      <c r="B170" s="1">
        <v>42895</v>
      </c>
      <c r="C170" s="2">
        <v>0.6333333333333333</v>
      </c>
      <c r="D170">
        <v>1</v>
      </c>
      <c r="E170" t="s">
        <v>3</v>
      </c>
      <c r="F170" t="str">
        <f t="shared" si="5"/>
        <v>Tak</v>
      </c>
    </row>
    <row r="171" spans="1:6" x14ac:dyDescent="0.25">
      <c r="A171">
        <v>610753756</v>
      </c>
      <c r="B171" s="1">
        <v>42895</v>
      </c>
      <c r="C171" s="2">
        <v>0.69027777777777777</v>
      </c>
      <c r="D171">
        <v>2</v>
      </c>
      <c r="E171" t="s">
        <v>4</v>
      </c>
      <c r="F171" t="str">
        <f t="shared" si="5"/>
        <v>Nie</v>
      </c>
    </row>
    <row r="172" spans="1:6" x14ac:dyDescent="0.25">
      <c r="A172">
        <v>821599246</v>
      </c>
      <c r="B172" s="1">
        <v>42895</v>
      </c>
      <c r="C172" s="2">
        <v>0.72222222222222221</v>
      </c>
      <c r="D172">
        <v>4</v>
      </c>
      <c r="E172" t="s">
        <v>4</v>
      </c>
      <c r="F172" t="str">
        <f t="shared" si="5"/>
        <v>Nie</v>
      </c>
    </row>
    <row r="173" spans="1:6" x14ac:dyDescent="0.25">
      <c r="A173">
        <v>767455643</v>
      </c>
      <c r="B173" s="1">
        <v>42895</v>
      </c>
      <c r="C173" s="2">
        <v>0.78472222222222221</v>
      </c>
      <c r="D173">
        <v>1</v>
      </c>
      <c r="E173" t="s">
        <v>5</v>
      </c>
      <c r="F173" t="str">
        <f t="shared" si="5"/>
        <v>Nie</v>
      </c>
    </row>
    <row r="174" spans="1:6" x14ac:dyDescent="0.25">
      <c r="A174">
        <v>642498400</v>
      </c>
      <c r="B174" s="1">
        <v>42895</v>
      </c>
      <c r="C174" s="2">
        <v>0.78680555555555554</v>
      </c>
      <c r="D174">
        <v>1</v>
      </c>
      <c r="E174" t="s">
        <v>4</v>
      </c>
      <c r="F174" t="str">
        <f t="shared" si="5"/>
        <v>Nie</v>
      </c>
    </row>
    <row r="175" spans="1:6" x14ac:dyDescent="0.25">
      <c r="A175">
        <v>528251644</v>
      </c>
      <c r="B175" s="1">
        <v>42895</v>
      </c>
      <c r="C175" s="2">
        <v>0.79513888888888884</v>
      </c>
      <c r="D175">
        <v>3</v>
      </c>
      <c r="E175" t="s">
        <v>5</v>
      </c>
      <c r="F175" t="str">
        <f t="shared" si="5"/>
        <v>Tak</v>
      </c>
    </row>
    <row r="176" spans="1:6" x14ac:dyDescent="0.25">
      <c r="A176">
        <v>523119994</v>
      </c>
      <c r="B176" s="1">
        <v>42895</v>
      </c>
      <c r="C176" s="2">
        <v>0.88541666666666663</v>
      </c>
      <c r="D176">
        <v>6</v>
      </c>
      <c r="E176" t="s">
        <v>3</v>
      </c>
      <c r="F176" t="str">
        <f t="shared" si="5"/>
        <v>Nie</v>
      </c>
    </row>
    <row r="177" spans="1:6" x14ac:dyDescent="0.25">
      <c r="A177">
        <v>660369247</v>
      </c>
      <c r="B177" s="1">
        <v>42895</v>
      </c>
      <c r="C177" s="2">
        <v>0.89027777777777772</v>
      </c>
      <c r="D177">
        <v>4</v>
      </c>
      <c r="E177" t="s">
        <v>3</v>
      </c>
      <c r="F177" t="str">
        <f t="shared" si="5"/>
        <v>Tak</v>
      </c>
    </row>
    <row r="178" spans="1:6" x14ac:dyDescent="0.25">
      <c r="A178">
        <v>646331178</v>
      </c>
      <c r="B178" s="1">
        <v>42895</v>
      </c>
      <c r="C178" s="2">
        <v>0.91527777777777775</v>
      </c>
      <c r="D178">
        <v>2</v>
      </c>
      <c r="E178" t="s">
        <v>4</v>
      </c>
      <c r="F178" t="str">
        <f t="shared" si="5"/>
        <v>Nie</v>
      </c>
    </row>
    <row r="179" spans="1:6" x14ac:dyDescent="0.25">
      <c r="A179">
        <v>436204880</v>
      </c>
      <c r="B179" s="1">
        <v>42895</v>
      </c>
      <c r="C179" s="2">
        <v>0.95416666666666672</v>
      </c>
      <c r="D179">
        <v>4</v>
      </c>
      <c r="E179" t="s">
        <v>4</v>
      </c>
      <c r="F179" t="str">
        <f t="shared" si="5"/>
        <v>Nie</v>
      </c>
    </row>
    <row r="180" spans="1:6" x14ac:dyDescent="0.25">
      <c r="A180">
        <v>816898273</v>
      </c>
      <c r="B180" s="1">
        <v>42896</v>
      </c>
      <c r="C180" s="2">
        <v>1.5972222222222221E-2</v>
      </c>
      <c r="D180">
        <v>1</v>
      </c>
      <c r="E180" t="s">
        <v>4</v>
      </c>
      <c r="F180" t="str">
        <f t="shared" si="5"/>
        <v>Nie</v>
      </c>
    </row>
    <row r="181" spans="1:6" x14ac:dyDescent="0.25">
      <c r="A181">
        <v>779057265</v>
      </c>
      <c r="B181" s="1">
        <v>42896</v>
      </c>
      <c r="C181" s="2">
        <v>3.8194444444444448E-2</v>
      </c>
      <c r="D181">
        <v>6</v>
      </c>
      <c r="E181" t="s">
        <v>4</v>
      </c>
      <c r="F181" t="str">
        <f t="shared" si="5"/>
        <v>Nie</v>
      </c>
    </row>
    <row r="182" spans="1:6" x14ac:dyDescent="0.25">
      <c r="A182">
        <v>927675902</v>
      </c>
      <c r="B182" s="1">
        <v>42896</v>
      </c>
      <c r="C182" s="2">
        <v>0.10902777777777778</v>
      </c>
      <c r="D182">
        <v>2</v>
      </c>
      <c r="E182" t="s">
        <v>5</v>
      </c>
      <c r="F182" t="str">
        <f t="shared" si="5"/>
        <v>Tak</v>
      </c>
    </row>
    <row r="183" spans="1:6" x14ac:dyDescent="0.25">
      <c r="A183">
        <v>820747074</v>
      </c>
      <c r="B183" s="1">
        <v>42896</v>
      </c>
      <c r="C183" s="2">
        <v>0.12569444444444444</v>
      </c>
      <c r="D183">
        <v>4</v>
      </c>
      <c r="E183" t="s">
        <v>3</v>
      </c>
      <c r="F183" t="str">
        <f t="shared" si="5"/>
        <v>Tak</v>
      </c>
    </row>
    <row r="184" spans="1:6" x14ac:dyDescent="0.25">
      <c r="A184">
        <v>475050084</v>
      </c>
      <c r="B184" s="1">
        <v>42896</v>
      </c>
      <c r="C184" s="2">
        <v>0.22361111111111112</v>
      </c>
      <c r="D184">
        <v>6</v>
      </c>
      <c r="E184" t="s">
        <v>4</v>
      </c>
      <c r="F184" t="str">
        <f t="shared" si="5"/>
        <v>Nie</v>
      </c>
    </row>
    <row r="185" spans="1:6" x14ac:dyDescent="0.25">
      <c r="A185">
        <v>668665435</v>
      </c>
      <c r="B185" s="1">
        <v>42896</v>
      </c>
      <c r="C185" s="2">
        <v>0.23680555555555555</v>
      </c>
      <c r="D185">
        <v>3</v>
      </c>
      <c r="E185" t="s">
        <v>4</v>
      </c>
      <c r="F185" t="str">
        <f t="shared" si="5"/>
        <v>Nie</v>
      </c>
    </row>
    <row r="186" spans="1:6" x14ac:dyDescent="0.25">
      <c r="A186">
        <v>419466934</v>
      </c>
      <c r="B186" s="1">
        <v>42896</v>
      </c>
      <c r="C186" s="2">
        <v>0.24444444444444444</v>
      </c>
      <c r="D186">
        <v>2</v>
      </c>
      <c r="E186" t="s">
        <v>5</v>
      </c>
      <c r="F186" t="str">
        <f t="shared" si="5"/>
        <v>Tak</v>
      </c>
    </row>
    <row r="187" spans="1:6" x14ac:dyDescent="0.25">
      <c r="A187">
        <v>740131554</v>
      </c>
      <c r="B187" s="1">
        <v>42896</v>
      </c>
      <c r="C187" s="2">
        <v>0.33680555555555558</v>
      </c>
      <c r="D187">
        <v>3</v>
      </c>
      <c r="E187" t="s">
        <v>5</v>
      </c>
      <c r="F187" t="str">
        <f t="shared" si="5"/>
        <v>Tak</v>
      </c>
    </row>
    <row r="188" spans="1:6" x14ac:dyDescent="0.25">
      <c r="A188">
        <v>968215037</v>
      </c>
      <c r="B188" s="1">
        <v>42896</v>
      </c>
      <c r="C188" s="2">
        <v>0.37361111111111112</v>
      </c>
      <c r="D188">
        <v>4</v>
      </c>
      <c r="E188" t="s">
        <v>3</v>
      </c>
      <c r="F188" t="str">
        <f t="shared" si="5"/>
        <v>Tak</v>
      </c>
    </row>
    <row r="189" spans="1:6" x14ac:dyDescent="0.25">
      <c r="A189">
        <v>904947298</v>
      </c>
      <c r="B189" s="1">
        <v>42896</v>
      </c>
      <c r="C189" s="2">
        <v>0.37777777777777777</v>
      </c>
      <c r="D189">
        <v>6</v>
      </c>
      <c r="E189" t="s">
        <v>3</v>
      </c>
      <c r="F189" t="str">
        <f t="shared" si="5"/>
        <v>Nie</v>
      </c>
    </row>
    <row r="190" spans="1:6" x14ac:dyDescent="0.25">
      <c r="A190">
        <v>462228046</v>
      </c>
      <c r="B190" s="1">
        <v>42896</v>
      </c>
      <c r="C190" s="2">
        <v>0.4201388888888889</v>
      </c>
      <c r="D190">
        <v>3</v>
      </c>
      <c r="E190" t="s">
        <v>4</v>
      </c>
      <c r="F190" t="str">
        <f t="shared" si="5"/>
        <v>Nie</v>
      </c>
    </row>
    <row r="191" spans="1:6" x14ac:dyDescent="0.25">
      <c r="A191">
        <v>697564855</v>
      </c>
      <c r="B191" s="1">
        <v>42896</v>
      </c>
      <c r="C191" s="2">
        <v>0.45833333333333331</v>
      </c>
      <c r="D191">
        <v>1</v>
      </c>
      <c r="E191" t="s">
        <v>4</v>
      </c>
      <c r="F191" t="str">
        <f t="shared" si="5"/>
        <v>Nie</v>
      </c>
    </row>
    <row r="192" spans="1:6" x14ac:dyDescent="0.25">
      <c r="A192">
        <v>794124811</v>
      </c>
      <c r="B192" s="1">
        <v>42896</v>
      </c>
      <c r="C192" s="2">
        <v>0.49305555555555558</v>
      </c>
      <c r="D192">
        <v>2</v>
      </c>
      <c r="E192" t="s">
        <v>4</v>
      </c>
      <c r="F192" t="str">
        <f t="shared" si="5"/>
        <v>Nie</v>
      </c>
    </row>
    <row r="193" spans="1:6" x14ac:dyDescent="0.25">
      <c r="A193">
        <v>441107239</v>
      </c>
      <c r="B193" s="1">
        <v>42896</v>
      </c>
      <c r="C193" s="2">
        <v>0.625</v>
      </c>
      <c r="D193">
        <v>4</v>
      </c>
      <c r="E193" t="s">
        <v>5</v>
      </c>
      <c r="F193" t="str">
        <f t="shared" si="5"/>
        <v>Nie</v>
      </c>
    </row>
    <row r="194" spans="1:6" x14ac:dyDescent="0.25">
      <c r="A194">
        <v>798722777</v>
      </c>
      <c r="B194" s="1">
        <v>42896</v>
      </c>
      <c r="C194" s="2">
        <v>0.62777777777777777</v>
      </c>
      <c r="D194">
        <v>2</v>
      </c>
      <c r="E194" t="s">
        <v>3</v>
      </c>
      <c r="F194" t="str">
        <f t="shared" ref="F194:F257" si="6">IF(E194=VLOOKUP(D194,$M$23:$O$30,2,FALSE),"Tak","Nie")</f>
        <v>Nie</v>
      </c>
    </row>
    <row r="195" spans="1:6" x14ac:dyDescent="0.25">
      <c r="A195">
        <v>517627557</v>
      </c>
      <c r="B195" s="1">
        <v>42896</v>
      </c>
      <c r="C195" s="2">
        <v>0.64861111111111114</v>
      </c>
      <c r="D195">
        <v>1</v>
      </c>
      <c r="E195" t="s">
        <v>4</v>
      </c>
      <c r="F195" t="str">
        <f t="shared" si="6"/>
        <v>Nie</v>
      </c>
    </row>
    <row r="196" spans="1:6" x14ac:dyDescent="0.25">
      <c r="A196">
        <v>872033418</v>
      </c>
      <c r="B196" s="1">
        <v>42896</v>
      </c>
      <c r="C196" s="2">
        <v>0.68402777777777779</v>
      </c>
      <c r="D196">
        <v>6</v>
      </c>
      <c r="E196" t="s">
        <v>5</v>
      </c>
      <c r="F196" t="str">
        <f t="shared" si="6"/>
        <v>Tak</v>
      </c>
    </row>
    <row r="197" spans="1:6" x14ac:dyDescent="0.25">
      <c r="A197">
        <v>495040348</v>
      </c>
      <c r="B197" s="1">
        <v>42896</v>
      </c>
      <c r="C197" s="2">
        <v>0.74305555555555558</v>
      </c>
      <c r="D197">
        <v>5</v>
      </c>
      <c r="E197" t="s">
        <v>5</v>
      </c>
      <c r="F197" t="str">
        <f t="shared" si="6"/>
        <v>Nie</v>
      </c>
    </row>
    <row r="198" spans="1:6" x14ac:dyDescent="0.25">
      <c r="A198">
        <v>419882797</v>
      </c>
      <c r="B198" s="1">
        <v>42896</v>
      </c>
      <c r="C198" s="2">
        <v>0.83194444444444449</v>
      </c>
      <c r="D198">
        <v>1</v>
      </c>
      <c r="E198" t="s">
        <v>3</v>
      </c>
      <c r="F198" t="str">
        <f t="shared" si="6"/>
        <v>Tak</v>
      </c>
    </row>
    <row r="199" spans="1:6" x14ac:dyDescent="0.25">
      <c r="A199">
        <v>825637637</v>
      </c>
      <c r="B199" s="1">
        <v>42896</v>
      </c>
      <c r="C199" s="2">
        <v>0.84444444444444444</v>
      </c>
      <c r="D199">
        <v>5</v>
      </c>
      <c r="E199" t="s">
        <v>3</v>
      </c>
      <c r="F199" t="str">
        <f t="shared" si="6"/>
        <v>Nie</v>
      </c>
    </row>
    <row r="200" spans="1:6" x14ac:dyDescent="0.25">
      <c r="A200">
        <v>718456326</v>
      </c>
      <c r="B200" s="1">
        <v>42896</v>
      </c>
      <c r="C200" s="2">
        <v>0.89652777777777781</v>
      </c>
      <c r="D200">
        <v>6</v>
      </c>
      <c r="E200" t="s">
        <v>4</v>
      </c>
      <c r="F200" t="str">
        <f t="shared" si="6"/>
        <v>Nie</v>
      </c>
    </row>
    <row r="201" spans="1:6" x14ac:dyDescent="0.25">
      <c r="A201">
        <v>460435412</v>
      </c>
      <c r="B201" s="1">
        <v>42896</v>
      </c>
      <c r="C201" s="2">
        <v>0.90416666666666667</v>
      </c>
      <c r="D201">
        <v>6</v>
      </c>
      <c r="E201" t="s">
        <v>4</v>
      </c>
      <c r="F201" t="str">
        <f t="shared" si="6"/>
        <v>Nie</v>
      </c>
    </row>
    <row r="202" spans="1:6" x14ac:dyDescent="0.25">
      <c r="A202">
        <v>839267743</v>
      </c>
      <c r="B202" s="1">
        <v>42896</v>
      </c>
      <c r="C202" s="2">
        <v>0.98958333333333337</v>
      </c>
      <c r="D202">
        <v>6</v>
      </c>
      <c r="E202" t="s">
        <v>4</v>
      </c>
      <c r="F202" t="str">
        <f t="shared" si="6"/>
        <v>Nie</v>
      </c>
    </row>
    <row r="203" spans="1:6" x14ac:dyDescent="0.25">
      <c r="A203">
        <v>449142117</v>
      </c>
      <c r="B203" s="1">
        <v>42897</v>
      </c>
      <c r="C203" s="2">
        <v>2.4305555555555556E-2</v>
      </c>
      <c r="D203">
        <v>5</v>
      </c>
      <c r="E203" t="s">
        <v>4</v>
      </c>
      <c r="F203" t="str">
        <f t="shared" si="6"/>
        <v>Tak</v>
      </c>
    </row>
    <row r="204" spans="1:6" x14ac:dyDescent="0.25">
      <c r="A204">
        <v>527844169</v>
      </c>
      <c r="B204" s="1">
        <v>42897</v>
      </c>
      <c r="C204" s="2">
        <v>5.2083333333333336E-2</v>
      </c>
      <c r="D204">
        <v>4</v>
      </c>
      <c r="E204" t="s">
        <v>5</v>
      </c>
      <c r="F204" t="str">
        <f t="shared" si="6"/>
        <v>Nie</v>
      </c>
    </row>
    <row r="205" spans="1:6" x14ac:dyDescent="0.25">
      <c r="A205">
        <v>604155508</v>
      </c>
      <c r="B205" s="1">
        <v>42897</v>
      </c>
      <c r="C205" s="2">
        <v>0.1076388888888889</v>
      </c>
      <c r="D205">
        <v>6</v>
      </c>
      <c r="E205" t="s">
        <v>3</v>
      </c>
      <c r="F205" t="str">
        <f t="shared" si="6"/>
        <v>Nie</v>
      </c>
    </row>
    <row r="206" spans="1:6" x14ac:dyDescent="0.25">
      <c r="A206">
        <v>962590136</v>
      </c>
      <c r="B206" s="1">
        <v>42897</v>
      </c>
      <c r="C206" s="2">
        <v>0.19375000000000001</v>
      </c>
      <c r="D206">
        <v>5</v>
      </c>
      <c r="E206" t="s">
        <v>4</v>
      </c>
      <c r="F206" t="str">
        <f t="shared" si="6"/>
        <v>Tak</v>
      </c>
    </row>
    <row r="207" spans="1:6" x14ac:dyDescent="0.25">
      <c r="A207">
        <v>846230088</v>
      </c>
      <c r="B207" s="1">
        <v>42897</v>
      </c>
      <c r="C207" s="2">
        <v>0.28888888888888886</v>
      </c>
      <c r="D207">
        <v>4</v>
      </c>
      <c r="E207" t="s">
        <v>4</v>
      </c>
      <c r="F207" t="str">
        <f t="shared" si="6"/>
        <v>Nie</v>
      </c>
    </row>
    <row r="208" spans="1:6" x14ac:dyDescent="0.25">
      <c r="A208">
        <v>636707278</v>
      </c>
      <c r="B208" s="1">
        <v>42897</v>
      </c>
      <c r="C208" s="2">
        <v>0.34236111111111112</v>
      </c>
      <c r="D208">
        <v>5</v>
      </c>
      <c r="E208" t="s">
        <v>5</v>
      </c>
      <c r="F208" t="str">
        <f t="shared" si="6"/>
        <v>Nie</v>
      </c>
    </row>
    <row r="209" spans="1:6" x14ac:dyDescent="0.25">
      <c r="A209">
        <v>944317998</v>
      </c>
      <c r="B209" s="1">
        <v>42897</v>
      </c>
      <c r="C209" s="2">
        <v>0.38611111111111113</v>
      </c>
      <c r="D209">
        <v>4</v>
      </c>
      <c r="E209" t="s">
        <v>5</v>
      </c>
      <c r="F209" t="str">
        <f t="shared" si="6"/>
        <v>Nie</v>
      </c>
    </row>
    <row r="210" spans="1:6" x14ac:dyDescent="0.25">
      <c r="A210">
        <v>846541390</v>
      </c>
      <c r="B210" s="1">
        <v>42897</v>
      </c>
      <c r="C210" s="2">
        <v>0.46805555555555556</v>
      </c>
      <c r="D210">
        <v>6</v>
      </c>
      <c r="E210" t="s">
        <v>3</v>
      </c>
      <c r="F210" t="str">
        <f t="shared" si="6"/>
        <v>Nie</v>
      </c>
    </row>
    <row r="211" spans="1:6" x14ac:dyDescent="0.25">
      <c r="A211">
        <v>698351117</v>
      </c>
      <c r="B211" s="1">
        <v>42897</v>
      </c>
      <c r="C211" s="2">
        <v>0.56319444444444444</v>
      </c>
      <c r="D211">
        <v>3</v>
      </c>
      <c r="E211" t="s">
        <v>3</v>
      </c>
      <c r="F211" t="str">
        <f t="shared" si="6"/>
        <v>Nie</v>
      </c>
    </row>
    <row r="212" spans="1:6" x14ac:dyDescent="0.25">
      <c r="A212">
        <v>605832809</v>
      </c>
      <c r="B212" s="1">
        <v>42897</v>
      </c>
      <c r="C212" s="2">
        <v>0.56458333333333333</v>
      </c>
      <c r="D212">
        <v>5</v>
      </c>
      <c r="E212" t="s">
        <v>4</v>
      </c>
      <c r="F212" t="str">
        <f t="shared" si="6"/>
        <v>Tak</v>
      </c>
    </row>
    <row r="213" spans="1:6" x14ac:dyDescent="0.25">
      <c r="A213">
        <v>404737060</v>
      </c>
      <c r="B213" s="1">
        <v>42897</v>
      </c>
      <c r="C213" s="2">
        <v>0.62222222222222223</v>
      </c>
      <c r="D213">
        <v>3</v>
      </c>
      <c r="E213" t="s">
        <v>4</v>
      </c>
      <c r="F213" t="str">
        <f t="shared" si="6"/>
        <v>Nie</v>
      </c>
    </row>
    <row r="214" spans="1:6" x14ac:dyDescent="0.25">
      <c r="A214">
        <v>805081789</v>
      </c>
      <c r="B214" s="1">
        <v>42897</v>
      </c>
      <c r="C214" s="2">
        <v>0.625</v>
      </c>
      <c r="D214">
        <v>6</v>
      </c>
      <c r="E214" t="s">
        <v>5</v>
      </c>
      <c r="F214" t="str">
        <f t="shared" si="6"/>
        <v>Tak</v>
      </c>
    </row>
    <row r="215" spans="1:6" x14ac:dyDescent="0.25">
      <c r="A215">
        <v>689388014</v>
      </c>
      <c r="B215" s="1">
        <v>42897</v>
      </c>
      <c r="C215" s="2">
        <v>0.63472222222222219</v>
      </c>
      <c r="D215">
        <v>2</v>
      </c>
      <c r="E215" t="s">
        <v>4</v>
      </c>
      <c r="F215" t="str">
        <f t="shared" si="6"/>
        <v>Nie</v>
      </c>
    </row>
    <row r="216" spans="1:6" x14ac:dyDescent="0.25">
      <c r="A216">
        <v>524879436</v>
      </c>
      <c r="B216" s="1">
        <v>42897</v>
      </c>
      <c r="C216" s="2">
        <v>0.6743055555555556</v>
      </c>
      <c r="D216">
        <v>4</v>
      </c>
      <c r="E216" t="s">
        <v>3</v>
      </c>
      <c r="F216" t="str">
        <f t="shared" si="6"/>
        <v>Tak</v>
      </c>
    </row>
    <row r="217" spans="1:6" x14ac:dyDescent="0.25">
      <c r="A217">
        <v>609352116</v>
      </c>
      <c r="B217" s="1">
        <v>42897</v>
      </c>
      <c r="C217" s="2">
        <v>0.71527777777777779</v>
      </c>
      <c r="D217">
        <v>5</v>
      </c>
      <c r="E217" t="s">
        <v>4</v>
      </c>
      <c r="F217" t="str">
        <f t="shared" si="6"/>
        <v>Tak</v>
      </c>
    </row>
    <row r="218" spans="1:6" x14ac:dyDescent="0.25">
      <c r="A218">
        <v>593482135</v>
      </c>
      <c r="B218" s="1">
        <v>42897</v>
      </c>
      <c r="C218" s="2">
        <v>0.79722222222222228</v>
      </c>
      <c r="D218">
        <v>4</v>
      </c>
      <c r="E218" t="s">
        <v>5</v>
      </c>
      <c r="F218" t="str">
        <f t="shared" si="6"/>
        <v>Nie</v>
      </c>
    </row>
    <row r="219" spans="1:6" x14ac:dyDescent="0.25">
      <c r="A219">
        <v>728115576</v>
      </c>
      <c r="B219" s="1">
        <v>42897</v>
      </c>
      <c r="C219" s="2">
        <v>0.8520833333333333</v>
      </c>
      <c r="D219">
        <v>2</v>
      </c>
      <c r="E219" t="s">
        <v>5</v>
      </c>
      <c r="F219" t="str">
        <f t="shared" si="6"/>
        <v>Tak</v>
      </c>
    </row>
    <row r="220" spans="1:6" x14ac:dyDescent="0.25">
      <c r="A220">
        <v>934648980</v>
      </c>
      <c r="B220" s="1">
        <v>42897</v>
      </c>
      <c r="C220" s="2">
        <v>0.9458333333333333</v>
      </c>
      <c r="D220">
        <v>4</v>
      </c>
      <c r="E220" t="s">
        <v>3</v>
      </c>
      <c r="F220" t="str">
        <f t="shared" si="6"/>
        <v>Tak</v>
      </c>
    </row>
    <row r="221" spans="1:6" x14ac:dyDescent="0.25">
      <c r="A221">
        <v>812072906</v>
      </c>
      <c r="B221" s="1">
        <v>42898</v>
      </c>
      <c r="C221" s="2">
        <v>1.7361111111111112E-2</v>
      </c>
      <c r="D221">
        <v>6</v>
      </c>
      <c r="E221" t="s">
        <v>3</v>
      </c>
      <c r="F221" t="str">
        <f t="shared" si="6"/>
        <v>Nie</v>
      </c>
    </row>
    <row r="222" spans="1:6" x14ac:dyDescent="0.25">
      <c r="A222">
        <v>843107580</v>
      </c>
      <c r="B222" s="1">
        <v>42898</v>
      </c>
      <c r="C222" s="2">
        <v>0.11458333333333333</v>
      </c>
      <c r="D222">
        <v>1</v>
      </c>
      <c r="E222" t="s">
        <v>4</v>
      </c>
      <c r="F222" t="str">
        <f t="shared" si="6"/>
        <v>Nie</v>
      </c>
    </row>
    <row r="223" spans="1:6" x14ac:dyDescent="0.25">
      <c r="A223">
        <v>975779685</v>
      </c>
      <c r="B223" s="1">
        <v>42898</v>
      </c>
      <c r="C223" s="2">
        <v>0.20208333333333334</v>
      </c>
      <c r="D223">
        <v>6</v>
      </c>
      <c r="E223" t="s">
        <v>4</v>
      </c>
      <c r="F223" t="str">
        <f t="shared" si="6"/>
        <v>Nie</v>
      </c>
    </row>
    <row r="224" spans="1:6" x14ac:dyDescent="0.25">
      <c r="A224">
        <v>653453675</v>
      </c>
      <c r="B224" s="1">
        <v>42898</v>
      </c>
      <c r="C224" s="2">
        <v>0.21736111111111112</v>
      </c>
      <c r="D224">
        <v>1</v>
      </c>
      <c r="E224" t="s">
        <v>4</v>
      </c>
      <c r="F224" t="str">
        <f t="shared" si="6"/>
        <v>Nie</v>
      </c>
    </row>
    <row r="225" spans="1:6" x14ac:dyDescent="0.25">
      <c r="A225">
        <v>496232896</v>
      </c>
      <c r="B225" s="1">
        <v>42898</v>
      </c>
      <c r="C225" s="2">
        <v>0.27916666666666667</v>
      </c>
      <c r="D225">
        <v>1</v>
      </c>
      <c r="E225" t="s">
        <v>4</v>
      </c>
      <c r="F225" t="str">
        <f t="shared" si="6"/>
        <v>Nie</v>
      </c>
    </row>
    <row r="226" spans="1:6" x14ac:dyDescent="0.25">
      <c r="A226">
        <v>751883596</v>
      </c>
      <c r="B226" s="1">
        <v>42898</v>
      </c>
      <c r="C226" s="2">
        <v>0.37708333333333333</v>
      </c>
      <c r="D226">
        <v>3</v>
      </c>
      <c r="E226" t="s">
        <v>5</v>
      </c>
      <c r="F226" t="str">
        <f t="shared" si="6"/>
        <v>Tak</v>
      </c>
    </row>
    <row r="227" spans="1:6" x14ac:dyDescent="0.25">
      <c r="A227">
        <v>484574935</v>
      </c>
      <c r="B227" s="1">
        <v>42898</v>
      </c>
      <c r="C227" s="2">
        <v>0.42777777777777776</v>
      </c>
      <c r="D227">
        <v>2</v>
      </c>
      <c r="E227" t="s">
        <v>3</v>
      </c>
      <c r="F227" t="str">
        <f t="shared" si="6"/>
        <v>Nie</v>
      </c>
    </row>
    <row r="228" spans="1:6" x14ac:dyDescent="0.25">
      <c r="A228">
        <v>536189964</v>
      </c>
      <c r="B228" s="1">
        <v>42898</v>
      </c>
      <c r="C228" s="2">
        <v>0.52083333333333337</v>
      </c>
      <c r="D228">
        <v>1</v>
      </c>
      <c r="E228" t="s">
        <v>4</v>
      </c>
      <c r="F228" t="str">
        <f t="shared" si="6"/>
        <v>Nie</v>
      </c>
    </row>
    <row r="229" spans="1:6" x14ac:dyDescent="0.25">
      <c r="A229">
        <v>679343086</v>
      </c>
      <c r="B229" s="1">
        <v>42898</v>
      </c>
      <c r="C229" s="2">
        <v>0.5444444444444444</v>
      </c>
      <c r="D229">
        <v>6</v>
      </c>
      <c r="E229" t="s">
        <v>4</v>
      </c>
      <c r="F229" t="str">
        <f t="shared" si="6"/>
        <v>Nie</v>
      </c>
    </row>
    <row r="230" spans="1:6" x14ac:dyDescent="0.25">
      <c r="A230">
        <v>896103695</v>
      </c>
      <c r="B230" s="1">
        <v>42898</v>
      </c>
      <c r="C230" s="2">
        <v>0.625</v>
      </c>
      <c r="D230">
        <v>1</v>
      </c>
      <c r="E230" t="s">
        <v>5</v>
      </c>
      <c r="F230" t="str">
        <f t="shared" si="6"/>
        <v>Nie</v>
      </c>
    </row>
    <row r="231" spans="1:6" x14ac:dyDescent="0.25">
      <c r="A231">
        <v>412803978</v>
      </c>
      <c r="B231" s="1">
        <v>42898</v>
      </c>
      <c r="C231" s="2">
        <v>0.62777777777777777</v>
      </c>
      <c r="D231">
        <v>1</v>
      </c>
      <c r="E231" t="s">
        <v>5</v>
      </c>
      <c r="F231" t="str">
        <f t="shared" si="6"/>
        <v>Nie</v>
      </c>
    </row>
    <row r="232" spans="1:6" x14ac:dyDescent="0.25">
      <c r="A232">
        <v>811590408</v>
      </c>
      <c r="B232" s="1">
        <v>42898</v>
      </c>
      <c r="C232" s="2">
        <v>0.62777777777777777</v>
      </c>
      <c r="D232">
        <v>6</v>
      </c>
      <c r="E232" t="s">
        <v>5</v>
      </c>
      <c r="F232" t="str">
        <f t="shared" si="6"/>
        <v>Tak</v>
      </c>
    </row>
    <row r="233" spans="1:6" x14ac:dyDescent="0.25">
      <c r="A233">
        <v>798938539</v>
      </c>
      <c r="B233" s="1">
        <v>42898</v>
      </c>
      <c r="C233" s="2">
        <v>0.64583333333333337</v>
      </c>
      <c r="D233">
        <v>3</v>
      </c>
      <c r="E233" t="s">
        <v>3</v>
      </c>
      <c r="F233" t="str">
        <f t="shared" si="6"/>
        <v>Nie</v>
      </c>
    </row>
    <row r="234" spans="1:6" x14ac:dyDescent="0.25">
      <c r="A234">
        <v>425335678</v>
      </c>
      <c r="B234" s="1">
        <v>42898</v>
      </c>
      <c r="C234" s="2">
        <v>0.6875</v>
      </c>
      <c r="D234">
        <v>5</v>
      </c>
      <c r="E234" t="s">
        <v>3</v>
      </c>
      <c r="F234" t="str">
        <f t="shared" si="6"/>
        <v>Nie</v>
      </c>
    </row>
    <row r="235" spans="1:6" x14ac:dyDescent="0.25">
      <c r="A235">
        <v>893512481</v>
      </c>
      <c r="B235" s="1">
        <v>42898</v>
      </c>
      <c r="C235" s="2">
        <v>0.70763888888888893</v>
      </c>
      <c r="D235">
        <v>2</v>
      </c>
      <c r="E235" t="s">
        <v>3</v>
      </c>
      <c r="F235" t="str">
        <f t="shared" si="6"/>
        <v>Nie</v>
      </c>
    </row>
    <row r="236" spans="1:6" x14ac:dyDescent="0.25">
      <c r="A236">
        <v>645353548</v>
      </c>
      <c r="B236" s="1">
        <v>42898</v>
      </c>
      <c r="C236" s="2">
        <v>0.72986111111111107</v>
      </c>
      <c r="D236">
        <v>2</v>
      </c>
      <c r="E236" t="s">
        <v>4</v>
      </c>
      <c r="F236" t="str">
        <f t="shared" si="6"/>
        <v>Nie</v>
      </c>
    </row>
    <row r="237" spans="1:6" x14ac:dyDescent="0.25">
      <c r="A237">
        <v>701993774</v>
      </c>
      <c r="B237" s="1">
        <v>42898</v>
      </c>
      <c r="C237" s="2">
        <v>0.78194444444444444</v>
      </c>
      <c r="D237">
        <v>1</v>
      </c>
      <c r="E237" t="s">
        <v>4</v>
      </c>
      <c r="F237" t="str">
        <f t="shared" si="6"/>
        <v>Nie</v>
      </c>
    </row>
    <row r="238" spans="1:6" x14ac:dyDescent="0.25">
      <c r="A238">
        <v>613763321</v>
      </c>
      <c r="B238" s="1">
        <v>42898</v>
      </c>
      <c r="C238" s="2">
        <v>0.80208333333333337</v>
      </c>
      <c r="D238">
        <v>3</v>
      </c>
      <c r="E238" t="s">
        <v>4</v>
      </c>
      <c r="F238" t="str">
        <f t="shared" si="6"/>
        <v>Nie</v>
      </c>
    </row>
    <row r="239" spans="1:6" x14ac:dyDescent="0.25">
      <c r="A239">
        <v>906559419</v>
      </c>
      <c r="B239" s="1">
        <v>42898</v>
      </c>
      <c r="C239" s="2">
        <v>0.81736111111111109</v>
      </c>
      <c r="D239">
        <v>3</v>
      </c>
      <c r="E239" t="s">
        <v>5</v>
      </c>
      <c r="F239" t="str">
        <f t="shared" si="6"/>
        <v>Tak</v>
      </c>
    </row>
    <row r="240" spans="1:6" x14ac:dyDescent="0.25">
      <c r="A240">
        <v>681262134</v>
      </c>
      <c r="B240" s="1">
        <v>42898</v>
      </c>
      <c r="C240" s="2">
        <v>0.85138888888888886</v>
      </c>
      <c r="D240">
        <v>3</v>
      </c>
      <c r="E240" t="s">
        <v>5</v>
      </c>
      <c r="F240" t="str">
        <f t="shared" si="6"/>
        <v>Tak</v>
      </c>
    </row>
    <row r="241" spans="1:6" x14ac:dyDescent="0.25">
      <c r="A241">
        <v>929243652</v>
      </c>
      <c r="B241" s="1">
        <v>42898</v>
      </c>
      <c r="C241" s="2">
        <v>0.88194444444444442</v>
      </c>
      <c r="D241">
        <v>6</v>
      </c>
      <c r="E241" t="s">
        <v>4</v>
      </c>
      <c r="F241" t="str">
        <f t="shared" si="6"/>
        <v>Nie</v>
      </c>
    </row>
    <row r="242" spans="1:6" x14ac:dyDescent="0.25">
      <c r="A242">
        <v>465705702</v>
      </c>
      <c r="B242" s="1">
        <v>42898</v>
      </c>
      <c r="C242" s="2">
        <v>0.89513888888888893</v>
      </c>
      <c r="D242">
        <v>3</v>
      </c>
      <c r="E242" t="s">
        <v>3</v>
      </c>
      <c r="F242" t="str">
        <f t="shared" si="6"/>
        <v>Nie</v>
      </c>
    </row>
    <row r="243" spans="1:6" x14ac:dyDescent="0.25">
      <c r="A243">
        <v>615107468</v>
      </c>
      <c r="B243" s="1">
        <v>42898</v>
      </c>
      <c r="C243" s="2">
        <v>0.94444444444444442</v>
      </c>
      <c r="D243">
        <v>2</v>
      </c>
      <c r="E243" t="s">
        <v>3</v>
      </c>
      <c r="F243" t="str">
        <f t="shared" si="6"/>
        <v>Nie</v>
      </c>
    </row>
    <row r="244" spans="1:6" x14ac:dyDescent="0.25">
      <c r="A244">
        <v>460212095</v>
      </c>
      <c r="B244" s="1">
        <v>42899</v>
      </c>
      <c r="C244" s="2">
        <v>3.125E-2</v>
      </c>
      <c r="D244">
        <v>2</v>
      </c>
      <c r="E244" t="s">
        <v>4</v>
      </c>
      <c r="F244" t="str">
        <f t="shared" si="6"/>
        <v>Nie</v>
      </c>
    </row>
    <row r="245" spans="1:6" x14ac:dyDescent="0.25">
      <c r="A245">
        <v>794880983</v>
      </c>
      <c r="B245" s="1">
        <v>42899</v>
      </c>
      <c r="C245" s="2">
        <v>0.12708333333333333</v>
      </c>
      <c r="D245">
        <v>1</v>
      </c>
      <c r="E245" t="s">
        <v>4</v>
      </c>
      <c r="F245" t="str">
        <f t="shared" si="6"/>
        <v>Nie</v>
      </c>
    </row>
    <row r="246" spans="1:6" x14ac:dyDescent="0.25">
      <c r="A246">
        <v>728243775</v>
      </c>
      <c r="B246" s="1">
        <v>42899</v>
      </c>
      <c r="C246" s="2">
        <v>0.17708333333333334</v>
      </c>
      <c r="D246">
        <v>5</v>
      </c>
      <c r="E246" t="s">
        <v>4</v>
      </c>
      <c r="F246" t="str">
        <f t="shared" si="6"/>
        <v>Tak</v>
      </c>
    </row>
    <row r="247" spans="1:6" x14ac:dyDescent="0.25">
      <c r="A247">
        <v>710852929</v>
      </c>
      <c r="B247" s="1">
        <v>42899</v>
      </c>
      <c r="C247" s="2">
        <v>0.18888888888888888</v>
      </c>
      <c r="D247">
        <v>5</v>
      </c>
      <c r="E247" t="s">
        <v>4</v>
      </c>
      <c r="F247" t="str">
        <f t="shared" si="6"/>
        <v>Tak</v>
      </c>
    </row>
    <row r="248" spans="1:6" x14ac:dyDescent="0.25">
      <c r="A248">
        <v>985112779</v>
      </c>
      <c r="B248" s="1">
        <v>42899</v>
      </c>
      <c r="C248" s="2">
        <v>0.20972222222222223</v>
      </c>
      <c r="D248">
        <v>2</v>
      </c>
      <c r="E248" t="s">
        <v>5</v>
      </c>
      <c r="F248" t="str">
        <f t="shared" si="6"/>
        <v>Tak</v>
      </c>
    </row>
    <row r="249" spans="1:6" x14ac:dyDescent="0.25">
      <c r="A249">
        <v>738108088</v>
      </c>
      <c r="B249" s="1">
        <v>42899</v>
      </c>
      <c r="C249" s="2">
        <v>0.28055555555555556</v>
      </c>
      <c r="D249">
        <v>2</v>
      </c>
      <c r="E249" t="s">
        <v>3</v>
      </c>
      <c r="F249" t="str">
        <f t="shared" si="6"/>
        <v>Nie</v>
      </c>
    </row>
    <row r="250" spans="1:6" x14ac:dyDescent="0.25">
      <c r="A250">
        <v>925603884</v>
      </c>
      <c r="B250" s="1">
        <v>42899</v>
      </c>
      <c r="C250" s="2">
        <v>0.37708333333333333</v>
      </c>
      <c r="D250">
        <v>5</v>
      </c>
      <c r="E250" t="s">
        <v>4</v>
      </c>
      <c r="F250" t="str">
        <f t="shared" si="6"/>
        <v>Tak</v>
      </c>
    </row>
    <row r="251" spans="1:6" x14ac:dyDescent="0.25">
      <c r="A251">
        <v>572391606</v>
      </c>
      <c r="B251" s="1">
        <v>42899</v>
      </c>
      <c r="C251" s="2">
        <v>0.40694444444444444</v>
      </c>
      <c r="D251">
        <v>6</v>
      </c>
      <c r="E251" t="s">
        <v>4</v>
      </c>
      <c r="F251" t="str">
        <f t="shared" si="6"/>
        <v>Nie</v>
      </c>
    </row>
    <row r="252" spans="1:6" x14ac:dyDescent="0.25">
      <c r="A252">
        <v>496184543</v>
      </c>
      <c r="B252" s="1">
        <v>42899</v>
      </c>
      <c r="C252" s="2">
        <v>0.46527777777777779</v>
      </c>
      <c r="D252">
        <v>2</v>
      </c>
      <c r="E252" t="s">
        <v>5</v>
      </c>
      <c r="F252" t="str">
        <f t="shared" si="6"/>
        <v>Tak</v>
      </c>
    </row>
    <row r="253" spans="1:6" x14ac:dyDescent="0.25">
      <c r="A253">
        <v>559784246</v>
      </c>
      <c r="B253" s="1">
        <v>42899</v>
      </c>
      <c r="C253" s="2">
        <v>0.50694444444444442</v>
      </c>
      <c r="D253">
        <v>2</v>
      </c>
      <c r="E253" t="s">
        <v>5</v>
      </c>
      <c r="F253" t="str">
        <f t="shared" si="6"/>
        <v>Tak</v>
      </c>
    </row>
    <row r="254" spans="1:6" x14ac:dyDescent="0.25">
      <c r="A254">
        <v>530306219</v>
      </c>
      <c r="B254" s="1">
        <v>42899</v>
      </c>
      <c r="C254" s="2">
        <v>0.58472222222222225</v>
      </c>
      <c r="D254">
        <v>3</v>
      </c>
      <c r="E254" t="s">
        <v>3</v>
      </c>
      <c r="F254" t="str">
        <f t="shared" si="6"/>
        <v>Nie</v>
      </c>
    </row>
    <row r="255" spans="1:6" x14ac:dyDescent="0.25">
      <c r="A255">
        <v>409676474</v>
      </c>
      <c r="B255" s="1">
        <v>42899</v>
      </c>
      <c r="C255" s="2">
        <v>0.625</v>
      </c>
      <c r="D255">
        <v>2</v>
      </c>
      <c r="E255" t="s">
        <v>5</v>
      </c>
      <c r="F255" t="str">
        <f t="shared" si="6"/>
        <v>Tak</v>
      </c>
    </row>
    <row r="256" spans="1:6" x14ac:dyDescent="0.25">
      <c r="A256">
        <v>952599256</v>
      </c>
      <c r="B256" s="1">
        <v>42899</v>
      </c>
      <c r="C256" s="2">
        <v>0.63263888888888886</v>
      </c>
      <c r="D256">
        <v>3</v>
      </c>
      <c r="E256" t="s">
        <v>3</v>
      </c>
      <c r="F256" t="str">
        <f t="shared" si="6"/>
        <v>Nie</v>
      </c>
    </row>
    <row r="257" spans="1:6" x14ac:dyDescent="0.25">
      <c r="A257">
        <v>936781881</v>
      </c>
      <c r="B257" s="1">
        <v>42899</v>
      </c>
      <c r="C257" s="2">
        <v>0.66527777777777775</v>
      </c>
      <c r="D257">
        <v>5</v>
      </c>
      <c r="E257" t="s">
        <v>3</v>
      </c>
      <c r="F257" t="str">
        <f t="shared" si="6"/>
        <v>Nie</v>
      </c>
    </row>
    <row r="258" spans="1:6" x14ac:dyDescent="0.25">
      <c r="A258">
        <v>673529227</v>
      </c>
      <c r="B258" s="1">
        <v>42899</v>
      </c>
      <c r="C258" s="2">
        <v>0.70972222222222225</v>
      </c>
      <c r="D258">
        <v>5</v>
      </c>
      <c r="E258" t="s">
        <v>4</v>
      </c>
      <c r="F258" t="str">
        <f t="shared" ref="F258:F321" si="7">IF(E258=VLOOKUP(D258,$M$23:$O$30,2,FALSE),"Tak","Nie")</f>
        <v>Tak</v>
      </c>
    </row>
    <row r="259" spans="1:6" x14ac:dyDescent="0.25">
      <c r="A259">
        <v>659135677</v>
      </c>
      <c r="B259" s="1">
        <v>42899</v>
      </c>
      <c r="C259" s="2">
        <v>0.71736111111111112</v>
      </c>
      <c r="D259">
        <v>4</v>
      </c>
      <c r="E259" t="s">
        <v>4</v>
      </c>
      <c r="F259" t="str">
        <f t="shared" si="7"/>
        <v>Nie</v>
      </c>
    </row>
    <row r="260" spans="1:6" x14ac:dyDescent="0.25">
      <c r="A260">
        <v>796246589</v>
      </c>
      <c r="B260" s="1">
        <v>42899</v>
      </c>
      <c r="C260" s="2">
        <v>0.73611111111111116</v>
      </c>
      <c r="D260">
        <v>4</v>
      </c>
      <c r="E260" t="s">
        <v>4</v>
      </c>
      <c r="F260" t="str">
        <f t="shared" si="7"/>
        <v>Nie</v>
      </c>
    </row>
    <row r="261" spans="1:6" x14ac:dyDescent="0.25">
      <c r="A261">
        <v>598931617</v>
      </c>
      <c r="B261" s="1">
        <v>42899</v>
      </c>
      <c r="C261" s="2">
        <v>0.7680555555555556</v>
      </c>
      <c r="D261">
        <v>4</v>
      </c>
      <c r="E261" t="s">
        <v>5</v>
      </c>
      <c r="F261" t="str">
        <f t="shared" si="7"/>
        <v>Nie</v>
      </c>
    </row>
    <row r="262" spans="1:6" x14ac:dyDescent="0.25">
      <c r="A262">
        <v>982060318</v>
      </c>
      <c r="B262" s="1">
        <v>42899</v>
      </c>
      <c r="C262" s="2">
        <v>0.78194444444444444</v>
      </c>
      <c r="D262">
        <v>5</v>
      </c>
      <c r="E262" t="s">
        <v>5</v>
      </c>
      <c r="F262" t="str">
        <f t="shared" si="7"/>
        <v>Nie</v>
      </c>
    </row>
    <row r="263" spans="1:6" x14ac:dyDescent="0.25">
      <c r="A263">
        <v>835377102</v>
      </c>
      <c r="B263" s="1">
        <v>42899</v>
      </c>
      <c r="C263" s="2">
        <v>0.79236111111111107</v>
      </c>
      <c r="D263">
        <v>1</v>
      </c>
      <c r="E263" t="s">
        <v>4</v>
      </c>
      <c r="F263" t="str">
        <f t="shared" si="7"/>
        <v>Nie</v>
      </c>
    </row>
    <row r="264" spans="1:6" x14ac:dyDescent="0.25">
      <c r="A264">
        <v>519979651</v>
      </c>
      <c r="B264" s="1">
        <v>42899</v>
      </c>
      <c r="C264" s="2">
        <v>0.80625000000000002</v>
      </c>
      <c r="D264">
        <v>5</v>
      </c>
      <c r="E264" t="s">
        <v>3</v>
      </c>
      <c r="F264" t="str">
        <f t="shared" si="7"/>
        <v>Nie</v>
      </c>
    </row>
    <row r="265" spans="1:6" x14ac:dyDescent="0.25">
      <c r="A265">
        <v>534737961</v>
      </c>
      <c r="B265" s="1">
        <v>42899</v>
      </c>
      <c r="C265" s="2">
        <v>0.82222222222222219</v>
      </c>
      <c r="D265">
        <v>6</v>
      </c>
      <c r="E265" t="s">
        <v>3</v>
      </c>
      <c r="F265" t="str">
        <f t="shared" si="7"/>
        <v>Nie</v>
      </c>
    </row>
    <row r="266" spans="1:6" x14ac:dyDescent="0.25">
      <c r="A266">
        <v>705718882</v>
      </c>
      <c r="B266" s="1">
        <v>42899</v>
      </c>
      <c r="C266" s="2">
        <v>0.89166666666666672</v>
      </c>
      <c r="D266">
        <v>6</v>
      </c>
      <c r="E266" t="s">
        <v>4</v>
      </c>
      <c r="F266" t="str">
        <f t="shared" si="7"/>
        <v>Nie</v>
      </c>
    </row>
    <row r="267" spans="1:6" x14ac:dyDescent="0.25">
      <c r="A267">
        <v>595516050</v>
      </c>
      <c r="B267" s="1">
        <v>42899</v>
      </c>
      <c r="C267" s="2">
        <v>0.92986111111111114</v>
      </c>
      <c r="D267">
        <v>1</v>
      </c>
      <c r="E267" t="s">
        <v>4</v>
      </c>
      <c r="F267" t="str">
        <f t="shared" si="7"/>
        <v>Nie</v>
      </c>
    </row>
    <row r="268" spans="1:6" x14ac:dyDescent="0.25">
      <c r="A268">
        <v>519316751</v>
      </c>
      <c r="B268" s="1">
        <v>42899</v>
      </c>
      <c r="C268" s="2">
        <v>0.95416666666666672</v>
      </c>
      <c r="D268">
        <v>2</v>
      </c>
      <c r="E268" t="s">
        <v>4</v>
      </c>
      <c r="F268" t="str">
        <f t="shared" si="7"/>
        <v>Nie</v>
      </c>
    </row>
    <row r="269" spans="1:6" x14ac:dyDescent="0.25">
      <c r="A269">
        <v>719723252</v>
      </c>
      <c r="B269" s="1">
        <v>42899</v>
      </c>
      <c r="C269" s="2">
        <v>0.97916666666666663</v>
      </c>
      <c r="D269">
        <v>5</v>
      </c>
      <c r="E269" t="s">
        <v>4</v>
      </c>
      <c r="F269" t="str">
        <f t="shared" si="7"/>
        <v>Tak</v>
      </c>
    </row>
    <row r="270" spans="1:6" x14ac:dyDescent="0.25">
      <c r="A270">
        <v>696025411</v>
      </c>
      <c r="B270" s="1">
        <v>42900</v>
      </c>
      <c r="C270" s="2">
        <v>1.1805555555555555E-2</v>
      </c>
      <c r="D270">
        <v>5</v>
      </c>
      <c r="E270" t="s">
        <v>5</v>
      </c>
      <c r="F270" t="str">
        <f t="shared" si="7"/>
        <v>Nie</v>
      </c>
    </row>
    <row r="271" spans="1:6" x14ac:dyDescent="0.25">
      <c r="A271">
        <v>764318495</v>
      </c>
      <c r="B271" s="1">
        <v>42900</v>
      </c>
      <c r="C271" s="2">
        <v>6.9444444444444448E-2</v>
      </c>
      <c r="D271">
        <v>6</v>
      </c>
      <c r="E271" t="s">
        <v>3</v>
      </c>
      <c r="F271" t="str">
        <f t="shared" si="7"/>
        <v>Nie</v>
      </c>
    </row>
    <row r="272" spans="1:6" x14ac:dyDescent="0.25">
      <c r="A272">
        <v>799652843</v>
      </c>
      <c r="B272" s="1">
        <v>42900</v>
      </c>
      <c r="C272" s="2">
        <v>0.12708333333333333</v>
      </c>
      <c r="D272">
        <v>4</v>
      </c>
      <c r="E272" t="s">
        <v>4</v>
      </c>
      <c r="F272" t="str">
        <f t="shared" si="7"/>
        <v>Nie</v>
      </c>
    </row>
    <row r="273" spans="1:6" x14ac:dyDescent="0.25">
      <c r="A273">
        <v>623435953</v>
      </c>
      <c r="B273" s="1">
        <v>42900</v>
      </c>
      <c r="C273" s="2">
        <v>0.17222222222222222</v>
      </c>
      <c r="D273">
        <v>6</v>
      </c>
      <c r="E273" t="s">
        <v>4</v>
      </c>
      <c r="F273" t="str">
        <f t="shared" si="7"/>
        <v>Nie</v>
      </c>
    </row>
    <row r="274" spans="1:6" x14ac:dyDescent="0.25">
      <c r="A274">
        <v>515186561</v>
      </c>
      <c r="B274" s="1">
        <v>42900</v>
      </c>
      <c r="C274" s="2">
        <v>0.23680555555555555</v>
      </c>
      <c r="D274">
        <v>5</v>
      </c>
      <c r="E274" t="s">
        <v>5</v>
      </c>
      <c r="F274" t="str">
        <f t="shared" si="7"/>
        <v>Nie</v>
      </c>
    </row>
    <row r="275" spans="1:6" x14ac:dyDescent="0.25">
      <c r="A275">
        <v>462563814</v>
      </c>
      <c r="B275" s="1">
        <v>42900</v>
      </c>
      <c r="C275" s="2">
        <v>0.32500000000000001</v>
      </c>
      <c r="D275">
        <v>4</v>
      </c>
      <c r="E275" t="s">
        <v>5</v>
      </c>
      <c r="F275" t="str">
        <f t="shared" si="7"/>
        <v>Nie</v>
      </c>
    </row>
    <row r="276" spans="1:6" x14ac:dyDescent="0.25">
      <c r="A276">
        <v>498650781</v>
      </c>
      <c r="B276" s="1">
        <v>42900</v>
      </c>
      <c r="C276" s="2">
        <v>0.40833333333333333</v>
      </c>
      <c r="D276">
        <v>6</v>
      </c>
      <c r="E276" t="s">
        <v>3</v>
      </c>
      <c r="F276" t="str">
        <f t="shared" si="7"/>
        <v>Nie</v>
      </c>
    </row>
    <row r="277" spans="1:6" x14ac:dyDescent="0.25">
      <c r="A277">
        <v>407116397</v>
      </c>
      <c r="B277" s="1">
        <v>42900</v>
      </c>
      <c r="C277" s="2">
        <v>0.45</v>
      </c>
      <c r="D277">
        <v>4</v>
      </c>
      <c r="E277" t="s">
        <v>3</v>
      </c>
      <c r="F277" t="str">
        <f t="shared" si="7"/>
        <v>Tak</v>
      </c>
    </row>
    <row r="278" spans="1:6" x14ac:dyDescent="0.25">
      <c r="A278">
        <v>697428751</v>
      </c>
      <c r="B278" s="1">
        <v>42900</v>
      </c>
      <c r="C278" s="2">
        <v>0.50208333333333333</v>
      </c>
      <c r="D278">
        <v>4</v>
      </c>
      <c r="E278" t="s">
        <v>4</v>
      </c>
      <c r="F278" t="str">
        <f t="shared" si="7"/>
        <v>Nie</v>
      </c>
    </row>
    <row r="279" spans="1:6" x14ac:dyDescent="0.25">
      <c r="A279">
        <v>608045091</v>
      </c>
      <c r="B279" s="1">
        <v>42900</v>
      </c>
      <c r="C279" s="2">
        <v>0.52430555555555558</v>
      </c>
      <c r="D279">
        <v>4</v>
      </c>
      <c r="E279" t="s">
        <v>4</v>
      </c>
      <c r="F279" t="str">
        <f t="shared" si="7"/>
        <v>Nie</v>
      </c>
    </row>
    <row r="280" spans="1:6" x14ac:dyDescent="0.25">
      <c r="A280">
        <v>809699339</v>
      </c>
      <c r="B280" s="1">
        <v>42900</v>
      </c>
      <c r="C280" s="2">
        <v>0.61319444444444449</v>
      </c>
      <c r="D280">
        <v>5</v>
      </c>
      <c r="E280" t="s">
        <v>4</v>
      </c>
      <c r="F280" t="str">
        <f t="shared" si="7"/>
        <v>Tak</v>
      </c>
    </row>
    <row r="281" spans="1:6" x14ac:dyDescent="0.25">
      <c r="A281">
        <v>559851251</v>
      </c>
      <c r="B281" s="1">
        <v>42900</v>
      </c>
      <c r="C281" s="2">
        <v>0.625</v>
      </c>
      <c r="D281">
        <v>5</v>
      </c>
      <c r="E281" t="s">
        <v>5</v>
      </c>
      <c r="F281" t="str">
        <f t="shared" si="7"/>
        <v>Nie</v>
      </c>
    </row>
    <row r="282" spans="1:6" x14ac:dyDescent="0.25">
      <c r="A282">
        <v>431119249</v>
      </c>
      <c r="B282" s="1">
        <v>42900</v>
      </c>
      <c r="C282" s="2">
        <v>0.63263888888888886</v>
      </c>
      <c r="D282">
        <v>3</v>
      </c>
      <c r="E282" t="s">
        <v>3</v>
      </c>
      <c r="F282" t="str">
        <f t="shared" si="7"/>
        <v>Nie</v>
      </c>
    </row>
    <row r="283" spans="1:6" x14ac:dyDescent="0.25">
      <c r="A283">
        <v>661901566</v>
      </c>
      <c r="B283" s="1">
        <v>42900</v>
      </c>
      <c r="C283" s="2">
        <v>0.7006944444444444</v>
      </c>
      <c r="D283">
        <v>1</v>
      </c>
      <c r="E283" t="s">
        <v>4</v>
      </c>
      <c r="F283" t="str">
        <f t="shared" si="7"/>
        <v>Nie</v>
      </c>
    </row>
    <row r="284" spans="1:6" x14ac:dyDescent="0.25">
      <c r="A284">
        <v>439555419</v>
      </c>
      <c r="B284" s="1">
        <v>42900</v>
      </c>
      <c r="C284" s="2">
        <v>0.71666666666666667</v>
      </c>
      <c r="D284">
        <v>2</v>
      </c>
      <c r="E284" t="s">
        <v>5</v>
      </c>
      <c r="F284" t="str">
        <f t="shared" si="7"/>
        <v>Tak</v>
      </c>
    </row>
    <row r="285" spans="1:6" x14ac:dyDescent="0.25">
      <c r="A285">
        <v>625035596</v>
      </c>
      <c r="B285" s="1">
        <v>42900</v>
      </c>
      <c r="C285" s="2">
        <v>0.75972222222222219</v>
      </c>
      <c r="D285">
        <v>1</v>
      </c>
      <c r="E285" t="s">
        <v>5</v>
      </c>
      <c r="F285" t="str">
        <f t="shared" si="7"/>
        <v>Nie</v>
      </c>
    </row>
    <row r="286" spans="1:6" x14ac:dyDescent="0.25">
      <c r="A286">
        <v>837678790</v>
      </c>
      <c r="B286" s="1">
        <v>42900</v>
      </c>
      <c r="C286" s="2">
        <v>0.76249999999999996</v>
      </c>
      <c r="D286">
        <v>4</v>
      </c>
      <c r="E286" t="s">
        <v>3</v>
      </c>
      <c r="F286" t="str">
        <f t="shared" si="7"/>
        <v>Tak</v>
      </c>
    </row>
    <row r="287" spans="1:6" x14ac:dyDescent="0.25">
      <c r="A287">
        <v>559770051</v>
      </c>
      <c r="B287" s="1">
        <v>42900</v>
      </c>
      <c r="C287" s="2">
        <v>0.81180555555555556</v>
      </c>
      <c r="D287">
        <v>1</v>
      </c>
      <c r="E287" t="s">
        <v>3</v>
      </c>
      <c r="F287" t="str">
        <f t="shared" si="7"/>
        <v>Tak</v>
      </c>
    </row>
    <row r="288" spans="1:6" x14ac:dyDescent="0.25">
      <c r="A288">
        <v>680448330</v>
      </c>
      <c r="B288" s="1">
        <v>42900</v>
      </c>
      <c r="C288" s="2">
        <v>0.84861111111111109</v>
      </c>
      <c r="D288">
        <v>2</v>
      </c>
      <c r="E288" t="s">
        <v>4</v>
      </c>
      <c r="F288" t="str">
        <f t="shared" si="7"/>
        <v>Nie</v>
      </c>
    </row>
    <row r="289" spans="1:6" x14ac:dyDescent="0.25">
      <c r="A289">
        <v>479757892</v>
      </c>
      <c r="B289" s="1">
        <v>42900</v>
      </c>
      <c r="C289" s="2">
        <v>0.85902777777777772</v>
      </c>
      <c r="D289">
        <v>1</v>
      </c>
      <c r="E289" t="s">
        <v>4</v>
      </c>
      <c r="F289" t="str">
        <f t="shared" si="7"/>
        <v>Nie</v>
      </c>
    </row>
    <row r="290" spans="1:6" x14ac:dyDescent="0.25">
      <c r="A290">
        <v>530889287</v>
      </c>
      <c r="B290" s="1">
        <v>42900</v>
      </c>
      <c r="C290" s="2">
        <v>0.875</v>
      </c>
      <c r="D290">
        <v>3</v>
      </c>
      <c r="E290" t="s">
        <v>4</v>
      </c>
      <c r="F290" t="str">
        <f t="shared" si="7"/>
        <v>Nie</v>
      </c>
    </row>
    <row r="291" spans="1:6" x14ac:dyDescent="0.25">
      <c r="A291">
        <v>426890437</v>
      </c>
      <c r="B291" s="1">
        <v>42900</v>
      </c>
      <c r="C291" s="2">
        <v>0.88124999999999998</v>
      </c>
      <c r="D291">
        <v>1</v>
      </c>
      <c r="E291" t="s">
        <v>4</v>
      </c>
      <c r="F291" t="str">
        <f t="shared" si="7"/>
        <v>Nie</v>
      </c>
    </row>
    <row r="292" spans="1:6" x14ac:dyDescent="0.25">
      <c r="A292">
        <v>504858112</v>
      </c>
      <c r="B292" s="1">
        <v>42900</v>
      </c>
      <c r="C292" s="2">
        <v>0.91666666666666663</v>
      </c>
      <c r="D292">
        <v>5</v>
      </c>
      <c r="E292" t="s">
        <v>5</v>
      </c>
      <c r="F292" t="str">
        <f t="shared" si="7"/>
        <v>Nie</v>
      </c>
    </row>
    <row r="293" spans="1:6" x14ac:dyDescent="0.25">
      <c r="A293">
        <v>608447733</v>
      </c>
      <c r="B293" s="1">
        <v>42900</v>
      </c>
      <c r="C293" s="2">
        <v>0.91805555555555551</v>
      </c>
      <c r="D293">
        <v>6</v>
      </c>
      <c r="E293" t="s">
        <v>3</v>
      </c>
      <c r="F293" t="str">
        <f t="shared" si="7"/>
        <v>Nie</v>
      </c>
    </row>
    <row r="294" spans="1:6" x14ac:dyDescent="0.25">
      <c r="A294">
        <v>656698180</v>
      </c>
      <c r="B294" s="1">
        <v>42900</v>
      </c>
      <c r="C294" s="2">
        <v>0.98472222222222228</v>
      </c>
      <c r="D294">
        <v>1</v>
      </c>
      <c r="E294" t="s">
        <v>4</v>
      </c>
      <c r="F294" t="str">
        <f t="shared" si="7"/>
        <v>Nie</v>
      </c>
    </row>
    <row r="295" spans="1:6" x14ac:dyDescent="0.25">
      <c r="A295">
        <v>701517169</v>
      </c>
      <c r="B295" s="1">
        <v>42901</v>
      </c>
      <c r="C295" s="2">
        <v>4.4444444444444446E-2</v>
      </c>
      <c r="D295">
        <v>5</v>
      </c>
      <c r="E295" t="s">
        <v>4</v>
      </c>
      <c r="F295" t="str">
        <f t="shared" si="7"/>
        <v>Tak</v>
      </c>
    </row>
    <row r="296" spans="1:6" x14ac:dyDescent="0.25">
      <c r="A296">
        <v>952431770</v>
      </c>
      <c r="B296" s="1">
        <v>42901</v>
      </c>
      <c r="C296" s="2">
        <v>0.12291666666666666</v>
      </c>
      <c r="D296">
        <v>2</v>
      </c>
      <c r="E296" t="s">
        <v>5</v>
      </c>
      <c r="F296" t="str">
        <f t="shared" si="7"/>
        <v>Tak</v>
      </c>
    </row>
    <row r="297" spans="1:6" x14ac:dyDescent="0.25">
      <c r="A297">
        <v>560430160</v>
      </c>
      <c r="B297" s="1">
        <v>42901</v>
      </c>
      <c r="C297" s="2">
        <v>0.19305555555555556</v>
      </c>
      <c r="D297">
        <v>5</v>
      </c>
      <c r="E297" t="s">
        <v>5</v>
      </c>
      <c r="F297" t="str">
        <f t="shared" si="7"/>
        <v>Nie</v>
      </c>
    </row>
    <row r="298" spans="1:6" x14ac:dyDescent="0.25">
      <c r="A298">
        <v>819580840</v>
      </c>
      <c r="B298" s="1">
        <v>42901</v>
      </c>
      <c r="C298" s="2">
        <v>0.23333333333333334</v>
      </c>
      <c r="D298">
        <v>1</v>
      </c>
      <c r="E298" t="s">
        <v>3</v>
      </c>
      <c r="F298" t="str">
        <f t="shared" si="7"/>
        <v>Tak</v>
      </c>
    </row>
    <row r="299" spans="1:6" x14ac:dyDescent="0.25">
      <c r="A299">
        <v>932547507</v>
      </c>
      <c r="B299" s="1">
        <v>42901</v>
      </c>
      <c r="C299" s="2">
        <v>0.25763888888888886</v>
      </c>
      <c r="D299">
        <v>5</v>
      </c>
      <c r="E299" t="s">
        <v>3</v>
      </c>
      <c r="F299" t="str">
        <f t="shared" si="7"/>
        <v>Nie</v>
      </c>
    </row>
    <row r="300" spans="1:6" x14ac:dyDescent="0.25">
      <c r="A300">
        <v>479916388</v>
      </c>
      <c r="B300" s="1">
        <v>42901</v>
      </c>
      <c r="C300" s="2">
        <v>0.29444444444444445</v>
      </c>
      <c r="D300">
        <v>5</v>
      </c>
      <c r="E300" t="s">
        <v>4</v>
      </c>
      <c r="F300" t="str">
        <f t="shared" si="7"/>
        <v>Tak</v>
      </c>
    </row>
    <row r="301" spans="1:6" x14ac:dyDescent="0.25">
      <c r="A301">
        <v>878354280</v>
      </c>
      <c r="B301" s="1">
        <v>42901</v>
      </c>
      <c r="C301" s="2">
        <v>0.30694444444444446</v>
      </c>
      <c r="D301">
        <v>2</v>
      </c>
      <c r="E301" t="s">
        <v>4</v>
      </c>
      <c r="F301" t="str">
        <f t="shared" si="7"/>
        <v>Nie</v>
      </c>
    </row>
    <row r="302" spans="1:6" x14ac:dyDescent="0.25">
      <c r="A302">
        <v>461093501</v>
      </c>
      <c r="B302" s="1">
        <v>42901</v>
      </c>
      <c r="C302" s="2">
        <v>0.37291666666666667</v>
      </c>
      <c r="D302">
        <v>3</v>
      </c>
      <c r="E302" t="s">
        <v>4</v>
      </c>
      <c r="F302" t="str">
        <f t="shared" si="7"/>
        <v>Nie</v>
      </c>
    </row>
    <row r="303" spans="1:6" x14ac:dyDescent="0.25">
      <c r="A303">
        <v>916603924</v>
      </c>
      <c r="B303" s="1">
        <v>42901</v>
      </c>
      <c r="C303" s="2">
        <v>0.625</v>
      </c>
      <c r="D303">
        <v>5</v>
      </c>
      <c r="E303" t="s">
        <v>5</v>
      </c>
      <c r="F303" t="str">
        <f t="shared" si="7"/>
        <v>Nie</v>
      </c>
    </row>
    <row r="304" spans="1:6" x14ac:dyDescent="0.25">
      <c r="A304">
        <v>522797072</v>
      </c>
      <c r="B304" s="1">
        <v>42901</v>
      </c>
      <c r="C304" s="2">
        <v>0.63611111111111107</v>
      </c>
      <c r="D304">
        <v>2</v>
      </c>
      <c r="E304" t="s">
        <v>3</v>
      </c>
      <c r="F304" t="str">
        <f t="shared" si="7"/>
        <v>Nie</v>
      </c>
    </row>
    <row r="305" spans="1:6" x14ac:dyDescent="0.25">
      <c r="A305">
        <v>593855201</v>
      </c>
      <c r="B305" s="1">
        <v>42901</v>
      </c>
      <c r="C305" s="2">
        <v>0.6791666666666667</v>
      </c>
      <c r="D305">
        <v>1</v>
      </c>
      <c r="E305" t="s">
        <v>4</v>
      </c>
      <c r="F305" t="str">
        <f t="shared" si="7"/>
        <v>Nie</v>
      </c>
    </row>
    <row r="306" spans="1:6" x14ac:dyDescent="0.25">
      <c r="A306">
        <v>925359973</v>
      </c>
      <c r="B306" s="1">
        <v>42901</v>
      </c>
      <c r="C306" s="2">
        <v>0.76944444444444449</v>
      </c>
      <c r="D306">
        <v>4</v>
      </c>
      <c r="E306" t="s">
        <v>5</v>
      </c>
      <c r="F306" t="str">
        <f t="shared" si="7"/>
        <v>Nie</v>
      </c>
    </row>
    <row r="307" spans="1:6" x14ac:dyDescent="0.25">
      <c r="A307">
        <v>444165941</v>
      </c>
      <c r="B307" s="1">
        <v>42901</v>
      </c>
      <c r="C307" s="2">
        <v>0.78819444444444442</v>
      </c>
      <c r="D307">
        <v>3</v>
      </c>
      <c r="E307" t="s">
        <v>5</v>
      </c>
      <c r="F307" t="str">
        <f t="shared" si="7"/>
        <v>Tak</v>
      </c>
    </row>
    <row r="308" spans="1:6" x14ac:dyDescent="0.25">
      <c r="A308">
        <v>427122369</v>
      </c>
      <c r="B308" s="1">
        <v>42901</v>
      </c>
      <c r="C308" s="2">
        <v>0.80347222222222225</v>
      </c>
      <c r="D308">
        <v>6</v>
      </c>
      <c r="E308" t="s">
        <v>3</v>
      </c>
      <c r="F308" t="str">
        <f t="shared" si="7"/>
        <v>Nie</v>
      </c>
    </row>
    <row r="309" spans="1:6" x14ac:dyDescent="0.25">
      <c r="A309">
        <v>930918717</v>
      </c>
      <c r="B309" s="1">
        <v>42901</v>
      </c>
      <c r="C309" s="2">
        <v>0.88888888888888884</v>
      </c>
      <c r="D309">
        <v>5</v>
      </c>
      <c r="E309" t="s">
        <v>3</v>
      </c>
      <c r="F309" t="str">
        <f t="shared" si="7"/>
        <v>Nie</v>
      </c>
    </row>
    <row r="310" spans="1:6" x14ac:dyDescent="0.25">
      <c r="A310">
        <v>871314398</v>
      </c>
      <c r="B310" s="1">
        <v>42901</v>
      </c>
      <c r="C310" s="2">
        <v>0.95902777777777781</v>
      </c>
      <c r="D310">
        <v>4</v>
      </c>
      <c r="E310" t="s">
        <v>4</v>
      </c>
      <c r="F310" t="str">
        <f t="shared" si="7"/>
        <v>Nie</v>
      </c>
    </row>
    <row r="311" spans="1:6" x14ac:dyDescent="0.25">
      <c r="A311">
        <v>473562405</v>
      </c>
      <c r="B311" s="1">
        <v>42902</v>
      </c>
      <c r="C311" s="2">
        <v>0.05</v>
      </c>
      <c r="D311">
        <v>6</v>
      </c>
      <c r="E311" t="s">
        <v>4</v>
      </c>
      <c r="F311" t="str">
        <f t="shared" si="7"/>
        <v>Nie</v>
      </c>
    </row>
    <row r="312" spans="1:6" x14ac:dyDescent="0.25">
      <c r="A312">
        <v>893093844</v>
      </c>
      <c r="B312" s="1">
        <v>42902</v>
      </c>
      <c r="C312" s="2">
        <v>6.3194444444444442E-2</v>
      </c>
      <c r="D312">
        <v>2</v>
      </c>
      <c r="E312" t="s">
        <v>4</v>
      </c>
      <c r="F312" t="str">
        <f t="shared" si="7"/>
        <v>Nie</v>
      </c>
    </row>
    <row r="313" spans="1:6" x14ac:dyDescent="0.25">
      <c r="A313">
        <v>474698225</v>
      </c>
      <c r="B313" s="1">
        <v>42902</v>
      </c>
      <c r="C313" s="2">
        <v>8.9583333333333334E-2</v>
      </c>
      <c r="D313">
        <v>5</v>
      </c>
      <c r="E313" t="s">
        <v>4</v>
      </c>
      <c r="F313" t="str">
        <f t="shared" si="7"/>
        <v>Tak</v>
      </c>
    </row>
    <row r="314" spans="1:6" x14ac:dyDescent="0.25">
      <c r="A314">
        <v>516996097</v>
      </c>
      <c r="B314" s="1">
        <v>42902</v>
      </c>
      <c r="C314" s="2">
        <v>0.1</v>
      </c>
      <c r="D314">
        <v>2</v>
      </c>
      <c r="E314" t="s">
        <v>5</v>
      </c>
      <c r="F314" t="str">
        <f t="shared" si="7"/>
        <v>Tak</v>
      </c>
    </row>
    <row r="315" spans="1:6" x14ac:dyDescent="0.25">
      <c r="A315">
        <v>417471731</v>
      </c>
      <c r="B315" s="1">
        <v>42902</v>
      </c>
      <c r="C315" s="2">
        <v>0.11041666666666666</v>
      </c>
      <c r="D315">
        <v>1</v>
      </c>
      <c r="E315" t="s">
        <v>3</v>
      </c>
      <c r="F315" t="str">
        <f t="shared" si="7"/>
        <v>Tak</v>
      </c>
    </row>
    <row r="316" spans="1:6" x14ac:dyDescent="0.25">
      <c r="A316">
        <v>757519899</v>
      </c>
      <c r="B316" s="1">
        <v>42902</v>
      </c>
      <c r="C316" s="2">
        <v>0.11180555555555556</v>
      </c>
      <c r="D316">
        <v>6</v>
      </c>
      <c r="E316" t="s">
        <v>4</v>
      </c>
      <c r="F316" t="str">
        <f t="shared" si="7"/>
        <v>Nie</v>
      </c>
    </row>
    <row r="317" spans="1:6" x14ac:dyDescent="0.25">
      <c r="A317">
        <v>601071162</v>
      </c>
      <c r="B317" s="1">
        <v>42902</v>
      </c>
      <c r="C317" s="2">
        <v>0.17152777777777778</v>
      </c>
      <c r="D317">
        <v>2</v>
      </c>
      <c r="E317" t="s">
        <v>4</v>
      </c>
      <c r="F317" t="str">
        <f t="shared" si="7"/>
        <v>Nie</v>
      </c>
    </row>
    <row r="318" spans="1:6" x14ac:dyDescent="0.25">
      <c r="A318">
        <v>751080209</v>
      </c>
      <c r="B318" s="1">
        <v>42902</v>
      </c>
      <c r="C318" s="2">
        <v>0.17291666666666666</v>
      </c>
      <c r="D318">
        <v>5</v>
      </c>
      <c r="E318" t="s">
        <v>5</v>
      </c>
      <c r="F318" t="str">
        <f t="shared" si="7"/>
        <v>Nie</v>
      </c>
    </row>
    <row r="319" spans="1:6" x14ac:dyDescent="0.25">
      <c r="A319">
        <v>557059595</v>
      </c>
      <c r="B319" s="1">
        <v>42902</v>
      </c>
      <c r="C319" s="2">
        <v>0.22847222222222222</v>
      </c>
      <c r="D319">
        <v>4</v>
      </c>
      <c r="E319" t="s">
        <v>5</v>
      </c>
      <c r="F319" t="str">
        <f t="shared" si="7"/>
        <v>Nie</v>
      </c>
    </row>
    <row r="320" spans="1:6" x14ac:dyDescent="0.25">
      <c r="A320">
        <v>919448492</v>
      </c>
      <c r="B320" s="1">
        <v>42902</v>
      </c>
      <c r="C320" s="2">
        <v>0.24166666666666667</v>
      </c>
      <c r="D320">
        <v>5</v>
      </c>
      <c r="E320" t="s">
        <v>3</v>
      </c>
      <c r="F320" t="str">
        <f t="shared" si="7"/>
        <v>Nie</v>
      </c>
    </row>
    <row r="321" spans="1:6" x14ac:dyDescent="0.25">
      <c r="A321">
        <v>630181135</v>
      </c>
      <c r="B321" s="1">
        <v>42902</v>
      </c>
      <c r="C321" s="2">
        <v>0.27083333333333331</v>
      </c>
      <c r="D321">
        <v>3</v>
      </c>
      <c r="E321" t="s">
        <v>3</v>
      </c>
      <c r="F321" t="str">
        <f t="shared" si="7"/>
        <v>Nie</v>
      </c>
    </row>
    <row r="322" spans="1:6" x14ac:dyDescent="0.25">
      <c r="A322">
        <v>921394114</v>
      </c>
      <c r="B322" s="1">
        <v>42902</v>
      </c>
      <c r="C322" s="2">
        <v>0.28472222222222221</v>
      </c>
      <c r="D322">
        <v>1</v>
      </c>
      <c r="E322" t="s">
        <v>4</v>
      </c>
      <c r="F322" t="str">
        <f t="shared" ref="F322:F385" si="8">IF(E322=VLOOKUP(D322,$M$23:$O$30,2,FALSE),"Tak","Nie")</f>
        <v>Nie</v>
      </c>
    </row>
    <row r="323" spans="1:6" x14ac:dyDescent="0.25">
      <c r="A323">
        <v>687213103</v>
      </c>
      <c r="B323" s="1">
        <v>42902</v>
      </c>
      <c r="C323" s="2">
        <v>0.37916666666666665</v>
      </c>
      <c r="D323">
        <v>5</v>
      </c>
      <c r="E323" t="s">
        <v>4</v>
      </c>
      <c r="F323" t="str">
        <f t="shared" si="8"/>
        <v>Tak</v>
      </c>
    </row>
    <row r="324" spans="1:6" x14ac:dyDescent="0.25">
      <c r="A324">
        <v>882751328</v>
      </c>
      <c r="B324" s="1">
        <v>42902</v>
      </c>
      <c r="C324" s="2">
        <v>0.40694444444444444</v>
      </c>
      <c r="D324">
        <v>5</v>
      </c>
      <c r="E324" t="s">
        <v>4</v>
      </c>
      <c r="F324" t="str">
        <f t="shared" si="8"/>
        <v>Tak</v>
      </c>
    </row>
    <row r="325" spans="1:6" x14ac:dyDescent="0.25">
      <c r="A325">
        <v>507120351</v>
      </c>
      <c r="B325" s="1">
        <v>42902</v>
      </c>
      <c r="C325" s="2">
        <v>0.625</v>
      </c>
      <c r="D325">
        <v>1</v>
      </c>
      <c r="E325" t="s">
        <v>5</v>
      </c>
      <c r="F325" t="str">
        <f t="shared" si="8"/>
        <v>Nie</v>
      </c>
    </row>
    <row r="326" spans="1:6" x14ac:dyDescent="0.25">
      <c r="A326">
        <v>670854717</v>
      </c>
      <c r="B326" s="1">
        <v>42902</v>
      </c>
      <c r="C326" s="2">
        <v>0.67500000000000004</v>
      </c>
      <c r="D326">
        <v>5</v>
      </c>
      <c r="E326" t="s">
        <v>3</v>
      </c>
      <c r="F326" t="str">
        <f t="shared" si="8"/>
        <v>Nie</v>
      </c>
    </row>
    <row r="327" spans="1:6" x14ac:dyDescent="0.25">
      <c r="A327">
        <v>885343232</v>
      </c>
      <c r="B327" s="1">
        <v>42902</v>
      </c>
      <c r="C327" s="2">
        <v>0.7368055555555556</v>
      </c>
      <c r="D327">
        <v>2</v>
      </c>
      <c r="E327" t="s">
        <v>4</v>
      </c>
      <c r="F327" t="str">
        <f t="shared" si="8"/>
        <v>Nie</v>
      </c>
    </row>
    <row r="328" spans="1:6" x14ac:dyDescent="0.25">
      <c r="A328">
        <v>529069571</v>
      </c>
      <c r="B328" s="1">
        <v>42902</v>
      </c>
      <c r="C328" s="2">
        <v>0.81527777777777777</v>
      </c>
      <c r="D328">
        <v>2</v>
      </c>
      <c r="E328" t="s">
        <v>5</v>
      </c>
      <c r="F328" t="str">
        <f t="shared" si="8"/>
        <v>Tak</v>
      </c>
    </row>
    <row r="329" spans="1:6" x14ac:dyDescent="0.25">
      <c r="A329">
        <v>735284701</v>
      </c>
      <c r="B329" s="1">
        <v>42902</v>
      </c>
      <c r="C329" s="2">
        <v>0.88611111111111107</v>
      </c>
      <c r="D329">
        <v>2</v>
      </c>
      <c r="E329" t="s">
        <v>5</v>
      </c>
      <c r="F329" t="str">
        <f t="shared" si="8"/>
        <v>Tak</v>
      </c>
    </row>
    <row r="330" spans="1:6" x14ac:dyDescent="0.25">
      <c r="A330">
        <v>798064543</v>
      </c>
      <c r="B330" s="1">
        <v>42902</v>
      </c>
      <c r="C330" s="2">
        <v>0.94027777777777777</v>
      </c>
      <c r="D330">
        <v>4</v>
      </c>
      <c r="E330" t="s">
        <v>3</v>
      </c>
      <c r="F330" t="str">
        <f t="shared" si="8"/>
        <v>Tak</v>
      </c>
    </row>
    <row r="331" spans="1:6" x14ac:dyDescent="0.25">
      <c r="A331">
        <v>435583833</v>
      </c>
      <c r="B331" s="1">
        <v>42903</v>
      </c>
      <c r="C331" s="2">
        <v>1.9444444444444445E-2</v>
      </c>
      <c r="D331">
        <v>3</v>
      </c>
      <c r="E331" t="s">
        <v>3</v>
      </c>
      <c r="F331" t="str">
        <f t="shared" si="8"/>
        <v>Nie</v>
      </c>
    </row>
    <row r="332" spans="1:6" x14ac:dyDescent="0.25">
      <c r="A332">
        <v>500093166</v>
      </c>
      <c r="B332" s="1">
        <v>42903</v>
      </c>
      <c r="C332" s="2">
        <v>2.9861111111111113E-2</v>
      </c>
      <c r="D332">
        <v>1</v>
      </c>
      <c r="E332" t="s">
        <v>4</v>
      </c>
      <c r="F332" t="str">
        <f t="shared" si="8"/>
        <v>Nie</v>
      </c>
    </row>
    <row r="333" spans="1:6" x14ac:dyDescent="0.25">
      <c r="A333">
        <v>543967501</v>
      </c>
      <c r="B333" s="1">
        <v>42903</v>
      </c>
      <c r="C333" s="2">
        <v>9.3055555555555558E-2</v>
      </c>
      <c r="D333">
        <v>4</v>
      </c>
      <c r="E333" t="s">
        <v>4</v>
      </c>
      <c r="F333" t="str">
        <f t="shared" si="8"/>
        <v>Nie</v>
      </c>
    </row>
    <row r="334" spans="1:6" x14ac:dyDescent="0.25">
      <c r="A334">
        <v>669382522</v>
      </c>
      <c r="B334" s="1">
        <v>42903</v>
      </c>
      <c r="C334" s="2">
        <v>0.10555555555555556</v>
      </c>
      <c r="D334">
        <v>2</v>
      </c>
      <c r="E334" t="s">
        <v>4</v>
      </c>
      <c r="F334" t="str">
        <f t="shared" si="8"/>
        <v>Nie</v>
      </c>
    </row>
    <row r="335" spans="1:6" x14ac:dyDescent="0.25">
      <c r="A335">
        <v>565740827</v>
      </c>
      <c r="B335" s="1">
        <v>42903</v>
      </c>
      <c r="C335" s="2">
        <v>0.11388888888888889</v>
      </c>
      <c r="D335">
        <v>3</v>
      </c>
      <c r="E335" t="s">
        <v>4</v>
      </c>
      <c r="F335" t="str">
        <f t="shared" si="8"/>
        <v>Nie</v>
      </c>
    </row>
    <row r="336" spans="1:6" x14ac:dyDescent="0.25">
      <c r="A336">
        <v>518345979</v>
      </c>
      <c r="B336" s="1">
        <v>42903</v>
      </c>
      <c r="C336" s="2">
        <v>0.16875000000000001</v>
      </c>
      <c r="D336">
        <v>6</v>
      </c>
      <c r="E336" t="s">
        <v>5</v>
      </c>
      <c r="F336" t="str">
        <f t="shared" si="8"/>
        <v>Tak</v>
      </c>
    </row>
    <row r="337" spans="1:6" x14ac:dyDescent="0.25">
      <c r="A337">
        <v>967058649</v>
      </c>
      <c r="B337" s="1">
        <v>42903</v>
      </c>
      <c r="C337" s="2">
        <v>0.25763888888888886</v>
      </c>
      <c r="D337">
        <v>3</v>
      </c>
      <c r="E337" t="s">
        <v>3</v>
      </c>
      <c r="F337" t="str">
        <f t="shared" si="8"/>
        <v>Nie</v>
      </c>
    </row>
    <row r="338" spans="1:6" x14ac:dyDescent="0.25">
      <c r="A338">
        <v>711018966</v>
      </c>
      <c r="B338" s="1">
        <v>42903</v>
      </c>
      <c r="C338" s="2">
        <v>0.34444444444444444</v>
      </c>
      <c r="D338">
        <v>4</v>
      </c>
      <c r="E338" t="s">
        <v>4</v>
      </c>
      <c r="F338" t="str">
        <f t="shared" si="8"/>
        <v>Nie</v>
      </c>
    </row>
    <row r="339" spans="1:6" x14ac:dyDescent="0.25">
      <c r="A339">
        <v>583851529</v>
      </c>
      <c r="B339" s="1">
        <v>42903</v>
      </c>
      <c r="C339" s="2">
        <v>0.35</v>
      </c>
      <c r="D339">
        <v>3</v>
      </c>
      <c r="E339" t="s">
        <v>4</v>
      </c>
      <c r="F339" t="str">
        <f t="shared" si="8"/>
        <v>Nie</v>
      </c>
    </row>
    <row r="340" spans="1:6" x14ac:dyDescent="0.25">
      <c r="A340">
        <v>479192587</v>
      </c>
      <c r="B340" s="1">
        <v>42903</v>
      </c>
      <c r="C340" s="2">
        <v>0.38611111111111113</v>
      </c>
      <c r="D340">
        <v>6</v>
      </c>
      <c r="E340" t="s">
        <v>5</v>
      </c>
      <c r="F340" t="str">
        <f t="shared" si="8"/>
        <v>Tak</v>
      </c>
    </row>
    <row r="341" spans="1:6" x14ac:dyDescent="0.25">
      <c r="A341">
        <v>781050014</v>
      </c>
      <c r="B341" s="1">
        <v>42903</v>
      </c>
      <c r="C341" s="2">
        <v>0.44930555555555557</v>
      </c>
      <c r="D341">
        <v>4</v>
      </c>
      <c r="E341" t="s">
        <v>5</v>
      </c>
      <c r="F341" t="str">
        <f t="shared" si="8"/>
        <v>Nie</v>
      </c>
    </row>
    <row r="342" spans="1:6" x14ac:dyDescent="0.25">
      <c r="A342">
        <v>955526833</v>
      </c>
      <c r="B342" s="1">
        <v>42903</v>
      </c>
      <c r="C342" s="2">
        <v>0.47361111111111109</v>
      </c>
      <c r="D342">
        <v>2</v>
      </c>
      <c r="E342" t="s">
        <v>3</v>
      </c>
      <c r="F342" t="str">
        <f t="shared" si="8"/>
        <v>Nie</v>
      </c>
    </row>
    <row r="343" spans="1:6" x14ac:dyDescent="0.25">
      <c r="A343">
        <v>824946602</v>
      </c>
      <c r="B343" s="1">
        <v>42903</v>
      </c>
      <c r="C343" s="2">
        <v>0.57222222222222219</v>
      </c>
      <c r="D343">
        <v>2</v>
      </c>
      <c r="E343" t="s">
        <v>3</v>
      </c>
      <c r="F343" t="str">
        <f t="shared" si="8"/>
        <v>Nie</v>
      </c>
    </row>
    <row r="344" spans="1:6" x14ac:dyDescent="0.25">
      <c r="A344">
        <v>914754460</v>
      </c>
      <c r="B344" s="1">
        <v>42903</v>
      </c>
      <c r="C344" s="2">
        <v>0.625</v>
      </c>
      <c r="D344">
        <v>4</v>
      </c>
      <c r="E344" t="s">
        <v>5</v>
      </c>
      <c r="F344" t="str">
        <f t="shared" si="8"/>
        <v>Nie</v>
      </c>
    </row>
    <row r="345" spans="1:6" x14ac:dyDescent="0.25">
      <c r="A345">
        <v>984263398</v>
      </c>
      <c r="B345" s="1">
        <v>42903</v>
      </c>
      <c r="C345" s="2">
        <v>0.66874999999999996</v>
      </c>
      <c r="D345">
        <v>3</v>
      </c>
      <c r="E345" t="s">
        <v>4</v>
      </c>
      <c r="F345" t="str">
        <f t="shared" si="8"/>
        <v>Nie</v>
      </c>
    </row>
    <row r="346" spans="1:6" x14ac:dyDescent="0.25">
      <c r="A346">
        <v>537759665</v>
      </c>
      <c r="B346" s="1">
        <v>42903</v>
      </c>
      <c r="C346" s="2">
        <v>0.67638888888888893</v>
      </c>
      <c r="D346">
        <v>2</v>
      </c>
      <c r="E346" t="s">
        <v>4</v>
      </c>
      <c r="F346" t="str">
        <f t="shared" si="8"/>
        <v>Nie</v>
      </c>
    </row>
    <row r="347" spans="1:6" x14ac:dyDescent="0.25">
      <c r="A347">
        <v>884539653</v>
      </c>
      <c r="B347" s="1">
        <v>42903</v>
      </c>
      <c r="C347" s="2">
        <v>0.68125000000000002</v>
      </c>
      <c r="D347">
        <v>2</v>
      </c>
      <c r="E347" t="s">
        <v>4</v>
      </c>
      <c r="F347" t="str">
        <f t="shared" si="8"/>
        <v>Nie</v>
      </c>
    </row>
    <row r="348" spans="1:6" x14ac:dyDescent="0.25">
      <c r="A348">
        <v>834093261</v>
      </c>
      <c r="B348" s="1">
        <v>42903</v>
      </c>
      <c r="C348" s="2">
        <v>0.72083333333333333</v>
      </c>
      <c r="D348">
        <v>6</v>
      </c>
      <c r="E348" t="s">
        <v>3</v>
      </c>
      <c r="F348" t="str">
        <f t="shared" si="8"/>
        <v>Nie</v>
      </c>
    </row>
    <row r="349" spans="1:6" x14ac:dyDescent="0.25">
      <c r="A349">
        <v>946208039</v>
      </c>
      <c r="B349" s="1">
        <v>42903</v>
      </c>
      <c r="C349" s="2">
        <v>0.79513888888888884</v>
      </c>
      <c r="D349">
        <v>6</v>
      </c>
      <c r="E349" t="s">
        <v>4</v>
      </c>
      <c r="F349" t="str">
        <f t="shared" si="8"/>
        <v>Nie</v>
      </c>
    </row>
    <row r="350" spans="1:6" x14ac:dyDescent="0.25">
      <c r="A350">
        <v>735579992</v>
      </c>
      <c r="B350" s="1">
        <v>42903</v>
      </c>
      <c r="C350" s="2">
        <v>0.85555555555555551</v>
      </c>
      <c r="D350">
        <v>2</v>
      </c>
      <c r="E350" t="s">
        <v>5</v>
      </c>
      <c r="F350" t="str">
        <f t="shared" si="8"/>
        <v>Tak</v>
      </c>
    </row>
    <row r="351" spans="1:6" x14ac:dyDescent="0.25">
      <c r="A351">
        <v>401589928</v>
      </c>
      <c r="B351" s="1">
        <v>42903</v>
      </c>
      <c r="C351" s="2">
        <v>0.91805555555555551</v>
      </c>
      <c r="D351">
        <v>5</v>
      </c>
      <c r="E351" t="s">
        <v>5</v>
      </c>
      <c r="F351" t="str">
        <f t="shared" si="8"/>
        <v>Nie</v>
      </c>
    </row>
    <row r="352" spans="1:6" x14ac:dyDescent="0.25">
      <c r="A352">
        <v>428045916</v>
      </c>
      <c r="B352" s="1">
        <v>42903</v>
      </c>
      <c r="C352" s="2">
        <v>0.92638888888888893</v>
      </c>
      <c r="D352">
        <v>5</v>
      </c>
      <c r="E352" t="s">
        <v>3</v>
      </c>
      <c r="F352" t="str">
        <f t="shared" si="8"/>
        <v>Nie</v>
      </c>
    </row>
    <row r="353" spans="1:6" x14ac:dyDescent="0.25">
      <c r="A353">
        <v>695423483</v>
      </c>
      <c r="B353" s="1">
        <v>42903</v>
      </c>
      <c r="C353" s="2">
        <v>0.99375000000000002</v>
      </c>
      <c r="D353">
        <v>4</v>
      </c>
      <c r="E353" t="s">
        <v>3</v>
      </c>
      <c r="F353" t="str">
        <f t="shared" si="8"/>
        <v>Tak</v>
      </c>
    </row>
    <row r="354" spans="1:6" x14ac:dyDescent="0.25">
      <c r="A354">
        <v>627101820</v>
      </c>
      <c r="B354" s="1">
        <v>42903</v>
      </c>
      <c r="C354" s="2">
        <v>0.99861111111111112</v>
      </c>
      <c r="D354">
        <v>6</v>
      </c>
      <c r="E354" t="s">
        <v>4</v>
      </c>
      <c r="F354" t="str">
        <f t="shared" si="8"/>
        <v>Nie</v>
      </c>
    </row>
    <row r="355" spans="1:6" x14ac:dyDescent="0.25">
      <c r="A355">
        <v>818755010</v>
      </c>
      <c r="B355" s="1">
        <v>42904</v>
      </c>
      <c r="C355" s="2">
        <v>4.3055555555555555E-2</v>
      </c>
      <c r="D355">
        <v>3</v>
      </c>
      <c r="E355" t="s">
        <v>4</v>
      </c>
      <c r="F355" t="str">
        <f t="shared" si="8"/>
        <v>Nie</v>
      </c>
    </row>
    <row r="356" spans="1:6" x14ac:dyDescent="0.25">
      <c r="A356">
        <v>792728923</v>
      </c>
      <c r="B356" s="1">
        <v>42904</v>
      </c>
      <c r="C356" s="2">
        <v>0.10208333333333333</v>
      </c>
      <c r="D356">
        <v>1</v>
      </c>
      <c r="E356" t="s">
        <v>4</v>
      </c>
      <c r="F356" t="str">
        <f t="shared" si="8"/>
        <v>Nie</v>
      </c>
    </row>
    <row r="357" spans="1:6" x14ac:dyDescent="0.25">
      <c r="A357">
        <v>909240656</v>
      </c>
      <c r="B357" s="1">
        <v>42904</v>
      </c>
      <c r="C357" s="2">
        <v>0.14861111111111111</v>
      </c>
      <c r="D357">
        <v>1</v>
      </c>
      <c r="E357" t="s">
        <v>4</v>
      </c>
      <c r="F357" t="str">
        <f t="shared" si="8"/>
        <v>Nie</v>
      </c>
    </row>
    <row r="358" spans="1:6" x14ac:dyDescent="0.25">
      <c r="A358">
        <v>492606383</v>
      </c>
      <c r="B358" s="1">
        <v>42904</v>
      </c>
      <c r="C358" s="2">
        <v>0.19652777777777777</v>
      </c>
      <c r="D358">
        <v>5</v>
      </c>
      <c r="E358" t="s">
        <v>5</v>
      </c>
      <c r="F358" t="str">
        <f t="shared" si="8"/>
        <v>Nie</v>
      </c>
    </row>
    <row r="359" spans="1:6" x14ac:dyDescent="0.25">
      <c r="A359">
        <v>486085202</v>
      </c>
      <c r="B359" s="1">
        <v>42904</v>
      </c>
      <c r="C359" s="2">
        <v>0.22083333333333333</v>
      </c>
      <c r="D359">
        <v>4</v>
      </c>
      <c r="E359" t="s">
        <v>3</v>
      </c>
      <c r="F359" t="str">
        <f t="shared" si="8"/>
        <v>Tak</v>
      </c>
    </row>
    <row r="360" spans="1:6" x14ac:dyDescent="0.25">
      <c r="A360">
        <v>515918497</v>
      </c>
      <c r="B360" s="1">
        <v>42904</v>
      </c>
      <c r="C360" s="2">
        <v>0.25347222222222221</v>
      </c>
      <c r="D360">
        <v>6</v>
      </c>
      <c r="E360" t="s">
        <v>4</v>
      </c>
      <c r="F360" t="str">
        <f t="shared" si="8"/>
        <v>Nie</v>
      </c>
    </row>
    <row r="361" spans="1:6" x14ac:dyDescent="0.25">
      <c r="A361">
        <v>770920270</v>
      </c>
      <c r="B361" s="1">
        <v>42904</v>
      </c>
      <c r="C361" s="2">
        <v>0.31388888888888888</v>
      </c>
      <c r="D361">
        <v>3</v>
      </c>
      <c r="E361" t="s">
        <v>4</v>
      </c>
      <c r="F361" t="str">
        <f t="shared" si="8"/>
        <v>Nie</v>
      </c>
    </row>
    <row r="362" spans="1:6" x14ac:dyDescent="0.25">
      <c r="A362">
        <v>408286014</v>
      </c>
      <c r="B362" s="1">
        <v>42904</v>
      </c>
      <c r="C362" s="2">
        <v>0.34375</v>
      </c>
      <c r="D362">
        <v>6</v>
      </c>
      <c r="E362" t="s">
        <v>5</v>
      </c>
      <c r="F362" t="str">
        <f t="shared" si="8"/>
        <v>Tak</v>
      </c>
    </row>
    <row r="363" spans="1:6" x14ac:dyDescent="0.25">
      <c r="A363">
        <v>413860491</v>
      </c>
      <c r="B363" s="1">
        <v>42904</v>
      </c>
      <c r="C363" s="2">
        <v>0.38611111111111113</v>
      </c>
      <c r="D363">
        <v>2</v>
      </c>
      <c r="E363" t="s">
        <v>5</v>
      </c>
      <c r="F363" t="str">
        <f t="shared" si="8"/>
        <v>Tak</v>
      </c>
    </row>
    <row r="364" spans="1:6" x14ac:dyDescent="0.25">
      <c r="A364">
        <v>960221718</v>
      </c>
      <c r="B364" s="1">
        <v>42904</v>
      </c>
      <c r="C364" s="2">
        <v>0.46250000000000002</v>
      </c>
      <c r="D364">
        <v>4</v>
      </c>
      <c r="E364" t="s">
        <v>3</v>
      </c>
      <c r="F364" t="str">
        <f t="shared" si="8"/>
        <v>Tak</v>
      </c>
    </row>
    <row r="365" spans="1:6" x14ac:dyDescent="0.25">
      <c r="A365">
        <v>816997835</v>
      </c>
      <c r="B365" s="1">
        <v>42904</v>
      </c>
      <c r="C365" s="2">
        <v>0.48194444444444445</v>
      </c>
      <c r="D365">
        <v>3</v>
      </c>
      <c r="E365" t="s">
        <v>3</v>
      </c>
      <c r="F365" t="str">
        <f t="shared" si="8"/>
        <v>Nie</v>
      </c>
    </row>
    <row r="366" spans="1:6" x14ac:dyDescent="0.25">
      <c r="A366">
        <v>541568429</v>
      </c>
      <c r="B366" s="1">
        <v>42904</v>
      </c>
      <c r="C366" s="2">
        <v>0.50972222222222219</v>
      </c>
      <c r="D366">
        <v>1</v>
      </c>
      <c r="E366" t="s">
        <v>4</v>
      </c>
      <c r="F366" t="str">
        <f t="shared" si="8"/>
        <v>Nie</v>
      </c>
    </row>
    <row r="367" spans="1:6" x14ac:dyDescent="0.25">
      <c r="A367">
        <v>675956854</v>
      </c>
      <c r="B367" s="1">
        <v>42904</v>
      </c>
      <c r="C367" s="2">
        <v>0.60763888888888884</v>
      </c>
      <c r="D367">
        <v>1</v>
      </c>
      <c r="E367" t="s">
        <v>4</v>
      </c>
      <c r="F367" t="str">
        <f t="shared" si="8"/>
        <v>Nie</v>
      </c>
    </row>
    <row r="368" spans="1:6" x14ac:dyDescent="0.25">
      <c r="A368">
        <v>726692867</v>
      </c>
      <c r="B368" s="1">
        <v>42904</v>
      </c>
      <c r="C368" s="2">
        <v>0.62152777777777779</v>
      </c>
      <c r="D368">
        <v>4</v>
      </c>
      <c r="E368" t="s">
        <v>4</v>
      </c>
      <c r="F368" t="str">
        <f t="shared" si="8"/>
        <v>Nie</v>
      </c>
    </row>
    <row r="369" spans="1:6" x14ac:dyDescent="0.25">
      <c r="A369">
        <v>493740160</v>
      </c>
      <c r="B369" s="1">
        <v>42904</v>
      </c>
      <c r="C369" s="2">
        <v>0.625</v>
      </c>
      <c r="D369">
        <v>2</v>
      </c>
      <c r="E369" t="s">
        <v>5</v>
      </c>
      <c r="F369" t="str">
        <f t="shared" si="8"/>
        <v>Tak</v>
      </c>
    </row>
    <row r="370" spans="1:6" x14ac:dyDescent="0.25">
      <c r="A370">
        <v>963106930</v>
      </c>
      <c r="B370" s="1">
        <v>42904</v>
      </c>
      <c r="C370" s="2">
        <v>0.64097222222222228</v>
      </c>
      <c r="D370">
        <v>4</v>
      </c>
      <c r="E370" t="s">
        <v>3</v>
      </c>
      <c r="F370" t="str">
        <f t="shared" si="8"/>
        <v>Tak</v>
      </c>
    </row>
    <row r="371" spans="1:6" x14ac:dyDescent="0.25">
      <c r="A371">
        <v>500493087</v>
      </c>
      <c r="B371" s="1">
        <v>42904</v>
      </c>
      <c r="C371" s="2">
        <v>0.67777777777777781</v>
      </c>
      <c r="D371">
        <v>1</v>
      </c>
      <c r="E371" t="s">
        <v>4</v>
      </c>
      <c r="F371" t="str">
        <f t="shared" si="8"/>
        <v>Nie</v>
      </c>
    </row>
    <row r="372" spans="1:6" x14ac:dyDescent="0.25">
      <c r="A372">
        <v>529505463</v>
      </c>
      <c r="B372" s="1">
        <v>42904</v>
      </c>
      <c r="C372" s="2">
        <v>0.77638888888888891</v>
      </c>
      <c r="D372">
        <v>4</v>
      </c>
      <c r="E372" t="s">
        <v>5</v>
      </c>
      <c r="F372" t="str">
        <f t="shared" si="8"/>
        <v>Nie</v>
      </c>
    </row>
    <row r="373" spans="1:6" x14ac:dyDescent="0.25">
      <c r="A373">
        <v>861876313</v>
      </c>
      <c r="B373" s="1">
        <v>42904</v>
      </c>
      <c r="C373" s="2">
        <v>0.78680555555555554</v>
      </c>
      <c r="D373">
        <v>3</v>
      </c>
      <c r="E373" t="s">
        <v>5</v>
      </c>
      <c r="F373" t="str">
        <f t="shared" si="8"/>
        <v>Tak</v>
      </c>
    </row>
    <row r="374" spans="1:6" x14ac:dyDescent="0.25">
      <c r="A374">
        <v>653112506</v>
      </c>
      <c r="B374" s="1">
        <v>42904</v>
      </c>
      <c r="C374" s="2">
        <v>0.8833333333333333</v>
      </c>
      <c r="D374">
        <v>1</v>
      </c>
      <c r="E374" t="s">
        <v>3</v>
      </c>
      <c r="F374" t="str">
        <f t="shared" si="8"/>
        <v>Tak</v>
      </c>
    </row>
    <row r="375" spans="1:6" x14ac:dyDescent="0.25">
      <c r="A375">
        <v>735451622</v>
      </c>
      <c r="B375" s="1">
        <v>42904</v>
      </c>
      <c r="C375" s="2">
        <v>0.96527777777777779</v>
      </c>
      <c r="D375">
        <v>4</v>
      </c>
      <c r="E375" t="s">
        <v>3</v>
      </c>
      <c r="F375" t="str">
        <f t="shared" si="8"/>
        <v>Tak</v>
      </c>
    </row>
    <row r="376" spans="1:6" x14ac:dyDescent="0.25">
      <c r="A376">
        <v>550233385</v>
      </c>
      <c r="B376" s="1">
        <v>42905</v>
      </c>
      <c r="C376" s="2">
        <v>2.0833333333333333E-3</v>
      </c>
      <c r="D376">
        <v>1</v>
      </c>
      <c r="E376" t="s">
        <v>4</v>
      </c>
      <c r="F376" t="str">
        <f t="shared" si="8"/>
        <v>Nie</v>
      </c>
    </row>
    <row r="377" spans="1:6" x14ac:dyDescent="0.25">
      <c r="A377">
        <v>404217298</v>
      </c>
      <c r="B377" s="1">
        <v>42905</v>
      </c>
      <c r="C377" s="2">
        <v>9.375E-2</v>
      </c>
      <c r="D377">
        <v>1</v>
      </c>
      <c r="E377" t="s">
        <v>4</v>
      </c>
      <c r="F377" t="str">
        <f t="shared" si="8"/>
        <v>Nie</v>
      </c>
    </row>
    <row r="378" spans="1:6" x14ac:dyDescent="0.25">
      <c r="A378">
        <v>760909607</v>
      </c>
      <c r="B378" s="1">
        <v>42905</v>
      </c>
      <c r="C378" s="2">
        <v>0.15972222222222221</v>
      </c>
      <c r="D378">
        <v>2</v>
      </c>
      <c r="E378" t="s">
        <v>4</v>
      </c>
      <c r="F378" t="str">
        <f t="shared" si="8"/>
        <v>Nie</v>
      </c>
    </row>
    <row r="379" spans="1:6" x14ac:dyDescent="0.25">
      <c r="A379">
        <v>440613823</v>
      </c>
      <c r="B379" s="1">
        <v>42905</v>
      </c>
      <c r="C379" s="2">
        <v>0.16944444444444445</v>
      </c>
      <c r="D379">
        <v>6</v>
      </c>
      <c r="E379" t="s">
        <v>4</v>
      </c>
      <c r="F379" t="str">
        <f t="shared" si="8"/>
        <v>Nie</v>
      </c>
    </row>
    <row r="380" spans="1:6" x14ac:dyDescent="0.25">
      <c r="A380">
        <v>916131748</v>
      </c>
      <c r="B380" s="1">
        <v>42905</v>
      </c>
      <c r="C380" s="2">
        <v>0.20069444444444445</v>
      </c>
      <c r="D380">
        <v>6</v>
      </c>
      <c r="E380" t="s">
        <v>5</v>
      </c>
      <c r="F380" t="str">
        <f t="shared" si="8"/>
        <v>Tak</v>
      </c>
    </row>
    <row r="381" spans="1:6" x14ac:dyDescent="0.25">
      <c r="A381">
        <v>549330330</v>
      </c>
      <c r="B381" s="1">
        <v>42905</v>
      </c>
      <c r="C381" s="2">
        <v>0.26041666666666669</v>
      </c>
      <c r="D381">
        <v>6</v>
      </c>
      <c r="E381" t="s">
        <v>3</v>
      </c>
      <c r="F381" t="str">
        <f t="shared" si="8"/>
        <v>Nie</v>
      </c>
    </row>
    <row r="382" spans="1:6" x14ac:dyDescent="0.25">
      <c r="A382">
        <v>806139906</v>
      </c>
      <c r="B382" s="1">
        <v>42905</v>
      </c>
      <c r="C382" s="2">
        <v>0.30138888888888887</v>
      </c>
      <c r="D382">
        <v>2</v>
      </c>
      <c r="E382" t="s">
        <v>4</v>
      </c>
      <c r="F382" t="str">
        <f t="shared" si="8"/>
        <v>Nie</v>
      </c>
    </row>
    <row r="383" spans="1:6" x14ac:dyDescent="0.25">
      <c r="A383">
        <v>404506819</v>
      </c>
      <c r="B383" s="1">
        <v>42905</v>
      </c>
      <c r="C383" s="2">
        <v>0.38472222222222224</v>
      </c>
      <c r="D383">
        <v>2</v>
      </c>
      <c r="E383" t="s">
        <v>4</v>
      </c>
      <c r="F383" t="str">
        <f t="shared" si="8"/>
        <v>Nie</v>
      </c>
    </row>
    <row r="384" spans="1:6" x14ac:dyDescent="0.25">
      <c r="A384">
        <v>701388738</v>
      </c>
      <c r="B384" s="1">
        <v>42905</v>
      </c>
      <c r="C384" s="2">
        <v>0.44861111111111113</v>
      </c>
      <c r="D384">
        <v>3</v>
      </c>
      <c r="E384" t="s">
        <v>5</v>
      </c>
      <c r="F384" t="str">
        <f t="shared" si="8"/>
        <v>Tak</v>
      </c>
    </row>
    <row r="385" spans="1:6" x14ac:dyDescent="0.25">
      <c r="A385">
        <v>601427302</v>
      </c>
      <c r="B385" s="1">
        <v>42905</v>
      </c>
      <c r="C385" s="2">
        <v>0.47986111111111113</v>
      </c>
      <c r="D385">
        <v>6</v>
      </c>
      <c r="E385" t="s">
        <v>5</v>
      </c>
      <c r="F385" t="str">
        <f t="shared" si="8"/>
        <v>Tak</v>
      </c>
    </row>
    <row r="386" spans="1:6" x14ac:dyDescent="0.25">
      <c r="A386">
        <v>787796374</v>
      </c>
      <c r="B386" s="1">
        <v>42905</v>
      </c>
      <c r="C386" s="2">
        <v>0.57777777777777772</v>
      </c>
      <c r="D386">
        <v>4</v>
      </c>
      <c r="E386" t="s">
        <v>3</v>
      </c>
      <c r="F386" t="str">
        <f t="shared" ref="F386:F449" si="9">IF(E386=VLOOKUP(D386,$M$23:$O$30,2,FALSE),"Tak","Nie")</f>
        <v>Tak</v>
      </c>
    </row>
    <row r="387" spans="1:6" x14ac:dyDescent="0.25">
      <c r="A387">
        <v>931343099</v>
      </c>
      <c r="B387" s="1">
        <v>42905</v>
      </c>
      <c r="C387" s="2">
        <v>0.625</v>
      </c>
      <c r="D387">
        <v>3</v>
      </c>
      <c r="E387" t="s">
        <v>5</v>
      </c>
      <c r="F387" t="str">
        <f t="shared" si="9"/>
        <v>Tak</v>
      </c>
    </row>
    <row r="388" spans="1:6" x14ac:dyDescent="0.25">
      <c r="A388">
        <v>898172352</v>
      </c>
      <c r="B388" s="1">
        <v>42905</v>
      </c>
      <c r="C388" s="2">
        <v>0.67222222222222228</v>
      </c>
      <c r="D388">
        <v>3</v>
      </c>
      <c r="E388" t="s">
        <v>3</v>
      </c>
      <c r="F388" t="str">
        <f t="shared" si="9"/>
        <v>Nie</v>
      </c>
    </row>
    <row r="389" spans="1:6" x14ac:dyDescent="0.25">
      <c r="A389">
        <v>470661072</v>
      </c>
      <c r="B389" s="1">
        <v>42905</v>
      </c>
      <c r="C389" s="2">
        <v>0.69166666666666665</v>
      </c>
      <c r="D389">
        <v>3</v>
      </c>
      <c r="E389" t="s">
        <v>3</v>
      </c>
      <c r="F389" t="str">
        <f t="shared" si="9"/>
        <v>Nie</v>
      </c>
    </row>
    <row r="390" spans="1:6" x14ac:dyDescent="0.25">
      <c r="A390">
        <v>778793704</v>
      </c>
      <c r="B390" s="1">
        <v>42905</v>
      </c>
      <c r="C390" s="2">
        <v>0.76458333333333328</v>
      </c>
      <c r="D390">
        <v>5</v>
      </c>
      <c r="E390" t="s">
        <v>4</v>
      </c>
      <c r="F390" t="str">
        <f t="shared" si="9"/>
        <v>Tak</v>
      </c>
    </row>
    <row r="391" spans="1:6" x14ac:dyDescent="0.25">
      <c r="A391">
        <v>539695383</v>
      </c>
      <c r="B391" s="1">
        <v>42905</v>
      </c>
      <c r="C391" s="2">
        <v>0.77152777777777781</v>
      </c>
      <c r="D391">
        <v>6</v>
      </c>
      <c r="E391" t="s">
        <v>4</v>
      </c>
      <c r="F391" t="str">
        <f t="shared" si="9"/>
        <v>Nie</v>
      </c>
    </row>
    <row r="392" spans="1:6" x14ac:dyDescent="0.25">
      <c r="A392">
        <v>924469119</v>
      </c>
      <c r="B392" s="1">
        <v>42905</v>
      </c>
      <c r="C392" s="2">
        <v>0.8208333333333333</v>
      </c>
      <c r="D392">
        <v>6</v>
      </c>
      <c r="E392" t="s">
        <v>5</v>
      </c>
      <c r="F392" t="str">
        <f t="shared" si="9"/>
        <v>Tak</v>
      </c>
    </row>
    <row r="393" spans="1:6" x14ac:dyDescent="0.25">
      <c r="A393">
        <v>407112250</v>
      </c>
      <c r="B393" s="1">
        <v>42905</v>
      </c>
      <c r="C393" s="2">
        <v>0.85902777777777772</v>
      </c>
      <c r="D393">
        <v>6</v>
      </c>
      <c r="E393" t="s">
        <v>5</v>
      </c>
      <c r="F393" t="str">
        <f t="shared" si="9"/>
        <v>Tak</v>
      </c>
    </row>
    <row r="394" spans="1:6" x14ac:dyDescent="0.25">
      <c r="A394">
        <v>561799490</v>
      </c>
      <c r="B394" s="1">
        <v>42905</v>
      </c>
      <c r="C394" s="2">
        <v>0.86111111111111116</v>
      </c>
      <c r="D394">
        <v>3</v>
      </c>
      <c r="E394" t="s">
        <v>4</v>
      </c>
      <c r="F394" t="str">
        <f t="shared" si="9"/>
        <v>Nie</v>
      </c>
    </row>
    <row r="395" spans="1:6" x14ac:dyDescent="0.25">
      <c r="A395">
        <v>880057390</v>
      </c>
      <c r="B395" s="1">
        <v>42905</v>
      </c>
      <c r="C395" s="2">
        <v>0.8833333333333333</v>
      </c>
      <c r="D395">
        <v>5</v>
      </c>
      <c r="E395" t="s">
        <v>3</v>
      </c>
      <c r="F395" t="str">
        <f t="shared" si="9"/>
        <v>Nie</v>
      </c>
    </row>
    <row r="396" spans="1:6" x14ac:dyDescent="0.25">
      <c r="A396">
        <v>596690200</v>
      </c>
      <c r="B396" s="1">
        <v>42905</v>
      </c>
      <c r="C396" s="2">
        <v>0.94513888888888886</v>
      </c>
      <c r="D396">
        <v>4</v>
      </c>
      <c r="E396" t="s">
        <v>3</v>
      </c>
      <c r="F396" t="str">
        <f t="shared" si="9"/>
        <v>Tak</v>
      </c>
    </row>
    <row r="397" spans="1:6" x14ac:dyDescent="0.25">
      <c r="A397">
        <v>583008745</v>
      </c>
      <c r="B397" s="1">
        <v>42905</v>
      </c>
      <c r="C397" s="2">
        <v>0.95138888888888884</v>
      </c>
      <c r="D397">
        <v>1</v>
      </c>
      <c r="E397" t="s">
        <v>4</v>
      </c>
      <c r="F397" t="str">
        <f t="shared" si="9"/>
        <v>Nie</v>
      </c>
    </row>
    <row r="398" spans="1:6" x14ac:dyDescent="0.25">
      <c r="A398">
        <v>792826733</v>
      </c>
      <c r="B398" s="1">
        <v>42906</v>
      </c>
      <c r="C398" s="2">
        <v>6.9444444444444447E-4</v>
      </c>
      <c r="D398">
        <v>5</v>
      </c>
      <c r="E398" t="s">
        <v>4</v>
      </c>
      <c r="F398" t="str">
        <f t="shared" si="9"/>
        <v>Tak</v>
      </c>
    </row>
    <row r="399" spans="1:6" x14ac:dyDescent="0.25">
      <c r="A399">
        <v>824997804</v>
      </c>
      <c r="B399" s="1">
        <v>42906</v>
      </c>
      <c r="C399" s="2">
        <v>3.125E-2</v>
      </c>
      <c r="D399">
        <v>5</v>
      </c>
      <c r="E399" t="s">
        <v>4</v>
      </c>
      <c r="F399" t="str">
        <f t="shared" si="9"/>
        <v>Tak</v>
      </c>
    </row>
    <row r="400" spans="1:6" x14ac:dyDescent="0.25">
      <c r="A400">
        <v>753519338</v>
      </c>
      <c r="B400" s="1">
        <v>42906</v>
      </c>
      <c r="C400" s="2">
        <v>9.0972222222222218E-2</v>
      </c>
      <c r="D400">
        <v>6</v>
      </c>
      <c r="E400" t="s">
        <v>4</v>
      </c>
      <c r="F400" t="str">
        <f t="shared" si="9"/>
        <v>Nie</v>
      </c>
    </row>
    <row r="401" spans="1:6" x14ac:dyDescent="0.25">
      <c r="A401">
        <v>484679513</v>
      </c>
      <c r="B401" s="1">
        <v>42906</v>
      </c>
      <c r="C401" s="2">
        <v>0.13263888888888889</v>
      </c>
      <c r="D401">
        <v>6</v>
      </c>
      <c r="E401" t="s">
        <v>4</v>
      </c>
      <c r="F401" t="str">
        <f t="shared" si="9"/>
        <v>Nie</v>
      </c>
    </row>
    <row r="402" spans="1:6" x14ac:dyDescent="0.25">
      <c r="A402">
        <v>821503911</v>
      </c>
      <c r="B402" s="1">
        <v>42906</v>
      </c>
      <c r="C402" s="2">
        <v>0.17291666666666666</v>
      </c>
      <c r="D402">
        <v>5</v>
      </c>
      <c r="E402" t="s">
        <v>5</v>
      </c>
      <c r="F402" t="str">
        <f t="shared" si="9"/>
        <v>Nie</v>
      </c>
    </row>
    <row r="403" spans="1:6" x14ac:dyDescent="0.25">
      <c r="A403">
        <v>630426575</v>
      </c>
      <c r="B403" s="1">
        <v>42906</v>
      </c>
      <c r="C403" s="2">
        <v>0.23680555555555555</v>
      </c>
      <c r="D403">
        <v>6</v>
      </c>
      <c r="E403" t="s">
        <v>3</v>
      </c>
      <c r="F403" t="str">
        <f t="shared" si="9"/>
        <v>Nie</v>
      </c>
    </row>
    <row r="404" spans="1:6" x14ac:dyDescent="0.25">
      <c r="A404">
        <v>464229154</v>
      </c>
      <c r="B404" s="1">
        <v>42906</v>
      </c>
      <c r="C404" s="2">
        <v>0.33402777777777776</v>
      </c>
      <c r="D404">
        <v>5</v>
      </c>
      <c r="E404" t="s">
        <v>4</v>
      </c>
      <c r="F404" t="str">
        <f t="shared" si="9"/>
        <v>Tak</v>
      </c>
    </row>
    <row r="405" spans="1:6" x14ac:dyDescent="0.25">
      <c r="A405">
        <v>832645975</v>
      </c>
      <c r="B405" s="1">
        <v>42906</v>
      </c>
      <c r="C405" s="2">
        <v>0.35833333333333334</v>
      </c>
      <c r="D405">
        <v>3</v>
      </c>
      <c r="E405" t="s">
        <v>4</v>
      </c>
      <c r="F405" t="str">
        <f t="shared" si="9"/>
        <v>Nie</v>
      </c>
    </row>
    <row r="406" spans="1:6" x14ac:dyDescent="0.25">
      <c r="A406">
        <v>622659709</v>
      </c>
      <c r="B406" s="1">
        <v>42906</v>
      </c>
      <c r="C406" s="2">
        <v>0.37013888888888891</v>
      </c>
      <c r="D406">
        <v>2</v>
      </c>
      <c r="E406" t="s">
        <v>5</v>
      </c>
      <c r="F406" t="str">
        <f t="shared" si="9"/>
        <v>Tak</v>
      </c>
    </row>
    <row r="407" spans="1:6" x14ac:dyDescent="0.25">
      <c r="A407">
        <v>693582611</v>
      </c>
      <c r="B407" s="1">
        <v>42906</v>
      </c>
      <c r="C407" s="2">
        <v>0.40347222222222223</v>
      </c>
      <c r="D407">
        <v>1</v>
      </c>
      <c r="E407" t="s">
        <v>5</v>
      </c>
      <c r="F407" t="str">
        <f t="shared" si="9"/>
        <v>Nie</v>
      </c>
    </row>
    <row r="408" spans="1:6" x14ac:dyDescent="0.25">
      <c r="A408">
        <v>957135320</v>
      </c>
      <c r="B408" s="1">
        <v>42906</v>
      </c>
      <c r="C408" s="2">
        <v>0.40416666666666667</v>
      </c>
      <c r="D408">
        <v>3</v>
      </c>
      <c r="E408" t="s">
        <v>3</v>
      </c>
      <c r="F408" t="str">
        <f t="shared" si="9"/>
        <v>Nie</v>
      </c>
    </row>
    <row r="409" spans="1:6" x14ac:dyDescent="0.25">
      <c r="A409">
        <v>834167039</v>
      </c>
      <c r="B409" s="1">
        <v>42906</v>
      </c>
      <c r="C409" s="2">
        <v>0.43680555555555556</v>
      </c>
      <c r="D409">
        <v>1</v>
      </c>
      <c r="E409" t="s">
        <v>3</v>
      </c>
      <c r="F409" t="str">
        <f t="shared" si="9"/>
        <v>Tak</v>
      </c>
    </row>
    <row r="410" spans="1:6" x14ac:dyDescent="0.25">
      <c r="A410">
        <v>893563189</v>
      </c>
      <c r="B410" s="1">
        <v>42906</v>
      </c>
      <c r="C410" s="2">
        <v>0.5229166666666667</v>
      </c>
      <c r="D410">
        <v>3</v>
      </c>
      <c r="E410" t="s">
        <v>4</v>
      </c>
      <c r="F410" t="str">
        <f t="shared" si="9"/>
        <v>Nie</v>
      </c>
    </row>
    <row r="411" spans="1:6" x14ac:dyDescent="0.25">
      <c r="A411">
        <v>497263087</v>
      </c>
      <c r="B411" s="1">
        <v>42906</v>
      </c>
      <c r="C411" s="2">
        <v>0.61527777777777781</v>
      </c>
      <c r="D411">
        <v>6</v>
      </c>
      <c r="E411" t="s">
        <v>4</v>
      </c>
      <c r="F411" t="str">
        <f t="shared" si="9"/>
        <v>Nie</v>
      </c>
    </row>
    <row r="412" spans="1:6" x14ac:dyDescent="0.25">
      <c r="A412">
        <v>641591546</v>
      </c>
      <c r="B412" s="1">
        <v>42906</v>
      </c>
      <c r="C412" s="2">
        <v>0.625</v>
      </c>
      <c r="D412">
        <v>6</v>
      </c>
      <c r="E412" t="s">
        <v>5</v>
      </c>
      <c r="F412" t="str">
        <f t="shared" si="9"/>
        <v>Tak</v>
      </c>
    </row>
    <row r="413" spans="1:6" x14ac:dyDescent="0.25">
      <c r="A413">
        <v>735248382</v>
      </c>
      <c r="B413" s="1">
        <v>42906</v>
      </c>
      <c r="C413" s="2">
        <v>0.67847222222222225</v>
      </c>
      <c r="D413">
        <v>1</v>
      </c>
      <c r="E413" t="s">
        <v>3</v>
      </c>
      <c r="F413" t="str">
        <f t="shared" si="9"/>
        <v>Tak</v>
      </c>
    </row>
    <row r="414" spans="1:6" x14ac:dyDescent="0.25">
      <c r="A414">
        <v>813642783</v>
      </c>
      <c r="B414" s="1">
        <v>42906</v>
      </c>
      <c r="C414" s="2">
        <v>0.69374999999999998</v>
      </c>
      <c r="D414">
        <v>2</v>
      </c>
      <c r="E414" t="s">
        <v>4</v>
      </c>
      <c r="F414" t="str">
        <f t="shared" si="9"/>
        <v>Nie</v>
      </c>
    </row>
    <row r="415" spans="1:6" x14ac:dyDescent="0.25">
      <c r="A415">
        <v>481225108</v>
      </c>
      <c r="B415" s="1">
        <v>42906</v>
      </c>
      <c r="C415" s="2">
        <v>0.75902777777777775</v>
      </c>
      <c r="D415">
        <v>4</v>
      </c>
      <c r="E415" t="s">
        <v>4</v>
      </c>
      <c r="F415" t="str">
        <f t="shared" si="9"/>
        <v>Nie</v>
      </c>
    </row>
    <row r="416" spans="1:6" x14ac:dyDescent="0.25">
      <c r="A416">
        <v>886148315</v>
      </c>
      <c r="B416" s="1">
        <v>42906</v>
      </c>
      <c r="C416" s="2">
        <v>0.77152777777777781</v>
      </c>
      <c r="D416">
        <v>6</v>
      </c>
      <c r="E416" t="s">
        <v>5</v>
      </c>
      <c r="F416" t="str">
        <f t="shared" si="9"/>
        <v>Tak</v>
      </c>
    </row>
    <row r="417" spans="1:6" x14ac:dyDescent="0.25">
      <c r="A417">
        <v>917611564</v>
      </c>
      <c r="B417" s="1">
        <v>42906</v>
      </c>
      <c r="C417" s="2">
        <v>0.86319444444444449</v>
      </c>
      <c r="D417">
        <v>5</v>
      </c>
      <c r="E417" t="s">
        <v>5</v>
      </c>
      <c r="F417" t="str">
        <f t="shared" si="9"/>
        <v>Nie</v>
      </c>
    </row>
    <row r="418" spans="1:6" x14ac:dyDescent="0.25">
      <c r="A418">
        <v>894305320</v>
      </c>
      <c r="B418" s="1">
        <v>42906</v>
      </c>
      <c r="C418" s="2">
        <v>0.92986111111111114</v>
      </c>
      <c r="D418">
        <v>4</v>
      </c>
      <c r="E418" t="s">
        <v>3</v>
      </c>
      <c r="F418" t="str">
        <f t="shared" si="9"/>
        <v>Tak</v>
      </c>
    </row>
    <row r="419" spans="1:6" x14ac:dyDescent="0.25">
      <c r="A419">
        <v>564950498</v>
      </c>
      <c r="B419" s="1">
        <v>42906</v>
      </c>
      <c r="C419" s="2">
        <v>0.9506944444444444</v>
      </c>
      <c r="D419">
        <v>6</v>
      </c>
      <c r="E419" t="s">
        <v>3</v>
      </c>
      <c r="F419" t="str">
        <f t="shared" si="9"/>
        <v>Nie</v>
      </c>
    </row>
    <row r="420" spans="1:6" x14ac:dyDescent="0.25">
      <c r="A420">
        <v>951599875</v>
      </c>
      <c r="B420" s="1">
        <v>42906</v>
      </c>
      <c r="C420" s="2">
        <v>0.9819444444444444</v>
      </c>
      <c r="D420">
        <v>5</v>
      </c>
      <c r="E420" t="s">
        <v>4</v>
      </c>
      <c r="F420" t="str">
        <f t="shared" si="9"/>
        <v>Tak</v>
      </c>
    </row>
    <row r="421" spans="1:6" x14ac:dyDescent="0.25">
      <c r="A421">
        <v>939802576</v>
      </c>
      <c r="B421" s="1">
        <v>42907</v>
      </c>
      <c r="C421" s="2">
        <v>3.4027777777777775E-2</v>
      </c>
      <c r="D421">
        <v>1</v>
      </c>
      <c r="E421" t="s">
        <v>4</v>
      </c>
      <c r="F421" t="str">
        <f t="shared" si="9"/>
        <v>Nie</v>
      </c>
    </row>
    <row r="422" spans="1:6" x14ac:dyDescent="0.25">
      <c r="A422">
        <v>519234737</v>
      </c>
      <c r="B422" s="1">
        <v>42907</v>
      </c>
      <c r="C422" s="2">
        <v>5.5555555555555552E-2</v>
      </c>
      <c r="D422">
        <v>1</v>
      </c>
      <c r="E422" t="s">
        <v>4</v>
      </c>
      <c r="F422" t="str">
        <f t="shared" si="9"/>
        <v>Nie</v>
      </c>
    </row>
    <row r="423" spans="1:6" x14ac:dyDescent="0.25">
      <c r="A423">
        <v>558056442</v>
      </c>
      <c r="B423" s="1">
        <v>42907</v>
      </c>
      <c r="C423" s="2">
        <v>0.10208333333333333</v>
      </c>
      <c r="D423">
        <v>2</v>
      </c>
      <c r="E423" t="s">
        <v>4</v>
      </c>
      <c r="F423" t="str">
        <f t="shared" si="9"/>
        <v>Nie</v>
      </c>
    </row>
    <row r="424" spans="1:6" x14ac:dyDescent="0.25">
      <c r="A424">
        <v>470369511</v>
      </c>
      <c r="B424" s="1">
        <v>42907</v>
      </c>
      <c r="C424" s="2">
        <v>0.15902777777777777</v>
      </c>
      <c r="D424">
        <v>6</v>
      </c>
      <c r="E424" t="s">
        <v>5</v>
      </c>
      <c r="F424" t="str">
        <f t="shared" si="9"/>
        <v>Tak</v>
      </c>
    </row>
    <row r="425" spans="1:6" x14ac:dyDescent="0.25">
      <c r="A425">
        <v>506413530</v>
      </c>
      <c r="B425" s="1">
        <v>42907</v>
      </c>
      <c r="C425" s="2">
        <v>0.15972222222222221</v>
      </c>
      <c r="D425">
        <v>2</v>
      </c>
      <c r="E425" t="s">
        <v>3</v>
      </c>
      <c r="F425" t="str">
        <f t="shared" si="9"/>
        <v>Nie</v>
      </c>
    </row>
    <row r="426" spans="1:6" x14ac:dyDescent="0.25">
      <c r="A426">
        <v>445000794</v>
      </c>
      <c r="B426" s="1">
        <v>42907</v>
      </c>
      <c r="C426" s="2">
        <v>0.16041666666666668</v>
      </c>
      <c r="D426">
        <v>2</v>
      </c>
      <c r="E426" t="s">
        <v>4</v>
      </c>
      <c r="F426" t="str">
        <f t="shared" si="9"/>
        <v>Nie</v>
      </c>
    </row>
    <row r="427" spans="1:6" x14ac:dyDescent="0.25">
      <c r="A427">
        <v>877486007</v>
      </c>
      <c r="B427" s="1">
        <v>42907</v>
      </c>
      <c r="C427" s="2">
        <v>0.19652777777777777</v>
      </c>
      <c r="D427">
        <v>3</v>
      </c>
      <c r="E427" t="s">
        <v>4</v>
      </c>
      <c r="F427" t="str">
        <f t="shared" si="9"/>
        <v>Nie</v>
      </c>
    </row>
    <row r="428" spans="1:6" x14ac:dyDescent="0.25">
      <c r="A428">
        <v>841132434</v>
      </c>
      <c r="B428" s="1">
        <v>42907</v>
      </c>
      <c r="C428" s="2">
        <v>0.22847222222222222</v>
      </c>
      <c r="D428">
        <v>2</v>
      </c>
      <c r="E428" t="s">
        <v>5</v>
      </c>
      <c r="F428" t="str">
        <f t="shared" si="9"/>
        <v>Tak</v>
      </c>
    </row>
    <row r="429" spans="1:6" x14ac:dyDescent="0.25">
      <c r="A429">
        <v>649331617</v>
      </c>
      <c r="B429" s="1">
        <v>42907</v>
      </c>
      <c r="C429" s="2">
        <v>0.24374999999999999</v>
      </c>
      <c r="D429">
        <v>3</v>
      </c>
      <c r="E429" t="s">
        <v>5</v>
      </c>
      <c r="F429" t="str">
        <f t="shared" si="9"/>
        <v>Tak</v>
      </c>
    </row>
    <row r="430" spans="1:6" x14ac:dyDescent="0.25">
      <c r="A430">
        <v>749334956</v>
      </c>
      <c r="B430" s="1">
        <v>42907</v>
      </c>
      <c r="C430" s="2">
        <v>0.25972222222222224</v>
      </c>
      <c r="D430">
        <v>4</v>
      </c>
      <c r="E430" t="s">
        <v>3</v>
      </c>
      <c r="F430" t="str">
        <f t="shared" si="9"/>
        <v>Tak</v>
      </c>
    </row>
    <row r="431" spans="1:6" x14ac:dyDescent="0.25">
      <c r="A431">
        <v>863289533</v>
      </c>
      <c r="B431" s="1">
        <v>42907</v>
      </c>
      <c r="C431" s="2">
        <v>0.34513888888888888</v>
      </c>
      <c r="D431">
        <v>1</v>
      </c>
      <c r="E431" t="s">
        <v>3</v>
      </c>
      <c r="F431" t="str">
        <f t="shared" si="9"/>
        <v>Tak</v>
      </c>
    </row>
    <row r="432" spans="1:6" x14ac:dyDescent="0.25">
      <c r="A432">
        <v>607512980</v>
      </c>
      <c r="B432" s="1">
        <v>42907</v>
      </c>
      <c r="C432" s="2">
        <v>0.35069444444444442</v>
      </c>
      <c r="D432">
        <v>4</v>
      </c>
      <c r="E432" t="s">
        <v>4</v>
      </c>
      <c r="F432" t="str">
        <f t="shared" si="9"/>
        <v>Nie</v>
      </c>
    </row>
    <row r="433" spans="1:6" x14ac:dyDescent="0.25">
      <c r="A433">
        <v>429775040</v>
      </c>
      <c r="B433" s="1">
        <v>42907</v>
      </c>
      <c r="C433" s="2">
        <v>0.35625000000000001</v>
      </c>
      <c r="D433">
        <v>3</v>
      </c>
      <c r="E433" t="s">
        <v>4</v>
      </c>
      <c r="F433" t="str">
        <f t="shared" si="9"/>
        <v>Nie</v>
      </c>
    </row>
    <row r="434" spans="1:6" x14ac:dyDescent="0.25">
      <c r="A434">
        <v>461899668</v>
      </c>
      <c r="B434" s="1">
        <v>42907</v>
      </c>
      <c r="C434" s="2">
        <v>0.40416666666666667</v>
      </c>
      <c r="D434">
        <v>1</v>
      </c>
      <c r="E434" t="s">
        <v>4</v>
      </c>
      <c r="F434" t="str">
        <f t="shared" si="9"/>
        <v>Nie</v>
      </c>
    </row>
    <row r="435" spans="1:6" x14ac:dyDescent="0.25">
      <c r="A435">
        <v>526857160</v>
      </c>
      <c r="B435" s="1">
        <v>42907</v>
      </c>
      <c r="C435" s="2">
        <v>0.625</v>
      </c>
      <c r="D435">
        <v>4</v>
      </c>
      <c r="E435" t="s">
        <v>5</v>
      </c>
      <c r="F435" t="str">
        <f t="shared" si="9"/>
        <v>Nie</v>
      </c>
    </row>
    <row r="436" spans="1:6" x14ac:dyDescent="0.25">
      <c r="A436">
        <v>863358985</v>
      </c>
      <c r="B436" s="1">
        <v>42907</v>
      </c>
      <c r="C436" s="2">
        <v>0.68611111111111112</v>
      </c>
      <c r="D436">
        <v>1</v>
      </c>
      <c r="E436" t="s">
        <v>3</v>
      </c>
      <c r="F436" t="str">
        <f t="shared" si="9"/>
        <v>Tak</v>
      </c>
    </row>
    <row r="437" spans="1:6" x14ac:dyDescent="0.25">
      <c r="A437">
        <v>985645574</v>
      </c>
      <c r="B437" s="1">
        <v>42907</v>
      </c>
      <c r="C437" s="2">
        <v>0.74236111111111114</v>
      </c>
      <c r="D437">
        <v>1</v>
      </c>
      <c r="E437" t="s">
        <v>4</v>
      </c>
      <c r="F437" t="str">
        <f t="shared" si="9"/>
        <v>Nie</v>
      </c>
    </row>
    <row r="438" spans="1:6" x14ac:dyDescent="0.25">
      <c r="A438">
        <v>424565017</v>
      </c>
      <c r="B438" s="1">
        <v>42907</v>
      </c>
      <c r="C438" s="2">
        <v>0.7583333333333333</v>
      </c>
      <c r="D438">
        <v>5</v>
      </c>
      <c r="E438" t="s">
        <v>5</v>
      </c>
      <c r="F438" t="str">
        <f t="shared" si="9"/>
        <v>Nie</v>
      </c>
    </row>
    <row r="439" spans="1:6" x14ac:dyDescent="0.25">
      <c r="A439">
        <v>454582442</v>
      </c>
      <c r="B439" s="1">
        <v>42907</v>
      </c>
      <c r="C439" s="2">
        <v>0.7993055555555556</v>
      </c>
      <c r="D439">
        <v>3</v>
      </c>
      <c r="E439" t="s">
        <v>5</v>
      </c>
      <c r="F439" t="str">
        <f t="shared" si="9"/>
        <v>Tak</v>
      </c>
    </row>
    <row r="440" spans="1:6" x14ac:dyDescent="0.25">
      <c r="A440">
        <v>696905596</v>
      </c>
      <c r="B440" s="1">
        <v>42907</v>
      </c>
      <c r="C440" s="2">
        <v>0.85624999999999996</v>
      </c>
      <c r="D440">
        <v>2</v>
      </c>
      <c r="E440" t="s">
        <v>3</v>
      </c>
      <c r="F440" t="str">
        <f t="shared" si="9"/>
        <v>Nie</v>
      </c>
    </row>
    <row r="441" spans="1:6" x14ac:dyDescent="0.25">
      <c r="A441">
        <v>948676112</v>
      </c>
      <c r="B441" s="1">
        <v>42907</v>
      </c>
      <c r="C441" s="2">
        <v>0.91736111111111107</v>
      </c>
      <c r="D441">
        <v>3</v>
      </c>
      <c r="E441" t="s">
        <v>3</v>
      </c>
      <c r="F441" t="str">
        <f t="shared" si="9"/>
        <v>Nie</v>
      </c>
    </row>
    <row r="442" spans="1:6" x14ac:dyDescent="0.25">
      <c r="A442">
        <v>514312745</v>
      </c>
      <c r="B442" s="1">
        <v>42907</v>
      </c>
      <c r="C442" s="2">
        <v>0.93333333333333335</v>
      </c>
      <c r="D442">
        <v>6</v>
      </c>
      <c r="E442" t="s">
        <v>4</v>
      </c>
      <c r="F442" t="str">
        <f t="shared" si="9"/>
        <v>Nie</v>
      </c>
    </row>
    <row r="443" spans="1:6" x14ac:dyDescent="0.25">
      <c r="A443">
        <v>748231234</v>
      </c>
      <c r="B443" s="1">
        <v>42907</v>
      </c>
      <c r="C443" s="2">
        <v>0.9375</v>
      </c>
      <c r="D443">
        <v>4</v>
      </c>
      <c r="E443" t="s">
        <v>4</v>
      </c>
      <c r="F443" t="str">
        <f t="shared" si="9"/>
        <v>Nie</v>
      </c>
    </row>
    <row r="444" spans="1:6" x14ac:dyDescent="0.25">
      <c r="A444">
        <v>959320060</v>
      </c>
      <c r="B444" s="1">
        <v>42908</v>
      </c>
      <c r="C444" s="2">
        <v>2.2916666666666665E-2</v>
      </c>
      <c r="D444">
        <v>3</v>
      </c>
      <c r="E444" t="s">
        <v>4</v>
      </c>
      <c r="F444" t="str">
        <f t="shared" si="9"/>
        <v>Nie</v>
      </c>
    </row>
    <row r="445" spans="1:6" x14ac:dyDescent="0.25">
      <c r="A445">
        <v>968851363</v>
      </c>
      <c r="B445" s="1">
        <v>42908</v>
      </c>
      <c r="C445" s="2">
        <v>0.10277777777777777</v>
      </c>
      <c r="D445">
        <v>4</v>
      </c>
      <c r="E445" t="s">
        <v>4</v>
      </c>
      <c r="F445" t="str">
        <f t="shared" si="9"/>
        <v>Nie</v>
      </c>
    </row>
    <row r="446" spans="1:6" x14ac:dyDescent="0.25">
      <c r="A446">
        <v>598697955</v>
      </c>
      <c r="B446" s="1">
        <v>42908</v>
      </c>
      <c r="C446" s="2">
        <v>0.12430555555555556</v>
      </c>
      <c r="D446">
        <v>1</v>
      </c>
      <c r="E446" t="s">
        <v>5</v>
      </c>
      <c r="F446" t="str">
        <f t="shared" si="9"/>
        <v>Nie</v>
      </c>
    </row>
    <row r="447" spans="1:6" x14ac:dyDescent="0.25">
      <c r="A447">
        <v>749077759</v>
      </c>
      <c r="B447" s="1">
        <v>42908</v>
      </c>
      <c r="C447" s="2">
        <v>0.16041666666666668</v>
      </c>
      <c r="D447">
        <v>2</v>
      </c>
      <c r="E447" t="s">
        <v>3</v>
      </c>
      <c r="F447" t="str">
        <f t="shared" si="9"/>
        <v>Nie</v>
      </c>
    </row>
    <row r="448" spans="1:6" x14ac:dyDescent="0.25">
      <c r="A448">
        <v>861023707</v>
      </c>
      <c r="B448" s="1">
        <v>42908</v>
      </c>
      <c r="C448" s="2">
        <v>0.20555555555555555</v>
      </c>
      <c r="D448">
        <v>4</v>
      </c>
      <c r="E448" t="s">
        <v>4</v>
      </c>
      <c r="F448" t="str">
        <f t="shared" si="9"/>
        <v>Nie</v>
      </c>
    </row>
    <row r="449" spans="1:6" x14ac:dyDescent="0.25">
      <c r="A449">
        <v>567030780</v>
      </c>
      <c r="B449" s="1">
        <v>42908</v>
      </c>
      <c r="C449" s="2">
        <v>0.25416666666666665</v>
      </c>
      <c r="D449">
        <v>4</v>
      </c>
      <c r="E449" t="s">
        <v>4</v>
      </c>
      <c r="F449" t="str">
        <f t="shared" si="9"/>
        <v>Nie</v>
      </c>
    </row>
    <row r="450" spans="1:6" x14ac:dyDescent="0.25">
      <c r="A450">
        <v>838569295</v>
      </c>
      <c r="B450" s="1">
        <v>42908</v>
      </c>
      <c r="C450" s="2">
        <v>0.28125</v>
      </c>
      <c r="D450">
        <v>3</v>
      </c>
      <c r="E450" t="s">
        <v>5</v>
      </c>
      <c r="F450" t="str">
        <f t="shared" ref="F450:F513" si="10">IF(E450=VLOOKUP(D450,$M$23:$O$30,2,FALSE),"Tak","Nie")</f>
        <v>Tak</v>
      </c>
    </row>
    <row r="451" spans="1:6" x14ac:dyDescent="0.25">
      <c r="A451">
        <v>899769065</v>
      </c>
      <c r="B451" s="1">
        <v>42908</v>
      </c>
      <c r="C451" s="2">
        <v>0.29444444444444445</v>
      </c>
      <c r="D451">
        <v>5</v>
      </c>
      <c r="E451" t="s">
        <v>5</v>
      </c>
      <c r="F451" t="str">
        <f t="shared" si="10"/>
        <v>Nie</v>
      </c>
    </row>
    <row r="452" spans="1:6" x14ac:dyDescent="0.25">
      <c r="A452">
        <v>417877992</v>
      </c>
      <c r="B452" s="1">
        <v>42908</v>
      </c>
      <c r="C452" s="2">
        <v>0.31666666666666665</v>
      </c>
      <c r="D452">
        <v>4</v>
      </c>
      <c r="E452" t="s">
        <v>3</v>
      </c>
      <c r="F452" t="str">
        <f t="shared" si="10"/>
        <v>Tak</v>
      </c>
    </row>
    <row r="453" spans="1:6" x14ac:dyDescent="0.25">
      <c r="A453">
        <v>808442845</v>
      </c>
      <c r="B453" s="1">
        <v>42908</v>
      </c>
      <c r="C453" s="2">
        <v>0.3263888888888889</v>
      </c>
      <c r="D453">
        <v>2</v>
      </c>
      <c r="E453" t="s">
        <v>3</v>
      </c>
      <c r="F453" t="str">
        <f t="shared" si="10"/>
        <v>Nie</v>
      </c>
    </row>
    <row r="454" spans="1:6" x14ac:dyDescent="0.25">
      <c r="A454">
        <v>938251806</v>
      </c>
      <c r="B454" s="1">
        <v>42908</v>
      </c>
      <c r="C454" s="2">
        <v>0.37291666666666667</v>
      </c>
      <c r="D454">
        <v>4</v>
      </c>
      <c r="E454" t="s">
        <v>4</v>
      </c>
      <c r="F454" t="str">
        <f t="shared" si="10"/>
        <v>Nie</v>
      </c>
    </row>
    <row r="455" spans="1:6" x14ac:dyDescent="0.25">
      <c r="A455">
        <v>618200981</v>
      </c>
      <c r="B455" s="1">
        <v>42908</v>
      </c>
      <c r="C455" s="2">
        <v>0.42986111111111114</v>
      </c>
      <c r="D455">
        <v>1</v>
      </c>
      <c r="E455" t="s">
        <v>4</v>
      </c>
      <c r="F455" t="str">
        <f t="shared" si="10"/>
        <v>Nie</v>
      </c>
    </row>
    <row r="456" spans="1:6" x14ac:dyDescent="0.25">
      <c r="A456">
        <v>493169743</v>
      </c>
      <c r="B456" s="1">
        <v>42908</v>
      </c>
      <c r="C456" s="2">
        <v>0.47013888888888888</v>
      </c>
      <c r="D456">
        <v>1</v>
      </c>
      <c r="E456" t="s">
        <v>4</v>
      </c>
      <c r="F456" t="str">
        <f t="shared" si="10"/>
        <v>Nie</v>
      </c>
    </row>
    <row r="457" spans="1:6" x14ac:dyDescent="0.25">
      <c r="A457">
        <v>757909385</v>
      </c>
      <c r="B457" s="1">
        <v>42908</v>
      </c>
      <c r="C457" s="2">
        <v>0.625</v>
      </c>
      <c r="D457">
        <v>1</v>
      </c>
      <c r="E457" t="s">
        <v>5</v>
      </c>
      <c r="F457" t="str">
        <f t="shared" si="10"/>
        <v>Nie</v>
      </c>
    </row>
    <row r="458" spans="1:6" x14ac:dyDescent="0.25">
      <c r="A458">
        <v>734155720</v>
      </c>
      <c r="B458" s="1">
        <v>42908</v>
      </c>
      <c r="C458" s="2">
        <v>0.70833333333333337</v>
      </c>
      <c r="D458">
        <v>6</v>
      </c>
      <c r="E458" t="s">
        <v>3</v>
      </c>
      <c r="F458" t="str">
        <f t="shared" si="10"/>
        <v>Nie</v>
      </c>
    </row>
    <row r="459" spans="1:6" x14ac:dyDescent="0.25">
      <c r="A459">
        <v>647356857</v>
      </c>
      <c r="B459" s="1">
        <v>42908</v>
      </c>
      <c r="C459" s="2">
        <v>0.7993055555555556</v>
      </c>
      <c r="D459">
        <v>1</v>
      </c>
      <c r="E459" t="s">
        <v>4</v>
      </c>
      <c r="F459" t="str">
        <f t="shared" si="10"/>
        <v>Nie</v>
      </c>
    </row>
    <row r="460" spans="1:6" x14ac:dyDescent="0.25">
      <c r="A460">
        <v>903092306</v>
      </c>
      <c r="B460" s="1">
        <v>42908</v>
      </c>
      <c r="C460" s="2">
        <v>0.82499999999999996</v>
      </c>
      <c r="D460">
        <v>2</v>
      </c>
      <c r="E460" t="s">
        <v>5</v>
      </c>
      <c r="F460" t="str">
        <f t="shared" si="10"/>
        <v>Tak</v>
      </c>
    </row>
    <row r="461" spans="1:6" x14ac:dyDescent="0.25">
      <c r="A461">
        <v>448207297</v>
      </c>
      <c r="B461" s="1">
        <v>42908</v>
      </c>
      <c r="C461" s="2">
        <v>0.90763888888888888</v>
      </c>
      <c r="D461">
        <v>2</v>
      </c>
      <c r="E461" t="s">
        <v>5</v>
      </c>
      <c r="F461" t="str">
        <f t="shared" si="10"/>
        <v>Tak</v>
      </c>
    </row>
    <row r="462" spans="1:6" x14ac:dyDescent="0.25">
      <c r="A462">
        <v>837997596</v>
      </c>
      <c r="B462" s="1">
        <v>42908</v>
      </c>
      <c r="C462" s="2">
        <v>0.91180555555555554</v>
      </c>
      <c r="D462">
        <v>6</v>
      </c>
      <c r="E462" t="s">
        <v>3</v>
      </c>
      <c r="F462" t="str">
        <f t="shared" si="10"/>
        <v>Nie</v>
      </c>
    </row>
    <row r="463" spans="1:6" x14ac:dyDescent="0.25">
      <c r="A463">
        <v>862738873</v>
      </c>
      <c r="B463" s="1">
        <v>42908</v>
      </c>
      <c r="C463" s="2">
        <v>0.97152777777777777</v>
      </c>
      <c r="D463">
        <v>4</v>
      </c>
      <c r="E463" t="s">
        <v>3</v>
      </c>
      <c r="F463" t="str">
        <f t="shared" si="10"/>
        <v>Tak</v>
      </c>
    </row>
    <row r="464" spans="1:6" x14ac:dyDescent="0.25">
      <c r="A464">
        <v>783287152</v>
      </c>
      <c r="B464" s="1">
        <v>42909</v>
      </c>
      <c r="C464" s="2">
        <v>0.05</v>
      </c>
      <c r="D464">
        <v>1</v>
      </c>
      <c r="E464" t="s">
        <v>4</v>
      </c>
      <c r="F464" t="str">
        <f t="shared" si="10"/>
        <v>Nie</v>
      </c>
    </row>
    <row r="465" spans="1:6" x14ac:dyDescent="0.25">
      <c r="A465">
        <v>475338338</v>
      </c>
      <c r="B465" s="1">
        <v>42909</v>
      </c>
      <c r="C465" s="2">
        <v>0.11180555555555556</v>
      </c>
      <c r="D465">
        <v>4</v>
      </c>
      <c r="E465" t="s">
        <v>4</v>
      </c>
      <c r="F465" t="str">
        <f t="shared" si="10"/>
        <v>Nie</v>
      </c>
    </row>
    <row r="466" spans="1:6" x14ac:dyDescent="0.25">
      <c r="A466">
        <v>526315496</v>
      </c>
      <c r="B466" s="1">
        <v>42909</v>
      </c>
      <c r="C466" s="2">
        <v>0.16527777777777777</v>
      </c>
      <c r="D466">
        <v>2</v>
      </c>
      <c r="E466" t="s">
        <v>4</v>
      </c>
      <c r="F466" t="str">
        <f t="shared" si="10"/>
        <v>Nie</v>
      </c>
    </row>
    <row r="467" spans="1:6" x14ac:dyDescent="0.25">
      <c r="A467">
        <v>948239076</v>
      </c>
      <c r="B467" s="1">
        <v>42909</v>
      </c>
      <c r="C467" s="2">
        <v>0.16527777777777777</v>
      </c>
      <c r="D467">
        <v>4</v>
      </c>
      <c r="E467" t="s">
        <v>4</v>
      </c>
      <c r="F467" t="str">
        <f t="shared" si="10"/>
        <v>Nie</v>
      </c>
    </row>
    <row r="468" spans="1:6" x14ac:dyDescent="0.25">
      <c r="A468">
        <v>804399102</v>
      </c>
      <c r="B468" s="1">
        <v>42909</v>
      </c>
      <c r="C468" s="2">
        <v>0.19930555555555557</v>
      </c>
      <c r="D468">
        <v>2</v>
      </c>
      <c r="E468" t="s">
        <v>5</v>
      </c>
      <c r="F468" t="str">
        <f t="shared" si="10"/>
        <v>Tak</v>
      </c>
    </row>
    <row r="469" spans="1:6" x14ac:dyDescent="0.25">
      <c r="A469">
        <v>975772949</v>
      </c>
      <c r="B469" s="1">
        <v>42909</v>
      </c>
      <c r="C469" s="2">
        <v>0.22777777777777777</v>
      </c>
      <c r="D469">
        <v>4</v>
      </c>
      <c r="E469" t="s">
        <v>3</v>
      </c>
      <c r="F469" t="str">
        <f t="shared" si="10"/>
        <v>Tak</v>
      </c>
    </row>
    <row r="470" spans="1:6" x14ac:dyDescent="0.25">
      <c r="A470">
        <v>586938473</v>
      </c>
      <c r="B470" s="1">
        <v>42909</v>
      </c>
      <c r="C470" s="2">
        <v>0.24166666666666667</v>
      </c>
      <c r="D470">
        <v>1</v>
      </c>
      <c r="E470" t="s">
        <v>4</v>
      </c>
      <c r="F470" t="str">
        <f t="shared" si="10"/>
        <v>Nie</v>
      </c>
    </row>
    <row r="471" spans="1:6" x14ac:dyDescent="0.25">
      <c r="A471">
        <v>794678287</v>
      </c>
      <c r="B471" s="1">
        <v>42909</v>
      </c>
      <c r="C471" s="2">
        <v>0.33055555555555555</v>
      </c>
      <c r="D471">
        <v>3</v>
      </c>
      <c r="E471" t="s">
        <v>4</v>
      </c>
      <c r="F471" t="str">
        <f t="shared" si="10"/>
        <v>Nie</v>
      </c>
    </row>
    <row r="472" spans="1:6" x14ac:dyDescent="0.25">
      <c r="A472">
        <v>973105649</v>
      </c>
      <c r="B472" s="1">
        <v>42909</v>
      </c>
      <c r="C472" s="2">
        <v>0.38750000000000001</v>
      </c>
      <c r="D472">
        <v>5</v>
      </c>
      <c r="E472" t="s">
        <v>5</v>
      </c>
      <c r="F472" t="str">
        <f t="shared" si="10"/>
        <v>Nie</v>
      </c>
    </row>
    <row r="473" spans="1:6" x14ac:dyDescent="0.25">
      <c r="A473">
        <v>532752868</v>
      </c>
      <c r="B473" s="1">
        <v>42909</v>
      </c>
      <c r="C473" s="2">
        <v>0.44861111111111113</v>
      </c>
      <c r="D473">
        <v>2</v>
      </c>
      <c r="E473" t="s">
        <v>5</v>
      </c>
      <c r="F473" t="str">
        <f t="shared" si="10"/>
        <v>Tak</v>
      </c>
    </row>
    <row r="474" spans="1:6" x14ac:dyDescent="0.25">
      <c r="A474">
        <v>881862064</v>
      </c>
      <c r="B474" s="1">
        <v>42909</v>
      </c>
      <c r="C474" s="2">
        <v>0.50694444444444442</v>
      </c>
      <c r="D474">
        <v>1</v>
      </c>
      <c r="E474" t="s">
        <v>3</v>
      </c>
      <c r="F474" t="str">
        <f t="shared" si="10"/>
        <v>Tak</v>
      </c>
    </row>
    <row r="475" spans="1:6" x14ac:dyDescent="0.25">
      <c r="A475">
        <v>767574622</v>
      </c>
      <c r="B475" s="1">
        <v>42909</v>
      </c>
      <c r="C475" s="2">
        <v>0.5229166666666667</v>
      </c>
      <c r="D475">
        <v>6</v>
      </c>
      <c r="E475" t="s">
        <v>3</v>
      </c>
      <c r="F475" t="str">
        <f t="shared" si="10"/>
        <v>Nie</v>
      </c>
    </row>
    <row r="476" spans="1:6" x14ac:dyDescent="0.25">
      <c r="A476">
        <v>500646455</v>
      </c>
      <c r="B476" s="1">
        <v>42909</v>
      </c>
      <c r="C476" s="2">
        <v>0.5493055555555556</v>
      </c>
      <c r="D476">
        <v>4</v>
      </c>
      <c r="E476" t="s">
        <v>4</v>
      </c>
      <c r="F476" t="str">
        <f t="shared" si="10"/>
        <v>Nie</v>
      </c>
    </row>
    <row r="477" spans="1:6" x14ac:dyDescent="0.25">
      <c r="A477">
        <v>679376843</v>
      </c>
      <c r="B477" s="1">
        <v>42909</v>
      </c>
      <c r="C477" s="2">
        <v>0.6020833333333333</v>
      </c>
      <c r="D477">
        <v>4</v>
      </c>
      <c r="E477" t="s">
        <v>4</v>
      </c>
      <c r="F477" t="str">
        <f t="shared" si="10"/>
        <v>Nie</v>
      </c>
    </row>
    <row r="478" spans="1:6" x14ac:dyDescent="0.25">
      <c r="A478">
        <v>964667885</v>
      </c>
      <c r="B478" s="1">
        <v>42909</v>
      </c>
      <c r="C478" s="2">
        <v>0.625</v>
      </c>
      <c r="D478">
        <v>5</v>
      </c>
      <c r="E478" t="s">
        <v>5</v>
      </c>
      <c r="F478" t="str">
        <f t="shared" si="10"/>
        <v>Nie</v>
      </c>
    </row>
    <row r="479" spans="1:6" x14ac:dyDescent="0.25">
      <c r="A479">
        <v>428277131</v>
      </c>
      <c r="B479" s="1">
        <v>42909</v>
      </c>
      <c r="C479" s="2">
        <v>0.62777777777777777</v>
      </c>
      <c r="D479">
        <v>1</v>
      </c>
      <c r="E479" t="s">
        <v>4</v>
      </c>
      <c r="F479" t="str">
        <f t="shared" si="10"/>
        <v>Nie</v>
      </c>
    </row>
    <row r="480" spans="1:6" x14ac:dyDescent="0.25">
      <c r="A480">
        <v>629619430</v>
      </c>
      <c r="B480" s="1">
        <v>42909</v>
      </c>
      <c r="C480" s="2">
        <v>0.68541666666666667</v>
      </c>
      <c r="D480">
        <v>2</v>
      </c>
      <c r="E480" t="s">
        <v>3</v>
      </c>
      <c r="F480" t="str">
        <f t="shared" si="10"/>
        <v>Nie</v>
      </c>
    </row>
    <row r="481" spans="1:6" x14ac:dyDescent="0.25">
      <c r="A481">
        <v>929921466</v>
      </c>
      <c r="B481" s="1">
        <v>42909</v>
      </c>
      <c r="C481" s="2">
        <v>0.71944444444444444</v>
      </c>
      <c r="D481">
        <v>3</v>
      </c>
      <c r="E481" t="s">
        <v>4</v>
      </c>
      <c r="F481" t="str">
        <f t="shared" si="10"/>
        <v>Nie</v>
      </c>
    </row>
    <row r="482" spans="1:6" x14ac:dyDescent="0.25">
      <c r="A482">
        <v>612102741</v>
      </c>
      <c r="B482" s="1">
        <v>42909</v>
      </c>
      <c r="C482" s="2">
        <v>0.74583333333333335</v>
      </c>
      <c r="D482">
        <v>6</v>
      </c>
      <c r="E482" t="s">
        <v>5</v>
      </c>
      <c r="F482" t="str">
        <f t="shared" si="10"/>
        <v>Tak</v>
      </c>
    </row>
    <row r="483" spans="1:6" x14ac:dyDescent="0.25">
      <c r="A483">
        <v>853511075</v>
      </c>
      <c r="B483" s="1">
        <v>42909</v>
      </c>
      <c r="C483" s="2">
        <v>0.79097222222222219</v>
      </c>
      <c r="D483">
        <v>1</v>
      </c>
      <c r="E483" t="s">
        <v>5</v>
      </c>
      <c r="F483" t="str">
        <f t="shared" si="10"/>
        <v>Nie</v>
      </c>
    </row>
    <row r="484" spans="1:6" x14ac:dyDescent="0.25">
      <c r="A484">
        <v>968679923</v>
      </c>
      <c r="B484" s="1">
        <v>42909</v>
      </c>
      <c r="C484" s="2">
        <v>0.86875000000000002</v>
      </c>
      <c r="D484">
        <v>5</v>
      </c>
      <c r="E484" t="s">
        <v>3</v>
      </c>
      <c r="F484" t="str">
        <f t="shared" si="10"/>
        <v>Nie</v>
      </c>
    </row>
    <row r="485" spans="1:6" x14ac:dyDescent="0.25">
      <c r="A485">
        <v>429700474</v>
      </c>
      <c r="B485" s="1">
        <v>42909</v>
      </c>
      <c r="C485" s="2">
        <v>0.91180555555555554</v>
      </c>
      <c r="D485">
        <v>1</v>
      </c>
      <c r="E485" t="s">
        <v>3</v>
      </c>
      <c r="F485" t="str">
        <f t="shared" si="10"/>
        <v>Tak</v>
      </c>
    </row>
    <row r="486" spans="1:6" x14ac:dyDescent="0.25">
      <c r="A486">
        <v>427584666</v>
      </c>
      <c r="B486" s="1">
        <v>42909</v>
      </c>
      <c r="C486" s="2">
        <v>0.97291666666666665</v>
      </c>
      <c r="D486">
        <v>2</v>
      </c>
      <c r="E486" t="s">
        <v>4</v>
      </c>
      <c r="F486" t="str">
        <f t="shared" si="10"/>
        <v>Nie</v>
      </c>
    </row>
    <row r="487" spans="1:6" x14ac:dyDescent="0.25">
      <c r="A487">
        <v>588094672</v>
      </c>
      <c r="B487" s="1">
        <v>42910</v>
      </c>
      <c r="C487" s="2">
        <v>2.0833333333333333E-3</v>
      </c>
      <c r="D487">
        <v>2</v>
      </c>
      <c r="E487" t="s">
        <v>4</v>
      </c>
      <c r="F487" t="str">
        <f t="shared" si="10"/>
        <v>Nie</v>
      </c>
    </row>
    <row r="488" spans="1:6" x14ac:dyDescent="0.25">
      <c r="A488">
        <v>447241564</v>
      </c>
      <c r="B488" s="1">
        <v>42910</v>
      </c>
      <c r="C488" s="2">
        <v>7.1527777777777773E-2</v>
      </c>
      <c r="D488">
        <v>6</v>
      </c>
      <c r="E488" t="s">
        <v>4</v>
      </c>
      <c r="F488" t="str">
        <f t="shared" si="10"/>
        <v>Nie</v>
      </c>
    </row>
    <row r="489" spans="1:6" x14ac:dyDescent="0.25">
      <c r="A489">
        <v>804301225</v>
      </c>
      <c r="B489" s="1">
        <v>42910</v>
      </c>
      <c r="C489" s="2">
        <v>0.15416666666666667</v>
      </c>
      <c r="D489">
        <v>3</v>
      </c>
      <c r="E489" t="s">
        <v>4</v>
      </c>
      <c r="F489" t="str">
        <f t="shared" si="10"/>
        <v>Nie</v>
      </c>
    </row>
    <row r="490" spans="1:6" x14ac:dyDescent="0.25">
      <c r="A490">
        <v>701495440</v>
      </c>
      <c r="B490" s="1">
        <v>42910</v>
      </c>
      <c r="C490" s="2">
        <v>0.21041666666666667</v>
      </c>
      <c r="D490">
        <v>6</v>
      </c>
      <c r="E490" t="s">
        <v>5</v>
      </c>
      <c r="F490" t="str">
        <f t="shared" si="10"/>
        <v>Tak</v>
      </c>
    </row>
    <row r="491" spans="1:6" x14ac:dyDescent="0.25">
      <c r="A491">
        <v>770924109</v>
      </c>
      <c r="B491" s="1">
        <v>42910</v>
      </c>
      <c r="C491" s="2">
        <v>0.28958333333333336</v>
      </c>
      <c r="D491">
        <v>4</v>
      </c>
      <c r="E491" t="s">
        <v>3</v>
      </c>
      <c r="F491" t="str">
        <f t="shared" si="10"/>
        <v>Tak</v>
      </c>
    </row>
    <row r="492" spans="1:6" x14ac:dyDescent="0.25">
      <c r="A492">
        <v>728413307</v>
      </c>
      <c r="B492" s="1">
        <v>42910</v>
      </c>
      <c r="C492" s="2">
        <v>0.34861111111111109</v>
      </c>
      <c r="D492">
        <v>4</v>
      </c>
      <c r="E492" t="s">
        <v>4</v>
      </c>
      <c r="F492" t="str">
        <f t="shared" si="10"/>
        <v>Nie</v>
      </c>
    </row>
    <row r="493" spans="1:6" x14ac:dyDescent="0.25">
      <c r="A493">
        <v>713470056</v>
      </c>
      <c r="B493" s="1">
        <v>42910</v>
      </c>
      <c r="C493" s="2">
        <v>0.38263888888888886</v>
      </c>
      <c r="D493">
        <v>6</v>
      </c>
      <c r="E493" t="s">
        <v>4</v>
      </c>
      <c r="F493" t="str">
        <f t="shared" si="10"/>
        <v>Nie</v>
      </c>
    </row>
    <row r="494" spans="1:6" x14ac:dyDescent="0.25">
      <c r="A494">
        <v>617700138</v>
      </c>
      <c r="B494" s="1">
        <v>42910</v>
      </c>
      <c r="C494" s="2">
        <v>0.41319444444444442</v>
      </c>
      <c r="D494">
        <v>1</v>
      </c>
      <c r="E494" t="s">
        <v>5</v>
      </c>
      <c r="F494" t="str">
        <f t="shared" si="10"/>
        <v>Nie</v>
      </c>
    </row>
    <row r="495" spans="1:6" x14ac:dyDescent="0.25">
      <c r="A495">
        <v>886876289</v>
      </c>
      <c r="B495" s="1">
        <v>42910</v>
      </c>
      <c r="C495" s="2">
        <v>0.44722222222222224</v>
      </c>
      <c r="D495">
        <v>4</v>
      </c>
      <c r="E495" t="s">
        <v>5</v>
      </c>
      <c r="F495" t="str">
        <f t="shared" si="10"/>
        <v>Nie</v>
      </c>
    </row>
    <row r="496" spans="1:6" x14ac:dyDescent="0.25">
      <c r="A496">
        <v>550424375</v>
      </c>
      <c r="B496" s="1">
        <v>42910</v>
      </c>
      <c r="C496" s="2">
        <v>0.4861111111111111</v>
      </c>
      <c r="D496">
        <v>4</v>
      </c>
      <c r="E496" t="s">
        <v>3</v>
      </c>
      <c r="F496" t="str">
        <f t="shared" si="10"/>
        <v>Tak</v>
      </c>
    </row>
    <row r="497" spans="1:6" x14ac:dyDescent="0.25">
      <c r="A497">
        <v>787165065</v>
      </c>
      <c r="B497" s="1">
        <v>42910</v>
      </c>
      <c r="C497" s="2">
        <v>0.55625000000000002</v>
      </c>
      <c r="D497">
        <v>2</v>
      </c>
      <c r="E497" t="s">
        <v>3</v>
      </c>
      <c r="F497" t="str">
        <f t="shared" si="10"/>
        <v>Nie</v>
      </c>
    </row>
    <row r="498" spans="1:6" x14ac:dyDescent="0.25">
      <c r="A498">
        <v>717620954</v>
      </c>
      <c r="B498" s="1">
        <v>42910</v>
      </c>
      <c r="C498" s="2">
        <v>0.61805555555555558</v>
      </c>
      <c r="D498">
        <v>3</v>
      </c>
      <c r="E498" t="s">
        <v>4</v>
      </c>
      <c r="F498" t="str">
        <f t="shared" si="10"/>
        <v>Nie</v>
      </c>
    </row>
    <row r="499" spans="1:6" x14ac:dyDescent="0.25">
      <c r="A499">
        <v>581807714</v>
      </c>
      <c r="B499" s="1">
        <v>42910</v>
      </c>
      <c r="C499" s="2">
        <v>0.625</v>
      </c>
      <c r="D499">
        <v>3</v>
      </c>
      <c r="E499" t="s">
        <v>5</v>
      </c>
      <c r="F499" t="str">
        <f t="shared" si="10"/>
        <v>Tak</v>
      </c>
    </row>
    <row r="500" spans="1:6" x14ac:dyDescent="0.25">
      <c r="A500">
        <v>445608302</v>
      </c>
      <c r="B500" s="1">
        <v>42910</v>
      </c>
      <c r="C500" s="2">
        <v>0.68333333333333335</v>
      </c>
      <c r="D500">
        <v>4</v>
      </c>
      <c r="E500" t="s">
        <v>4</v>
      </c>
      <c r="F500" t="str">
        <f t="shared" si="10"/>
        <v>Nie</v>
      </c>
    </row>
    <row r="501" spans="1:6" x14ac:dyDescent="0.25">
      <c r="A501">
        <v>947890453</v>
      </c>
      <c r="B501" s="1">
        <v>42910</v>
      </c>
      <c r="C501" s="2">
        <v>0.69374999999999998</v>
      </c>
      <c r="D501">
        <v>6</v>
      </c>
      <c r="E501" t="s">
        <v>3</v>
      </c>
      <c r="F501" t="str">
        <f t="shared" si="10"/>
        <v>Nie</v>
      </c>
    </row>
    <row r="502" spans="1:6" x14ac:dyDescent="0.25">
      <c r="A502">
        <v>523469687</v>
      </c>
      <c r="B502" s="1">
        <v>42910</v>
      </c>
      <c r="C502" s="2">
        <v>0.77708333333333335</v>
      </c>
      <c r="D502">
        <v>5</v>
      </c>
      <c r="E502" t="s">
        <v>4</v>
      </c>
      <c r="F502" t="str">
        <f t="shared" si="10"/>
        <v>Tak</v>
      </c>
    </row>
    <row r="503" spans="1:6" x14ac:dyDescent="0.25">
      <c r="A503">
        <v>957227968</v>
      </c>
      <c r="B503" s="1">
        <v>42910</v>
      </c>
      <c r="C503" s="2">
        <v>0.78819444444444442</v>
      </c>
      <c r="D503">
        <v>5</v>
      </c>
      <c r="E503" t="s">
        <v>4</v>
      </c>
      <c r="F503" t="str">
        <f t="shared" si="10"/>
        <v>Tak</v>
      </c>
    </row>
    <row r="504" spans="1:6" x14ac:dyDescent="0.25">
      <c r="A504">
        <v>716938595</v>
      </c>
      <c r="B504" s="1">
        <v>42910</v>
      </c>
      <c r="C504" s="2">
        <v>0.81180555555555556</v>
      </c>
      <c r="D504">
        <v>1</v>
      </c>
      <c r="E504" t="s">
        <v>5</v>
      </c>
      <c r="F504" t="str">
        <f t="shared" si="10"/>
        <v>Nie</v>
      </c>
    </row>
    <row r="505" spans="1:6" x14ac:dyDescent="0.25">
      <c r="A505">
        <v>631227933</v>
      </c>
      <c r="B505" s="1">
        <v>42910</v>
      </c>
      <c r="C505" s="2">
        <v>0.86458333333333337</v>
      </c>
      <c r="D505">
        <v>4</v>
      </c>
      <c r="E505" t="s">
        <v>5</v>
      </c>
      <c r="F505" t="str">
        <f t="shared" si="10"/>
        <v>Nie</v>
      </c>
    </row>
    <row r="506" spans="1:6" x14ac:dyDescent="0.25">
      <c r="A506">
        <v>969444620</v>
      </c>
      <c r="B506" s="1">
        <v>42910</v>
      </c>
      <c r="C506" s="2">
        <v>0.89444444444444449</v>
      </c>
      <c r="D506">
        <v>3</v>
      </c>
      <c r="E506" t="s">
        <v>3</v>
      </c>
      <c r="F506" t="str">
        <f t="shared" si="10"/>
        <v>Nie</v>
      </c>
    </row>
    <row r="507" spans="1:6" x14ac:dyDescent="0.25">
      <c r="A507">
        <v>680319208</v>
      </c>
      <c r="B507" s="1">
        <v>42910</v>
      </c>
      <c r="C507" s="2">
        <v>0.96805555555555556</v>
      </c>
      <c r="D507">
        <v>4</v>
      </c>
      <c r="E507" t="s">
        <v>3</v>
      </c>
      <c r="F507" t="str">
        <f t="shared" si="10"/>
        <v>Tak</v>
      </c>
    </row>
    <row r="508" spans="1:6" x14ac:dyDescent="0.25">
      <c r="A508">
        <v>605621608</v>
      </c>
      <c r="B508" s="1">
        <v>42911</v>
      </c>
      <c r="C508" s="2">
        <v>4.3055555555555555E-2</v>
      </c>
      <c r="D508">
        <v>5</v>
      </c>
      <c r="E508" t="s">
        <v>4</v>
      </c>
      <c r="F508" t="str">
        <f t="shared" si="10"/>
        <v>Tak</v>
      </c>
    </row>
    <row r="509" spans="1:6" x14ac:dyDescent="0.25">
      <c r="A509">
        <v>499798549</v>
      </c>
      <c r="B509" s="1">
        <v>42911</v>
      </c>
      <c r="C509" s="2">
        <v>7.4305555555555555E-2</v>
      </c>
      <c r="D509">
        <v>5</v>
      </c>
      <c r="E509" t="s">
        <v>4</v>
      </c>
      <c r="F509" t="str">
        <f t="shared" si="10"/>
        <v>Tak</v>
      </c>
    </row>
    <row r="510" spans="1:6" x14ac:dyDescent="0.25">
      <c r="A510">
        <v>603806238</v>
      </c>
      <c r="B510" s="1">
        <v>42911</v>
      </c>
      <c r="C510" s="2">
        <v>0.16527777777777777</v>
      </c>
      <c r="D510">
        <v>3</v>
      </c>
      <c r="E510" t="s">
        <v>4</v>
      </c>
      <c r="F510" t="str">
        <f t="shared" si="10"/>
        <v>Nie</v>
      </c>
    </row>
    <row r="511" spans="1:6" x14ac:dyDescent="0.25">
      <c r="A511">
        <v>749198114</v>
      </c>
      <c r="B511" s="1">
        <v>42911</v>
      </c>
      <c r="C511" s="2">
        <v>0.20902777777777778</v>
      </c>
      <c r="D511">
        <v>2</v>
      </c>
      <c r="E511" t="s">
        <v>4</v>
      </c>
      <c r="F511" t="str">
        <f t="shared" si="10"/>
        <v>Nie</v>
      </c>
    </row>
    <row r="512" spans="1:6" x14ac:dyDescent="0.25">
      <c r="A512">
        <v>855588685</v>
      </c>
      <c r="B512" s="1">
        <v>42911</v>
      </c>
      <c r="C512" s="2">
        <v>0.2902777777777778</v>
      </c>
      <c r="D512">
        <v>1</v>
      </c>
      <c r="E512" t="s">
        <v>5</v>
      </c>
      <c r="F512" t="str">
        <f t="shared" si="10"/>
        <v>Nie</v>
      </c>
    </row>
    <row r="513" spans="1:6" x14ac:dyDescent="0.25">
      <c r="A513">
        <v>459963498</v>
      </c>
      <c r="B513" s="1">
        <v>42911</v>
      </c>
      <c r="C513" s="2">
        <v>0.35</v>
      </c>
      <c r="D513">
        <v>2</v>
      </c>
      <c r="E513" t="s">
        <v>3</v>
      </c>
      <c r="F513" t="str">
        <f t="shared" si="10"/>
        <v>Nie</v>
      </c>
    </row>
    <row r="514" spans="1:6" x14ac:dyDescent="0.25">
      <c r="A514">
        <v>793466170</v>
      </c>
      <c r="B514" s="1">
        <v>42911</v>
      </c>
      <c r="C514" s="2">
        <v>0.41736111111111113</v>
      </c>
      <c r="D514">
        <v>6</v>
      </c>
      <c r="E514" t="s">
        <v>4</v>
      </c>
      <c r="F514" t="str">
        <f t="shared" ref="F514:F577" si="11">IF(E514=VLOOKUP(D514,$M$23:$O$30,2,FALSE),"Tak","Nie")</f>
        <v>Nie</v>
      </c>
    </row>
    <row r="515" spans="1:6" x14ac:dyDescent="0.25">
      <c r="A515">
        <v>682489023</v>
      </c>
      <c r="B515" s="1">
        <v>42911</v>
      </c>
      <c r="C515" s="2">
        <v>0.46736111111111112</v>
      </c>
      <c r="D515">
        <v>4</v>
      </c>
      <c r="E515" t="s">
        <v>4</v>
      </c>
      <c r="F515" t="str">
        <f t="shared" si="11"/>
        <v>Nie</v>
      </c>
    </row>
    <row r="516" spans="1:6" x14ac:dyDescent="0.25">
      <c r="A516">
        <v>588237872</v>
      </c>
      <c r="B516" s="1">
        <v>42911</v>
      </c>
      <c r="C516" s="2">
        <v>0.54305555555555551</v>
      </c>
      <c r="D516">
        <v>5</v>
      </c>
      <c r="E516" t="s">
        <v>5</v>
      </c>
      <c r="F516" t="str">
        <f t="shared" si="11"/>
        <v>Nie</v>
      </c>
    </row>
    <row r="517" spans="1:6" x14ac:dyDescent="0.25">
      <c r="A517">
        <v>478685636</v>
      </c>
      <c r="B517" s="1">
        <v>42911</v>
      </c>
      <c r="C517" s="2">
        <v>0.54583333333333328</v>
      </c>
      <c r="D517">
        <v>6</v>
      </c>
      <c r="E517" t="s">
        <v>5</v>
      </c>
      <c r="F517" t="str">
        <f t="shared" si="11"/>
        <v>Tak</v>
      </c>
    </row>
    <row r="518" spans="1:6" x14ac:dyDescent="0.25">
      <c r="A518">
        <v>774658060</v>
      </c>
      <c r="B518" s="1">
        <v>42911</v>
      </c>
      <c r="C518" s="2">
        <v>0.56180555555555556</v>
      </c>
      <c r="D518">
        <v>3</v>
      </c>
      <c r="E518" t="s">
        <v>3</v>
      </c>
      <c r="F518" t="str">
        <f t="shared" si="11"/>
        <v>Nie</v>
      </c>
    </row>
    <row r="519" spans="1:6" x14ac:dyDescent="0.25">
      <c r="A519">
        <v>837080319</v>
      </c>
      <c r="B519" s="1">
        <v>42911</v>
      </c>
      <c r="C519" s="2">
        <v>0.58194444444444449</v>
      </c>
      <c r="D519">
        <v>5</v>
      </c>
      <c r="E519" t="s">
        <v>3</v>
      </c>
      <c r="F519" t="str">
        <f t="shared" si="11"/>
        <v>Nie</v>
      </c>
    </row>
    <row r="520" spans="1:6" x14ac:dyDescent="0.25">
      <c r="A520">
        <v>479746482</v>
      </c>
      <c r="B520" s="1">
        <v>42911</v>
      </c>
      <c r="C520" s="2">
        <v>0.59722222222222221</v>
      </c>
      <c r="D520">
        <v>2</v>
      </c>
      <c r="E520" t="s">
        <v>4</v>
      </c>
      <c r="F520" t="str">
        <f t="shared" si="11"/>
        <v>Nie</v>
      </c>
    </row>
    <row r="521" spans="1:6" x14ac:dyDescent="0.25">
      <c r="A521">
        <v>614123855</v>
      </c>
      <c r="B521" s="1">
        <v>42911</v>
      </c>
      <c r="C521" s="2">
        <v>0.61944444444444446</v>
      </c>
      <c r="D521">
        <v>4</v>
      </c>
      <c r="E521" t="s">
        <v>4</v>
      </c>
      <c r="F521" t="str">
        <f t="shared" si="11"/>
        <v>Nie</v>
      </c>
    </row>
    <row r="522" spans="1:6" x14ac:dyDescent="0.25">
      <c r="A522">
        <v>577397284</v>
      </c>
      <c r="B522" s="1">
        <v>42911</v>
      </c>
      <c r="C522" s="2">
        <v>0.625</v>
      </c>
      <c r="D522">
        <v>1</v>
      </c>
      <c r="E522" t="s">
        <v>5</v>
      </c>
      <c r="F522" t="str">
        <f t="shared" si="11"/>
        <v>Nie</v>
      </c>
    </row>
    <row r="523" spans="1:6" x14ac:dyDescent="0.25">
      <c r="A523">
        <v>631142012</v>
      </c>
      <c r="B523" s="1">
        <v>42911</v>
      </c>
      <c r="C523" s="2">
        <v>0.62569444444444444</v>
      </c>
      <c r="D523">
        <v>5</v>
      </c>
      <c r="E523" t="s">
        <v>4</v>
      </c>
      <c r="F523" t="str">
        <f t="shared" si="11"/>
        <v>Tak</v>
      </c>
    </row>
    <row r="524" spans="1:6" x14ac:dyDescent="0.25">
      <c r="A524">
        <v>703777575</v>
      </c>
      <c r="B524" s="1">
        <v>42911</v>
      </c>
      <c r="C524" s="2">
        <v>0.63402777777777775</v>
      </c>
      <c r="D524">
        <v>3</v>
      </c>
      <c r="E524" t="s">
        <v>3</v>
      </c>
      <c r="F524" t="str">
        <f t="shared" si="11"/>
        <v>Nie</v>
      </c>
    </row>
    <row r="525" spans="1:6" x14ac:dyDescent="0.25">
      <c r="A525">
        <v>404281537</v>
      </c>
      <c r="B525" s="1">
        <v>42911</v>
      </c>
      <c r="C525" s="2">
        <v>0.66874999999999996</v>
      </c>
      <c r="D525">
        <v>3</v>
      </c>
      <c r="E525" t="s">
        <v>4</v>
      </c>
      <c r="F525" t="str">
        <f t="shared" si="11"/>
        <v>Nie</v>
      </c>
    </row>
    <row r="526" spans="1:6" x14ac:dyDescent="0.25">
      <c r="A526">
        <v>649343885</v>
      </c>
      <c r="B526" s="1">
        <v>42911</v>
      </c>
      <c r="C526" s="2">
        <v>0.76041666666666663</v>
      </c>
      <c r="D526">
        <v>6</v>
      </c>
      <c r="E526" t="s">
        <v>5</v>
      </c>
      <c r="F526" t="str">
        <f t="shared" si="11"/>
        <v>Tak</v>
      </c>
    </row>
    <row r="527" spans="1:6" x14ac:dyDescent="0.25">
      <c r="A527">
        <v>595415973</v>
      </c>
      <c r="B527" s="1">
        <v>42911</v>
      </c>
      <c r="C527" s="2">
        <v>0.79722222222222228</v>
      </c>
      <c r="D527">
        <v>3</v>
      </c>
      <c r="E527" t="s">
        <v>5</v>
      </c>
      <c r="F527" t="str">
        <f t="shared" si="11"/>
        <v>Tak</v>
      </c>
    </row>
    <row r="528" spans="1:6" x14ac:dyDescent="0.25">
      <c r="A528">
        <v>602349278</v>
      </c>
      <c r="B528" s="1">
        <v>42911</v>
      </c>
      <c r="C528" s="2">
        <v>0.80555555555555558</v>
      </c>
      <c r="D528">
        <v>6</v>
      </c>
      <c r="E528" t="s">
        <v>3</v>
      </c>
      <c r="F528" t="str">
        <f t="shared" si="11"/>
        <v>Nie</v>
      </c>
    </row>
    <row r="529" spans="1:6" x14ac:dyDescent="0.25">
      <c r="A529">
        <v>975543950</v>
      </c>
      <c r="B529" s="1">
        <v>42911</v>
      </c>
      <c r="C529" s="2">
        <v>0.83680555555555558</v>
      </c>
      <c r="D529">
        <v>2</v>
      </c>
      <c r="E529" t="s">
        <v>3</v>
      </c>
      <c r="F529" t="str">
        <f t="shared" si="11"/>
        <v>Nie</v>
      </c>
    </row>
    <row r="530" spans="1:6" x14ac:dyDescent="0.25">
      <c r="A530">
        <v>498101078</v>
      </c>
      <c r="B530" s="1">
        <v>42911</v>
      </c>
      <c r="C530" s="2">
        <v>0.89166666666666672</v>
      </c>
      <c r="D530">
        <v>4</v>
      </c>
      <c r="E530" t="s">
        <v>4</v>
      </c>
      <c r="F530" t="str">
        <f t="shared" si="11"/>
        <v>Nie</v>
      </c>
    </row>
    <row r="531" spans="1:6" x14ac:dyDescent="0.25">
      <c r="A531">
        <v>534160537</v>
      </c>
      <c r="B531" s="1">
        <v>42911</v>
      </c>
      <c r="C531" s="2">
        <v>0.93333333333333335</v>
      </c>
      <c r="D531">
        <v>2</v>
      </c>
      <c r="E531" t="s">
        <v>4</v>
      </c>
      <c r="F531" t="str">
        <f t="shared" si="11"/>
        <v>Nie</v>
      </c>
    </row>
    <row r="532" spans="1:6" x14ac:dyDescent="0.25">
      <c r="A532">
        <v>797540105</v>
      </c>
      <c r="B532" s="1">
        <v>42911</v>
      </c>
      <c r="C532" s="2">
        <v>0.99583333333333335</v>
      </c>
      <c r="D532">
        <v>2</v>
      </c>
      <c r="E532" t="s">
        <v>4</v>
      </c>
      <c r="F532" t="str">
        <f t="shared" si="11"/>
        <v>Nie</v>
      </c>
    </row>
    <row r="533" spans="1:6" x14ac:dyDescent="0.25">
      <c r="A533">
        <v>889460614</v>
      </c>
      <c r="B533" s="1">
        <v>42912</v>
      </c>
      <c r="C533" s="2">
        <v>2.7777777777777776E-2</v>
      </c>
      <c r="D533">
        <v>6</v>
      </c>
      <c r="E533" t="s">
        <v>4</v>
      </c>
      <c r="F533" t="str">
        <f t="shared" si="11"/>
        <v>Nie</v>
      </c>
    </row>
    <row r="534" spans="1:6" x14ac:dyDescent="0.25">
      <c r="A534">
        <v>487760141</v>
      </c>
      <c r="B534" s="1">
        <v>42912</v>
      </c>
      <c r="C534" s="2">
        <v>6.25E-2</v>
      </c>
      <c r="D534">
        <v>3</v>
      </c>
      <c r="E534" t="s">
        <v>5</v>
      </c>
      <c r="F534" t="str">
        <f t="shared" si="11"/>
        <v>Tak</v>
      </c>
    </row>
    <row r="535" spans="1:6" x14ac:dyDescent="0.25">
      <c r="A535">
        <v>743866393</v>
      </c>
      <c r="B535" s="1">
        <v>42912</v>
      </c>
      <c r="C535" s="2">
        <v>0.1076388888888889</v>
      </c>
      <c r="D535">
        <v>2</v>
      </c>
      <c r="E535" t="s">
        <v>3</v>
      </c>
      <c r="F535" t="str">
        <f t="shared" si="11"/>
        <v>Nie</v>
      </c>
    </row>
    <row r="536" spans="1:6" x14ac:dyDescent="0.25">
      <c r="A536">
        <v>924684640</v>
      </c>
      <c r="B536" s="1">
        <v>42912</v>
      </c>
      <c r="C536" s="2">
        <v>0.11666666666666667</v>
      </c>
      <c r="D536">
        <v>4</v>
      </c>
      <c r="E536" t="s">
        <v>4</v>
      </c>
      <c r="F536" t="str">
        <f t="shared" si="11"/>
        <v>Nie</v>
      </c>
    </row>
    <row r="537" spans="1:6" x14ac:dyDescent="0.25">
      <c r="A537">
        <v>918687751</v>
      </c>
      <c r="B537" s="1">
        <v>42912</v>
      </c>
      <c r="C537" s="2">
        <v>0.19791666666666666</v>
      </c>
      <c r="D537">
        <v>2</v>
      </c>
      <c r="E537" t="s">
        <v>4</v>
      </c>
      <c r="F537" t="str">
        <f t="shared" si="11"/>
        <v>Nie</v>
      </c>
    </row>
    <row r="538" spans="1:6" x14ac:dyDescent="0.25">
      <c r="A538">
        <v>725157885</v>
      </c>
      <c r="B538" s="1">
        <v>42912</v>
      </c>
      <c r="C538" s="2">
        <v>0.19930555555555557</v>
      </c>
      <c r="D538">
        <v>2</v>
      </c>
      <c r="E538" t="s">
        <v>5</v>
      </c>
      <c r="F538" t="str">
        <f t="shared" si="11"/>
        <v>Tak</v>
      </c>
    </row>
    <row r="539" spans="1:6" x14ac:dyDescent="0.25">
      <c r="A539">
        <v>727223644</v>
      </c>
      <c r="B539" s="1">
        <v>42912</v>
      </c>
      <c r="C539" s="2">
        <v>0.23194444444444445</v>
      </c>
      <c r="D539">
        <v>1</v>
      </c>
      <c r="E539" t="s">
        <v>5</v>
      </c>
      <c r="F539" t="str">
        <f t="shared" si="11"/>
        <v>Nie</v>
      </c>
    </row>
    <row r="540" spans="1:6" x14ac:dyDescent="0.25">
      <c r="A540">
        <v>964088692</v>
      </c>
      <c r="B540" s="1">
        <v>42912</v>
      </c>
      <c r="C540" s="2">
        <v>0.31041666666666667</v>
      </c>
      <c r="D540">
        <v>3</v>
      </c>
      <c r="E540" t="s">
        <v>3</v>
      </c>
      <c r="F540" t="str">
        <f t="shared" si="11"/>
        <v>Nie</v>
      </c>
    </row>
    <row r="541" spans="1:6" x14ac:dyDescent="0.25">
      <c r="A541">
        <v>484784828</v>
      </c>
      <c r="B541" s="1">
        <v>42912</v>
      </c>
      <c r="C541" s="2">
        <v>0.40208333333333335</v>
      </c>
      <c r="D541">
        <v>3</v>
      </c>
      <c r="E541" t="s">
        <v>3</v>
      </c>
      <c r="F541" t="str">
        <f t="shared" si="11"/>
        <v>Nie</v>
      </c>
    </row>
    <row r="542" spans="1:6" x14ac:dyDescent="0.25">
      <c r="A542">
        <v>876854893</v>
      </c>
      <c r="B542" s="1">
        <v>42912</v>
      </c>
      <c r="C542" s="2">
        <v>0.45</v>
      </c>
      <c r="D542">
        <v>4</v>
      </c>
      <c r="E542" t="s">
        <v>4</v>
      </c>
      <c r="F542" t="str">
        <f t="shared" si="11"/>
        <v>Nie</v>
      </c>
    </row>
    <row r="543" spans="1:6" x14ac:dyDescent="0.25">
      <c r="A543">
        <v>626987134</v>
      </c>
      <c r="B543" s="1">
        <v>42912</v>
      </c>
      <c r="C543" s="2">
        <v>0.54374999999999996</v>
      </c>
      <c r="D543">
        <v>1</v>
      </c>
      <c r="E543" t="s">
        <v>4</v>
      </c>
      <c r="F543" t="str">
        <f t="shared" si="11"/>
        <v>Nie</v>
      </c>
    </row>
    <row r="544" spans="1:6" x14ac:dyDescent="0.25">
      <c r="A544">
        <v>874070041</v>
      </c>
      <c r="B544" s="1">
        <v>42912</v>
      </c>
      <c r="C544" s="2">
        <v>0.625</v>
      </c>
      <c r="D544">
        <v>6</v>
      </c>
      <c r="E544" t="s">
        <v>5</v>
      </c>
      <c r="F544" t="str">
        <f t="shared" si="11"/>
        <v>Tak</v>
      </c>
    </row>
    <row r="545" spans="1:6" x14ac:dyDescent="0.25">
      <c r="A545">
        <v>823332945</v>
      </c>
      <c r="B545" s="1">
        <v>42912</v>
      </c>
      <c r="C545" s="2">
        <v>0.63680555555555551</v>
      </c>
      <c r="D545">
        <v>5</v>
      </c>
      <c r="E545" t="s">
        <v>3</v>
      </c>
      <c r="F545" t="str">
        <f t="shared" si="11"/>
        <v>Nie</v>
      </c>
    </row>
    <row r="546" spans="1:6" x14ac:dyDescent="0.25">
      <c r="A546">
        <v>561666342</v>
      </c>
      <c r="B546" s="1">
        <v>42912</v>
      </c>
      <c r="C546" s="2">
        <v>0.6381944444444444</v>
      </c>
      <c r="D546">
        <v>3</v>
      </c>
      <c r="E546" t="s">
        <v>4</v>
      </c>
      <c r="F546" t="str">
        <f t="shared" si="11"/>
        <v>Nie</v>
      </c>
    </row>
    <row r="547" spans="1:6" x14ac:dyDescent="0.25">
      <c r="A547">
        <v>962027372</v>
      </c>
      <c r="B547" s="1">
        <v>42912</v>
      </c>
      <c r="C547" s="2">
        <v>0.65347222222222223</v>
      </c>
      <c r="D547">
        <v>5</v>
      </c>
      <c r="E547" t="s">
        <v>4</v>
      </c>
      <c r="F547" t="str">
        <f t="shared" si="11"/>
        <v>Tak</v>
      </c>
    </row>
    <row r="548" spans="1:6" x14ac:dyDescent="0.25">
      <c r="A548">
        <v>759085835</v>
      </c>
      <c r="B548" s="1">
        <v>42912</v>
      </c>
      <c r="C548" s="2">
        <v>0.72222222222222221</v>
      </c>
      <c r="D548">
        <v>2</v>
      </c>
      <c r="E548" t="s">
        <v>5</v>
      </c>
      <c r="F548" t="str">
        <f t="shared" si="11"/>
        <v>Tak</v>
      </c>
    </row>
    <row r="549" spans="1:6" x14ac:dyDescent="0.25">
      <c r="A549">
        <v>867158012</v>
      </c>
      <c r="B549" s="1">
        <v>42912</v>
      </c>
      <c r="C549" s="2">
        <v>0.80972222222222223</v>
      </c>
      <c r="D549">
        <v>6</v>
      </c>
      <c r="E549" t="s">
        <v>5</v>
      </c>
      <c r="F549" t="str">
        <f t="shared" si="11"/>
        <v>Tak</v>
      </c>
    </row>
    <row r="550" spans="1:6" x14ac:dyDescent="0.25">
      <c r="A550">
        <v>400480111</v>
      </c>
      <c r="B550" s="1">
        <v>42912</v>
      </c>
      <c r="C550" s="2">
        <v>0.88263888888888886</v>
      </c>
      <c r="D550">
        <v>5</v>
      </c>
      <c r="E550" t="s">
        <v>3</v>
      </c>
      <c r="F550" t="str">
        <f t="shared" si="11"/>
        <v>Nie</v>
      </c>
    </row>
    <row r="551" spans="1:6" x14ac:dyDescent="0.25">
      <c r="A551">
        <v>625844349</v>
      </c>
      <c r="B551" s="1">
        <v>42912</v>
      </c>
      <c r="C551" s="2">
        <v>0.91805555555555551</v>
      </c>
      <c r="D551">
        <v>1</v>
      </c>
      <c r="E551" t="s">
        <v>3</v>
      </c>
      <c r="F551" t="str">
        <f t="shared" si="11"/>
        <v>Tak</v>
      </c>
    </row>
    <row r="552" spans="1:6" x14ac:dyDescent="0.25">
      <c r="A552">
        <v>721591778</v>
      </c>
      <c r="B552" s="1">
        <v>42912</v>
      </c>
      <c r="C552" s="2">
        <v>0.9916666666666667</v>
      </c>
      <c r="D552">
        <v>4</v>
      </c>
      <c r="E552" t="s">
        <v>4</v>
      </c>
      <c r="F552" t="str">
        <f t="shared" si="11"/>
        <v>Nie</v>
      </c>
    </row>
    <row r="553" spans="1:6" x14ac:dyDescent="0.25">
      <c r="A553">
        <v>476114766</v>
      </c>
      <c r="B553" s="1">
        <v>42913</v>
      </c>
      <c r="C553" s="2">
        <v>4.4444444444444446E-2</v>
      </c>
      <c r="D553">
        <v>5</v>
      </c>
      <c r="E553" t="s">
        <v>4</v>
      </c>
      <c r="F553" t="str">
        <f t="shared" si="11"/>
        <v>Tak</v>
      </c>
    </row>
    <row r="554" spans="1:6" x14ac:dyDescent="0.25">
      <c r="A554">
        <v>707120954</v>
      </c>
      <c r="B554" s="1">
        <v>42913</v>
      </c>
      <c r="C554" s="2">
        <v>9.7222222222222224E-2</v>
      </c>
      <c r="D554">
        <v>6</v>
      </c>
      <c r="E554" t="s">
        <v>4</v>
      </c>
      <c r="F554" t="str">
        <f t="shared" si="11"/>
        <v>Nie</v>
      </c>
    </row>
    <row r="555" spans="1:6" x14ac:dyDescent="0.25">
      <c r="A555">
        <v>525447282</v>
      </c>
      <c r="B555" s="1">
        <v>42913</v>
      </c>
      <c r="C555" s="2">
        <v>0.16111111111111112</v>
      </c>
      <c r="D555">
        <v>6</v>
      </c>
      <c r="E555" t="s">
        <v>4</v>
      </c>
      <c r="F555" t="str">
        <f t="shared" si="11"/>
        <v>Nie</v>
      </c>
    </row>
    <row r="556" spans="1:6" x14ac:dyDescent="0.25">
      <c r="A556">
        <v>543692329</v>
      </c>
      <c r="B556" s="1">
        <v>42913</v>
      </c>
      <c r="C556" s="2">
        <v>0.2298611111111111</v>
      </c>
      <c r="D556">
        <v>6</v>
      </c>
      <c r="E556" t="s">
        <v>5</v>
      </c>
      <c r="F556" t="str">
        <f t="shared" si="11"/>
        <v>Tak</v>
      </c>
    </row>
    <row r="557" spans="1:6" x14ac:dyDescent="0.25">
      <c r="A557">
        <v>839214824</v>
      </c>
      <c r="B557" s="1">
        <v>42913</v>
      </c>
      <c r="C557" s="2">
        <v>0.27916666666666667</v>
      </c>
      <c r="D557">
        <v>2</v>
      </c>
      <c r="E557" t="s">
        <v>3</v>
      </c>
      <c r="F557" t="str">
        <f t="shared" si="11"/>
        <v>Nie</v>
      </c>
    </row>
    <row r="558" spans="1:6" x14ac:dyDescent="0.25">
      <c r="A558">
        <v>875568125</v>
      </c>
      <c r="B558" s="1">
        <v>42913</v>
      </c>
      <c r="C558" s="2">
        <v>0.3659722222222222</v>
      </c>
      <c r="D558">
        <v>1</v>
      </c>
      <c r="E558" t="s">
        <v>4</v>
      </c>
      <c r="F558" t="str">
        <f t="shared" si="11"/>
        <v>Nie</v>
      </c>
    </row>
    <row r="559" spans="1:6" x14ac:dyDescent="0.25">
      <c r="A559">
        <v>663758847</v>
      </c>
      <c r="B559" s="1">
        <v>42913</v>
      </c>
      <c r="C559" s="2">
        <v>0.45624999999999999</v>
      </c>
      <c r="D559">
        <v>4</v>
      </c>
      <c r="E559" t="s">
        <v>4</v>
      </c>
      <c r="F559" t="str">
        <f t="shared" si="11"/>
        <v>Nie</v>
      </c>
    </row>
    <row r="560" spans="1:6" x14ac:dyDescent="0.25">
      <c r="A560">
        <v>827186109</v>
      </c>
      <c r="B560" s="1">
        <v>42913</v>
      </c>
      <c r="C560" s="2">
        <v>0.50694444444444442</v>
      </c>
      <c r="D560">
        <v>4</v>
      </c>
      <c r="E560" t="s">
        <v>5</v>
      </c>
      <c r="F560" t="str">
        <f t="shared" si="11"/>
        <v>Nie</v>
      </c>
    </row>
    <row r="561" spans="1:6" x14ac:dyDescent="0.25">
      <c r="A561">
        <v>452847668</v>
      </c>
      <c r="B561" s="1">
        <v>42913</v>
      </c>
      <c r="C561" s="2">
        <v>0.58333333333333337</v>
      </c>
      <c r="D561">
        <v>5</v>
      </c>
      <c r="E561" t="s">
        <v>5</v>
      </c>
      <c r="F561" t="str">
        <f t="shared" si="11"/>
        <v>Nie</v>
      </c>
    </row>
    <row r="562" spans="1:6" x14ac:dyDescent="0.25">
      <c r="A562">
        <v>983117648</v>
      </c>
      <c r="B562" s="1">
        <v>42913</v>
      </c>
      <c r="C562" s="2">
        <v>0.62430555555555556</v>
      </c>
      <c r="D562">
        <v>6</v>
      </c>
      <c r="E562" t="s">
        <v>3</v>
      </c>
      <c r="F562" t="str">
        <f t="shared" si="11"/>
        <v>Nie</v>
      </c>
    </row>
    <row r="563" spans="1:6" x14ac:dyDescent="0.25">
      <c r="A563">
        <v>760301781</v>
      </c>
      <c r="B563" s="1">
        <v>42913</v>
      </c>
      <c r="C563" s="2">
        <v>0.625</v>
      </c>
      <c r="D563">
        <v>1</v>
      </c>
      <c r="E563" t="s">
        <v>5</v>
      </c>
      <c r="F563" t="str">
        <f t="shared" si="11"/>
        <v>Nie</v>
      </c>
    </row>
    <row r="564" spans="1:6" x14ac:dyDescent="0.25">
      <c r="A564">
        <v>822001216</v>
      </c>
      <c r="B564" s="1">
        <v>42913</v>
      </c>
      <c r="C564" s="2">
        <v>0.66319444444444442</v>
      </c>
      <c r="D564">
        <v>5</v>
      </c>
      <c r="E564" t="s">
        <v>3</v>
      </c>
      <c r="F564" t="str">
        <f t="shared" si="11"/>
        <v>Nie</v>
      </c>
    </row>
    <row r="565" spans="1:6" x14ac:dyDescent="0.25">
      <c r="A565">
        <v>918191592</v>
      </c>
      <c r="B565" s="1">
        <v>42913</v>
      </c>
      <c r="C565" s="2">
        <v>0.68263888888888891</v>
      </c>
      <c r="D565">
        <v>1</v>
      </c>
      <c r="E565" t="s">
        <v>3</v>
      </c>
      <c r="F565" t="str">
        <f t="shared" si="11"/>
        <v>Tak</v>
      </c>
    </row>
    <row r="566" spans="1:6" x14ac:dyDescent="0.25">
      <c r="A566">
        <v>949866347</v>
      </c>
      <c r="B566" s="1">
        <v>42913</v>
      </c>
      <c r="C566" s="2">
        <v>0.71597222222222223</v>
      </c>
      <c r="D566">
        <v>3</v>
      </c>
      <c r="E566" t="s">
        <v>4</v>
      </c>
      <c r="F566" t="str">
        <f t="shared" si="11"/>
        <v>Nie</v>
      </c>
    </row>
    <row r="567" spans="1:6" x14ac:dyDescent="0.25">
      <c r="A567">
        <v>816244572</v>
      </c>
      <c r="B567" s="1">
        <v>42913</v>
      </c>
      <c r="C567" s="2">
        <v>0.77152777777777781</v>
      </c>
      <c r="D567">
        <v>2</v>
      </c>
      <c r="E567" t="s">
        <v>4</v>
      </c>
      <c r="F567" t="str">
        <f t="shared" si="11"/>
        <v>Nie</v>
      </c>
    </row>
    <row r="568" spans="1:6" x14ac:dyDescent="0.25">
      <c r="A568">
        <v>494435189</v>
      </c>
      <c r="B568" s="1">
        <v>42913</v>
      </c>
      <c r="C568" s="2">
        <v>0.81527777777777777</v>
      </c>
      <c r="D568">
        <v>2</v>
      </c>
      <c r="E568" t="s">
        <v>5</v>
      </c>
      <c r="F568" t="str">
        <f t="shared" si="11"/>
        <v>Tak</v>
      </c>
    </row>
    <row r="569" spans="1:6" x14ac:dyDescent="0.25">
      <c r="A569">
        <v>468971163</v>
      </c>
      <c r="B569" s="1">
        <v>42913</v>
      </c>
      <c r="C569" s="2">
        <v>0.84652777777777777</v>
      </c>
      <c r="D569">
        <v>6</v>
      </c>
      <c r="E569" t="s">
        <v>4</v>
      </c>
      <c r="F569" t="str">
        <f t="shared" si="11"/>
        <v>Nie</v>
      </c>
    </row>
    <row r="570" spans="1:6" x14ac:dyDescent="0.25">
      <c r="A570">
        <v>840157226</v>
      </c>
      <c r="B570" s="1">
        <v>42913</v>
      </c>
      <c r="C570" s="2">
        <v>0.8666666666666667</v>
      </c>
      <c r="D570">
        <v>2</v>
      </c>
      <c r="E570" t="s">
        <v>4</v>
      </c>
      <c r="F570" t="str">
        <f t="shared" si="11"/>
        <v>Nie</v>
      </c>
    </row>
    <row r="571" spans="1:6" x14ac:dyDescent="0.25">
      <c r="A571">
        <v>584715169</v>
      </c>
      <c r="B571" s="1">
        <v>42913</v>
      </c>
      <c r="C571" s="2">
        <v>0.87847222222222221</v>
      </c>
      <c r="D571">
        <v>5</v>
      </c>
      <c r="E571" t="s">
        <v>5</v>
      </c>
      <c r="F571" t="str">
        <f t="shared" si="11"/>
        <v>Nie</v>
      </c>
    </row>
    <row r="572" spans="1:6" x14ac:dyDescent="0.25">
      <c r="A572">
        <v>689059627</v>
      </c>
      <c r="B572" s="1">
        <v>42913</v>
      </c>
      <c r="C572" s="2">
        <v>0.94374999999999998</v>
      </c>
      <c r="D572">
        <v>2</v>
      </c>
      <c r="E572" t="s">
        <v>3</v>
      </c>
      <c r="F572" t="str">
        <f t="shared" si="11"/>
        <v>Nie</v>
      </c>
    </row>
    <row r="573" spans="1:6" x14ac:dyDescent="0.25">
      <c r="A573">
        <v>919871667</v>
      </c>
      <c r="B573" s="1">
        <v>42914</v>
      </c>
      <c r="C573" s="2">
        <v>2.2222222222222223E-2</v>
      </c>
      <c r="D573">
        <v>1</v>
      </c>
      <c r="E573" t="s">
        <v>3</v>
      </c>
      <c r="F573" t="str">
        <f t="shared" si="11"/>
        <v>Tak</v>
      </c>
    </row>
    <row r="574" spans="1:6" x14ac:dyDescent="0.25">
      <c r="A574">
        <v>915505334</v>
      </c>
      <c r="B574" s="1">
        <v>42914</v>
      </c>
      <c r="C574" s="2">
        <v>7.2916666666666671E-2</v>
      </c>
      <c r="D574">
        <v>6</v>
      </c>
      <c r="E574" t="s">
        <v>4</v>
      </c>
      <c r="F574" t="str">
        <f t="shared" si="11"/>
        <v>Nie</v>
      </c>
    </row>
    <row r="575" spans="1:6" x14ac:dyDescent="0.25">
      <c r="A575">
        <v>759692949</v>
      </c>
      <c r="B575" s="1">
        <v>42914</v>
      </c>
      <c r="C575" s="2">
        <v>0.12777777777777777</v>
      </c>
      <c r="D575">
        <v>1</v>
      </c>
      <c r="E575" t="s">
        <v>4</v>
      </c>
      <c r="F575" t="str">
        <f t="shared" si="11"/>
        <v>Nie</v>
      </c>
    </row>
    <row r="576" spans="1:6" x14ac:dyDescent="0.25">
      <c r="A576">
        <v>515476812</v>
      </c>
      <c r="B576" s="1">
        <v>42914</v>
      </c>
      <c r="C576" s="2">
        <v>0.14166666666666666</v>
      </c>
      <c r="D576">
        <v>3</v>
      </c>
      <c r="E576" t="s">
        <v>4</v>
      </c>
      <c r="F576" t="str">
        <f t="shared" si="11"/>
        <v>Nie</v>
      </c>
    </row>
    <row r="577" spans="1:6" x14ac:dyDescent="0.25">
      <c r="A577">
        <v>644540269</v>
      </c>
      <c r="B577" s="1">
        <v>42914</v>
      </c>
      <c r="C577" s="2">
        <v>0.19166666666666668</v>
      </c>
      <c r="D577">
        <v>1</v>
      </c>
      <c r="E577" t="s">
        <v>4</v>
      </c>
      <c r="F577" t="str">
        <f t="shared" si="11"/>
        <v>Nie</v>
      </c>
    </row>
    <row r="578" spans="1:6" x14ac:dyDescent="0.25">
      <c r="A578">
        <v>849443195</v>
      </c>
      <c r="B578" s="1">
        <v>42914</v>
      </c>
      <c r="C578" s="2">
        <v>0.22708333333333333</v>
      </c>
      <c r="D578">
        <v>5</v>
      </c>
      <c r="E578" t="s">
        <v>5</v>
      </c>
      <c r="F578" t="str">
        <f t="shared" ref="F578:F641" si="12">IF(E578=VLOOKUP(D578,$M$23:$O$30,2,FALSE),"Tak","Nie")</f>
        <v>Nie</v>
      </c>
    </row>
    <row r="579" spans="1:6" x14ac:dyDescent="0.25">
      <c r="A579">
        <v>573013091</v>
      </c>
      <c r="B579" s="1">
        <v>42914</v>
      </c>
      <c r="C579" s="2">
        <v>0.31874999999999998</v>
      </c>
      <c r="D579">
        <v>5</v>
      </c>
      <c r="E579" t="s">
        <v>3</v>
      </c>
      <c r="F579" t="str">
        <f t="shared" si="12"/>
        <v>Nie</v>
      </c>
    </row>
    <row r="580" spans="1:6" x14ac:dyDescent="0.25">
      <c r="A580">
        <v>965204710</v>
      </c>
      <c r="B580" s="1">
        <v>42914</v>
      </c>
      <c r="C580" s="2">
        <v>0.34722222222222221</v>
      </c>
      <c r="D580">
        <v>3</v>
      </c>
      <c r="E580" t="s">
        <v>4</v>
      </c>
      <c r="F580" t="str">
        <f t="shared" si="12"/>
        <v>Nie</v>
      </c>
    </row>
    <row r="581" spans="1:6" x14ac:dyDescent="0.25">
      <c r="A581">
        <v>584921385</v>
      </c>
      <c r="B581" s="1">
        <v>42914</v>
      </c>
      <c r="C581" s="2">
        <v>0.35138888888888886</v>
      </c>
      <c r="D581">
        <v>3</v>
      </c>
      <c r="E581" t="s">
        <v>4</v>
      </c>
      <c r="F581" t="str">
        <f t="shared" si="12"/>
        <v>Nie</v>
      </c>
    </row>
    <row r="582" spans="1:6" x14ac:dyDescent="0.25">
      <c r="A582">
        <v>678791691</v>
      </c>
      <c r="B582" s="1">
        <v>42914</v>
      </c>
      <c r="C582" s="2">
        <v>0.4236111111111111</v>
      </c>
      <c r="D582">
        <v>1</v>
      </c>
      <c r="E582" t="s">
        <v>5</v>
      </c>
      <c r="F582" t="str">
        <f t="shared" si="12"/>
        <v>Nie</v>
      </c>
    </row>
    <row r="583" spans="1:6" x14ac:dyDescent="0.25">
      <c r="A583">
        <v>510640958</v>
      </c>
      <c r="B583" s="1">
        <v>42914</v>
      </c>
      <c r="C583" s="2">
        <v>0.46388888888888891</v>
      </c>
      <c r="D583">
        <v>3</v>
      </c>
      <c r="E583" t="s">
        <v>5</v>
      </c>
      <c r="F583" t="str">
        <f t="shared" si="12"/>
        <v>Tak</v>
      </c>
    </row>
    <row r="584" spans="1:6" x14ac:dyDescent="0.25">
      <c r="A584">
        <v>634369839</v>
      </c>
      <c r="B584" s="1">
        <v>42914</v>
      </c>
      <c r="C584" s="2">
        <v>0.46875</v>
      </c>
      <c r="D584">
        <v>5</v>
      </c>
      <c r="E584" t="s">
        <v>3</v>
      </c>
      <c r="F584" t="str">
        <f t="shared" si="12"/>
        <v>Nie</v>
      </c>
    </row>
    <row r="585" spans="1:6" x14ac:dyDescent="0.25">
      <c r="A585">
        <v>703274814</v>
      </c>
      <c r="B585" s="1">
        <v>42914</v>
      </c>
      <c r="C585" s="2">
        <v>0.49166666666666664</v>
      </c>
      <c r="D585">
        <v>5</v>
      </c>
      <c r="E585" t="s">
        <v>3</v>
      </c>
      <c r="F585" t="str">
        <f t="shared" si="12"/>
        <v>Nie</v>
      </c>
    </row>
    <row r="586" spans="1:6" x14ac:dyDescent="0.25">
      <c r="A586">
        <v>914603276</v>
      </c>
      <c r="B586" s="1">
        <v>42914</v>
      </c>
      <c r="C586" s="2">
        <v>0.55972222222222223</v>
      </c>
      <c r="D586">
        <v>4</v>
      </c>
      <c r="E586" t="s">
        <v>4</v>
      </c>
      <c r="F586" t="str">
        <f t="shared" si="12"/>
        <v>Nie</v>
      </c>
    </row>
    <row r="587" spans="1:6" x14ac:dyDescent="0.25">
      <c r="A587">
        <v>949517506</v>
      </c>
      <c r="B587" s="1">
        <v>42914</v>
      </c>
      <c r="C587" s="2">
        <v>0.625</v>
      </c>
      <c r="D587">
        <v>5</v>
      </c>
      <c r="E587" t="s">
        <v>5</v>
      </c>
      <c r="F587" t="str">
        <f t="shared" si="12"/>
        <v>Nie</v>
      </c>
    </row>
    <row r="588" spans="1:6" x14ac:dyDescent="0.25">
      <c r="A588">
        <v>903593729</v>
      </c>
      <c r="B588" s="1">
        <v>42914</v>
      </c>
      <c r="C588" s="2">
        <v>0.63958333333333328</v>
      </c>
      <c r="D588">
        <v>4</v>
      </c>
      <c r="E588" t="s">
        <v>3</v>
      </c>
      <c r="F588" t="str">
        <f t="shared" si="12"/>
        <v>Tak</v>
      </c>
    </row>
    <row r="589" spans="1:6" x14ac:dyDescent="0.25">
      <c r="A589">
        <v>457330652</v>
      </c>
      <c r="B589" s="1">
        <v>42914</v>
      </c>
      <c r="C589" s="2">
        <v>0.64652777777777781</v>
      </c>
      <c r="D589">
        <v>4</v>
      </c>
      <c r="E589" t="s">
        <v>4</v>
      </c>
      <c r="F589" t="str">
        <f t="shared" si="12"/>
        <v>Nie</v>
      </c>
    </row>
    <row r="590" spans="1:6" x14ac:dyDescent="0.25">
      <c r="A590">
        <v>561803647</v>
      </c>
      <c r="B590" s="1">
        <v>42914</v>
      </c>
      <c r="C590" s="2">
        <v>0.67986111111111114</v>
      </c>
      <c r="D590">
        <v>1</v>
      </c>
      <c r="E590" t="s">
        <v>4</v>
      </c>
      <c r="F590" t="str">
        <f t="shared" si="12"/>
        <v>Nie</v>
      </c>
    </row>
    <row r="591" spans="1:6" x14ac:dyDescent="0.25">
      <c r="A591">
        <v>655663099</v>
      </c>
      <c r="B591" s="1">
        <v>42914</v>
      </c>
      <c r="C591" s="2">
        <v>0.69652777777777775</v>
      </c>
      <c r="D591">
        <v>2</v>
      </c>
      <c r="E591" t="s">
        <v>4</v>
      </c>
      <c r="F591" t="str">
        <f t="shared" si="12"/>
        <v>Nie</v>
      </c>
    </row>
    <row r="592" spans="1:6" x14ac:dyDescent="0.25">
      <c r="A592">
        <v>770030019</v>
      </c>
      <c r="B592" s="1">
        <v>42914</v>
      </c>
      <c r="C592" s="2">
        <v>0.75486111111111109</v>
      </c>
      <c r="D592">
        <v>4</v>
      </c>
      <c r="E592" t="s">
        <v>5</v>
      </c>
      <c r="F592" t="str">
        <f t="shared" si="12"/>
        <v>Nie</v>
      </c>
    </row>
    <row r="593" spans="1:6" x14ac:dyDescent="0.25">
      <c r="A593">
        <v>980694107</v>
      </c>
      <c r="B593" s="1">
        <v>42914</v>
      </c>
      <c r="C593" s="2">
        <v>0.77986111111111112</v>
      </c>
      <c r="D593">
        <v>1</v>
      </c>
      <c r="E593" t="s">
        <v>5</v>
      </c>
      <c r="F593" t="str">
        <f t="shared" si="12"/>
        <v>Nie</v>
      </c>
    </row>
    <row r="594" spans="1:6" x14ac:dyDescent="0.25">
      <c r="A594">
        <v>550916550</v>
      </c>
      <c r="B594" s="1">
        <v>42914</v>
      </c>
      <c r="C594" s="2">
        <v>0.82013888888888886</v>
      </c>
      <c r="D594">
        <v>3</v>
      </c>
      <c r="E594" t="s">
        <v>3</v>
      </c>
      <c r="F594" t="str">
        <f t="shared" si="12"/>
        <v>Nie</v>
      </c>
    </row>
    <row r="595" spans="1:6" x14ac:dyDescent="0.25">
      <c r="A595">
        <v>502291735</v>
      </c>
      <c r="B595" s="1">
        <v>42914</v>
      </c>
      <c r="C595" s="2">
        <v>0.87430555555555556</v>
      </c>
      <c r="D595">
        <v>4</v>
      </c>
      <c r="E595" t="s">
        <v>3</v>
      </c>
      <c r="F595" t="str">
        <f t="shared" si="12"/>
        <v>Tak</v>
      </c>
    </row>
    <row r="596" spans="1:6" x14ac:dyDescent="0.25">
      <c r="A596">
        <v>485153168</v>
      </c>
      <c r="B596" s="1">
        <v>42914</v>
      </c>
      <c r="C596" s="2">
        <v>0.97291666666666665</v>
      </c>
      <c r="D596">
        <v>1</v>
      </c>
      <c r="E596" t="s">
        <v>4</v>
      </c>
      <c r="F596" t="str">
        <f t="shared" si="12"/>
        <v>Nie</v>
      </c>
    </row>
    <row r="597" spans="1:6" x14ac:dyDescent="0.25">
      <c r="A597">
        <v>406344491</v>
      </c>
      <c r="B597" s="1">
        <v>42915</v>
      </c>
      <c r="C597" s="2">
        <v>4.6527777777777779E-2</v>
      </c>
      <c r="D597">
        <v>4</v>
      </c>
      <c r="E597" t="s">
        <v>4</v>
      </c>
      <c r="F597" t="str">
        <f t="shared" si="12"/>
        <v>Nie</v>
      </c>
    </row>
    <row r="598" spans="1:6" x14ac:dyDescent="0.25">
      <c r="A598">
        <v>844094061</v>
      </c>
      <c r="B598" s="1">
        <v>42915</v>
      </c>
      <c r="C598" s="2">
        <v>5.486111111111111E-2</v>
      </c>
      <c r="D598">
        <v>2</v>
      </c>
      <c r="E598" t="s">
        <v>4</v>
      </c>
      <c r="F598" t="str">
        <f t="shared" si="12"/>
        <v>Nie</v>
      </c>
    </row>
    <row r="599" spans="1:6" x14ac:dyDescent="0.25">
      <c r="A599">
        <v>567295310</v>
      </c>
      <c r="B599" s="1">
        <v>42915</v>
      </c>
      <c r="C599" s="2">
        <v>0.13819444444444445</v>
      </c>
      <c r="D599">
        <v>3</v>
      </c>
      <c r="E599" t="s">
        <v>4</v>
      </c>
      <c r="F599" t="str">
        <f t="shared" si="12"/>
        <v>Nie</v>
      </c>
    </row>
    <row r="600" spans="1:6" x14ac:dyDescent="0.25">
      <c r="A600">
        <v>778979692</v>
      </c>
      <c r="B600" s="1">
        <v>42915</v>
      </c>
      <c r="C600" s="2">
        <v>0.16805555555555557</v>
      </c>
      <c r="D600">
        <v>4</v>
      </c>
      <c r="E600" t="s">
        <v>5</v>
      </c>
      <c r="F600" t="str">
        <f t="shared" si="12"/>
        <v>Nie</v>
      </c>
    </row>
    <row r="601" spans="1:6" x14ac:dyDescent="0.25">
      <c r="A601">
        <v>835797514</v>
      </c>
      <c r="B601" s="1">
        <v>42915</v>
      </c>
      <c r="C601" s="2">
        <v>0.19305555555555556</v>
      </c>
      <c r="D601">
        <v>4</v>
      </c>
      <c r="E601" t="s">
        <v>3</v>
      </c>
      <c r="F601" t="str">
        <f t="shared" si="12"/>
        <v>Tak</v>
      </c>
    </row>
    <row r="602" spans="1:6" x14ac:dyDescent="0.25">
      <c r="A602">
        <v>834681329</v>
      </c>
      <c r="B602" s="1">
        <v>42915</v>
      </c>
      <c r="C602" s="2">
        <v>0.20277777777777778</v>
      </c>
      <c r="D602">
        <v>2</v>
      </c>
      <c r="E602" t="s">
        <v>4</v>
      </c>
      <c r="F602" t="str">
        <f t="shared" si="12"/>
        <v>Nie</v>
      </c>
    </row>
    <row r="603" spans="1:6" x14ac:dyDescent="0.25">
      <c r="A603">
        <v>513633872</v>
      </c>
      <c r="B603" s="1">
        <v>42915</v>
      </c>
      <c r="C603" s="2">
        <v>0.24930555555555556</v>
      </c>
      <c r="D603">
        <v>5</v>
      </c>
      <c r="E603" t="s">
        <v>4</v>
      </c>
      <c r="F603" t="str">
        <f t="shared" si="12"/>
        <v>Tak</v>
      </c>
    </row>
    <row r="604" spans="1:6" x14ac:dyDescent="0.25">
      <c r="A604">
        <v>968455120</v>
      </c>
      <c r="B604" s="1">
        <v>42915</v>
      </c>
      <c r="C604" s="2">
        <v>0.27013888888888887</v>
      </c>
      <c r="D604">
        <v>4</v>
      </c>
      <c r="E604" t="s">
        <v>5</v>
      </c>
      <c r="F604" t="str">
        <f t="shared" si="12"/>
        <v>Nie</v>
      </c>
    </row>
    <row r="605" spans="1:6" x14ac:dyDescent="0.25">
      <c r="A605">
        <v>709904329</v>
      </c>
      <c r="B605" s="1">
        <v>42915</v>
      </c>
      <c r="C605" s="2">
        <v>0.3125</v>
      </c>
      <c r="D605">
        <v>5</v>
      </c>
      <c r="E605" t="s">
        <v>5</v>
      </c>
      <c r="F605" t="str">
        <f t="shared" si="12"/>
        <v>Nie</v>
      </c>
    </row>
    <row r="606" spans="1:6" x14ac:dyDescent="0.25">
      <c r="A606">
        <v>742749055</v>
      </c>
      <c r="B606" s="1">
        <v>42915</v>
      </c>
      <c r="C606" s="2">
        <v>0.34027777777777779</v>
      </c>
      <c r="D606">
        <v>1</v>
      </c>
      <c r="E606" t="s">
        <v>3</v>
      </c>
      <c r="F606" t="str">
        <f t="shared" si="12"/>
        <v>Tak</v>
      </c>
    </row>
    <row r="607" spans="1:6" x14ac:dyDescent="0.25">
      <c r="A607">
        <v>873302120</v>
      </c>
      <c r="B607" s="1">
        <v>42915</v>
      </c>
      <c r="C607" s="2">
        <v>0.42708333333333331</v>
      </c>
      <c r="D607">
        <v>2</v>
      </c>
      <c r="E607" t="s">
        <v>3</v>
      </c>
      <c r="F607" t="str">
        <f t="shared" si="12"/>
        <v>Nie</v>
      </c>
    </row>
    <row r="608" spans="1:6" x14ac:dyDescent="0.25">
      <c r="A608">
        <v>927314137</v>
      </c>
      <c r="B608" s="1">
        <v>42915</v>
      </c>
      <c r="C608" s="2">
        <v>0.45347222222222222</v>
      </c>
      <c r="D608">
        <v>4</v>
      </c>
      <c r="E608" t="s">
        <v>4</v>
      </c>
      <c r="F608" t="str">
        <f t="shared" si="12"/>
        <v>Nie</v>
      </c>
    </row>
    <row r="609" spans="1:6" x14ac:dyDescent="0.25">
      <c r="A609">
        <v>747958808</v>
      </c>
      <c r="B609" s="1">
        <v>42915</v>
      </c>
      <c r="C609" s="2">
        <v>0.49930555555555556</v>
      </c>
      <c r="D609">
        <v>5</v>
      </c>
      <c r="E609" t="s">
        <v>4</v>
      </c>
      <c r="F609" t="str">
        <f t="shared" si="12"/>
        <v>Tak</v>
      </c>
    </row>
    <row r="610" spans="1:6" x14ac:dyDescent="0.25">
      <c r="A610">
        <v>499041184</v>
      </c>
      <c r="B610" s="1">
        <v>42915</v>
      </c>
      <c r="C610" s="2">
        <v>0.53055555555555556</v>
      </c>
      <c r="D610">
        <v>6</v>
      </c>
      <c r="E610" t="s">
        <v>4</v>
      </c>
      <c r="F610" t="str">
        <f t="shared" si="12"/>
        <v>Nie</v>
      </c>
    </row>
    <row r="611" spans="1:6" x14ac:dyDescent="0.25">
      <c r="A611">
        <v>415759916</v>
      </c>
      <c r="B611" s="1">
        <v>42915</v>
      </c>
      <c r="C611" s="2">
        <v>0.625</v>
      </c>
      <c r="D611">
        <v>6</v>
      </c>
      <c r="E611" t="s">
        <v>5</v>
      </c>
      <c r="F611" t="str">
        <f t="shared" si="12"/>
        <v>Tak</v>
      </c>
    </row>
    <row r="612" spans="1:6" x14ac:dyDescent="0.25">
      <c r="A612">
        <v>958820600</v>
      </c>
      <c r="B612" s="1">
        <v>42915</v>
      </c>
      <c r="C612" s="2">
        <v>0.67152777777777772</v>
      </c>
      <c r="D612">
        <v>1</v>
      </c>
      <c r="E612" t="s">
        <v>3</v>
      </c>
      <c r="F612" t="str">
        <f t="shared" si="12"/>
        <v>Tak</v>
      </c>
    </row>
    <row r="613" spans="1:6" x14ac:dyDescent="0.25">
      <c r="A613">
        <v>955079255</v>
      </c>
      <c r="B613" s="1">
        <v>42915</v>
      </c>
      <c r="C613" s="2">
        <v>0.73611111111111116</v>
      </c>
      <c r="D613">
        <v>4</v>
      </c>
      <c r="E613" t="s">
        <v>4</v>
      </c>
      <c r="F613" t="str">
        <f t="shared" si="12"/>
        <v>Nie</v>
      </c>
    </row>
    <row r="614" spans="1:6" x14ac:dyDescent="0.25">
      <c r="A614">
        <v>548034509</v>
      </c>
      <c r="B614" s="1">
        <v>42915</v>
      </c>
      <c r="C614" s="2">
        <v>0.81388888888888888</v>
      </c>
      <c r="D614">
        <v>5</v>
      </c>
      <c r="E614" t="s">
        <v>5</v>
      </c>
      <c r="F614" t="str">
        <f t="shared" si="12"/>
        <v>Nie</v>
      </c>
    </row>
    <row r="615" spans="1:6" x14ac:dyDescent="0.25">
      <c r="A615">
        <v>468911119</v>
      </c>
      <c r="B615" s="1">
        <v>42915</v>
      </c>
      <c r="C615" s="2">
        <v>0.86944444444444446</v>
      </c>
      <c r="D615">
        <v>4</v>
      </c>
      <c r="E615" t="s">
        <v>5</v>
      </c>
      <c r="F615" t="str">
        <f t="shared" si="12"/>
        <v>Nie</v>
      </c>
    </row>
    <row r="616" spans="1:6" x14ac:dyDescent="0.25">
      <c r="A616">
        <v>547559371</v>
      </c>
      <c r="B616" s="1">
        <v>42915</v>
      </c>
      <c r="C616" s="2">
        <v>0.91666666666666663</v>
      </c>
      <c r="D616">
        <v>6</v>
      </c>
      <c r="E616" t="s">
        <v>3</v>
      </c>
      <c r="F616" t="str">
        <f t="shared" si="12"/>
        <v>Nie</v>
      </c>
    </row>
    <row r="617" spans="1:6" x14ac:dyDescent="0.25">
      <c r="A617">
        <v>753662180</v>
      </c>
      <c r="B617" s="1">
        <v>42916</v>
      </c>
      <c r="C617" s="2">
        <v>2.0833333333333333E-3</v>
      </c>
      <c r="D617">
        <v>6</v>
      </c>
      <c r="E617" t="s">
        <v>3</v>
      </c>
      <c r="F617" t="str">
        <f t="shared" si="12"/>
        <v>Nie</v>
      </c>
    </row>
    <row r="618" spans="1:6" x14ac:dyDescent="0.25">
      <c r="A618">
        <v>974871484</v>
      </c>
      <c r="B618" s="1">
        <v>42916</v>
      </c>
      <c r="C618" s="2">
        <v>4.9305555555555554E-2</v>
      </c>
      <c r="D618">
        <v>3</v>
      </c>
      <c r="E618" t="s">
        <v>4</v>
      </c>
      <c r="F618" t="str">
        <f t="shared" si="12"/>
        <v>Nie</v>
      </c>
    </row>
    <row r="619" spans="1:6" x14ac:dyDescent="0.25">
      <c r="A619">
        <v>820562194</v>
      </c>
      <c r="B619" s="1">
        <v>42916</v>
      </c>
      <c r="C619" s="2">
        <v>0.12708333333333333</v>
      </c>
      <c r="D619">
        <v>6</v>
      </c>
      <c r="E619" t="s">
        <v>4</v>
      </c>
      <c r="F619" t="str">
        <f t="shared" si="12"/>
        <v>Nie</v>
      </c>
    </row>
    <row r="620" spans="1:6" x14ac:dyDescent="0.25">
      <c r="A620">
        <v>810733404</v>
      </c>
      <c r="B620" s="1">
        <v>42916</v>
      </c>
      <c r="C620" s="2">
        <v>0.15</v>
      </c>
      <c r="D620">
        <v>1</v>
      </c>
      <c r="E620" t="s">
        <v>4</v>
      </c>
      <c r="F620" t="str">
        <f t="shared" si="12"/>
        <v>Nie</v>
      </c>
    </row>
    <row r="621" spans="1:6" x14ac:dyDescent="0.25">
      <c r="A621">
        <v>512058109</v>
      </c>
      <c r="B621" s="1">
        <v>42916</v>
      </c>
      <c r="C621" s="2">
        <v>0.18402777777777779</v>
      </c>
      <c r="D621">
        <v>6</v>
      </c>
      <c r="E621" t="s">
        <v>4</v>
      </c>
      <c r="F621" t="str">
        <f t="shared" si="12"/>
        <v>Nie</v>
      </c>
    </row>
    <row r="622" spans="1:6" x14ac:dyDescent="0.25">
      <c r="A622">
        <v>846923988</v>
      </c>
      <c r="B622" s="1">
        <v>42916</v>
      </c>
      <c r="C622" s="2">
        <v>0.23402777777777778</v>
      </c>
      <c r="D622">
        <v>3</v>
      </c>
      <c r="E622" t="s">
        <v>5</v>
      </c>
      <c r="F622" t="str">
        <f t="shared" si="12"/>
        <v>Tak</v>
      </c>
    </row>
    <row r="623" spans="1:6" x14ac:dyDescent="0.25">
      <c r="A623">
        <v>663959819</v>
      </c>
      <c r="B623" s="1">
        <v>42916</v>
      </c>
      <c r="C623" s="2">
        <v>0.24027777777777778</v>
      </c>
      <c r="D623">
        <v>4</v>
      </c>
      <c r="E623" t="s">
        <v>3</v>
      </c>
      <c r="F623" t="str">
        <f t="shared" si="12"/>
        <v>Tak</v>
      </c>
    </row>
    <row r="624" spans="1:6" x14ac:dyDescent="0.25">
      <c r="A624">
        <v>538645328</v>
      </c>
      <c r="B624" s="1">
        <v>42916</v>
      </c>
      <c r="C624" s="2">
        <v>0.28263888888888888</v>
      </c>
      <c r="D624">
        <v>2</v>
      </c>
      <c r="E624" t="s">
        <v>4</v>
      </c>
      <c r="F624" t="str">
        <f t="shared" si="12"/>
        <v>Nie</v>
      </c>
    </row>
    <row r="625" spans="1:6" x14ac:dyDescent="0.25">
      <c r="A625">
        <v>713314488</v>
      </c>
      <c r="B625" s="1">
        <v>42916</v>
      </c>
      <c r="C625" s="2">
        <v>0.35486111111111113</v>
      </c>
      <c r="D625">
        <v>6</v>
      </c>
      <c r="E625" t="s">
        <v>4</v>
      </c>
      <c r="F625" t="str">
        <f t="shared" si="12"/>
        <v>Nie</v>
      </c>
    </row>
    <row r="626" spans="1:6" x14ac:dyDescent="0.25">
      <c r="A626">
        <v>722823431</v>
      </c>
      <c r="B626" s="1">
        <v>42916</v>
      </c>
      <c r="C626" s="2">
        <v>0.40972222222222221</v>
      </c>
      <c r="D626">
        <v>5</v>
      </c>
      <c r="E626" t="s">
        <v>5</v>
      </c>
      <c r="F626" t="str">
        <f t="shared" si="12"/>
        <v>Nie</v>
      </c>
    </row>
    <row r="627" spans="1:6" x14ac:dyDescent="0.25">
      <c r="A627">
        <v>574732359</v>
      </c>
      <c r="B627" s="1">
        <v>42916</v>
      </c>
      <c r="C627" s="2">
        <v>0.46666666666666667</v>
      </c>
      <c r="D627">
        <v>6</v>
      </c>
      <c r="E627" t="s">
        <v>5</v>
      </c>
      <c r="F627" t="str">
        <f t="shared" si="12"/>
        <v>Tak</v>
      </c>
    </row>
    <row r="628" spans="1:6" x14ac:dyDescent="0.25">
      <c r="A628">
        <v>686718630</v>
      </c>
      <c r="B628" s="1">
        <v>42916</v>
      </c>
      <c r="C628" s="2">
        <v>0.54513888888888884</v>
      </c>
      <c r="D628">
        <v>5</v>
      </c>
      <c r="E628" t="s">
        <v>3</v>
      </c>
      <c r="F628" t="str">
        <f t="shared" si="12"/>
        <v>Nie</v>
      </c>
    </row>
    <row r="629" spans="1:6" x14ac:dyDescent="0.25">
      <c r="A629">
        <v>458852918</v>
      </c>
      <c r="B629" s="1">
        <v>42916</v>
      </c>
      <c r="C629" s="2">
        <v>0.57291666666666663</v>
      </c>
      <c r="D629">
        <v>4</v>
      </c>
      <c r="E629" t="s">
        <v>3</v>
      </c>
      <c r="F629" t="str">
        <f t="shared" si="12"/>
        <v>Tak</v>
      </c>
    </row>
    <row r="630" spans="1:6" x14ac:dyDescent="0.25">
      <c r="A630">
        <v>927014105</v>
      </c>
      <c r="B630" s="1">
        <v>42916</v>
      </c>
      <c r="C630" s="2">
        <v>0.625</v>
      </c>
      <c r="D630">
        <v>3</v>
      </c>
      <c r="E630" t="s">
        <v>5</v>
      </c>
      <c r="F630" t="str">
        <f t="shared" si="12"/>
        <v>Tak</v>
      </c>
    </row>
    <row r="631" spans="1:6" x14ac:dyDescent="0.25">
      <c r="A631">
        <v>787700181</v>
      </c>
      <c r="B631" s="1">
        <v>42916</v>
      </c>
      <c r="C631" s="2">
        <v>0.66597222222222219</v>
      </c>
      <c r="D631">
        <v>5</v>
      </c>
      <c r="E631" t="s">
        <v>3</v>
      </c>
      <c r="F631" t="str">
        <f t="shared" si="12"/>
        <v>Nie</v>
      </c>
    </row>
    <row r="632" spans="1:6" x14ac:dyDescent="0.25">
      <c r="A632">
        <v>621460025</v>
      </c>
      <c r="B632" s="1">
        <v>42916</v>
      </c>
      <c r="C632" s="2">
        <v>0.6694444444444444</v>
      </c>
      <c r="D632">
        <v>4</v>
      </c>
      <c r="E632" t="s">
        <v>4</v>
      </c>
      <c r="F632" t="str">
        <f t="shared" si="12"/>
        <v>Nie</v>
      </c>
    </row>
    <row r="633" spans="1:6" x14ac:dyDescent="0.25">
      <c r="A633">
        <v>720910870</v>
      </c>
      <c r="B633" s="1">
        <v>42916</v>
      </c>
      <c r="C633" s="2">
        <v>0.67986111111111114</v>
      </c>
      <c r="D633">
        <v>1</v>
      </c>
      <c r="E633" t="s">
        <v>4</v>
      </c>
      <c r="F633" t="str">
        <f t="shared" si="12"/>
        <v>Nie</v>
      </c>
    </row>
    <row r="634" spans="1:6" x14ac:dyDescent="0.25">
      <c r="A634">
        <v>644763133</v>
      </c>
      <c r="B634" s="1">
        <v>42916</v>
      </c>
      <c r="C634" s="2">
        <v>0.69027777777777777</v>
      </c>
      <c r="D634">
        <v>3</v>
      </c>
      <c r="E634" t="s">
        <v>4</v>
      </c>
      <c r="F634" t="str">
        <f t="shared" si="12"/>
        <v>Nie</v>
      </c>
    </row>
    <row r="635" spans="1:6" x14ac:dyDescent="0.25">
      <c r="A635">
        <v>914374164</v>
      </c>
      <c r="B635" s="1">
        <v>42916</v>
      </c>
      <c r="C635" s="2">
        <v>0.73541666666666672</v>
      </c>
      <c r="D635">
        <v>1</v>
      </c>
      <c r="E635" t="s">
        <v>4</v>
      </c>
      <c r="F635" t="str">
        <f t="shared" si="12"/>
        <v>Nie</v>
      </c>
    </row>
    <row r="636" spans="1:6" x14ac:dyDescent="0.25">
      <c r="A636">
        <v>838782455</v>
      </c>
      <c r="B636" s="1">
        <v>42916</v>
      </c>
      <c r="C636" s="2">
        <v>0.78055555555555556</v>
      </c>
      <c r="D636">
        <v>2</v>
      </c>
      <c r="E636" t="s">
        <v>5</v>
      </c>
      <c r="F636" t="str">
        <f t="shared" si="12"/>
        <v>Tak</v>
      </c>
    </row>
    <row r="637" spans="1:6" x14ac:dyDescent="0.25">
      <c r="A637">
        <v>610551165</v>
      </c>
      <c r="B637" s="1">
        <v>42916</v>
      </c>
      <c r="C637" s="2">
        <v>0.85972222222222228</v>
      </c>
      <c r="D637">
        <v>5</v>
      </c>
      <c r="E637" t="s">
        <v>5</v>
      </c>
      <c r="F637" t="str">
        <f t="shared" si="12"/>
        <v>Nie</v>
      </c>
    </row>
    <row r="638" spans="1:6" x14ac:dyDescent="0.25">
      <c r="A638">
        <v>569386520</v>
      </c>
      <c r="B638" s="1">
        <v>42916</v>
      </c>
      <c r="C638" s="2">
        <v>0.92222222222222228</v>
      </c>
      <c r="D638">
        <v>4</v>
      </c>
      <c r="E638" t="s">
        <v>3</v>
      </c>
      <c r="F638" t="str">
        <f t="shared" si="12"/>
        <v>Tak</v>
      </c>
    </row>
    <row r="639" spans="1:6" x14ac:dyDescent="0.25">
      <c r="A639">
        <v>688186998</v>
      </c>
      <c r="B639" s="1">
        <v>42917</v>
      </c>
      <c r="C639" s="2">
        <v>2.1527777777777778E-2</v>
      </c>
      <c r="D639">
        <v>3</v>
      </c>
      <c r="E639" t="s">
        <v>3</v>
      </c>
      <c r="F639" t="str">
        <f t="shared" si="12"/>
        <v>Nie</v>
      </c>
    </row>
    <row r="640" spans="1:6" x14ac:dyDescent="0.25">
      <c r="A640">
        <v>856457375</v>
      </c>
      <c r="B640" s="1">
        <v>42917</v>
      </c>
      <c r="C640" s="2">
        <v>4.8611111111111112E-2</v>
      </c>
      <c r="D640">
        <v>3</v>
      </c>
      <c r="E640" t="s">
        <v>4</v>
      </c>
      <c r="F640" t="str">
        <f t="shared" si="12"/>
        <v>Nie</v>
      </c>
    </row>
    <row r="641" spans="1:6" x14ac:dyDescent="0.25">
      <c r="A641">
        <v>977940880</v>
      </c>
      <c r="B641" s="1">
        <v>42917</v>
      </c>
      <c r="C641" s="2">
        <v>6.25E-2</v>
      </c>
      <c r="D641">
        <v>5</v>
      </c>
      <c r="E641" t="s">
        <v>4</v>
      </c>
      <c r="F641" t="str">
        <f t="shared" si="12"/>
        <v>Tak</v>
      </c>
    </row>
    <row r="642" spans="1:6" x14ac:dyDescent="0.25">
      <c r="A642">
        <v>664727188</v>
      </c>
      <c r="B642" s="1">
        <v>42917</v>
      </c>
      <c r="C642" s="2">
        <v>7.6388888888888895E-2</v>
      </c>
      <c r="D642">
        <v>5</v>
      </c>
      <c r="E642" t="s">
        <v>4</v>
      </c>
      <c r="F642" t="str">
        <f t="shared" ref="F642:F705" si="13">IF(E642=VLOOKUP(D642,$M$23:$O$30,2,FALSE),"Tak","Nie")</f>
        <v>Tak</v>
      </c>
    </row>
    <row r="643" spans="1:6" x14ac:dyDescent="0.25">
      <c r="A643">
        <v>577388655</v>
      </c>
      <c r="B643" s="1">
        <v>42917</v>
      </c>
      <c r="C643" s="2">
        <v>0.11527777777777778</v>
      </c>
      <c r="D643">
        <v>6</v>
      </c>
      <c r="E643" t="s">
        <v>4</v>
      </c>
      <c r="F643" t="str">
        <f t="shared" si="13"/>
        <v>Nie</v>
      </c>
    </row>
    <row r="644" spans="1:6" x14ac:dyDescent="0.25">
      <c r="A644">
        <v>542611566</v>
      </c>
      <c r="B644" s="1">
        <v>42917</v>
      </c>
      <c r="C644" s="2">
        <v>0.15347222222222223</v>
      </c>
      <c r="D644">
        <v>6</v>
      </c>
      <c r="E644" t="s">
        <v>5</v>
      </c>
      <c r="F644" t="str">
        <f t="shared" si="13"/>
        <v>Tak</v>
      </c>
    </row>
    <row r="645" spans="1:6" x14ac:dyDescent="0.25">
      <c r="A645">
        <v>448722502</v>
      </c>
      <c r="B645" s="1">
        <v>42917</v>
      </c>
      <c r="C645" s="2">
        <v>0.23055555555555557</v>
      </c>
      <c r="D645">
        <v>4</v>
      </c>
      <c r="E645" t="s">
        <v>3</v>
      </c>
      <c r="F645" t="str">
        <f t="shared" si="13"/>
        <v>Tak</v>
      </c>
    </row>
    <row r="646" spans="1:6" x14ac:dyDescent="0.25">
      <c r="A646">
        <v>768531974</v>
      </c>
      <c r="B646" s="1">
        <v>42917</v>
      </c>
      <c r="C646" s="2">
        <v>0.30555555555555558</v>
      </c>
      <c r="D646">
        <v>5</v>
      </c>
      <c r="E646" t="s">
        <v>4</v>
      </c>
      <c r="F646" t="str">
        <f t="shared" si="13"/>
        <v>Tak</v>
      </c>
    </row>
    <row r="647" spans="1:6" x14ac:dyDescent="0.25">
      <c r="A647">
        <v>412860843</v>
      </c>
      <c r="B647" s="1">
        <v>42917</v>
      </c>
      <c r="C647" s="2">
        <v>0.39097222222222222</v>
      </c>
      <c r="D647">
        <v>5</v>
      </c>
      <c r="E647" t="s">
        <v>4</v>
      </c>
      <c r="F647" t="str">
        <f t="shared" si="13"/>
        <v>Tak</v>
      </c>
    </row>
    <row r="648" spans="1:6" x14ac:dyDescent="0.25">
      <c r="A648">
        <v>929981201</v>
      </c>
      <c r="B648" s="1">
        <v>42917</v>
      </c>
      <c r="C648" s="2">
        <v>0.42083333333333334</v>
      </c>
      <c r="D648">
        <v>4</v>
      </c>
      <c r="E648" t="s">
        <v>5</v>
      </c>
      <c r="F648" t="str">
        <f t="shared" si="13"/>
        <v>Nie</v>
      </c>
    </row>
    <row r="649" spans="1:6" x14ac:dyDescent="0.25">
      <c r="A649">
        <v>952183510</v>
      </c>
      <c r="B649" s="1">
        <v>42917</v>
      </c>
      <c r="C649" s="2">
        <v>0.46458333333333335</v>
      </c>
      <c r="D649">
        <v>6</v>
      </c>
      <c r="E649" t="s">
        <v>5</v>
      </c>
      <c r="F649" t="str">
        <f t="shared" si="13"/>
        <v>Tak</v>
      </c>
    </row>
    <row r="650" spans="1:6" x14ac:dyDescent="0.25">
      <c r="A650">
        <v>416932832</v>
      </c>
      <c r="B650" s="1">
        <v>42917</v>
      </c>
      <c r="C650" s="2">
        <v>0.4777777777777778</v>
      </c>
      <c r="D650">
        <v>6</v>
      </c>
      <c r="E650" t="s">
        <v>3</v>
      </c>
      <c r="F650" t="str">
        <f t="shared" si="13"/>
        <v>Nie</v>
      </c>
    </row>
    <row r="651" spans="1:6" x14ac:dyDescent="0.25">
      <c r="A651">
        <v>476020352</v>
      </c>
      <c r="B651" s="1">
        <v>42917</v>
      </c>
      <c r="C651" s="2">
        <v>0.5625</v>
      </c>
      <c r="D651">
        <v>5</v>
      </c>
      <c r="E651" t="s">
        <v>3</v>
      </c>
      <c r="F651" t="str">
        <f t="shared" si="13"/>
        <v>Nie</v>
      </c>
    </row>
    <row r="652" spans="1:6" x14ac:dyDescent="0.25">
      <c r="A652">
        <v>748098707</v>
      </c>
      <c r="B652" s="1">
        <v>42917</v>
      </c>
      <c r="C652" s="2">
        <v>0.5854166666666667</v>
      </c>
      <c r="D652">
        <v>6</v>
      </c>
      <c r="E652" t="s">
        <v>4</v>
      </c>
      <c r="F652" t="str">
        <f t="shared" si="13"/>
        <v>Nie</v>
      </c>
    </row>
    <row r="653" spans="1:6" x14ac:dyDescent="0.25">
      <c r="A653">
        <v>557581462</v>
      </c>
      <c r="B653" s="1">
        <v>42917</v>
      </c>
      <c r="C653" s="2">
        <v>0.60138888888888886</v>
      </c>
      <c r="D653">
        <v>2</v>
      </c>
      <c r="E653" t="s">
        <v>4</v>
      </c>
      <c r="F653" t="str">
        <f t="shared" si="13"/>
        <v>Nie</v>
      </c>
    </row>
    <row r="654" spans="1:6" x14ac:dyDescent="0.25">
      <c r="A654">
        <v>557237983</v>
      </c>
      <c r="B654" s="1">
        <v>42917</v>
      </c>
      <c r="C654" s="2">
        <v>0.625</v>
      </c>
      <c r="D654">
        <v>1</v>
      </c>
      <c r="E654" t="s">
        <v>5</v>
      </c>
      <c r="F654" t="str">
        <f t="shared" si="13"/>
        <v>Nie</v>
      </c>
    </row>
    <row r="655" spans="1:6" x14ac:dyDescent="0.25">
      <c r="A655">
        <v>555191112</v>
      </c>
      <c r="B655" s="1">
        <v>42917</v>
      </c>
      <c r="C655" s="2">
        <v>0.64236111111111116</v>
      </c>
      <c r="D655">
        <v>5</v>
      </c>
      <c r="E655" t="s">
        <v>4</v>
      </c>
      <c r="F655" t="str">
        <f t="shared" si="13"/>
        <v>Tak</v>
      </c>
    </row>
    <row r="656" spans="1:6" x14ac:dyDescent="0.25">
      <c r="A656">
        <v>975513406</v>
      </c>
      <c r="B656" s="1">
        <v>42917</v>
      </c>
      <c r="C656" s="2">
        <v>0.64236111111111116</v>
      </c>
      <c r="D656">
        <v>3</v>
      </c>
      <c r="E656" t="s">
        <v>3</v>
      </c>
      <c r="F656" t="str">
        <f t="shared" si="13"/>
        <v>Nie</v>
      </c>
    </row>
    <row r="657" spans="1:6" x14ac:dyDescent="0.25">
      <c r="A657">
        <v>493039952</v>
      </c>
      <c r="B657" s="1">
        <v>42917</v>
      </c>
      <c r="C657" s="2">
        <v>0.68958333333333333</v>
      </c>
      <c r="D657">
        <v>4</v>
      </c>
      <c r="E657" t="s">
        <v>4</v>
      </c>
      <c r="F657" t="str">
        <f t="shared" si="13"/>
        <v>Nie</v>
      </c>
    </row>
    <row r="658" spans="1:6" x14ac:dyDescent="0.25">
      <c r="A658">
        <v>880629729</v>
      </c>
      <c r="B658" s="1">
        <v>42917</v>
      </c>
      <c r="C658" s="2">
        <v>0.74513888888888891</v>
      </c>
      <c r="D658">
        <v>1</v>
      </c>
      <c r="E658" t="s">
        <v>5</v>
      </c>
      <c r="F658" t="str">
        <f t="shared" si="13"/>
        <v>Nie</v>
      </c>
    </row>
    <row r="659" spans="1:6" x14ac:dyDescent="0.25">
      <c r="A659">
        <v>822938429</v>
      </c>
      <c r="B659" s="1">
        <v>42917</v>
      </c>
      <c r="C659" s="2">
        <v>0.7631944444444444</v>
      </c>
      <c r="D659">
        <v>5</v>
      </c>
      <c r="E659" t="s">
        <v>5</v>
      </c>
      <c r="F659" t="str">
        <f t="shared" si="13"/>
        <v>Nie</v>
      </c>
    </row>
    <row r="660" spans="1:6" x14ac:dyDescent="0.25">
      <c r="A660">
        <v>498923616</v>
      </c>
      <c r="B660" s="1">
        <v>42917</v>
      </c>
      <c r="C660" s="2">
        <v>0.80833333333333335</v>
      </c>
      <c r="D660">
        <v>2</v>
      </c>
      <c r="E660" t="s">
        <v>3</v>
      </c>
      <c r="F660" t="str">
        <f t="shared" si="13"/>
        <v>Nie</v>
      </c>
    </row>
    <row r="661" spans="1:6" x14ac:dyDescent="0.25">
      <c r="A661">
        <v>953942791</v>
      </c>
      <c r="B661" s="1">
        <v>42917</v>
      </c>
      <c r="C661" s="2">
        <v>0.84791666666666665</v>
      </c>
      <c r="D661">
        <v>4</v>
      </c>
      <c r="E661" t="s">
        <v>3</v>
      </c>
      <c r="F661" t="str">
        <f t="shared" si="13"/>
        <v>Tak</v>
      </c>
    </row>
    <row r="662" spans="1:6" x14ac:dyDescent="0.25">
      <c r="A662">
        <v>696795823</v>
      </c>
      <c r="B662" s="1">
        <v>42917</v>
      </c>
      <c r="C662" s="2">
        <v>0.87361111111111112</v>
      </c>
      <c r="D662">
        <v>4</v>
      </c>
      <c r="E662" t="s">
        <v>4</v>
      </c>
      <c r="F662" t="str">
        <f t="shared" si="13"/>
        <v>Nie</v>
      </c>
    </row>
    <row r="663" spans="1:6" x14ac:dyDescent="0.25">
      <c r="A663">
        <v>901529347</v>
      </c>
      <c r="B663" s="1">
        <v>42917</v>
      </c>
      <c r="C663" s="2">
        <v>0.95486111111111116</v>
      </c>
      <c r="D663">
        <v>2</v>
      </c>
      <c r="E663" t="s">
        <v>4</v>
      </c>
      <c r="F663" t="str">
        <f t="shared" si="13"/>
        <v>Nie</v>
      </c>
    </row>
    <row r="664" spans="1:6" x14ac:dyDescent="0.25">
      <c r="A664">
        <v>852767608</v>
      </c>
      <c r="B664" s="1">
        <v>42917</v>
      </c>
      <c r="C664" s="2">
        <v>0.99236111111111114</v>
      </c>
      <c r="D664">
        <v>5</v>
      </c>
      <c r="E664" t="s">
        <v>4</v>
      </c>
      <c r="F664" t="str">
        <f t="shared" si="13"/>
        <v>Tak</v>
      </c>
    </row>
    <row r="665" spans="1:6" x14ac:dyDescent="0.25">
      <c r="A665">
        <v>757519899</v>
      </c>
      <c r="B665" s="1">
        <v>42918</v>
      </c>
      <c r="C665" s="2">
        <v>5.2083333333333336E-2</v>
      </c>
      <c r="D665">
        <v>5</v>
      </c>
      <c r="E665" t="s">
        <v>4</v>
      </c>
      <c r="F665" t="str">
        <f t="shared" si="13"/>
        <v>Tak</v>
      </c>
    </row>
    <row r="666" spans="1:6" x14ac:dyDescent="0.25">
      <c r="A666">
        <v>601071162</v>
      </c>
      <c r="B666" s="1">
        <v>42918</v>
      </c>
      <c r="C666" s="2">
        <v>0.12013888888888889</v>
      </c>
      <c r="D666">
        <v>6</v>
      </c>
      <c r="E666" t="s">
        <v>5</v>
      </c>
      <c r="F666" t="str">
        <f t="shared" si="13"/>
        <v>Tak</v>
      </c>
    </row>
    <row r="667" spans="1:6" x14ac:dyDescent="0.25">
      <c r="A667">
        <v>751080209</v>
      </c>
      <c r="B667" s="1">
        <v>42918</v>
      </c>
      <c r="C667" s="2">
        <v>0.15208333333333332</v>
      </c>
      <c r="D667">
        <v>2</v>
      </c>
      <c r="E667" t="s">
        <v>3</v>
      </c>
      <c r="F667" t="str">
        <f t="shared" si="13"/>
        <v>Nie</v>
      </c>
    </row>
    <row r="668" spans="1:6" x14ac:dyDescent="0.25">
      <c r="A668">
        <v>557059595</v>
      </c>
      <c r="B668" s="1">
        <v>42918</v>
      </c>
      <c r="C668" s="2">
        <v>0.17083333333333334</v>
      </c>
      <c r="D668">
        <v>1</v>
      </c>
      <c r="E668" t="s">
        <v>4</v>
      </c>
      <c r="F668" t="str">
        <f t="shared" si="13"/>
        <v>Nie</v>
      </c>
    </row>
    <row r="669" spans="1:6" x14ac:dyDescent="0.25">
      <c r="A669">
        <v>919448492</v>
      </c>
      <c r="B669" s="1">
        <v>42918</v>
      </c>
      <c r="C669" s="2">
        <v>0.18888888888888888</v>
      </c>
      <c r="D669">
        <v>2</v>
      </c>
      <c r="E669" t="s">
        <v>4</v>
      </c>
      <c r="F669" t="str">
        <f t="shared" si="13"/>
        <v>Nie</v>
      </c>
    </row>
    <row r="670" spans="1:6" x14ac:dyDescent="0.25">
      <c r="A670">
        <v>630181135</v>
      </c>
      <c r="B670" s="1">
        <v>42918</v>
      </c>
      <c r="C670" s="2">
        <v>0.21458333333333332</v>
      </c>
      <c r="D670">
        <v>5</v>
      </c>
      <c r="E670" t="s">
        <v>5</v>
      </c>
      <c r="F670" t="str">
        <f t="shared" si="13"/>
        <v>Nie</v>
      </c>
    </row>
    <row r="671" spans="1:6" x14ac:dyDescent="0.25">
      <c r="A671">
        <v>921394114</v>
      </c>
      <c r="B671" s="1">
        <v>42918</v>
      </c>
      <c r="C671" s="2">
        <v>0.30138888888888887</v>
      </c>
      <c r="D671">
        <v>5</v>
      </c>
      <c r="E671" t="s">
        <v>5</v>
      </c>
      <c r="F671" t="str">
        <f t="shared" si="13"/>
        <v>Nie</v>
      </c>
    </row>
    <row r="672" spans="1:6" x14ac:dyDescent="0.25">
      <c r="A672">
        <v>687213103</v>
      </c>
      <c r="B672" s="1">
        <v>42918</v>
      </c>
      <c r="C672" s="2">
        <v>0.31041666666666667</v>
      </c>
      <c r="D672">
        <v>3</v>
      </c>
      <c r="E672" t="s">
        <v>3</v>
      </c>
      <c r="F672" t="str">
        <f t="shared" si="13"/>
        <v>Nie</v>
      </c>
    </row>
    <row r="673" spans="1:6" x14ac:dyDescent="0.25">
      <c r="A673">
        <v>882751328</v>
      </c>
      <c r="B673" s="1">
        <v>42918</v>
      </c>
      <c r="C673" s="2">
        <v>0.35138888888888886</v>
      </c>
      <c r="D673">
        <v>6</v>
      </c>
      <c r="E673" t="s">
        <v>3</v>
      </c>
      <c r="F673" t="str">
        <f t="shared" si="13"/>
        <v>Nie</v>
      </c>
    </row>
    <row r="674" spans="1:6" x14ac:dyDescent="0.25">
      <c r="A674">
        <v>507120351</v>
      </c>
      <c r="B674" s="1">
        <v>42918</v>
      </c>
      <c r="C674" s="2">
        <v>0.42291666666666666</v>
      </c>
      <c r="D674">
        <v>5</v>
      </c>
      <c r="E674" t="s">
        <v>4</v>
      </c>
      <c r="F674" t="str">
        <f t="shared" si="13"/>
        <v>Tak</v>
      </c>
    </row>
    <row r="675" spans="1:6" x14ac:dyDescent="0.25">
      <c r="A675">
        <v>670854717</v>
      </c>
      <c r="B675" s="1">
        <v>42918</v>
      </c>
      <c r="C675" s="2">
        <v>0.43958333333333333</v>
      </c>
      <c r="D675">
        <v>4</v>
      </c>
      <c r="E675" t="s">
        <v>4</v>
      </c>
      <c r="F675" t="str">
        <f t="shared" si="13"/>
        <v>Nie</v>
      </c>
    </row>
    <row r="676" spans="1:6" x14ac:dyDescent="0.25">
      <c r="A676">
        <v>885343232</v>
      </c>
      <c r="B676" s="1">
        <v>42918</v>
      </c>
      <c r="C676" s="2">
        <v>0.46041666666666664</v>
      </c>
      <c r="D676">
        <v>3</v>
      </c>
      <c r="E676" t="s">
        <v>4</v>
      </c>
      <c r="F676" t="str">
        <f t="shared" si="13"/>
        <v>Nie</v>
      </c>
    </row>
    <row r="677" spans="1:6" x14ac:dyDescent="0.25">
      <c r="A677">
        <v>529069571</v>
      </c>
      <c r="B677" s="1">
        <v>42918</v>
      </c>
      <c r="C677" s="2">
        <v>0.625</v>
      </c>
      <c r="D677">
        <v>1</v>
      </c>
      <c r="E677" t="s">
        <v>5</v>
      </c>
      <c r="F677" t="str">
        <f t="shared" si="13"/>
        <v>Nie</v>
      </c>
    </row>
    <row r="678" spans="1:6" x14ac:dyDescent="0.25">
      <c r="A678">
        <v>735284701</v>
      </c>
      <c r="B678" s="1">
        <v>42918</v>
      </c>
      <c r="C678" s="2">
        <v>0.63958333333333328</v>
      </c>
      <c r="D678">
        <v>4</v>
      </c>
      <c r="E678" t="s">
        <v>3</v>
      </c>
      <c r="F678" t="str">
        <f t="shared" si="13"/>
        <v>Tak</v>
      </c>
    </row>
    <row r="679" spans="1:6" x14ac:dyDescent="0.25">
      <c r="A679">
        <v>798064543</v>
      </c>
      <c r="B679" s="1">
        <v>42918</v>
      </c>
      <c r="C679" s="2">
        <v>0.69305555555555554</v>
      </c>
      <c r="D679">
        <v>1</v>
      </c>
      <c r="E679" t="s">
        <v>4</v>
      </c>
      <c r="F679" t="str">
        <f t="shared" si="13"/>
        <v>Nie</v>
      </c>
    </row>
    <row r="680" spans="1:6" x14ac:dyDescent="0.25">
      <c r="A680">
        <v>435583833</v>
      </c>
      <c r="B680" s="1">
        <v>42918</v>
      </c>
      <c r="C680" s="2">
        <v>0.74375000000000002</v>
      </c>
      <c r="D680">
        <v>4</v>
      </c>
      <c r="E680" t="s">
        <v>5</v>
      </c>
      <c r="F680" t="str">
        <f t="shared" si="13"/>
        <v>Nie</v>
      </c>
    </row>
    <row r="681" spans="1:6" x14ac:dyDescent="0.25">
      <c r="A681">
        <v>543967501</v>
      </c>
      <c r="B681" s="1">
        <v>42918</v>
      </c>
      <c r="C681" s="2">
        <v>0.77222222222222225</v>
      </c>
      <c r="D681">
        <v>6</v>
      </c>
      <c r="E681" t="s">
        <v>3</v>
      </c>
      <c r="F681" t="str">
        <f t="shared" si="13"/>
        <v>Nie</v>
      </c>
    </row>
    <row r="682" spans="1:6" x14ac:dyDescent="0.25">
      <c r="A682">
        <v>939906147</v>
      </c>
      <c r="B682" s="1">
        <v>42918</v>
      </c>
      <c r="C682" s="2">
        <v>0.7729166666666667</v>
      </c>
      <c r="D682">
        <v>5</v>
      </c>
      <c r="E682" t="s">
        <v>3</v>
      </c>
      <c r="F682" t="str">
        <f t="shared" si="13"/>
        <v>Nie</v>
      </c>
    </row>
    <row r="683" spans="1:6" x14ac:dyDescent="0.25">
      <c r="A683">
        <v>814472522</v>
      </c>
      <c r="B683" s="1">
        <v>42918</v>
      </c>
      <c r="C683" s="2">
        <v>0.83611111111111114</v>
      </c>
      <c r="D683">
        <v>1</v>
      </c>
      <c r="E683" t="s">
        <v>4</v>
      </c>
      <c r="F683" t="str">
        <f t="shared" si="13"/>
        <v>Nie</v>
      </c>
    </row>
    <row r="684" spans="1:6" x14ac:dyDescent="0.25">
      <c r="A684">
        <v>731111880</v>
      </c>
      <c r="B684" s="1">
        <v>42918</v>
      </c>
      <c r="C684" s="2">
        <v>0.84097222222222223</v>
      </c>
      <c r="D684">
        <v>4</v>
      </c>
      <c r="E684" t="s">
        <v>4</v>
      </c>
      <c r="F684" t="str">
        <f t="shared" si="13"/>
        <v>Nie</v>
      </c>
    </row>
    <row r="685" spans="1:6" x14ac:dyDescent="0.25">
      <c r="A685">
        <v>920922349</v>
      </c>
      <c r="B685" s="1">
        <v>42918</v>
      </c>
      <c r="C685" s="2">
        <v>0.92083333333333328</v>
      </c>
      <c r="D685">
        <v>4</v>
      </c>
      <c r="E685" t="s">
        <v>4</v>
      </c>
      <c r="F685" t="str">
        <f t="shared" si="13"/>
        <v>Nie</v>
      </c>
    </row>
    <row r="686" spans="1:6" x14ac:dyDescent="0.25">
      <c r="A686">
        <v>428883753</v>
      </c>
      <c r="B686" s="1">
        <v>42918</v>
      </c>
      <c r="C686" s="2">
        <v>0.96458333333333335</v>
      </c>
      <c r="D686">
        <v>1</v>
      </c>
      <c r="E686" t="s">
        <v>4</v>
      </c>
      <c r="F686" t="str">
        <f t="shared" si="13"/>
        <v>Nie</v>
      </c>
    </row>
    <row r="687" spans="1:6" x14ac:dyDescent="0.25">
      <c r="A687">
        <v>728014399</v>
      </c>
      <c r="B687" s="1">
        <v>42919</v>
      </c>
      <c r="C687" s="2">
        <v>8.3333333333333332E-3</v>
      </c>
      <c r="D687">
        <v>3</v>
      </c>
      <c r="E687" t="s">
        <v>5</v>
      </c>
      <c r="F687" t="str">
        <f t="shared" si="13"/>
        <v>Tak</v>
      </c>
    </row>
    <row r="688" spans="1:6" x14ac:dyDescent="0.25">
      <c r="A688">
        <v>506690392</v>
      </c>
      <c r="B688" s="1">
        <v>42919</v>
      </c>
      <c r="C688" s="2">
        <v>8.1250000000000003E-2</v>
      </c>
      <c r="D688">
        <v>4</v>
      </c>
      <c r="E688" t="s">
        <v>3</v>
      </c>
      <c r="F688" t="str">
        <f t="shared" si="13"/>
        <v>Tak</v>
      </c>
    </row>
    <row r="689" spans="1:6" x14ac:dyDescent="0.25">
      <c r="A689">
        <v>637570577</v>
      </c>
      <c r="B689" s="1">
        <v>42919</v>
      </c>
      <c r="C689" s="2">
        <v>0.14027777777777778</v>
      </c>
      <c r="D689">
        <v>1</v>
      </c>
      <c r="E689" t="s">
        <v>4</v>
      </c>
      <c r="F689" t="str">
        <f t="shared" si="13"/>
        <v>Nie</v>
      </c>
    </row>
    <row r="690" spans="1:6" x14ac:dyDescent="0.25">
      <c r="A690">
        <v>567127307</v>
      </c>
      <c r="B690" s="1">
        <v>42919</v>
      </c>
      <c r="C690" s="2">
        <v>0.16944444444444445</v>
      </c>
      <c r="D690">
        <v>1</v>
      </c>
      <c r="E690" t="s">
        <v>4</v>
      </c>
      <c r="F690" t="str">
        <f t="shared" si="13"/>
        <v>Nie</v>
      </c>
    </row>
    <row r="691" spans="1:6" x14ac:dyDescent="0.25">
      <c r="A691">
        <v>444644136</v>
      </c>
      <c r="B691" s="1">
        <v>42919</v>
      </c>
      <c r="C691" s="2">
        <v>0.17708333333333334</v>
      </c>
      <c r="D691">
        <v>2</v>
      </c>
      <c r="E691" t="s">
        <v>5</v>
      </c>
      <c r="F691" t="str">
        <f t="shared" si="13"/>
        <v>Tak</v>
      </c>
    </row>
    <row r="692" spans="1:6" x14ac:dyDescent="0.25">
      <c r="A692">
        <v>724209549</v>
      </c>
      <c r="B692" s="1">
        <v>42919</v>
      </c>
      <c r="C692" s="2">
        <v>0.24513888888888888</v>
      </c>
      <c r="D692">
        <v>6</v>
      </c>
      <c r="E692" t="s">
        <v>5</v>
      </c>
      <c r="F692" t="str">
        <f t="shared" si="13"/>
        <v>Tak</v>
      </c>
    </row>
    <row r="693" spans="1:6" x14ac:dyDescent="0.25">
      <c r="A693">
        <v>815368401</v>
      </c>
      <c r="B693" s="1">
        <v>42919</v>
      </c>
      <c r="C693" s="2">
        <v>0.28611111111111109</v>
      </c>
      <c r="D693">
        <v>6</v>
      </c>
      <c r="E693" t="s">
        <v>3</v>
      </c>
      <c r="F693" t="str">
        <f t="shared" si="13"/>
        <v>Nie</v>
      </c>
    </row>
    <row r="694" spans="1:6" x14ac:dyDescent="0.25">
      <c r="A694">
        <v>967506910</v>
      </c>
      <c r="B694" s="1">
        <v>42919</v>
      </c>
      <c r="C694" s="2">
        <v>0.30277777777777776</v>
      </c>
      <c r="D694">
        <v>2</v>
      </c>
      <c r="E694" t="s">
        <v>3</v>
      </c>
      <c r="F694" t="str">
        <f t="shared" si="13"/>
        <v>Nie</v>
      </c>
    </row>
    <row r="695" spans="1:6" x14ac:dyDescent="0.25">
      <c r="A695">
        <v>452151520</v>
      </c>
      <c r="B695" s="1">
        <v>42919</v>
      </c>
      <c r="C695" s="2">
        <v>0.37708333333333333</v>
      </c>
      <c r="D695">
        <v>6</v>
      </c>
      <c r="E695" t="s">
        <v>4</v>
      </c>
      <c r="F695" t="str">
        <f t="shared" si="13"/>
        <v>Nie</v>
      </c>
    </row>
    <row r="696" spans="1:6" x14ac:dyDescent="0.25">
      <c r="A696">
        <v>604505177</v>
      </c>
      <c r="B696" s="1">
        <v>42919</v>
      </c>
      <c r="C696" s="2">
        <v>0.41319444444444442</v>
      </c>
      <c r="D696">
        <v>1</v>
      </c>
      <c r="E696" t="s">
        <v>4</v>
      </c>
      <c r="F696" t="str">
        <f t="shared" si="13"/>
        <v>Nie</v>
      </c>
    </row>
    <row r="697" spans="1:6" x14ac:dyDescent="0.25">
      <c r="A697">
        <v>437562975</v>
      </c>
      <c r="B697" s="1">
        <v>42919</v>
      </c>
      <c r="C697" s="2">
        <v>0.41944444444444445</v>
      </c>
      <c r="D697">
        <v>1</v>
      </c>
      <c r="E697" t="s">
        <v>4</v>
      </c>
      <c r="F697" t="str">
        <f t="shared" si="13"/>
        <v>Nie</v>
      </c>
    </row>
    <row r="698" spans="1:6" x14ac:dyDescent="0.25">
      <c r="A698">
        <v>665376167</v>
      </c>
      <c r="B698" s="1">
        <v>42919</v>
      </c>
      <c r="C698" s="2">
        <v>0.625</v>
      </c>
      <c r="D698">
        <v>2</v>
      </c>
      <c r="E698" t="s">
        <v>5</v>
      </c>
      <c r="F698" t="str">
        <f t="shared" si="13"/>
        <v>Tak</v>
      </c>
    </row>
    <row r="699" spans="1:6" x14ac:dyDescent="0.25">
      <c r="A699">
        <v>407375712</v>
      </c>
      <c r="B699" s="1">
        <v>42919</v>
      </c>
      <c r="C699" s="2">
        <v>0.70625000000000004</v>
      </c>
      <c r="D699">
        <v>6</v>
      </c>
      <c r="E699" t="s">
        <v>3</v>
      </c>
      <c r="F699" t="str">
        <f t="shared" si="13"/>
        <v>Nie</v>
      </c>
    </row>
    <row r="700" spans="1:6" x14ac:dyDescent="0.25">
      <c r="A700">
        <v>969001769</v>
      </c>
      <c r="B700" s="1">
        <v>42919</v>
      </c>
      <c r="C700" s="2">
        <v>0.7631944444444444</v>
      </c>
      <c r="D700">
        <v>4</v>
      </c>
      <c r="E700" t="s">
        <v>4</v>
      </c>
      <c r="F700" t="str">
        <f t="shared" si="13"/>
        <v>Nie</v>
      </c>
    </row>
    <row r="701" spans="1:6" x14ac:dyDescent="0.25">
      <c r="A701">
        <v>528365223</v>
      </c>
      <c r="B701" s="1">
        <v>42919</v>
      </c>
      <c r="C701" s="2">
        <v>0.76736111111111116</v>
      </c>
      <c r="D701">
        <v>2</v>
      </c>
      <c r="E701" t="s">
        <v>5</v>
      </c>
      <c r="F701" t="str">
        <f t="shared" si="13"/>
        <v>Tak</v>
      </c>
    </row>
    <row r="702" spans="1:6" x14ac:dyDescent="0.25">
      <c r="A702">
        <v>871586869</v>
      </c>
      <c r="B702" s="1">
        <v>42919</v>
      </c>
      <c r="C702" s="2">
        <v>0.76736111111111116</v>
      </c>
      <c r="D702">
        <v>4</v>
      </c>
      <c r="E702" t="s">
        <v>5</v>
      </c>
      <c r="F702" t="str">
        <f t="shared" si="13"/>
        <v>Nie</v>
      </c>
    </row>
    <row r="703" spans="1:6" x14ac:dyDescent="0.25">
      <c r="A703">
        <v>837060230</v>
      </c>
      <c r="B703" s="1">
        <v>42919</v>
      </c>
      <c r="C703" s="2">
        <v>0.7895833333333333</v>
      </c>
      <c r="D703">
        <v>4</v>
      </c>
      <c r="E703" t="s">
        <v>3</v>
      </c>
      <c r="F703" t="str">
        <f t="shared" si="13"/>
        <v>Tak</v>
      </c>
    </row>
    <row r="704" spans="1:6" x14ac:dyDescent="0.25">
      <c r="A704">
        <v>613083593</v>
      </c>
      <c r="B704" s="1">
        <v>42919</v>
      </c>
      <c r="C704" s="2">
        <v>0.84097222222222223</v>
      </c>
      <c r="D704">
        <v>2</v>
      </c>
      <c r="E704" t="s">
        <v>3</v>
      </c>
      <c r="F704" t="str">
        <f t="shared" si="13"/>
        <v>Nie</v>
      </c>
    </row>
    <row r="705" spans="1:6" x14ac:dyDescent="0.25">
      <c r="A705">
        <v>484194933</v>
      </c>
      <c r="B705" s="1">
        <v>42919</v>
      </c>
      <c r="C705" s="2">
        <v>0.89722222222222225</v>
      </c>
      <c r="D705">
        <v>3</v>
      </c>
      <c r="E705" t="s">
        <v>4</v>
      </c>
      <c r="F705" t="str">
        <f t="shared" si="13"/>
        <v>Nie</v>
      </c>
    </row>
    <row r="706" spans="1:6" x14ac:dyDescent="0.25">
      <c r="A706">
        <v>483673327</v>
      </c>
      <c r="B706" s="1">
        <v>42919</v>
      </c>
      <c r="C706" s="2">
        <v>0.99305555555555558</v>
      </c>
      <c r="D706">
        <v>1</v>
      </c>
      <c r="E706" t="s">
        <v>4</v>
      </c>
      <c r="F706" t="str">
        <f t="shared" ref="F706:F769" si="14">IF(E706=VLOOKUP(D706,$M$23:$O$30,2,FALSE),"Tak","Nie")</f>
        <v>Nie</v>
      </c>
    </row>
    <row r="707" spans="1:6" x14ac:dyDescent="0.25">
      <c r="A707">
        <v>921623541</v>
      </c>
      <c r="B707" s="1">
        <v>42920</v>
      </c>
      <c r="C707" s="2">
        <v>2.1527777777777778E-2</v>
      </c>
      <c r="D707">
        <v>2</v>
      </c>
      <c r="E707" t="s">
        <v>4</v>
      </c>
      <c r="F707" t="str">
        <f t="shared" si="14"/>
        <v>Nie</v>
      </c>
    </row>
    <row r="708" spans="1:6" x14ac:dyDescent="0.25">
      <c r="A708">
        <v>573003150</v>
      </c>
      <c r="B708" s="1">
        <v>42920</v>
      </c>
      <c r="C708" s="2">
        <v>5.9722222222222225E-2</v>
      </c>
      <c r="D708">
        <v>5</v>
      </c>
      <c r="E708" t="s">
        <v>4</v>
      </c>
      <c r="F708" t="str">
        <f t="shared" si="14"/>
        <v>Tak</v>
      </c>
    </row>
    <row r="709" spans="1:6" x14ac:dyDescent="0.25">
      <c r="A709">
        <v>759334843</v>
      </c>
      <c r="B709" s="1">
        <v>42920</v>
      </c>
      <c r="C709" s="2">
        <v>7.7777777777777779E-2</v>
      </c>
      <c r="D709">
        <v>1</v>
      </c>
      <c r="E709" t="s">
        <v>5</v>
      </c>
      <c r="F709" t="str">
        <f t="shared" si="14"/>
        <v>Nie</v>
      </c>
    </row>
    <row r="710" spans="1:6" x14ac:dyDescent="0.25">
      <c r="A710">
        <v>441890610</v>
      </c>
      <c r="B710" s="1">
        <v>42920</v>
      </c>
      <c r="C710" s="2">
        <v>0.12916666666666668</v>
      </c>
      <c r="D710">
        <v>6</v>
      </c>
      <c r="E710" t="s">
        <v>3</v>
      </c>
      <c r="F710" t="str">
        <f t="shared" si="14"/>
        <v>Nie</v>
      </c>
    </row>
    <row r="711" spans="1:6" x14ac:dyDescent="0.25">
      <c r="A711">
        <v>450381949</v>
      </c>
      <c r="B711" s="1">
        <v>42920</v>
      </c>
      <c r="C711" s="2">
        <v>0.14374999999999999</v>
      </c>
      <c r="D711">
        <v>3</v>
      </c>
      <c r="E711" t="s">
        <v>4</v>
      </c>
      <c r="F711" t="str">
        <f t="shared" si="14"/>
        <v>Nie</v>
      </c>
    </row>
    <row r="712" spans="1:6" x14ac:dyDescent="0.25">
      <c r="A712">
        <v>959792783</v>
      </c>
      <c r="B712" s="1">
        <v>42920</v>
      </c>
      <c r="C712" s="2">
        <v>0.17152777777777778</v>
      </c>
      <c r="D712">
        <v>2</v>
      </c>
      <c r="E712" t="s">
        <v>4</v>
      </c>
      <c r="F712" t="str">
        <f t="shared" si="14"/>
        <v>Nie</v>
      </c>
    </row>
    <row r="713" spans="1:6" x14ac:dyDescent="0.25">
      <c r="A713">
        <v>584223695</v>
      </c>
      <c r="B713" s="1">
        <v>42920</v>
      </c>
      <c r="C713" s="2">
        <v>0.26527777777777778</v>
      </c>
      <c r="D713">
        <v>4</v>
      </c>
      <c r="E713" t="s">
        <v>5</v>
      </c>
      <c r="F713" t="str">
        <f t="shared" si="14"/>
        <v>Nie</v>
      </c>
    </row>
    <row r="714" spans="1:6" x14ac:dyDescent="0.25">
      <c r="A714">
        <v>889842337</v>
      </c>
      <c r="B714" s="1">
        <v>42920</v>
      </c>
      <c r="C714" s="2">
        <v>0.34930555555555554</v>
      </c>
      <c r="D714">
        <v>6</v>
      </c>
      <c r="E714" t="s">
        <v>5</v>
      </c>
      <c r="F714" t="str">
        <f t="shared" si="14"/>
        <v>Tak</v>
      </c>
    </row>
    <row r="715" spans="1:6" x14ac:dyDescent="0.25">
      <c r="A715">
        <v>558899851</v>
      </c>
      <c r="B715" s="1">
        <v>42920</v>
      </c>
      <c r="C715" s="2">
        <v>0.37083333333333335</v>
      </c>
      <c r="D715">
        <v>2</v>
      </c>
      <c r="E715" t="s">
        <v>3</v>
      </c>
      <c r="F715" t="str">
        <f t="shared" si="14"/>
        <v>Nie</v>
      </c>
    </row>
    <row r="716" spans="1:6" x14ac:dyDescent="0.25">
      <c r="A716">
        <v>782286417</v>
      </c>
      <c r="B716" s="1">
        <v>42920</v>
      </c>
      <c r="C716" s="2">
        <v>0.41458333333333336</v>
      </c>
      <c r="D716">
        <v>5</v>
      </c>
      <c r="E716" t="s">
        <v>3</v>
      </c>
      <c r="F716" t="str">
        <f t="shared" si="14"/>
        <v>Nie</v>
      </c>
    </row>
    <row r="717" spans="1:6" x14ac:dyDescent="0.25">
      <c r="A717">
        <v>554264262</v>
      </c>
      <c r="B717" s="1">
        <v>42920</v>
      </c>
      <c r="C717" s="2">
        <v>0.51041666666666663</v>
      </c>
      <c r="D717">
        <v>2</v>
      </c>
      <c r="E717" t="s">
        <v>4</v>
      </c>
      <c r="F717" t="str">
        <f t="shared" si="14"/>
        <v>Nie</v>
      </c>
    </row>
    <row r="718" spans="1:6" x14ac:dyDescent="0.25">
      <c r="A718">
        <v>431790392</v>
      </c>
      <c r="B718" s="1">
        <v>42920</v>
      </c>
      <c r="C718" s="2">
        <v>0.53819444444444442</v>
      </c>
      <c r="D718">
        <v>2</v>
      </c>
      <c r="E718" t="s">
        <v>4</v>
      </c>
      <c r="F718" t="str">
        <f t="shared" si="14"/>
        <v>Nie</v>
      </c>
    </row>
    <row r="719" spans="1:6" x14ac:dyDescent="0.25">
      <c r="A719">
        <v>870257220</v>
      </c>
      <c r="B719" s="1">
        <v>42920</v>
      </c>
      <c r="C719" s="2">
        <v>0.625</v>
      </c>
      <c r="D719">
        <v>1</v>
      </c>
      <c r="E719" t="s">
        <v>5</v>
      </c>
      <c r="F719" t="str">
        <f t="shared" si="14"/>
        <v>Nie</v>
      </c>
    </row>
    <row r="720" spans="1:6" x14ac:dyDescent="0.25">
      <c r="A720">
        <v>985026273</v>
      </c>
      <c r="B720" s="1">
        <v>42920</v>
      </c>
      <c r="C720" s="2">
        <v>0.62569444444444444</v>
      </c>
      <c r="D720">
        <v>4</v>
      </c>
      <c r="E720" t="s">
        <v>4</v>
      </c>
      <c r="F720" t="str">
        <f t="shared" si="14"/>
        <v>Nie</v>
      </c>
    </row>
    <row r="721" spans="1:6" x14ac:dyDescent="0.25">
      <c r="A721">
        <v>667405126</v>
      </c>
      <c r="B721" s="1">
        <v>42920</v>
      </c>
      <c r="C721" s="2">
        <v>0.65138888888888891</v>
      </c>
      <c r="D721">
        <v>6</v>
      </c>
      <c r="E721" t="s">
        <v>3</v>
      </c>
      <c r="F721" t="str">
        <f t="shared" si="14"/>
        <v>Nie</v>
      </c>
    </row>
    <row r="722" spans="1:6" x14ac:dyDescent="0.25">
      <c r="A722">
        <v>928432010</v>
      </c>
      <c r="B722" s="1">
        <v>42920</v>
      </c>
      <c r="C722" s="2">
        <v>0.65763888888888888</v>
      </c>
      <c r="D722">
        <v>6</v>
      </c>
      <c r="E722" t="s">
        <v>4</v>
      </c>
      <c r="F722" t="str">
        <f t="shared" si="14"/>
        <v>Nie</v>
      </c>
    </row>
    <row r="723" spans="1:6" x14ac:dyDescent="0.25">
      <c r="A723">
        <v>857923196</v>
      </c>
      <c r="B723" s="1">
        <v>42920</v>
      </c>
      <c r="C723" s="2">
        <v>0.67638888888888893</v>
      </c>
      <c r="D723">
        <v>4</v>
      </c>
      <c r="E723" t="s">
        <v>5</v>
      </c>
      <c r="F723" t="str">
        <f t="shared" si="14"/>
        <v>Nie</v>
      </c>
    </row>
    <row r="724" spans="1:6" x14ac:dyDescent="0.25">
      <c r="A724">
        <v>577117328</v>
      </c>
      <c r="B724" s="1">
        <v>42920</v>
      </c>
      <c r="C724" s="2">
        <v>0.74583333333333335</v>
      </c>
      <c r="D724">
        <v>2</v>
      </c>
      <c r="E724" t="s">
        <v>5</v>
      </c>
      <c r="F724" t="str">
        <f t="shared" si="14"/>
        <v>Tak</v>
      </c>
    </row>
    <row r="725" spans="1:6" x14ac:dyDescent="0.25">
      <c r="A725">
        <v>714213082</v>
      </c>
      <c r="B725" s="1">
        <v>42920</v>
      </c>
      <c r="C725" s="2">
        <v>0.80972222222222223</v>
      </c>
      <c r="D725">
        <v>4</v>
      </c>
      <c r="E725" t="s">
        <v>3</v>
      </c>
      <c r="F725" t="str">
        <f t="shared" si="14"/>
        <v>Tak</v>
      </c>
    </row>
    <row r="726" spans="1:6" x14ac:dyDescent="0.25">
      <c r="A726">
        <v>757347923</v>
      </c>
      <c r="B726" s="1">
        <v>42920</v>
      </c>
      <c r="C726" s="2">
        <v>0.82638888888888884</v>
      </c>
      <c r="D726">
        <v>3</v>
      </c>
      <c r="E726" t="s">
        <v>3</v>
      </c>
      <c r="F726" t="str">
        <f t="shared" si="14"/>
        <v>Nie</v>
      </c>
    </row>
    <row r="727" spans="1:6" x14ac:dyDescent="0.25">
      <c r="A727">
        <v>955404635</v>
      </c>
      <c r="B727" s="1">
        <v>42920</v>
      </c>
      <c r="C727" s="2">
        <v>0.86805555555555558</v>
      </c>
      <c r="D727">
        <v>2</v>
      </c>
      <c r="E727" t="s">
        <v>4</v>
      </c>
      <c r="F727" t="str">
        <f t="shared" si="14"/>
        <v>Nie</v>
      </c>
    </row>
    <row r="728" spans="1:6" x14ac:dyDescent="0.25">
      <c r="A728">
        <v>967088504</v>
      </c>
      <c r="B728" s="1">
        <v>42920</v>
      </c>
      <c r="C728" s="2">
        <v>0.95347222222222228</v>
      </c>
      <c r="D728">
        <v>6</v>
      </c>
      <c r="E728" t="s">
        <v>4</v>
      </c>
      <c r="F728" t="str">
        <f t="shared" si="14"/>
        <v>Nie</v>
      </c>
    </row>
    <row r="729" spans="1:6" x14ac:dyDescent="0.25">
      <c r="A729">
        <v>703114883</v>
      </c>
      <c r="B729" s="1">
        <v>42921</v>
      </c>
      <c r="C729" s="2">
        <v>2.2222222222222223E-2</v>
      </c>
      <c r="D729">
        <v>2</v>
      </c>
      <c r="E729" t="s">
        <v>4</v>
      </c>
      <c r="F729" t="str">
        <f t="shared" si="14"/>
        <v>Nie</v>
      </c>
    </row>
    <row r="730" spans="1:6" x14ac:dyDescent="0.25">
      <c r="A730">
        <v>948726368</v>
      </c>
      <c r="B730" s="1">
        <v>42921</v>
      </c>
      <c r="C730" s="2">
        <v>2.4305555555555556E-2</v>
      </c>
      <c r="D730">
        <v>2</v>
      </c>
      <c r="E730" t="s">
        <v>4</v>
      </c>
      <c r="F730" t="str">
        <f t="shared" si="14"/>
        <v>Nie</v>
      </c>
    </row>
    <row r="731" spans="1:6" x14ac:dyDescent="0.25">
      <c r="A731">
        <v>639327484</v>
      </c>
      <c r="B731" s="1">
        <v>42921</v>
      </c>
      <c r="C731" s="2">
        <v>9.3055555555555558E-2</v>
      </c>
      <c r="D731">
        <v>4</v>
      </c>
      <c r="E731" t="s">
        <v>5</v>
      </c>
      <c r="F731" t="str">
        <f t="shared" si="14"/>
        <v>Nie</v>
      </c>
    </row>
    <row r="732" spans="1:6" x14ac:dyDescent="0.25">
      <c r="A732">
        <v>976815268</v>
      </c>
      <c r="B732" s="1">
        <v>42921</v>
      </c>
      <c r="C732" s="2">
        <v>0.18958333333333333</v>
      </c>
      <c r="D732">
        <v>1</v>
      </c>
      <c r="E732" t="s">
        <v>3</v>
      </c>
      <c r="F732" t="str">
        <f t="shared" si="14"/>
        <v>Tak</v>
      </c>
    </row>
    <row r="733" spans="1:6" x14ac:dyDescent="0.25">
      <c r="A733">
        <v>952071267</v>
      </c>
      <c r="B733" s="1">
        <v>42921</v>
      </c>
      <c r="C733" s="2">
        <v>0.25833333333333336</v>
      </c>
      <c r="D733">
        <v>4</v>
      </c>
      <c r="E733" t="s">
        <v>4</v>
      </c>
      <c r="F733" t="str">
        <f t="shared" si="14"/>
        <v>Nie</v>
      </c>
    </row>
    <row r="734" spans="1:6" x14ac:dyDescent="0.25">
      <c r="A734">
        <v>779515891</v>
      </c>
      <c r="B734" s="1">
        <v>42921</v>
      </c>
      <c r="C734" s="2">
        <v>0.35625000000000001</v>
      </c>
      <c r="D734">
        <v>3</v>
      </c>
      <c r="E734" t="s">
        <v>4</v>
      </c>
      <c r="F734" t="str">
        <f t="shared" si="14"/>
        <v>Nie</v>
      </c>
    </row>
    <row r="735" spans="1:6" x14ac:dyDescent="0.25">
      <c r="A735">
        <v>486166739</v>
      </c>
      <c r="B735" s="1">
        <v>42921</v>
      </c>
      <c r="C735" s="2">
        <v>0.41111111111111109</v>
      </c>
      <c r="D735">
        <v>1</v>
      </c>
      <c r="E735" t="s">
        <v>5</v>
      </c>
      <c r="F735" t="str">
        <f t="shared" si="14"/>
        <v>Nie</v>
      </c>
    </row>
    <row r="736" spans="1:6" x14ac:dyDescent="0.25">
      <c r="A736">
        <v>964177899</v>
      </c>
      <c r="B736" s="1">
        <v>42921</v>
      </c>
      <c r="C736" s="2">
        <v>0.49791666666666667</v>
      </c>
      <c r="D736">
        <v>6</v>
      </c>
      <c r="E736" t="s">
        <v>5</v>
      </c>
      <c r="F736" t="str">
        <f t="shared" si="14"/>
        <v>Tak</v>
      </c>
    </row>
    <row r="737" spans="1:6" x14ac:dyDescent="0.25">
      <c r="A737">
        <v>964475583</v>
      </c>
      <c r="B737" s="1">
        <v>42921</v>
      </c>
      <c r="C737" s="2">
        <v>0.57777777777777772</v>
      </c>
      <c r="D737">
        <v>2</v>
      </c>
      <c r="E737" t="s">
        <v>3</v>
      </c>
      <c r="F737" t="str">
        <f t="shared" si="14"/>
        <v>Nie</v>
      </c>
    </row>
    <row r="738" spans="1:6" x14ac:dyDescent="0.25">
      <c r="A738">
        <v>684636485</v>
      </c>
      <c r="B738" s="1">
        <v>42921</v>
      </c>
      <c r="C738" s="2">
        <v>0.59583333333333333</v>
      </c>
      <c r="D738">
        <v>1</v>
      </c>
      <c r="E738" t="s">
        <v>3</v>
      </c>
      <c r="F738" t="str">
        <f t="shared" si="14"/>
        <v>Tak</v>
      </c>
    </row>
    <row r="739" spans="1:6" x14ac:dyDescent="0.25">
      <c r="A739">
        <v>402081437</v>
      </c>
      <c r="B739" s="1">
        <v>42921</v>
      </c>
      <c r="C739" s="2">
        <v>0.625</v>
      </c>
      <c r="D739">
        <v>4</v>
      </c>
      <c r="E739" t="s">
        <v>5</v>
      </c>
      <c r="F739" t="str">
        <f t="shared" si="14"/>
        <v>Nie</v>
      </c>
    </row>
    <row r="740" spans="1:6" x14ac:dyDescent="0.25">
      <c r="A740">
        <v>624420649</v>
      </c>
      <c r="B740" s="1">
        <v>42921</v>
      </c>
      <c r="C740" s="2">
        <v>0.66597222222222219</v>
      </c>
      <c r="D740">
        <v>3</v>
      </c>
      <c r="E740" t="s">
        <v>4</v>
      </c>
      <c r="F740" t="str">
        <f t="shared" si="14"/>
        <v>Nie</v>
      </c>
    </row>
    <row r="741" spans="1:6" x14ac:dyDescent="0.25">
      <c r="A741">
        <v>918792956</v>
      </c>
      <c r="B741" s="1">
        <v>42921</v>
      </c>
      <c r="C741" s="2">
        <v>0.69236111111111109</v>
      </c>
      <c r="D741">
        <v>5</v>
      </c>
      <c r="E741" t="s">
        <v>4</v>
      </c>
      <c r="F741" t="str">
        <f t="shared" si="14"/>
        <v>Tak</v>
      </c>
    </row>
    <row r="742" spans="1:6" x14ac:dyDescent="0.25">
      <c r="A742">
        <v>802500902</v>
      </c>
      <c r="B742" s="1">
        <v>42921</v>
      </c>
      <c r="C742" s="2">
        <v>0.70972222222222225</v>
      </c>
      <c r="D742">
        <v>4</v>
      </c>
      <c r="E742" t="s">
        <v>3</v>
      </c>
      <c r="F742" t="str">
        <f t="shared" si="14"/>
        <v>Tak</v>
      </c>
    </row>
    <row r="743" spans="1:6" x14ac:dyDescent="0.25">
      <c r="A743">
        <v>403739376</v>
      </c>
      <c r="B743" s="1">
        <v>42921</v>
      </c>
      <c r="C743" s="2">
        <v>0.72222222222222221</v>
      </c>
      <c r="D743">
        <v>4</v>
      </c>
      <c r="E743" t="s">
        <v>4</v>
      </c>
      <c r="F743" t="str">
        <f t="shared" si="14"/>
        <v>Nie</v>
      </c>
    </row>
    <row r="744" spans="1:6" x14ac:dyDescent="0.25">
      <c r="A744">
        <v>676133301</v>
      </c>
      <c r="B744" s="1">
        <v>42921</v>
      </c>
      <c r="C744" s="2">
        <v>0.72291666666666665</v>
      </c>
      <c r="D744">
        <v>1</v>
      </c>
      <c r="E744" t="s">
        <v>4</v>
      </c>
      <c r="F744" t="str">
        <f t="shared" si="14"/>
        <v>Nie</v>
      </c>
    </row>
    <row r="745" spans="1:6" x14ac:dyDescent="0.25">
      <c r="A745">
        <v>777283686</v>
      </c>
      <c r="B745" s="1">
        <v>42921</v>
      </c>
      <c r="C745" s="2">
        <v>0.73611111111111116</v>
      </c>
      <c r="D745">
        <v>6</v>
      </c>
      <c r="E745" t="s">
        <v>5</v>
      </c>
      <c r="F745" t="str">
        <f t="shared" si="14"/>
        <v>Tak</v>
      </c>
    </row>
    <row r="746" spans="1:6" x14ac:dyDescent="0.25">
      <c r="A746">
        <v>884287722</v>
      </c>
      <c r="B746" s="1">
        <v>42921</v>
      </c>
      <c r="C746" s="2">
        <v>0.82777777777777772</v>
      </c>
      <c r="D746">
        <v>2</v>
      </c>
      <c r="E746" t="s">
        <v>5</v>
      </c>
      <c r="F746" t="str">
        <f t="shared" si="14"/>
        <v>Tak</v>
      </c>
    </row>
    <row r="747" spans="1:6" x14ac:dyDescent="0.25">
      <c r="A747">
        <v>680167989</v>
      </c>
      <c r="B747" s="1">
        <v>42921</v>
      </c>
      <c r="C747" s="2">
        <v>0.90416666666666667</v>
      </c>
      <c r="D747">
        <v>1</v>
      </c>
      <c r="E747" t="s">
        <v>3</v>
      </c>
      <c r="F747" t="str">
        <f t="shared" si="14"/>
        <v>Tak</v>
      </c>
    </row>
    <row r="748" spans="1:6" x14ac:dyDescent="0.25">
      <c r="A748">
        <v>885191353</v>
      </c>
      <c r="B748" s="1">
        <v>42921</v>
      </c>
      <c r="C748" s="2">
        <v>0.93541666666666667</v>
      </c>
      <c r="D748">
        <v>1</v>
      </c>
      <c r="E748" t="s">
        <v>3</v>
      </c>
      <c r="F748" t="str">
        <f t="shared" si="14"/>
        <v>Tak</v>
      </c>
    </row>
    <row r="749" spans="1:6" x14ac:dyDescent="0.25">
      <c r="A749">
        <v>692330725</v>
      </c>
      <c r="B749" s="1">
        <v>42922</v>
      </c>
      <c r="C749" s="2">
        <v>3.4722222222222224E-2</v>
      </c>
      <c r="D749">
        <v>5</v>
      </c>
      <c r="E749" t="s">
        <v>4</v>
      </c>
      <c r="F749" t="str">
        <f t="shared" si="14"/>
        <v>Tak</v>
      </c>
    </row>
    <row r="750" spans="1:6" x14ac:dyDescent="0.25">
      <c r="A750">
        <v>936778908</v>
      </c>
      <c r="B750" s="1">
        <v>42922</v>
      </c>
      <c r="C750" s="2">
        <v>0.05</v>
      </c>
      <c r="D750">
        <v>1</v>
      </c>
      <c r="E750" t="s">
        <v>4</v>
      </c>
      <c r="F750" t="str">
        <f t="shared" si="14"/>
        <v>Nie</v>
      </c>
    </row>
    <row r="751" spans="1:6" x14ac:dyDescent="0.25">
      <c r="A751">
        <v>785763426</v>
      </c>
      <c r="B751" s="1">
        <v>42922</v>
      </c>
      <c r="C751" s="2">
        <v>8.6805555555555552E-2</v>
      </c>
      <c r="D751">
        <v>4</v>
      </c>
      <c r="E751" t="s">
        <v>4</v>
      </c>
      <c r="F751" t="str">
        <f t="shared" si="14"/>
        <v>Nie</v>
      </c>
    </row>
    <row r="752" spans="1:6" x14ac:dyDescent="0.25">
      <c r="A752">
        <v>838731679</v>
      </c>
      <c r="B752" s="1">
        <v>42922</v>
      </c>
      <c r="C752" s="2">
        <v>8.9583333333333334E-2</v>
      </c>
      <c r="D752">
        <v>2</v>
      </c>
      <c r="E752" t="s">
        <v>4</v>
      </c>
      <c r="F752" t="str">
        <f t="shared" si="14"/>
        <v>Nie</v>
      </c>
    </row>
    <row r="753" spans="1:6" x14ac:dyDescent="0.25">
      <c r="A753">
        <v>722848195</v>
      </c>
      <c r="B753" s="1">
        <v>42922</v>
      </c>
      <c r="C753" s="2">
        <v>0.11319444444444444</v>
      </c>
      <c r="D753">
        <v>6</v>
      </c>
      <c r="E753" t="s">
        <v>5</v>
      </c>
      <c r="F753" t="str">
        <f t="shared" si="14"/>
        <v>Tak</v>
      </c>
    </row>
    <row r="754" spans="1:6" x14ac:dyDescent="0.25">
      <c r="A754">
        <v>940730927</v>
      </c>
      <c r="B754" s="1">
        <v>42922</v>
      </c>
      <c r="C754" s="2">
        <v>0.16250000000000001</v>
      </c>
      <c r="D754">
        <v>5</v>
      </c>
      <c r="E754" t="s">
        <v>3</v>
      </c>
      <c r="F754" t="str">
        <f t="shared" si="14"/>
        <v>Nie</v>
      </c>
    </row>
    <row r="755" spans="1:6" x14ac:dyDescent="0.25">
      <c r="A755">
        <v>752305012</v>
      </c>
      <c r="B755" s="1">
        <v>42922</v>
      </c>
      <c r="C755" s="2">
        <v>0.23680555555555555</v>
      </c>
      <c r="D755">
        <v>6</v>
      </c>
      <c r="E755" t="s">
        <v>4</v>
      </c>
      <c r="F755" t="str">
        <f t="shared" si="14"/>
        <v>Nie</v>
      </c>
    </row>
    <row r="756" spans="1:6" x14ac:dyDescent="0.25">
      <c r="A756">
        <v>448316550</v>
      </c>
      <c r="B756" s="1">
        <v>42922</v>
      </c>
      <c r="C756" s="2">
        <v>0.23749999999999999</v>
      </c>
      <c r="D756">
        <v>2</v>
      </c>
      <c r="E756" t="s">
        <v>4</v>
      </c>
      <c r="F756" t="str">
        <f t="shared" si="14"/>
        <v>Nie</v>
      </c>
    </row>
    <row r="757" spans="1:6" x14ac:dyDescent="0.25">
      <c r="A757">
        <v>510704630</v>
      </c>
      <c r="B757" s="1">
        <v>42922</v>
      </c>
      <c r="C757" s="2">
        <v>0.32777777777777778</v>
      </c>
      <c r="D757">
        <v>2</v>
      </c>
      <c r="E757" t="s">
        <v>5</v>
      </c>
      <c r="F757" t="str">
        <f t="shared" si="14"/>
        <v>Tak</v>
      </c>
    </row>
    <row r="758" spans="1:6" x14ac:dyDescent="0.25">
      <c r="A758">
        <v>481430251</v>
      </c>
      <c r="B758" s="1">
        <v>42922</v>
      </c>
      <c r="C758" s="2">
        <v>0.35</v>
      </c>
      <c r="D758">
        <v>3</v>
      </c>
      <c r="E758" t="s">
        <v>5</v>
      </c>
      <c r="F758" t="str">
        <f t="shared" si="14"/>
        <v>Tak</v>
      </c>
    </row>
    <row r="759" spans="1:6" x14ac:dyDescent="0.25">
      <c r="A759">
        <v>722696220</v>
      </c>
      <c r="B759" s="1">
        <v>42922</v>
      </c>
      <c r="C759" s="2">
        <v>0.40069444444444446</v>
      </c>
      <c r="D759">
        <v>6</v>
      </c>
      <c r="E759" t="s">
        <v>3</v>
      </c>
      <c r="F759" t="str">
        <f t="shared" si="14"/>
        <v>Nie</v>
      </c>
    </row>
    <row r="760" spans="1:6" x14ac:dyDescent="0.25">
      <c r="A760">
        <v>754089438</v>
      </c>
      <c r="B760" s="1">
        <v>42922</v>
      </c>
      <c r="C760" s="2">
        <v>0.47013888888888888</v>
      </c>
      <c r="D760">
        <v>3</v>
      </c>
      <c r="E760" t="s">
        <v>3</v>
      </c>
      <c r="F760" t="str">
        <f t="shared" si="14"/>
        <v>Nie</v>
      </c>
    </row>
    <row r="761" spans="1:6" x14ac:dyDescent="0.25">
      <c r="A761">
        <v>410702289</v>
      </c>
      <c r="B761" s="1">
        <v>42922</v>
      </c>
      <c r="C761" s="2">
        <v>0.55972222222222223</v>
      </c>
      <c r="D761">
        <v>6</v>
      </c>
      <c r="E761" t="s">
        <v>4</v>
      </c>
      <c r="F761" t="str">
        <f t="shared" si="14"/>
        <v>Nie</v>
      </c>
    </row>
    <row r="762" spans="1:6" x14ac:dyDescent="0.25">
      <c r="A762">
        <v>503637303</v>
      </c>
      <c r="B762" s="1">
        <v>42922</v>
      </c>
      <c r="C762" s="2">
        <v>0.61944444444444446</v>
      </c>
      <c r="D762">
        <v>3</v>
      </c>
      <c r="E762" t="s">
        <v>4</v>
      </c>
      <c r="F762" t="str">
        <f t="shared" si="14"/>
        <v>Nie</v>
      </c>
    </row>
    <row r="763" spans="1:6" x14ac:dyDescent="0.25">
      <c r="A763">
        <v>740533036</v>
      </c>
      <c r="B763" s="1">
        <v>42922</v>
      </c>
      <c r="C763" s="2">
        <v>0.625</v>
      </c>
      <c r="D763">
        <v>3</v>
      </c>
      <c r="E763" t="s">
        <v>5</v>
      </c>
      <c r="F763" t="str">
        <f t="shared" si="14"/>
        <v>Tak</v>
      </c>
    </row>
    <row r="764" spans="1:6" x14ac:dyDescent="0.25">
      <c r="A764">
        <v>406093061</v>
      </c>
      <c r="B764" s="1">
        <v>42922</v>
      </c>
      <c r="C764" s="2">
        <v>0.66249999999999998</v>
      </c>
      <c r="D764">
        <v>5</v>
      </c>
      <c r="E764" t="s">
        <v>4</v>
      </c>
      <c r="F764" t="str">
        <f t="shared" si="14"/>
        <v>Tak</v>
      </c>
    </row>
    <row r="765" spans="1:6" x14ac:dyDescent="0.25">
      <c r="A765">
        <v>663962293</v>
      </c>
      <c r="B765" s="1">
        <v>42922</v>
      </c>
      <c r="C765" s="2">
        <v>0.71250000000000002</v>
      </c>
      <c r="D765">
        <v>5</v>
      </c>
      <c r="E765" t="s">
        <v>3</v>
      </c>
      <c r="F765" t="str">
        <f t="shared" si="14"/>
        <v>Nie</v>
      </c>
    </row>
    <row r="766" spans="1:6" x14ac:dyDescent="0.25">
      <c r="A766">
        <v>879514402</v>
      </c>
      <c r="B766" s="1">
        <v>42922</v>
      </c>
      <c r="C766" s="2">
        <v>0.73402777777777772</v>
      </c>
      <c r="D766">
        <v>6</v>
      </c>
      <c r="E766" t="s">
        <v>4</v>
      </c>
      <c r="F766" t="str">
        <f t="shared" si="14"/>
        <v>Nie</v>
      </c>
    </row>
    <row r="767" spans="1:6" x14ac:dyDescent="0.25">
      <c r="A767">
        <v>678341309</v>
      </c>
      <c r="B767" s="1">
        <v>42922</v>
      </c>
      <c r="C767" s="2">
        <v>0.81944444444444442</v>
      </c>
      <c r="D767">
        <v>2</v>
      </c>
      <c r="E767" t="s">
        <v>5</v>
      </c>
      <c r="F767" t="str">
        <f t="shared" si="14"/>
        <v>Tak</v>
      </c>
    </row>
    <row r="768" spans="1:6" x14ac:dyDescent="0.25">
      <c r="A768">
        <v>959666119</v>
      </c>
      <c r="B768" s="1">
        <v>42922</v>
      </c>
      <c r="C768" s="2">
        <v>0.90416666666666667</v>
      </c>
      <c r="D768">
        <v>2</v>
      </c>
      <c r="E768" t="s">
        <v>5</v>
      </c>
      <c r="F768" t="str">
        <f t="shared" si="14"/>
        <v>Tak</v>
      </c>
    </row>
    <row r="769" spans="1:6" x14ac:dyDescent="0.25">
      <c r="A769">
        <v>707136114</v>
      </c>
      <c r="B769" s="1">
        <v>42922</v>
      </c>
      <c r="C769" s="2">
        <v>0.94861111111111107</v>
      </c>
      <c r="D769">
        <v>4</v>
      </c>
      <c r="E769" t="s">
        <v>3</v>
      </c>
      <c r="F769" t="str">
        <f t="shared" si="14"/>
        <v>Tak</v>
      </c>
    </row>
    <row r="770" spans="1:6" x14ac:dyDescent="0.25">
      <c r="A770">
        <v>546350412</v>
      </c>
      <c r="B770" s="1">
        <v>42922</v>
      </c>
      <c r="C770" s="2">
        <v>0.95694444444444449</v>
      </c>
      <c r="D770">
        <v>3</v>
      </c>
      <c r="E770" t="s">
        <v>3</v>
      </c>
      <c r="F770" t="str">
        <f t="shared" ref="F770:F833" si="15">IF(E770=VLOOKUP(D770,$M$23:$O$30,2,FALSE),"Tak","Nie")</f>
        <v>Nie</v>
      </c>
    </row>
    <row r="771" spans="1:6" x14ac:dyDescent="0.25">
      <c r="A771">
        <v>473566044</v>
      </c>
      <c r="B771" s="1">
        <v>42922</v>
      </c>
      <c r="C771" s="2">
        <v>0.96666666666666667</v>
      </c>
      <c r="D771">
        <v>2</v>
      </c>
      <c r="E771" t="s">
        <v>4</v>
      </c>
      <c r="F771" t="str">
        <f t="shared" si="15"/>
        <v>Nie</v>
      </c>
    </row>
    <row r="772" spans="1:6" x14ac:dyDescent="0.25">
      <c r="A772">
        <v>401385613</v>
      </c>
      <c r="B772" s="1">
        <v>42923</v>
      </c>
      <c r="C772" s="2">
        <v>5.6944444444444443E-2</v>
      </c>
      <c r="D772">
        <v>2</v>
      </c>
      <c r="E772" t="s">
        <v>4</v>
      </c>
      <c r="F772" t="str">
        <f t="shared" si="15"/>
        <v>Nie</v>
      </c>
    </row>
    <row r="773" spans="1:6" x14ac:dyDescent="0.25">
      <c r="A773">
        <v>440269425</v>
      </c>
      <c r="B773" s="1">
        <v>42923</v>
      </c>
      <c r="C773" s="2">
        <v>0.10069444444444445</v>
      </c>
      <c r="D773">
        <v>1</v>
      </c>
      <c r="E773" t="s">
        <v>4</v>
      </c>
      <c r="F773" t="str">
        <f t="shared" si="15"/>
        <v>Nie</v>
      </c>
    </row>
    <row r="774" spans="1:6" x14ac:dyDescent="0.25">
      <c r="A774">
        <v>852352764</v>
      </c>
      <c r="B774" s="1">
        <v>42923</v>
      </c>
      <c r="C774" s="2">
        <v>0.1986111111111111</v>
      </c>
      <c r="D774">
        <v>5</v>
      </c>
      <c r="E774" t="s">
        <v>4</v>
      </c>
      <c r="F774" t="str">
        <f t="shared" si="15"/>
        <v>Tak</v>
      </c>
    </row>
    <row r="775" spans="1:6" x14ac:dyDescent="0.25">
      <c r="A775">
        <v>719219289</v>
      </c>
      <c r="B775" s="1">
        <v>42923</v>
      </c>
      <c r="C775" s="2">
        <v>0.22430555555555556</v>
      </c>
      <c r="D775">
        <v>6</v>
      </c>
      <c r="E775" t="s">
        <v>5</v>
      </c>
      <c r="F775" t="str">
        <f t="shared" si="15"/>
        <v>Tak</v>
      </c>
    </row>
    <row r="776" spans="1:6" x14ac:dyDescent="0.25">
      <c r="A776">
        <v>556071548</v>
      </c>
      <c r="B776" s="1">
        <v>42923</v>
      </c>
      <c r="C776" s="2">
        <v>0.28402777777777777</v>
      </c>
      <c r="D776">
        <v>2</v>
      </c>
      <c r="E776" t="s">
        <v>3</v>
      </c>
      <c r="F776" t="str">
        <f t="shared" si="15"/>
        <v>Nie</v>
      </c>
    </row>
    <row r="777" spans="1:6" x14ac:dyDescent="0.25">
      <c r="A777">
        <v>948248301</v>
      </c>
      <c r="B777" s="1">
        <v>42923</v>
      </c>
      <c r="C777" s="2">
        <v>0.33541666666666664</v>
      </c>
      <c r="D777">
        <v>3</v>
      </c>
      <c r="E777" t="s">
        <v>4</v>
      </c>
      <c r="F777" t="str">
        <f t="shared" si="15"/>
        <v>Nie</v>
      </c>
    </row>
    <row r="778" spans="1:6" x14ac:dyDescent="0.25">
      <c r="A778">
        <v>945555554</v>
      </c>
      <c r="B778" s="1">
        <v>42923</v>
      </c>
      <c r="C778" s="2">
        <v>0.38680555555555557</v>
      </c>
      <c r="D778">
        <v>1</v>
      </c>
      <c r="E778" t="s">
        <v>4</v>
      </c>
      <c r="F778" t="str">
        <f t="shared" si="15"/>
        <v>Nie</v>
      </c>
    </row>
    <row r="779" spans="1:6" x14ac:dyDescent="0.25">
      <c r="A779">
        <v>738170636</v>
      </c>
      <c r="B779" s="1">
        <v>42923</v>
      </c>
      <c r="C779" s="2">
        <v>0.42152777777777778</v>
      </c>
      <c r="D779">
        <v>4</v>
      </c>
      <c r="E779" t="s">
        <v>5</v>
      </c>
      <c r="F779" t="str">
        <f t="shared" si="15"/>
        <v>Nie</v>
      </c>
    </row>
    <row r="780" spans="1:6" x14ac:dyDescent="0.25">
      <c r="A780">
        <v>436940855</v>
      </c>
      <c r="B780" s="1">
        <v>42923</v>
      </c>
      <c r="C780" s="2">
        <v>0.45347222222222222</v>
      </c>
      <c r="D780">
        <v>2</v>
      </c>
      <c r="E780" t="s">
        <v>5</v>
      </c>
      <c r="F780" t="str">
        <f t="shared" si="15"/>
        <v>Tak</v>
      </c>
    </row>
    <row r="781" spans="1:6" x14ac:dyDescent="0.25">
      <c r="A781">
        <v>907231949</v>
      </c>
      <c r="B781" s="1">
        <v>42923</v>
      </c>
      <c r="C781" s="2">
        <v>0.48680555555555555</v>
      </c>
      <c r="D781">
        <v>4</v>
      </c>
      <c r="E781" t="s">
        <v>3</v>
      </c>
      <c r="F781" t="str">
        <f t="shared" si="15"/>
        <v>Tak</v>
      </c>
    </row>
    <row r="782" spans="1:6" x14ac:dyDescent="0.25">
      <c r="A782">
        <v>428292618</v>
      </c>
      <c r="B782" s="1">
        <v>42923</v>
      </c>
      <c r="C782" s="2">
        <v>0.50069444444444444</v>
      </c>
      <c r="D782">
        <v>5</v>
      </c>
      <c r="E782" t="s">
        <v>3</v>
      </c>
      <c r="F782" t="str">
        <f t="shared" si="15"/>
        <v>Nie</v>
      </c>
    </row>
    <row r="783" spans="1:6" x14ac:dyDescent="0.25">
      <c r="A783">
        <v>706362419</v>
      </c>
      <c r="B783" s="1">
        <v>42923</v>
      </c>
      <c r="C783" s="2">
        <v>0.55625000000000002</v>
      </c>
      <c r="D783">
        <v>5</v>
      </c>
      <c r="E783" t="s">
        <v>4</v>
      </c>
      <c r="F783" t="str">
        <f t="shared" si="15"/>
        <v>Tak</v>
      </c>
    </row>
    <row r="784" spans="1:6" x14ac:dyDescent="0.25">
      <c r="A784">
        <v>797525432</v>
      </c>
      <c r="B784" s="1">
        <v>42923</v>
      </c>
      <c r="C784" s="2">
        <v>0.56041666666666667</v>
      </c>
      <c r="D784">
        <v>4</v>
      </c>
      <c r="E784" t="s">
        <v>4</v>
      </c>
      <c r="F784" t="str">
        <f t="shared" si="15"/>
        <v>Nie</v>
      </c>
    </row>
    <row r="785" spans="1:6" x14ac:dyDescent="0.25">
      <c r="A785">
        <v>804654929</v>
      </c>
      <c r="B785" s="1">
        <v>42923</v>
      </c>
      <c r="C785" s="2">
        <v>0.625</v>
      </c>
      <c r="D785">
        <v>6</v>
      </c>
      <c r="E785" t="s">
        <v>5</v>
      </c>
      <c r="F785" t="str">
        <f t="shared" si="15"/>
        <v>Tak</v>
      </c>
    </row>
    <row r="786" spans="1:6" x14ac:dyDescent="0.25">
      <c r="A786">
        <v>753447142</v>
      </c>
      <c r="B786" s="1">
        <v>42923</v>
      </c>
      <c r="C786" s="2">
        <v>0.63055555555555554</v>
      </c>
      <c r="D786">
        <v>4</v>
      </c>
      <c r="E786" t="s">
        <v>3</v>
      </c>
      <c r="F786" t="str">
        <f t="shared" si="15"/>
        <v>Tak</v>
      </c>
    </row>
    <row r="787" spans="1:6" x14ac:dyDescent="0.25">
      <c r="A787">
        <v>413380558</v>
      </c>
      <c r="B787" s="1">
        <v>42923</v>
      </c>
      <c r="C787" s="2">
        <v>0.64513888888888893</v>
      </c>
      <c r="D787">
        <v>6</v>
      </c>
      <c r="E787" t="s">
        <v>4</v>
      </c>
      <c r="F787" t="str">
        <f t="shared" si="15"/>
        <v>Nie</v>
      </c>
    </row>
    <row r="788" spans="1:6" x14ac:dyDescent="0.25">
      <c r="A788">
        <v>451047175</v>
      </c>
      <c r="B788" s="1">
        <v>42923</v>
      </c>
      <c r="C788" s="2">
        <v>0.64722222222222225</v>
      </c>
      <c r="D788">
        <v>1</v>
      </c>
      <c r="E788" t="s">
        <v>4</v>
      </c>
      <c r="F788" t="str">
        <f t="shared" si="15"/>
        <v>Nie</v>
      </c>
    </row>
    <row r="789" spans="1:6" x14ac:dyDescent="0.25">
      <c r="A789">
        <v>487641052</v>
      </c>
      <c r="B789" s="1">
        <v>42923</v>
      </c>
      <c r="C789" s="2">
        <v>0.70208333333333328</v>
      </c>
      <c r="D789">
        <v>3</v>
      </c>
      <c r="E789" t="s">
        <v>5</v>
      </c>
      <c r="F789" t="str">
        <f t="shared" si="15"/>
        <v>Tak</v>
      </c>
    </row>
    <row r="790" spans="1:6" x14ac:dyDescent="0.25">
      <c r="A790">
        <v>704472939</v>
      </c>
      <c r="B790" s="1">
        <v>42923</v>
      </c>
      <c r="C790" s="2">
        <v>0.73819444444444449</v>
      </c>
      <c r="D790">
        <v>2</v>
      </c>
      <c r="E790" t="s">
        <v>5</v>
      </c>
      <c r="F790" t="str">
        <f t="shared" si="15"/>
        <v>Tak</v>
      </c>
    </row>
    <row r="791" spans="1:6" x14ac:dyDescent="0.25">
      <c r="A791">
        <v>703980544</v>
      </c>
      <c r="B791" s="1">
        <v>42923</v>
      </c>
      <c r="C791" s="2">
        <v>0.82916666666666672</v>
      </c>
      <c r="D791">
        <v>6</v>
      </c>
      <c r="E791" t="s">
        <v>3</v>
      </c>
      <c r="F791" t="str">
        <f t="shared" si="15"/>
        <v>Nie</v>
      </c>
    </row>
    <row r="792" spans="1:6" x14ac:dyDescent="0.25">
      <c r="A792">
        <v>714745294</v>
      </c>
      <c r="B792" s="1">
        <v>42923</v>
      </c>
      <c r="C792" s="2">
        <v>0.88611111111111107</v>
      </c>
      <c r="D792">
        <v>6</v>
      </c>
      <c r="E792" t="s">
        <v>3</v>
      </c>
      <c r="F792" t="str">
        <f t="shared" si="15"/>
        <v>Nie</v>
      </c>
    </row>
    <row r="793" spans="1:6" x14ac:dyDescent="0.25">
      <c r="A793">
        <v>475377373</v>
      </c>
      <c r="B793" s="1">
        <v>42923</v>
      </c>
      <c r="C793" s="2">
        <v>0.98124999999999996</v>
      </c>
      <c r="D793">
        <v>4</v>
      </c>
      <c r="E793" t="s">
        <v>4</v>
      </c>
      <c r="F793" t="str">
        <f t="shared" si="15"/>
        <v>Nie</v>
      </c>
    </row>
    <row r="794" spans="1:6" x14ac:dyDescent="0.25">
      <c r="A794">
        <v>688787331</v>
      </c>
      <c r="B794" s="1">
        <v>42923</v>
      </c>
      <c r="C794" s="2">
        <v>0.9819444444444444</v>
      </c>
      <c r="D794">
        <v>2</v>
      </c>
      <c r="E794" t="s">
        <v>4</v>
      </c>
      <c r="F794" t="str">
        <f t="shared" si="15"/>
        <v>Nie</v>
      </c>
    </row>
    <row r="795" spans="1:6" x14ac:dyDescent="0.25">
      <c r="A795">
        <v>899424191</v>
      </c>
      <c r="B795" s="1">
        <v>42924</v>
      </c>
      <c r="C795" s="2">
        <v>5.486111111111111E-2</v>
      </c>
      <c r="D795">
        <v>4</v>
      </c>
      <c r="E795" t="s">
        <v>4</v>
      </c>
      <c r="F795" t="str">
        <f t="shared" si="15"/>
        <v>Nie</v>
      </c>
    </row>
    <row r="796" spans="1:6" x14ac:dyDescent="0.25">
      <c r="A796">
        <v>959876497</v>
      </c>
      <c r="B796" s="1">
        <v>42924</v>
      </c>
      <c r="C796" s="2">
        <v>8.3333333333333329E-2</v>
      </c>
      <c r="D796">
        <v>2</v>
      </c>
      <c r="E796" t="s">
        <v>4</v>
      </c>
      <c r="F796" t="str">
        <f t="shared" si="15"/>
        <v>Nie</v>
      </c>
    </row>
    <row r="797" spans="1:6" x14ac:dyDescent="0.25">
      <c r="A797">
        <v>455618789</v>
      </c>
      <c r="B797" s="1">
        <v>42924</v>
      </c>
      <c r="C797" s="2">
        <v>0.14861111111111111</v>
      </c>
      <c r="D797">
        <v>1</v>
      </c>
      <c r="E797" t="s">
        <v>5</v>
      </c>
      <c r="F797" t="str">
        <f t="shared" si="15"/>
        <v>Nie</v>
      </c>
    </row>
    <row r="798" spans="1:6" x14ac:dyDescent="0.25">
      <c r="A798">
        <v>495748338</v>
      </c>
      <c r="B798" s="1">
        <v>42924</v>
      </c>
      <c r="C798" s="2">
        <v>0.16388888888888889</v>
      </c>
      <c r="D798">
        <v>4</v>
      </c>
      <c r="E798" t="s">
        <v>3</v>
      </c>
      <c r="F798" t="str">
        <f t="shared" si="15"/>
        <v>Tak</v>
      </c>
    </row>
    <row r="799" spans="1:6" x14ac:dyDescent="0.25">
      <c r="A799">
        <v>655369242</v>
      </c>
      <c r="B799" s="1">
        <v>42924</v>
      </c>
      <c r="C799" s="2">
        <v>0.22777777777777777</v>
      </c>
      <c r="D799">
        <v>4</v>
      </c>
      <c r="E799" t="s">
        <v>4</v>
      </c>
      <c r="F799" t="str">
        <f t="shared" si="15"/>
        <v>Nie</v>
      </c>
    </row>
    <row r="800" spans="1:6" x14ac:dyDescent="0.25">
      <c r="A800">
        <v>899909864</v>
      </c>
      <c r="B800" s="1">
        <v>42924</v>
      </c>
      <c r="C800" s="2">
        <v>0.2902777777777778</v>
      </c>
      <c r="D800">
        <v>3</v>
      </c>
      <c r="E800" t="s">
        <v>4</v>
      </c>
      <c r="F800" t="str">
        <f t="shared" si="15"/>
        <v>Nie</v>
      </c>
    </row>
    <row r="801" spans="1:6" x14ac:dyDescent="0.25">
      <c r="A801">
        <v>458828008</v>
      </c>
      <c r="B801" s="1">
        <v>42924</v>
      </c>
      <c r="C801" s="2">
        <v>0.32500000000000001</v>
      </c>
      <c r="D801">
        <v>5</v>
      </c>
      <c r="E801" t="s">
        <v>5</v>
      </c>
      <c r="F801" t="str">
        <f t="shared" si="15"/>
        <v>Nie</v>
      </c>
    </row>
    <row r="802" spans="1:6" x14ac:dyDescent="0.25">
      <c r="A802">
        <v>676127727</v>
      </c>
      <c r="B802" s="1">
        <v>42924</v>
      </c>
      <c r="C802" s="2">
        <v>0.37152777777777779</v>
      </c>
      <c r="D802">
        <v>4</v>
      </c>
      <c r="E802" t="s">
        <v>5</v>
      </c>
      <c r="F802" t="str">
        <f t="shared" si="15"/>
        <v>Nie</v>
      </c>
    </row>
    <row r="803" spans="1:6" x14ac:dyDescent="0.25">
      <c r="A803">
        <v>860301609</v>
      </c>
      <c r="B803" s="1">
        <v>42924</v>
      </c>
      <c r="C803" s="2">
        <v>0.39930555555555558</v>
      </c>
      <c r="D803">
        <v>5</v>
      </c>
      <c r="E803" t="s">
        <v>3</v>
      </c>
      <c r="F803" t="str">
        <f t="shared" si="15"/>
        <v>Nie</v>
      </c>
    </row>
    <row r="804" spans="1:6" x14ac:dyDescent="0.25">
      <c r="A804">
        <v>604591282</v>
      </c>
      <c r="B804" s="1">
        <v>42924</v>
      </c>
      <c r="C804" s="2">
        <v>0.40694444444444444</v>
      </c>
      <c r="D804">
        <v>5</v>
      </c>
      <c r="E804" t="s">
        <v>3</v>
      </c>
      <c r="F804" t="str">
        <f t="shared" si="15"/>
        <v>Nie</v>
      </c>
    </row>
    <row r="805" spans="1:6" x14ac:dyDescent="0.25">
      <c r="A805">
        <v>882137448</v>
      </c>
      <c r="B805" s="1">
        <v>42924</v>
      </c>
      <c r="C805" s="2">
        <v>0.41041666666666665</v>
      </c>
      <c r="D805">
        <v>3</v>
      </c>
      <c r="E805" t="s">
        <v>4</v>
      </c>
      <c r="F805" t="str">
        <f t="shared" si="15"/>
        <v>Nie</v>
      </c>
    </row>
    <row r="806" spans="1:6" x14ac:dyDescent="0.25">
      <c r="A806">
        <v>441890822</v>
      </c>
      <c r="B806" s="1">
        <v>42924</v>
      </c>
      <c r="C806" s="2">
        <v>0.46736111111111112</v>
      </c>
      <c r="D806">
        <v>1</v>
      </c>
      <c r="E806" t="s">
        <v>4</v>
      </c>
      <c r="F806" t="str">
        <f t="shared" si="15"/>
        <v>Nie</v>
      </c>
    </row>
    <row r="807" spans="1:6" x14ac:dyDescent="0.25">
      <c r="A807">
        <v>691692072</v>
      </c>
      <c r="B807" s="1">
        <v>42924</v>
      </c>
      <c r="C807" s="2">
        <v>0.47083333333333333</v>
      </c>
      <c r="D807">
        <v>1</v>
      </c>
      <c r="E807" t="s">
        <v>4</v>
      </c>
      <c r="F807" t="str">
        <f t="shared" si="15"/>
        <v>Nie</v>
      </c>
    </row>
    <row r="808" spans="1:6" x14ac:dyDescent="0.25">
      <c r="A808">
        <v>779249951</v>
      </c>
      <c r="B808" s="1">
        <v>42924</v>
      </c>
      <c r="C808" s="2">
        <v>0.625</v>
      </c>
      <c r="D808">
        <v>5</v>
      </c>
      <c r="E808" t="s">
        <v>5</v>
      </c>
      <c r="F808" t="str">
        <f t="shared" si="15"/>
        <v>Nie</v>
      </c>
    </row>
    <row r="809" spans="1:6" x14ac:dyDescent="0.25">
      <c r="A809">
        <v>530823466</v>
      </c>
      <c r="B809" s="1">
        <v>42924</v>
      </c>
      <c r="C809" s="2">
        <v>0.67152777777777772</v>
      </c>
      <c r="D809">
        <v>2</v>
      </c>
      <c r="E809" t="s">
        <v>3</v>
      </c>
      <c r="F809" t="str">
        <f t="shared" si="15"/>
        <v>Nie</v>
      </c>
    </row>
    <row r="810" spans="1:6" x14ac:dyDescent="0.25">
      <c r="A810">
        <v>726251580</v>
      </c>
      <c r="B810" s="1">
        <v>42924</v>
      </c>
      <c r="C810" s="2">
        <v>0.67708333333333337</v>
      </c>
      <c r="D810">
        <v>4</v>
      </c>
      <c r="E810" t="s">
        <v>4</v>
      </c>
      <c r="F810" t="str">
        <f t="shared" si="15"/>
        <v>Nie</v>
      </c>
    </row>
    <row r="811" spans="1:6" x14ac:dyDescent="0.25">
      <c r="A811">
        <v>883457450</v>
      </c>
      <c r="B811" s="1">
        <v>42924</v>
      </c>
      <c r="C811" s="2">
        <v>0.71597222222222223</v>
      </c>
      <c r="D811">
        <v>4</v>
      </c>
      <c r="E811" t="s">
        <v>5</v>
      </c>
      <c r="F811" t="str">
        <f t="shared" si="15"/>
        <v>Nie</v>
      </c>
    </row>
    <row r="812" spans="1:6" x14ac:dyDescent="0.25">
      <c r="A812">
        <v>878109724</v>
      </c>
      <c r="B812" s="1">
        <v>42924</v>
      </c>
      <c r="C812" s="2">
        <v>0.76736111111111116</v>
      </c>
      <c r="D812">
        <v>3</v>
      </c>
      <c r="E812" t="s">
        <v>5</v>
      </c>
      <c r="F812" t="str">
        <f t="shared" si="15"/>
        <v>Tak</v>
      </c>
    </row>
    <row r="813" spans="1:6" x14ac:dyDescent="0.25">
      <c r="A813">
        <v>688319441</v>
      </c>
      <c r="B813" s="1">
        <v>42924</v>
      </c>
      <c r="C813" s="2">
        <v>0.85</v>
      </c>
      <c r="D813">
        <v>6</v>
      </c>
      <c r="E813" t="s">
        <v>3</v>
      </c>
      <c r="F813" t="str">
        <f t="shared" si="15"/>
        <v>Nie</v>
      </c>
    </row>
    <row r="814" spans="1:6" x14ac:dyDescent="0.25">
      <c r="A814">
        <v>464877225</v>
      </c>
      <c r="B814" s="1">
        <v>42924</v>
      </c>
      <c r="C814" s="2">
        <v>0.87291666666666667</v>
      </c>
      <c r="D814">
        <v>2</v>
      </c>
      <c r="E814" t="s">
        <v>3</v>
      </c>
      <c r="F814" t="str">
        <f t="shared" si="15"/>
        <v>Nie</v>
      </c>
    </row>
    <row r="815" spans="1:6" x14ac:dyDescent="0.25">
      <c r="A815">
        <v>695214509</v>
      </c>
      <c r="B815" s="1">
        <v>42924</v>
      </c>
      <c r="C815" s="2">
        <v>0.92847222222222225</v>
      </c>
      <c r="D815">
        <v>1</v>
      </c>
      <c r="E815" t="s">
        <v>4</v>
      </c>
      <c r="F815" t="str">
        <f t="shared" si="15"/>
        <v>Nie</v>
      </c>
    </row>
    <row r="816" spans="1:6" x14ac:dyDescent="0.25">
      <c r="A816">
        <v>895479404</v>
      </c>
      <c r="B816" s="1">
        <v>42924</v>
      </c>
      <c r="C816" s="2">
        <v>0.9291666666666667</v>
      </c>
      <c r="D816">
        <v>2</v>
      </c>
      <c r="E816" t="s">
        <v>4</v>
      </c>
      <c r="F816" t="str">
        <f t="shared" si="15"/>
        <v>Nie</v>
      </c>
    </row>
    <row r="817" spans="1:6" x14ac:dyDescent="0.25">
      <c r="A817">
        <v>749855351</v>
      </c>
      <c r="B817" s="1">
        <v>42924</v>
      </c>
      <c r="C817" s="2">
        <v>0.96736111111111112</v>
      </c>
      <c r="D817">
        <v>1</v>
      </c>
      <c r="E817" t="s">
        <v>4</v>
      </c>
      <c r="F817" t="str">
        <f t="shared" si="15"/>
        <v>Nie</v>
      </c>
    </row>
    <row r="818" spans="1:6" x14ac:dyDescent="0.25">
      <c r="A818">
        <v>515630239</v>
      </c>
      <c r="B818" s="1">
        <v>42925</v>
      </c>
      <c r="C818" s="2">
        <v>3.6805555555555557E-2</v>
      </c>
      <c r="D818">
        <v>2</v>
      </c>
      <c r="E818" t="s">
        <v>4</v>
      </c>
      <c r="F818" t="str">
        <f t="shared" si="15"/>
        <v>Nie</v>
      </c>
    </row>
    <row r="819" spans="1:6" x14ac:dyDescent="0.25">
      <c r="A819">
        <v>586277055</v>
      </c>
      <c r="B819" s="1">
        <v>42925</v>
      </c>
      <c r="C819" s="2">
        <v>9.583333333333334E-2</v>
      </c>
      <c r="D819">
        <v>5</v>
      </c>
      <c r="E819" t="s">
        <v>5</v>
      </c>
      <c r="F819" t="str">
        <f t="shared" si="15"/>
        <v>Nie</v>
      </c>
    </row>
    <row r="820" spans="1:6" x14ac:dyDescent="0.25">
      <c r="A820">
        <v>430696830</v>
      </c>
      <c r="B820" s="1">
        <v>42925</v>
      </c>
      <c r="C820" s="2">
        <v>0.10555555555555556</v>
      </c>
      <c r="D820">
        <v>3</v>
      </c>
      <c r="E820" t="s">
        <v>3</v>
      </c>
      <c r="F820" t="str">
        <f t="shared" si="15"/>
        <v>Nie</v>
      </c>
    </row>
    <row r="821" spans="1:6" x14ac:dyDescent="0.25">
      <c r="A821">
        <v>852567682</v>
      </c>
      <c r="B821" s="1">
        <v>42925</v>
      </c>
      <c r="C821" s="2">
        <v>0.13541666666666666</v>
      </c>
      <c r="D821">
        <v>1</v>
      </c>
      <c r="E821" t="s">
        <v>4</v>
      </c>
      <c r="F821" t="str">
        <f t="shared" si="15"/>
        <v>Nie</v>
      </c>
    </row>
    <row r="822" spans="1:6" x14ac:dyDescent="0.25">
      <c r="A822">
        <v>843024488</v>
      </c>
      <c r="B822" s="1">
        <v>42925</v>
      </c>
      <c r="C822" s="2">
        <v>0.13819444444444445</v>
      </c>
      <c r="D822">
        <v>1</v>
      </c>
      <c r="E822" t="s">
        <v>4</v>
      </c>
      <c r="F822" t="str">
        <f t="shared" si="15"/>
        <v>Nie</v>
      </c>
    </row>
    <row r="823" spans="1:6" x14ac:dyDescent="0.25">
      <c r="A823">
        <v>964114005</v>
      </c>
      <c r="B823" s="1">
        <v>42925</v>
      </c>
      <c r="C823" s="2">
        <v>0.23402777777777778</v>
      </c>
      <c r="D823">
        <v>6</v>
      </c>
      <c r="E823" t="s">
        <v>5</v>
      </c>
      <c r="F823" t="str">
        <f t="shared" si="15"/>
        <v>Tak</v>
      </c>
    </row>
    <row r="824" spans="1:6" x14ac:dyDescent="0.25">
      <c r="A824">
        <v>541026320</v>
      </c>
      <c r="B824" s="1">
        <v>42925</v>
      </c>
      <c r="C824" s="2">
        <v>0.27013888888888887</v>
      </c>
      <c r="D824">
        <v>4</v>
      </c>
      <c r="E824" t="s">
        <v>5</v>
      </c>
      <c r="F824" t="str">
        <f t="shared" si="15"/>
        <v>Nie</v>
      </c>
    </row>
    <row r="825" spans="1:6" x14ac:dyDescent="0.25">
      <c r="A825">
        <v>740241696</v>
      </c>
      <c r="B825" s="1">
        <v>42925</v>
      </c>
      <c r="C825" s="2">
        <v>0.31180555555555556</v>
      </c>
      <c r="D825">
        <v>1</v>
      </c>
      <c r="E825" t="s">
        <v>3</v>
      </c>
      <c r="F825" t="str">
        <f t="shared" si="15"/>
        <v>Tak</v>
      </c>
    </row>
    <row r="826" spans="1:6" x14ac:dyDescent="0.25">
      <c r="A826">
        <v>980592694</v>
      </c>
      <c r="B826" s="1">
        <v>42925</v>
      </c>
      <c r="C826" s="2">
        <v>0.3659722222222222</v>
      </c>
      <c r="D826">
        <v>6</v>
      </c>
      <c r="E826" t="s">
        <v>3</v>
      </c>
      <c r="F826" t="str">
        <f t="shared" si="15"/>
        <v>Nie</v>
      </c>
    </row>
    <row r="827" spans="1:6" x14ac:dyDescent="0.25">
      <c r="A827">
        <v>489827018</v>
      </c>
      <c r="B827" s="1">
        <v>42925</v>
      </c>
      <c r="C827" s="2">
        <v>0.46458333333333335</v>
      </c>
      <c r="D827">
        <v>1</v>
      </c>
      <c r="E827" t="s">
        <v>4</v>
      </c>
      <c r="F827" t="str">
        <f t="shared" si="15"/>
        <v>Nie</v>
      </c>
    </row>
    <row r="828" spans="1:6" x14ac:dyDescent="0.25">
      <c r="A828">
        <v>911307202</v>
      </c>
      <c r="B828" s="1">
        <v>42925</v>
      </c>
      <c r="C828" s="2">
        <v>0.54166666666666663</v>
      </c>
      <c r="D828">
        <v>3</v>
      </c>
      <c r="E828" t="s">
        <v>4</v>
      </c>
      <c r="F828" t="str">
        <f t="shared" si="15"/>
        <v>Nie</v>
      </c>
    </row>
    <row r="829" spans="1:6" x14ac:dyDescent="0.25">
      <c r="A829">
        <v>947530356</v>
      </c>
      <c r="B829" s="1">
        <v>42925</v>
      </c>
      <c r="C829" s="2">
        <v>0.60902777777777772</v>
      </c>
      <c r="D829">
        <v>6</v>
      </c>
      <c r="E829" t="s">
        <v>4</v>
      </c>
      <c r="F829" t="str">
        <f t="shared" si="15"/>
        <v>Nie</v>
      </c>
    </row>
    <row r="830" spans="1:6" x14ac:dyDescent="0.25">
      <c r="A830">
        <v>766810568</v>
      </c>
      <c r="B830" s="1">
        <v>42925</v>
      </c>
      <c r="C830" s="2">
        <v>0.625</v>
      </c>
      <c r="D830">
        <v>3</v>
      </c>
      <c r="E830" t="s">
        <v>5</v>
      </c>
      <c r="F830" t="str">
        <f t="shared" si="15"/>
        <v>Tak</v>
      </c>
    </row>
    <row r="831" spans="1:6" x14ac:dyDescent="0.25">
      <c r="A831">
        <v>798667170</v>
      </c>
      <c r="B831" s="1">
        <v>42925</v>
      </c>
      <c r="C831" s="2">
        <v>0.63958333333333328</v>
      </c>
      <c r="D831">
        <v>4</v>
      </c>
      <c r="E831" t="s">
        <v>3</v>
      </c>
      <c r="F831" t="str">
        <f t="shared" si="15"/>
        <v>Tak</v>
      </c>
    </row>
    <row r="832" spans="1:6" x14ac:dyDescent="0.25">
      <c r="A832">
        <v>527328542</v>
      </c>
      <c r="B832" s="1">
        <v>42925</v>
      </c>
      <c r="C832" s="2">
        <v>0.70416666666666672</v>
      </c>
      <c r="D832">
        <v>4</v>
      </c>
      <c r="E832" t="s">
        <v>4</v>
      </c>
      <c r="F832" t="str">
        <f t="shared" si="15"/>
        <v>Nie</v>
      </c>
    </row>
    <row r="833" spans="1:6" x14ac:dyDescent="0.25">
      <c r="A833">
        <v>957880696</v>
      </c>
      <c r="B833" s="1">
        <v>42925</v>
      </c>
      <c r="C833" s="2">
        <v>0.76458333333333328</v>
      </c>
      <c r="D833">
        <v>6</v>
      </c>
      <c r="E833" t="s">
        <v>5</v>
      </c>
      <c r="F833" t="str">
        <f t="shared" si="15"/>
        <v>Tak</v>
      </c>
    </row>
    <row r="834" spans="1:6" x14ac:dyDescent="0.25">
      <c r="A834">
        <v>826273813</v>
      </c>
      <c r="B834" s="1">
        <v>42925</v>
      </c>
      <c r="C834" s="2">
        <v>0.79236111111111107</v>
      </c>
      <c r="D834">
        <v>4</v>
      </c>
      <c r="E834" t="s">
        <v>5</v>
      </c>
      <c r="F834" t="str">
        <f t="shared" ref="F834:F897" si="16">IF(E834=VLOOKUP(D834,$M$23:$O$30,2,FALSE),"Tak","Nie")</f>
        <v>Nie</v>
      </c>
    </row>
    <row r="835" spans="1:6" x14ac:dyDescent="0.25">
      <c r="A835">
        <v>966664360</v>
      </c>
      <c r="B835" s="1">
        <v>42925</v>
      </c>
      <c r="C835" s="2">
        <v>0.85416666666666663</v>
      </c>
      <c r="D835">
        <v>2</v>
      </c>
      <c r="E835" t="s">
        <v>3</v>
      </c>
      <c r="F835" t="str">
        <f t="shared" si="16"/>
        <v>Nie</v>
      </c>
    </row>
    <row r="836" spans="1:6" x14ac:dyDescent="0.25">
      <c r="A836">
        <v>537831794</v>
      </c>
      <c r="B836" s="1">
        <v>42925</v>
      </c>
      <c r="C836" s="2">
        <v>0.86805555555555558</v>
      </c>
      <c r="D836">
        <v>4</v>
      </c>
      <c r="E836" t="s">
        <v>3</v>
      </c>
      <c r="F836" t="str">
        <f t="shared" si="16"/>
        <v>Tak</v>
      </c>
    </row>
    <row r="837" spans="1:6" x14ac:dyDescent="0.25">
      <c r="A837">
        <v>733765222</v>
      </c>
      <c r="B837" s="1">
        <v>42925</v>
      </c>
      <c r="C837" s="2">
        <v>0.94097222222222221</v>
      </c>
      <c r="D837">
        <v>5</v>
      </c>
      <c r="E837" t="s">
        <v>4</v>
      </c>
      <c r="F837" t="str">
        <f t="shared" si="16"/>
        <v>Tak</v>
      </c>
    </row>
    <row r="838" spans="1:6" x14ac:dyDescent="0.25">
      <c r="A838">
        <v>494106820</v>
      </c>
      <c r="B838" s="1">
        <v>42926</v>
      </c>
      <c r="C838" s="2">
        <v>2.8472222222222222E-2</v>
      </c>
      <c r="D838">
        <v>1</v>
      </c>
      <c r="E838" t="s">
        <v>4</v>
      </c>
      <c r="F838" t="str">
        <f t="shared" si="16"/>
        <v>Nie</v>
      </c>
    </row>
    <row r="839" spans="1:6" x14ac:dyDescent="0.25">
      <c r="A839">
        <v>944117990</v>
      </c>
      <c r="B839" s="1">
        <v>42926</v>
      </c>
      <c r="C839" s="2">
        <v>9.3055555555555558E-2</v>
      </c>
      <c r="D839">
        <v>2</v>
      </c>
      <c r="E839" t="s">
        <v>4</v>
      </c>
      <c r="F839" t="str">
        <f t="shared" si="16"/>
        <v>Nie</v>
      </c>
    </row>
    <row r="840" spans="1:6" x14ac:dyDescent="0.25">
      <c r="A840">
        <v>465353424</v>
      </c>
      <c r="B840" s="1">
        <v>42926</v>
      </c>
      <c r="C840" s="2">
        <v>0.13055555555555556</v>
      </c>
      <c r="D840">
        <v>5</v>
      </c>
      <c r="E840" t="s">
        <v>4</v>
      </c>
      <c r="F840" t="str">
        <f t="shared" si="16"/>
        <v>Tak</v>
      </c>
    </row>
    <row r="841" spans="1:6" x14ac:dyDescent="0.25">
      <c r="A841">
        <v>568721734</v>
      </c>
      <c r="B841" s="1">
        <v>42926</v>
      </c>
      <c r="C841" s="2">
        <v>0.20069444444444445</v>
      </c>
      <c r="D841">
        <v>3</v>
      </c>
      <c r="E841" t="s">
        <v>5</v>
      </c>
      <c r="F841" t="str">
        <f t="shared" si="16"/>
        <v>Tak</v>
      </c>
    </row>
    <row r="842" spans="1:6" x14ac:dyDescent="0.25">
      <c r="A842">
        <v>488014914</v>
      </c>
      <c r="B842" s="1">
        <v>42926</v>
      </c>
      <c r="C842" s="2">
        <v>0.26944444444444443</v>
      </c>
      <c r="D842">
        <v>1</v>
      </c>
      <c r="E842" t="s">
        <v>3</v>
      </c>
      <c r="F842" t="str">
        <f t="shared" si="16"/>
        <v>Tak</v>
      </c>
    </row>
    <row r="843" spans="1:6" x14ac:dyDescent="0.25">
      <c r="A843">
        <v>439939650</v>
      </c>
      <c r="B843" s="1">
        <v>42926</v>
      </c>
      <c r="C843" s="2">
        <v>0.35486111111111113</v>
      </c>
      <c r="D843">
        <v>1</v>
      </c>
      <c r="E843" t="s">
        <v>4</v>
      </c>
      <c r="F843" t="str">
        <f t="shared" si="16"/>
        <v>Nie</v>
      </c>
    </row>
    <row r="844" spans="1:6" x14ac:dyDescent="0.25">
      <c r="A844">
        <v>844801027</v>
      </c>
      <c r="B844" s="1">
        <v>42926</v>
      </c>
      <c r="C844" s="2">
        <v>0.3611111111111111</v>
      </c>
      <c r="D844">
        <v>4</v>
      </c>
      <c r="E844" t="s">
        <v>4</v>
      </c>
      <c r="F844" t="str">
        <f t="shared" si="16"/>
        <v>Nie</v>
      </c>
    </row>
    <row r="845" spans="1:6" x14ac:dyDescent="0.25">
      <c r="A845">
        <v>687873687</v>
      </c>
      <c r="B845" s="1">
        <v>42926</v>
      </c>
      <c r="C845" s="2">
        <v>0.44027777777777777</v>
      </c>
      <c r="D845">
        <v>2</v>
      </c>
      <c r="E845" t="s">
        <v>5</v>
      </c>
      <c r="F845" t="str">
        <f t="shared" si="16"/>
        <v>Tak</v>
      </c>
    </row>
    <row r="846" spans="1:6" x14ac:dyDescent="0.25">
      <c r="A846">
        <v>632808113</v>
      </c>
      <c r="B846" s="1">
        <v>42926</v>
      </c>
      <c r="C846" s="2">
        <v>0.52638888888888891</v>
      </c>
      <c r="D846">
        <v>5</v>
      </c>
      <c r="E846" t="s">
        <v>5</v>
      </c>
      <c r="F846" t="str">
        <f t="shared" si="16"/>
        <v>Nie</v>
      </c>
    </row>
    <row r="847" spans="1:6" x14ac:dyDescent="0.25">
      <c r="A847">
        <v>855992203</v>
      </c>
      <c r="B847" s="1">
        <v>42926</v>
      </c>
      <c r="C847" s="2">
        <v>0.57777777777777772</v>
      </c>
      <c r="D847">
        <v>2</v>
      </c>
      <c r="E847" t="s">
        <v>3</v>
      </c>
      <c r="F847" t="str">
        <f t="shared" si="16"/>
        <v>Nie</v>
      </c>
    </row>
    <row r="848" spans="1:6" x14ac:dyDescent="0.25">
      <c r="A848">
        <v>478135865</v>
      </c>
      <c r="B848" s="1">
        <v>42926</v>
      </c>
      <c r="C848" s="2">
        <v>0.60347222222222219</v>
      </c>
      <c r="D848">
        <v>3</v>
      </c>
      <c r="E848" t="s">
        <v>3</v>
      </c>
      <c r="F848" t="str">
        <f t="shared" si="16"/>
        <v>Nie</v>
      </c>
    </row>
    <row r="849" spans="1:6" x14ac:dyDescent="0.25">
      <c r="A849">
        <v>517390799</v>
      </c>
      <c r="B849" s="1">
        <v>42926</v>
      </c>
      <c r="C849" s="2">
        <v>0.625</v>
      </c>
      <c r="D849">
        <v>2</v>
      </c>
      <c r="E849" t="s">
        <v>5</v>
      </c>
      <c r="F849" t="str">
        <f t="shared" si="16"/>
        <v>Tak</v>
      </c>
    </row>
    <row r="850" spans="1:6" x14ac:dyDescent="0.25">
      <c r="A850">
        <v>815490329</v>
      </c>
      <c r="B850" s="1">
        <v>42926</v>
      </c>
      <c r="C850" s="2">
        <v>0.65138888888888891</v>
      </c>
      <c r="D850">
        <v>1</v>
      </c>
      <c r="E850" t="s">
        <v>3</v>
      </c>
      <c r="F850" t="str">
        <f t="shared" si="16"/>
        <v>Tak</v>
      </c>
    </row>
    <row r="851" spans="1:6" x14ac:dyDescent="0.25">
      <c r="A851">
        <v>408521227</v>
      </c>
      <c r="B851" s="1">
        <v>42926</v>
      </c>
      <c r="C851" s="2">
        <v>0.70277777777777772</v>
      </c>
      <c r="D851">
        <v>4</v>
      </c>
      <c r="E851" t="s">
        <v>4</v>
      </c>
      <c r="F851" t="str">
        <f t="shared" si="16"/>
        <v>Nie</v>
      </c>
    </row>
    <row r="852" spans="1:6" x14ac:dyDescent="0.25">
      <c r="A852">
        <v>671550996</v>
      </c>
      <c r="B852" s="1">
        <v>42926</v>
      </c>
      <c r="C852" s="2">
        <v>0.71527777777777779</v>
      </c>
      <c r="D852">
        <v>1</v>
      </c>
      <c r="E852" t="s">
        <v>4</v>
      </c>
      <c r="F852" t="str">
        <f t="shared" si="16"/>
        <v>Nie</v>
      </c>
    </row>
    <row r="853" spans="1:6" x14ac:dyDescent="0.25">
      <c r="A853">
        <v>427811421</v>
      </c>
      <c r="B853" s="1">
        <v>42926</v>
      </c>
      <c r="C853" s="2">
        <v>0.72013888888888888</v>
      </c>
      <c r="D853">
        <v>3</v>
      </c>
      <c r="E853" t="s">
        <v>5</v>
      </c>
      <c r="F853" t="str">
        <f t="shared" si="16"/>
        <v>Tak</v>
      </c>
    </row>
    <row r="854" spans="1:6" x14ac:dyDescent="0.25">
      <c r="A854">
        <v>514796257</v>
      </c>
      <c r="B854" s="1">
        <v>42926</v>
      </c>
      <c r="C854" s="2">
        <v>0.72430555555555554</v>
      </c>
      <c r="D854">
        <v>5</v>
      </c>
      <c r="E854" t="s">
        <v>5</v>
      </c>
      <c r="F854" t="str">
        <f t="shared" si="16"/>
        <v>Nie</v>
      </c>
    </row>
    <row r="855" spans="1:6" x14ac:dyDescent="0.25">
      <c r="A855">
        <v>432569648</v>
      </c>
      <c r="B855" s="1">
        <v>42926</v>
      </c>
      <c r="C855" s="2">
        <v>0.7583333333333333</v>
      </c>
      <c r="D855">
        <v>4</v>
      </c>
      <c r="E855" t="s">
        <v>3</v>
      </c>
      <c r="F855" t="str">
        <f t="shared" si="16"/>
        <v>Tak</v>
      </c>
    </row>
    <row r="856" spans="1:6" x14ac:dyDescent="0.25">
      <c r="A856">
        <v>676169168</v>
      </c>
      <c r="B856" s="1">
        <v>42926</v>
      </c>
      <c r="C856" s="2">
        <v>0.76527777777777772</v>
      </c>
      <c r="D856">
        <v>2</v>
      </c>
      <c r="E856" t="s">
        <v>4</v>
      </c>
      <c r="F856" t="str">
        <f t="shared" si="16"/>
        <v>Nie</v>
      </c>
    </row>
    <row r="857" spans="1:6" x14ac:dyDescent="0.25">
      <c r="A857">
        <v>779256018</v>
      </c>
      <c r="B857" s="1">
        <v>42926</v>
      </c>
      <c r="C857" s="2">
        <v>0.78263888888888888</v>
      </c>
      <c r="D857">
        <v>5</v>
      </c>
      <c r="E857" t="s">
        <v>4</v>
      </c>
      <c r="F857" t="str">
        <f t="shared" si="16"/>
        <v>Tak</v>
      </c>
    </row>
    <row r="858" spans="1:6" x14ac:dyDescent="0.25">
      <c r="A858">
        <v>890972401</v>
      </c>
      <c r="B858" s="1">
        <v>42926</v>
      </c>
      <c r="C858" s="2">
        <v>0.82916666666666672</v>
      </c>
      <c r="D858">
        <v>4</v>
      </c>
      <c r="E858" t="s">
        <v>3</v>
      </c>
      <c r="F858" t="str">
        <f t="shared" si="16"/>
        <v>Tak</v>
      </c>
    </row>
    <row r="859" spans="1:6" x14ac:dyDescent="0.25">
      <c r="A859">
        <v>640017896</v>
      </c>
      <c r="B859" s="1">
        <v>42926</v>
      </c>
      <c r="C859" s="2">
        <v>0.83958333333333335</v>
      </c>
      <c r="D859">
        <v>6</v>
      </c>
      <c r="E859" t="s">
        <v>4</v>
      </c>
      <c r="F859" t="str">
        <f t="shared" si="16"/>
        <v>Nie</v>
      </c>
    </row>
    <row r="860" spans="1:6" x14ac:dyDescent="0.25">
      <c r="A860">
        <v>425017902</v>
      </c>
      <c r="B860" s="1">
        <v>42926</v>
      </c>
      <c r="C860" s="2">
        <v>0.92291666666666672</v>
      </c>
      <c r="D860">
        <v>6</v>
      </c>
      <c r="E860" t="s">
        <v>4</v>
      </c>
      <c r="F860" t="str">
        <f t="shared" si="16"/>
        <v>Nie</v>
      </c>
    </row>
    <row r="861" spans="1:6" x14ac:dyDescent="0.25">
      <c r="A861">
        <v>734728090</v>
      </c>
      <c r="B861" s="1">
        <v>42927</v>
      </c>
      <c r="C861" s="2">
        <v>1.0416666666666666E-2</v>
      </c>
      <c r="D861">
        <v>4</v>
      </c>
      <c r="E861" t="s">
        <v>4</v>
      </c>
      <c r="F861" t="str">
        <f t="shared" si="16"/>
        <v>Nie</v>
      </c>
    </row>
    <row r="862" spans="1:6" x14ac:dyDescent="0.25">
      <c r="A862">
        <v>685127658</v>
      </c>
      <c r="B862" s="1">
        <v>42927</v>
      </c>
      <c r="C862" s="2">
        <v>1.5277777777777777E-2</v>
      </c>
      <c r="D862">
        <v>3</v>
      </c>
      <c r="E862" t="s">
        <v>4</v>
      </c>
      <c r="F862" t="str">
        <f t="shared" si="16"/>
        <v>Nie</v>
      </c>
    </row>
    <row r="863" spans="1:6" x14ac:dyDescent="0.25">
      <c r="A863">
        <v>735599176</v>
      </c>
      <c r="B863" s="1">
        <v>42927</v>
      </c>
      <c r="C863" s="2">
        <v>5.7638888888888892E-2</v>
      </c>
      <c r="D863">
        <v>4</v>
      </c>
      <c r="E863" t="s">
        <v>5</v>
      </c>
      <c r="F863" t="str">
        <f t="shared" si="16"/>
        <v>Nie</v>
      </c>
    </row>
    <row r="864" spans="1:6" x14ac:dyDescent="0.25">
      <c r="A864">
        <v>498523102</v>
      </c>
      <c r="B864" s="1">
        <v>42927</v>
      </c>
      <c r="C864" s="2">
        <v>0.15486111111111112</v>
      </c>
      <c r="D864">
        <v>5</v>
      </c>
      <c r="E864" t="s">
        <v>3</v>
      </c>
      <c r="F864" t="str">
        <f t="shared" si="16"/>
        <v>Nie</v>
      </c>
    </row>
    <row r="865" spans="1:6" x14ac:dyDescent="0.25">
      <c r="A865">
        <v>814452244</v>
      </c>
      <c r="B865" s="1">
        <v>42927</v>
      </c>
      <c r="C865" s="2">
        <v>0.16805555555555557</v>
      </c>
      <c r="D865">
        <v>6</v>
      </c>
      <c r="E865" t="s">
        <v>4</v>
      </c>
      <c r="F865" t="str">
        <f t="shared" si="16"/>
        <v>Nie</v>
      </c>
    </row>
    <row r="866" spans="1:6" x14ac:dyDescent="0.25">
      <c r="A866">
        <v>705176549</v>
      </c>
      <c r="B866" s="1">
        <v>42927</v>
      </c>
      <c r="C866" s="2">
        <v>0.20972222222222223</v>
      </c>
      <c r="D866">
        <v>3</v>
      </c>
      <c r="E866" t="s">
        <v>4</v>
      </c>
      <c r="F866" t="str">
        <f t="shared" si="16"/>
        <v>Nie</v>
      </c>
    </row>
    <row r="867" spans="1:6" x14ac:dyDescent="0.25">
      <c r="A867">
        <v>508103555</v>
      </c>
      <c r="B867" s="1">
        <v>42927</v>
      </c>
      <c r="C867" s="2">
        <v>0.3034722222222222</v>
      </c>
      <c r="D867">
        <v>1</v>
      </c>
      <c r="E867" t="s">
        <v>5</v>
      </c>
      <c r="F867" t="str">
        <f t="shared" si="16"/>
        <v>Nie</v>
      </c>
    </row>
    <row r="868" spans="1:6" x14ac:dyDescent="0.25">
      <c r="A868">
        <v>546029191</v>
      </c>
      <c r="B868" s="1">
        <v>42927</v>
      </c>
      <c r="C868" s="2">
        <v>0.37569444444444444</v>
      </c>
      <c r="D868">
        <v>4</v>
      </c>
      <c r="E868" t="s">
        <v>5</v>
      </c>
      <c r="F868" t="str">
        <f t="shared" si="16"/>
        <v>Nie</v>
      </c>
    </row>
    <row r="869" spans="1:6" x14ac:dyDescent="0.25">
      <c r="A869">
        <v>591199048</v>
      </c>
      <c r="B869" s="1">
        <v>42927</v>
      </c>
      <c r="C869" s="2">
        <v>0.42916666666666664</v>
      </c>
      <c r="D869">
        <v>6</v>
      </c>
      <c r="E869" t="s">
        <v>3</v>
      </c>
      <c r="F869" t="str">
        <f t="shared" si="16"/>
        <v>Nie</v>
      </c>
    </row>
    <row r="870" spans="1:6" x14ac:dyDescent="0.25">
      <c r="A870">
        <v>787970483</v>
      </c>
      <c r="B870" s="1">
        <v>42927</v>
      </c>
      <c r="C870" s="2">
        <v>0.44930555555555557</v>
      </c>
      <c r="D870">
        <v>6</v>
      </c>
      <c r="E870" t="s">
        <v>3</v>
      </c>
      <c r="F870" t="str">
        <f t="shared" si="16"/>
        <v>Nie</v>
      </c>
    </row>
    <row r="871" spans="1:6" x14ac:dyDescent="0.25">
      <c r="A871">
        <v>726178470</v>
      </c>
      <c r="B871" s="1">
        <v>42927</v>
      </c>
      <c r="C871" s="2">
        <v>0.4826388888888889</v>
      </c>
      <c r="D871">
        <v>1</v>
      </c>
      <c r="E871" t="s">
        <v>4</v>
      </c>
      <c r="F871" t="str">
        <f t="shared" si="16"/>
        <v>Nie</v>
      </c>
    </row>
    <row r="872" spans="1:6" x14ac:dyDescent="0.25">
      <c r="A872">
        <v>718908108</v>
      </c>
      <c r="B872" s="1">
        <v>42927</v>
      </c>
      <c r="C872" s="2">
        <v>0.51180555555555551</v>
      </c>
      <c r="D872">
        <v>4</v>
      </c>
      <c r="E872" t="s">
        <v>4</v>
      </c>
      <c r="F872" t="str">
        <f t="shared" si="16"/>
        <v>Nie</v>
      </c>
    </row>
    <row r="873" spans="1:6" x14ac:dyDescent="0.25">
      <c r="A873">
        <v>665351667</v>
      </c>
      <c r="B873" s="1">
        <v>42927</v>
      </c>
      <c r="C873" s="2">
        <v>0.56527777777777777</v>
      </c>
      <c r="D873">
        <v>5</v>
      </c>
      <c r="E873" t="s">
        <v>4</v>
      </c>
      <c r="F873" t="str">
        <f t="shared" si="16"/>
        <v>Tak</v>
      </c>
    </row>
    <row r="874" spans="1:6" x14ac:dyDescent="0.25">
      <c r="A874">
        <v>771895638</v>
      </c>
      <c r="B874" s="1">
        <v>42927</v>
      </c>
      <c r="C874" s="2">
        <v>0.625</v>
      </c>
      <c r="D874">
        <v>6</v>
      </c>
      <c r="E874" t="s">
        <v>5</v>
      </c>
      <c r="F874" t="str">
        <f t="shared" si="16"/>
        <v>Tak</v>
      </c>
    </row>
    <row r="875" spans="1:6" x14ac:dyDescent="0.25">
      <c r="A875">
        <v>811012376</v>
      </c>
      <c r="B875" s="1">
        <v>42927</v>
      </c>
      <c r="C875" s="2">
        <v>0.6430555555555556</v>
      </c>
      <c r="D875">
        <v>1</v>
      </c>
      <c r="E875" t="s">
        <v>3</v>
      </c>
      <c r="F875" t="str">
        <f t="shared" si="16"/>
        <v>Tak</v>
      </c>
    </row>
    <row r="876" spans="1:6" x14ac:dyDescent="0.25">
      <c r="A876">
        <v>554980513</v>
      </c>
      <c r="B876" s="1">
        <v>42927</v>
      </c>
      <c r="C876" s="2">
        <v>0.70138888888888884</v>
      </c>
      <c r="D876">
        <v>6</v>
      </c>
      <c r="E876" t="s">
        <v>4</v>
      </c>
      <c r="F876" t="str">
        <f t="shared" si="16"/>
        <v>Nie</v>
      </c>
    </row>
    <row r="877" spans="1:6" x14ac:dyDescent="0.25">
      <c r="A877">
        <v>712089197</v>
      </c>
      <c r="B877" s="1">
        <v>42927</v>
      </c>
      <c r="C877" s="2">
        <v>0.79583333333333328</v>
      </c>
      <c r="D877">
        <v>3</v>
      </c>
      <c r="E877" t="s">
        <v>5</v>
      </c>
      <c r="F877" t="str">
        <f t="shared" si="16"/>
        <v>Tak</v>
      </c>
    </row>
    <row r="878" spans="1:6" x14ac:dyDescent="0.25">
      <c r="A878">
        <v>969589948</v>
      </c>
      <c r="B878" s="1">
        <v>42927</v>
      </c>
      <c r="C878" s="2">
        <v>0.81736111111111109</v>
      </c>
      <c r="D878">
        <v>6</v>
      </c>
      <c r="E878" t="s">
        <v>5</v>
      </c>
      <c r="F878" t="str">
        <f t="shared" si="16"/>
        <v>Tak</v>
      </c>
    </row>
    <row r="879" spans="1:6" x14ac:dyDescent="0.25">
      <c r="A879">
        <v>667506795</v>
      </c>
      <c r="B879" s="1">
        <v>42927</v>
      </c>
      <c r="C879" s="2">
        <v>0.85555555555555551</v>
      </c>
      <c r="D879">
        <v>4</v>
      </c>
      <c r="E879" t="s">
        <v>3</v>
      </c>
      <c r="F879" t="str">
        <f t="shared" si="16"/>
        <v>Tak</v>
      </c>
    </row>
    <row r="880" spans="1:6" x14ac:dyDescent="0.25">
      <c r="A880">
        <v>603639226</v>
      </c>
      <c r="B880" s="1">
        <v>42927</v>
      </c>
      <c r="C880" s="2">
        <v>0.85833333333333328</v>
      </c>
      <c r="D880">
        <v>5</v>
      </c>
      <c r="E880" t="s">
        <v>3</v>
      </c>
      <c r="F880" t="str">
        <f t="shared" si="16"/>
        <v>Nie</v>
      </c>
    </row>
    <row r="881" spans="1:6" x14ac:dyDescent="0.25">
      <c r="A881">
        <v>966198028</v>
      </c>
      <c r="B881" s="1">
        <v>42927</v>
      </c>
      <c r="C881" s="2">
        <v>0.86458333333333337</v>
      </c>
      <c r="D881">
        <v>6</v>
      </c>
      <c r="E881" t="s">
        <v>4</v>
      </c>
      <c r="F881" t="str">
        <f t="shared" si="16"/>
        <v>Nie</v>
      </c>
    </row>
    <row r="882" spans="1:6" x14ac:dyDescent="0.25">
      <c r="A882">
        <v>684060673</v>
      </c>
      <c r="B882" s="1">
        <v>42927</v>
      </c>
      <c r="C882" s="2">
        <v>0.94305555555555554</v>
      </c>
      <c r="D882">
        <v>4</v>
      </c>
      <c r="E882" t="s">
        <v>4</v>
      </c>
      <c r="F882" t="str">
        <f t="shared" si="16"/>
        <v>Nie</v>
      </c>
    </row>
    <row r="883" spans="1:6" x14ac:dyDescent="0.25">
      <c r="A883">
        <v>936938728</v>
      </c>
      <c r="B883" s="1">
        <v>42928</v>
      </c>
      <c r="C883" s="2">
        <v>3.472222222222222E-3</v>
      </c>
      <c r="D883">
        <v>1</v>
      </c>
      <c r="E883" t="s">
        <v>4</v>
      </c>
      <c r="F883" t="str">
        <f t="shared" si="16"/>
        <v>Nie</v>
      </c>
    </row>
    <row r="884" spans="1:6" x14ac:dyDescent="0.25">
      <c r="A884">
        <v>959219934</v>
      </c>
      <c r="B884" s="1">
        <v>42928</v>
      </c>
      <c r="C884" s="2">
        <v>1.3888888888888888E-2</v>
      </c>
      <c r="D884">
        <v>2</v>
      </c>
      <c r="E884" t="s">
        <v>4</v>
      </c>
      <c r="F884" t="str">
        <f t="shared" si="16"/>
        <v>Nie</v>
      </c>
    </row>
    <row r="885" spans="1:6" x14ac:dyDescent="0.25">
      <c r="A885">
        <v>571483021</v>
      </c>
      <c r="B885" s="1">
        <v>42928</v>
      </c>
      <c r="C885" s="2">
        <v>0.1076388888888889</v>
      </c>
      <c r="D885">
        <v>2</v>
      </c>
      <c r="E885" t="s">
        <v>5</v>
      </c>
      <c r="F885" t="str">
        <f t="shared" si="16"/>
        <v>Tak</v>
      </c>
    </row>
    <row r="886" spans="1:6" x14ac:dyDescent="0.25">
      <c r="A886">
        <v>757519899</v>
      </c>
      <c r="B886" s="1">
        <v>42928</v>
      </c>
      <c r="C886" s="2">
        <v>0.13472222222222222</v>
      </c>
      <c r="D886">
        <v>3</v>
      </c>
      <c r="E886" t="s">
        <v>3</v>
      </c>
      <c r="F886" t="str">
        <f t="shared" si="16"/>
        <v>Nie</v>
      </c>
    </row>
    <row r="887" spans="1:6" x14ac:dyDescent="0.25">
      <c r="A887">
        <v>601071162</v>
      </c>
      <c r="B887" s="1">
        <v>42928</v>
      </c>
      <c r="C887" s="2">
        <v>0.14444444444444443</v>
      </c>
      <c r="D887">
        <v>3</v>
      </c>
      <c r="E887" t="s">
        <v>4</v>
      </c>
      <c r="F887" t="str">
        <f t="shared" si="16"/>
        <v>Nie</v>
      </c>
    </row>
    <row r="888" spans="1:6" x14ac:dyDescent="0.25">
      <c r="A888">
        <v>751080209</v>
      </c>
      <c r="B888" s="1">
        <v>42928</v>
      </c>
      <c r="C888" s="2">
        <v>0.20833333333333334</v>
      </c>
      <c r="D888">
        <v>3</v>
      </c>
      <c r="E888" t="s">
        <v>4</v>
      </c>
      <c r="F888" t="str">
        <f t="shared" si="16"/>
        <v>Nie</v>
      </c>
    </row>
    <row r="889" spans="1:6" x14ac:dyDescent="0.25">
      <c r="A889">
        <v>557059595</v>
      </c>
      <c r="B889" s="1">
        <v>42928</v>
      </c>
      <c r="C889" s="2">
        <v>0.29305555555555557</v>
      </c>
      <c r="D889">
        <v>5</v>
      </c>
      <c r="E889" t="s">
        <v>5</v>
      </c>
      <c r="F889" t="str">
        <f t="shared" si="16"/>
        <v>Nie</v>
      </c>
    </row>
    <row r="890" spans="1:6" x14ac:dyDescent="0.25">
      <c r="A890">
        <v>919448492</v>
      </c>
      <c r="B890" s="1">
        <v>42928</v>
      </c>
      <c r="C890" s="2">
        <v>0.30833333333333335</v>
      </c>
      <c r="D890">
        <v>4</v>
      </c>
      <c r="E890" t="s">
        <v>5</v>
      </c>
      <c r="F890" t="str">
        <f t="shared" si="16"/>
        <v>Nie</v>
      </c>
    </row>
    <row r="891" spans="1:6" x14ac:dyDescent="0.25">
      <c r="A891">
        <v>630181135</v>
      </c>
      <c r="B891" s="1">
        <v>42928</v>
      </c>
      <c r="C891" s="2">
        <v>0.3972222222222222</v>
      </c>
      <c r="D891">
        <v>6</v>
      </c>
      <c r="E891" t="s">
        <v>3</v>
      </c>
      <c r="F891" t="str">
        <f t="shared" si="16"/>
        <v>Nie</v>
      </c>
    </row>
    <row r="892" spans="1:6" x14ac:dyDescent="0.25">
      <c r="A892">
        <v>921394114</v>
      </c>
      <c r="B892" s="1">
        <v>42928</v>
      </c>
      <c r="C892" s="2">
        <v>0.48819444444444443</v>
      </c>
      <c r="D892">
        <v>3</v>
      </c>
      <c r="E892" t="s">
        <v>3</v>
      </c>
      <c r="F892" t="str">
        <f t="shared" si="16"/>
        <v>Nie</v>
      </c>
    </row>
    <row r="893" spans="1:6" x14ac:dyDescent="0.25">
      <c r="A893">
        <v>687213103</v>
      </c>
      <c r="B893" s="1">
        <v>42928</v>
      </c>
      <c r="C893" s="2">
        <v>0.58472222222222225</v>
      </c>
      <c r="D893">
        <v>4</v>
      </c>
      <c r="E893" t="s">
        <v>4</v>
      </c>
      <c r="F893" t="str">
        <f t="shared" si="16"/>
        <v>Nie</v>
      </c>
    </row>
    <row r="894" spans="1:6" x14ac:dyDescent="0.25">
      <c r="A894">
        <v>670854717</v>
      </c>
      <c r="B894" s="1">
        <v>42928</v>
      </c>
      <c r="C894" s="2">
        <v>0.625</v>
      </c>
      <c r="D894">
        <v>3</v>
      </c>
      <c r="E894" t="s">
        <v>5</v>
      </c>
      <c r="F894" t="str">
        <f t="shared" si="16"/>
        <v>Tak</v>
      </c>
    </row>
    <row r="895" spans="1:6" x14ac:dyDescent="0.25">
      <c r="A895">
        <v>882751328</v>
      </c>
      <c r="B895" s="1">
        <v>42928</v>
      </c>
      <c r="C895" s="2">
        <v>0.63263888888888886</v>
      </c>
      <c r="D895">
        <v>2</v>
      </c>
      <c r="E895" t="s">
        <v>4</v>
      </c>
      <c r="F895" t="str">
        <f t="shared" si="16"/>
        <v>Nie</v>
      </c>
    </row>
    <row r="896" spans="1:6" x14ac:dyDescent="0.25">
      <c r="A896">
        <v>885343232</v>
      </c>
      <c r="B896" s="1">
        <v>42928</v>
      </c>
      <c r="C896" s="2">
        <v>0.6479166666666667</v>
      </c>
      <c r="D896">
        <v>1</v>
      </c>
      <c r="E896" t="s">
        <v>3</v>
      </c>
      <c r="F896" t="str">
        <f t="shared" si="16"/>
        <v>Tak</v>
      </c>
    </row>
    <row r="897" spans="1:6" x14ac:dyDescent="0.25">
      <c r="A897">
        <v>529069571</v>
      </c>
      <c r="B897" s="1">
        <v>42928</v>
      </c>
      <c r="C897" s="2">
        <v>0.6791666666666667</v>
      </c>
      <c r="D897">
        <v>4</v>
      </c>
      <c r="E897" t="s">
        <v>4</v>
      </c>
      <c r="F897" t="str">
        <f t="shared" si="16"/>
        <v>Nie</v>
      </c>
    </row>
    <row r="898" spans="1:6" x14ac:dyDescent="0.25">
      <c r="A898">
        <v>735284701</v>
      </c>
      <c r="B898" s="1">
        <v>42928</v>
      </c>
      <c r="C898" s="2">
        <v>0.68472222222222223</v>
      </c>
      <c r="D898">
        <v>6</v>
      </c>
      <c r="E898" t="s">
        <v>5</v>
      </c>
      <c r="F898" t="str">
        <f t="shared" ref="F898:F961" si="17">IF(E898=VLOOKUP(D898,$M$23:$O$30,2,FALSE),"Tak","Nie")</f>
        <v>Tak</v>
      </c>
    </row>
    <row r="899" spans="1:6" x14ac:dyDescent="0.25">
      <c r="A899">
        <v>798064543</v>
      </c>
      <c r="B899" s="1">
        <v>42928</v>
      </c>
      <c r="C899" s="2">
        <v>0.69236111111111109</v>
      </c>
      <c r="D899">
        <v>2</v>
      </c>
      <c r="E899" t="s">
        <v>5</v>
      </c>
      <c r="F899" t="str">
        <f t="shared" si="17"/>
        <v>Tak</v>
      </c>
    </row>
    <row r="900" spans="1:6" x14ac:dyDescent="0.25">
      <c r="A900">
        <v>507120351</v>
      </c>
      <c r="B900" s="1">
        <v>42928</v>
      </c>
      <c r="C900" s="2">
        <v>0.70486111111111116</v>
      </c>
      <c r="D900">
        <v>3</v>
      </c>
      <c r="E900" t="s">
        <v>4</v>
      </c>
      <c r="F900" t="str">
        <f t="shared" si="17"/>
        <v>Nie</v>
      </c>
    </row>
    <row r="901" spans="1:6" x14ac:dyDescent="0.25">
      <c r="A901">
        <v>435583833</v>
      </c>
      <c r="B901" s="1">
        <v>42928</v>
      </c>
      <c r="C901" s="2">
        <v>0.71527777777777779</v>
      </c>
      <c r="D901">
        <v>1</v>
      </c>
      <c r="E901" t="s">
        <v>3</v>
      </c>
      <c r="F901" t="str">
        <f t="shared" si="17"/>
        <v>Tak</v>
      </c>
    </row>
    <row r="902" spans="1:6" x14ac:dyDescent="0.25">
      <c r="A902">
        <v>500093166</v>
      </c>
      <c r="B902" s="1">
        <v>42928</v>
      </c>
      <c r="C902" s="2">
        <v>0.73472222222222228</v>
      </c>
      <c r="D902">
        <v>5</v>
      </c>
      <c r="E902" t="s">
        <v>3</v>
      </c>
      <c r="F902" t="str">
        <f t="shared" si="17"/>
        <v>Nie</v>
      </c>
    </row>
    <row r="903" spans="1:6" x14ac:dyDescent="0.25">
      <c r="A903">
        <v>543967501</v>
      </c>
      <c r="B903" s="1">
        <v>42928</v>
      </c>
      <c r="C903" s="2">
        <v>0.81111111111111112</v>
      </c>
      <c r="D903">
        <v>5</v>
      </c>
      <c r="E903" t="s">
        <v>4</v>
      </c>
      <c r="F903" t="str">
        <f t="shared" si="17"/>
        <v>Tak</v>
      </c>
    </row>
    <row r="904" spans="1:6" x14ac:dyDescent="0.25">
      <c r="A904">
        <v>815057747</v>
      </c>
      <c r="B904" s="1">
        <v>42928</v>
      </c>
      <c r="C904" s="2">
        <v>0.82777777777777772</v>
      </c>
      <c r="D904">
        <v>2</v>
      </c>
      <c r="E904" t="s">
        <v>4</v>
      </c>
      <c r="F904" t="str">
        <f t="shared" si="17"/>
        <v>Nie</v>
      </c>
    </row>
    <row r="905" spans="1:6" x14ac:dyDescent="0.25">
      <c r="A905">
        <v>658486083</v>
      </c>
      <c r="B905" s="1">
        <v>42928</v>
      </c>
      <c r="C905" s="2">
        <v>0.87708333333333333</v>
      </c>
      <c r="D905">
        <v>6</v>
      </c>
      <c r="E905" t="s">
        <v>4</v>
      </c>
      <c r="F905" t="str">
        <f t="shared" si="17"/>
        <v>Nie</v>
      </c>
    </row>
    <row r="906" spans="1:6" x14ac:dyDescent="0.25">
      <c r="A906">
        <v>761645826</v>
      </c>
      <c r="B906" s="1">
        <v>42928</v>
      </c>
      <c r="C906" s="2">
        <v>0.95277777777777772</v>
      </c>
      <c r="D906">
        <v>6</v>
      </c>
      <c r="E906" t="s">
        <v>4</v>
      </c>
      <c r="F906" t="str">
        <f t="shared" si="17"/>
        <v>Nie</v>
      </c>
    </row>
    <row r="907" spans="1:6" x14ac:dyDescent="0.25">
      <c r="A907">
        <v>474633859</v>
      </c>
      <c r="B907" s="1">
        <v>42929</v>
      </c>
      <c r="C907" s="2">
        <v>2.9166666666666667E-2</v>
      </c>
      <c r="D907">
        <v>3</v>
      </c>
      <c r="E907" t="s">
        <v>5</v>
      </c>
      <c r="F907" t="str">
        <f t="shared" si="17"/>
        <v>Tak</v>
      </c>
    </row>
    <row r="908" spans="1:6" x14ac:dyDescent="0.25">
      <c r="A908">
        <v>523809386</v>
      </c>
      <c r="B908" s="1">
        <v>42929</v>
      </c>
      <c r="C908" s="2">
        <v>0.10277777777777777</v>
      </c>
      <c r="D908">
        <v>2</v>
      </c>
      <c r="E908" t="s">
        <v>3</v>
      </c>
      <c r="F908" t="str">
        <f t="shared" si="17"/>
        <v>Nie</v>
      </c>
    </row>
    <row r="909" spans="1:6" x14ac:dyDescent="0.25">
      <c r="A909">
        <v>956870062</v>
      </c>
      <c r="B909" s="1">
        <v>42929</v>
      </c>
      <c r="C909" s="2">
        <v>0.1736111111111111</v>
      </c>
      <c r="D909">
        <v>2</v>
      </c>
      <c r="E909" t="s">
        <v>4</v>
      </c>
      <c r="F909" t="str">
        <f t="shared" si="17"/>
        <v>Nie</v>
      </c>
    </row>
    <row r="910" spans="1:6" x14ac:dyDescent="0.25">
      <c r="A910">
        <v>708776804</v>
      </c>
      <c r="B910" s="1">
        <v>42929</v>
      </c>
      <c r="C910" s="2">
        <v>0.24583333333333332</v>
      </c>
      <c r="D910">
        <v>6</v>
      </c>
      <c r="E910" t="s">
        <v>4</v>
      </c>
      <c r="F910" t="str">
        <f t="shared" si="17"/>
        <v>Nie</v>
      </c>
    </row>
    <row r="911" spans="1:6" x14ac:dyDescent="0.25">
      <c r="A911">
        <v>975764618</v>
      </c>
      <c r="B911" s="1">
        <v>42929</v>
      </c>
      <c r="C911" s="2">
        <v>0.33680555555555558</v>
      </c>
      <c r="D911">
        <v>3</v>
      </c>
      <c r="E911" t="s">
        <v>5</v>
      </c>
      <c r="F911" t="str">
        <f t="shared" si="17"/>
        <v>Tak</v>
      </c>
    </row>
    <row r="912" spans="1:6" x14ac:dyDescent="0.25">
      <c r="A912">
        <v>782343523</v>
      </c>
      <c r="B912" s="1">
        <v>42929</v>
      </c>
      <c r="C912" s="2">
        <v>0.37291666666666667</v>
      </c>
      <c r="D912">
        <v>1</v>
      </c>
      <c r="E912" t="s">
        <v>5</v>
      </c>
      <c r="F912" t="str">
        <f t="shared" si="17"/>
        <v>Nie</v>
      </c>
    </row>
    <row r="913" spans="1:6" x14ac:dyDescent="0.25">
      <c r="A913">
        <v>541031973</v>
      </c>
      <c r="B913" s="1">
        <v>42929</v>
      </c>
      <c r="C913" s="2">
        <v>0.3888888888888889</v>
      </c>
      <c r="D913">
        <v>4</v>
      </c>
      <c r="E913" t="s">
        <v>3</v>
      </c>
      <c r="F913" t="str">
        <f t="shared" si="17"/>
        <v>Tak</v>
      </c>
    </row>
    <row r="914" spans="1:6" x14ac:dyDescent="0.25">
      <c r="A914">
        <v>949410531</v>
      </c>
      <c r="B914" s="1">
        <v>42929</v>
      </c>
      <c r="C914" s="2">
        <v>0.44722222222222224</v>
      </c>
      <c r="D914">
        <v>5</v>
      </c>
      <c r="E914" t="s">
        <v>3</v>
      </c>
      <c r="F914" t="str">
        <f t="shared" si="17"/>
        <v>Nie</v>
      </c>
    </row>
    <row r="915" spans="1:6" x14ac:dyDescent="0.25">
      <c r="A915">
        <v>875806925</v>
      </c>
      <c r="B915" s="1">
        <v>42929</v>
      </c>
      <c r="C915" s="2">
        <v>0.48888888888888887</v>
      </c>
      <c r="D915">
        <v>2</v>
      </c>
      <c r="E915" t="s">
        <v>4</v>
      </c>
      <c r="F915" t="str">
        <f t="shared" si="17"/>
        <v>Nie</v>
      </c>
    </row>
    <row r="916" spans="1:6" x14ac:dyDescent="0.25">
      <c r="A916">
        <v>842000234</v>
      </c>
      <c r="B916" s="1">
        <v>42929</v>
      </c>
      <c r="C916" s="2">
        <v>0.54652777777777772</v>
      </c>
      <c r="D916">
        <v>6</v>
      </c>
      <c r="E916" t="s">
        <v>4</v>
      </c>
      <c r="F916" t="str">
        <f t="shared" si="17"/>
        <v>Nie</v>
      </c>
    </row>
    <row r="917" spans="1:6" x14ac:dyDescent="0.25">
      <c r="A917">
        <v>934478749</v>
      </c>
      <c r="B917" s="1">
        <v>42929</v>
      </c>
      <c r="C917" s="2">
        <v>0.59027777777777779</v>
      </c>
      <c r="D917">
        <v>2</v>
      </c>
      <c r="E917" t="s">
        <v>4</v>
      </c>
      <c r="F917" t="str">
        <f t="shared" si="17"/>
        <v>Nie</v>
      </c>
    </row>
    <row r="918" spans="1:6" x14ac:dyDescent="0.25">
      <c r="A918">
        <v>705547630</v>
      </c>
      <c r="B918" s="1">
        <v>42929</v>
      </c>
      <c r="C918" s="2">
        <v>0.625</v>
      </c>
      <c r="D918">
        <v>5</v>
      </c>
      <c r="E918" t="s">
        <v>5</v>
      </c>
      <c r="F918" t="str">
        <f t="shared" si="17"/>
        <v>Nie</v>
      </c>
    </row>
    <row r="919" spans="1:6" x14ac:dyDescent="0.25">
      <c r="A919">
        <v>681634279</v>
      </c>
      <c r="B919" s="1">
        <v>42929</v>
      </c>
      <c r="C919" s="2">
        <v>0.70416666666666672</v>
      </c>
      <c r="D919">
        <v>3</v>
      </c>
      <c r="E919" t="s">
        <v>3</v>
      </c>
      <c r="F919" t="str">
        <f t="shared" si="17"/>
        <v>Nie</v>
      </c>
    </row>
    <row r="920" spans="1:6" x14ac:dyDescent="0.25">
      <c r="A920">
        <v>690837654</v>
      </c>
      <c r="B920" s="1">
        <v>42929</v>
      </c>
      <c r="C920" s="2">
        <v>0.78819444444444442</v>
      </c>
      <c r="D920">
        <v>2</v>
      </c>
      <c r="E920" t="s">
        <v>4</v>
      </c>
      <c r="F920" t="str">
        <f t="shared" si="17"/>
        <v>Nie</v>
      </c>
    </row>
    <row r="921" spans="1:6" x14ac:dyDescent="0.25">
      <c r="A921">
        <v>611917762</v>
      </c>
      <c r="B921" s="1">
        <v>42929</v>
      </c>
      <c r="C921" s="2">
        <v>0.88749999999999996</v>
      </c>
      <c r="D921">
        <v>2</v>
      </c>
      <c r="E921" t="s">
        <v>5</v>
      </c>
      <c r="F921" t="str">
        <f t="shared" si="17"/>
        <v>Tak</v>
      </c>
    </row>
    <row r="922" spans="1:6" x14ac:dyDescent="0.25">
      <c r="A922">
        <v>422562723</v>
      </c>
      <c r="B922" s="1">
        <v>42929</v>
      </c>
      <c r="C922" s="2">
        <v>0.94027777777777777</v>
      </c>
      <c r="D922">
        <v>4</v>
      </c>
      <c r="E922" t="s">
        <v>5</v>
      </c>
      <c r="F922" t="str">
        <f t="shared" si="17"/>
        <v>Nie</v>
      </c>
    </row>
    <row r="923" spans="1:6" x14ac:dyDescent="0.25">
      <c r="A923">
        <v>580833489</v>
      </c>
      <c r="B923" s="1">
        <v>42929</v>
      </c>
      <c r="C923" s="2">
        <v>0.95138888888888884</v>
      </c>
      <c r="D923">
        <v>5</v>
      </c>
      <c r="E923" t="s">
        <v>3</v>
      </c>
      <c r="F923" t="str">
        <f t="shared" si="17"/>
        <v>Nie</v>
      </c>
    </row>
    <row r="924" spans="1:6" x14ac:dyDescent="0.25">
      <c r="A924">
        <v>654692587</v>
      </c>
      <c r="B924" s="1">
        <v>42930</v>
      </c>
      <c r="C924" s="2">
        <v>4.1666666666666666E-3</v>
      </c>
      <c r="D924">
        <v>1</v>
      </c>
      <c r="E924" t="s">
        <v>3</v>
      </c>
      <c r="F924" t="str">
        <f t="shared" si="17"/>
        <v>Tak</v>
      </c>
    </row>
    <row r="925" spans="1:6" x14ac:dyDescent="0.25">
      <c r="A925">
        <v>766256726</v>
      </c>
      <c r="B925" s="1">
        <v>42930</v>
      </c>
      <c r="C925" s="2">
        <v>4.0972222222222222E-2</v>
      </c>
      <c r="D925">
        <v>1</v>
      </c>
      <c r="E925" t="s">
        <v>4</v>
      </c>
      <c r="F925" t="str">
        <f t="shared" si="17"/>
        <v>Nie</v>
      </c>
    </row>
    <row r="926" spans="1:6" x14ac:dyDescent="0.25">
      <c r="A926">
        <v>670582908</v>
      </c>
      <c r="B926" s="1">
        <v>42930</v>
      </c>
      <c r="C926" s="2">
        <v>0.12013888888888889</v>
      </c>
      <c r="D926">
        <v>1</v>
      </c>
      <c r="E926" t="s">
        <v>4</v>
      </c>
      <c r="F926" t="str">
        <f t="shared" si="17"/>
        <v>Nie</v>
      </c>
    </row>
    <row r="927" spans="1:6" x14ac:dyDescent="0.25">
      <c r="A927">
        <v>495291166</v>
      </c>
      <c r="B927" s="1">
        <v>42930</v>
      </c>
      <c r="C927" s="2">
        <v>0.12152777777777778</v>
      </c>
      <c r="D927">
        <v>6</v>
      </c>
      <c r="E927" t="s">
        <v>4</v>
      </c>
      <c r="F927" t="str">
        <f t="shared" si="17"/>
        <v>Nie</v>
      </c>
    </row>
    <row r="928" spans="1:6" x14ac:dyDescent="0.25">
      <c r="A928">
        <v>456754712</v>
      </c>
      <c r="B928" s="1">
        <v>42930</v>
      </c>
      <c r="C928" s="2">
        <v>0.14097222222222222</v>
      </c>
      <c r="D928">
        <v>2</v>
      </c>
      <c r="E928" t="s">
        <v>4</v>
      </c>
      <c r="F928" t="str">
        <f t="shared" si="17"/>
        <v>Nie</v>
      </c>
    </row>
    <row r="929" spans="1:6" x14ac:dyDescent="0.25">
      <c r="A929">
        <v>479537587</v>
      </c>
      <c r="B929" s="1">
        <v>42930</v>
      </c>
      <c r="C929" s="2">
        <v>0.17777777777777778</v>
      </c>
      <c r="D929">
        <v>2</v>
      </c>
      <c r="E929" t="s">
        <v>5</v>
      </c>
      <c r="F929" t="str">
        <f t="shared" si="17"/>
        <v>Tak</v>
      </c>
    </row>
    <row r="930" spans="1:6" x14ac:dyDescent="0.25">
      <c r="A930">
        <v>421153691</v>
      </c>
      <c r="B930" s="1">
        <v>42930</v>
      </c>
      <c r="C930" s="2">
        <v>0.24097222222222223</v>
      </c>
      <c r="D930">
        <v>4</v>
      </c>
      <c r="E930" t="s">
        <v>3</v>
      </c>
      <c r="F930" t="str">
        <f t="shared" si="17"/>
        <v>Tak</v>
      </c>
    </row>
    <row r="931" spans="1:6" x14ac:dyDescent="0.25">
      <c r="A931">
        <v>546989206</v>
      </c>
      <c r="B931" s="1">
        <v>42930</v>
      </c>
      <c r="C931" s="2">
        <v>0.41666666666666669</v>
      </c>
      <c r="D931">
        <v>4</v>
      </c>
      <c r="E931" t="s">
        <v>4</v>
      </c>
      <c r="F931" t="str">
        <f t="shared" si="17"/>
        <v>Nie</v>
      </c>
    </row>
    <row r="932" spans="1:6" x14ac:dyDescent="0.25">
      <c r="A932">
        <v>684852681</v>
      </c>
      <c r="B932" s="1">
        <v>42930</v>
      </c>
      <c r="C932" s="2">
        <v>0.44305555555555554</v>
      </c>
      <c r="D932">
        <v>3</v>
      </c>
      <c r="E932" t="s">
        <v>5</v>
      </c>
      <c r="F932" t="str">
        <f t="shared" si="17"/>
        <v>Tak</v>
      </c>
    </row>
    <row r="933" spans="1:6" x14ac:dyDescent="0.25">
      <c r="A933">
        <v>906605372</v>
      </c>
      <c r="B933" s="1">
        <v>42930</v>
      </c>
      <c r="C933" s="2">
        <v>0.4465277777777778</v>
      </c>
      <c r="D933">
        <v>6</v>
      </c>
      <c r="E933" t="s">
        <v>5</v>
      </c>
      <c r="F933" t="str">
        <f t="shared" si="17"/>
        <v>Tak</v>
      </c>
    </row>
    <row r="934" spans="1:6" x14ac:dyDescent="0.25">
      <c r="A934">
        <v>456754713</v>
      </c>
      <c r="B934" s="1">
        <v>42930</v>
      </c>
      <c r="C934" s="2">
        <v>0.50416666666666665</v>
      </c>
      <c r="D934">
        <v>6</v>
      </c>
      <c r="E934" t="s">
        <v>3</v>
      </c>
      <c r="F934" t="str">
        <f t="shared" si="17"/>
        <v>Nie</v>
      </c>
    </row>
    <row r="935" spans="1:6" x14ac:dyDescent="0.25">
      <c r="A935">
        <v>421153691</v>
      </c>
      <c r="B935" s="1">
        <v>42930</v>
      </c>
      <c r="C935" s="2">
        <v>0.61111111111111116</v>
      </c>
      <c r="D935">
        <v>1</v>
      </c>
      <c r="E935" t="s">
        <v>4</v>
      </c>
      <c r="F935" t="str">
        <f t="shared" si="17"/>
        <v>Nie</v>
      </c>
    </row>
    <row r="936" spans="1:6" x14ac:dyDescent="0.25">
      <c r="A936">
        <v>684852681</v>
      </c>
      <c r="B936" s="1">
        <v>42930</v>
      </c>
      <c r="C936" s="2">
        <v>0.625</v>
      </c>
      <c r="D936">
        <v>2</v>
      </c>
      <c r="E936" t="s">
        <v>5</v>
      </c>
      <c r="F936" t="str">
        <f t="shared" si="17"/>
        <v>Tak</v>
      </c>
    </row>
    <row r="937" spans="1:6" x14ac:dyDescent="0.25">
      <c r="A937">
        <v>511191374</v>
      </c>
      <c r="B937" s="1">
        <v>42930</v>
      </c>
      <c r="C937" s="2">
        <v>0.63055555555555554</v>
      </c>
      <c r="D937">
        <v>2</v>
      </c>
      <c r="E937" t="s">
        <v>4</v>
      </c>
      <c r="F937" t="str">
        <f t="shared" si="17"/>
        <v>Nie</v>
      </c>
    </row>
    <row r="938" spans="1:6" x14ac:dyDescent="0.25">
      <c r="A938">
        <v>906605372</v>
      </c>
      <c r="B938" s="1">
        <v>42930</v>
      </c>
      <c r="C938" s="2">
        <v>0.67222222222222228</v>
      </c>
      <c r="D938">
        <v>5</v>
      </c>
      <c r="E938" t="s">
        <v>3</v>
      </c>
      <c r="F938" t="str">
        <f t="shared" si="17"/>
        <v>Nie</v>
      </c>
    </row>
    <row r="939" spans="1:6" x14ac:dyDescent="0.25">
      <c r="A939">
        <v>860578455</v>
      </c>
      <c r="B939" s="1">
        <v>42930</v>
      </c>
      <c r="C939" s="2">
        <v>0.73333333333333328</v>
      </c>
      <c r="D939">
        <v>5</v>
      </c>
      <c r="E939" t="s">
        <v>4</v>
      </c>
      <c r="F939" t="str">
        <f t="shared" si="17"/>
        <v>Tak</v>
      </c>
    </row>
    <row r="940" spans="1:6" x14ac:dyDescent="0.25">
      <c r="A940">
        <v>410138406</v>
      </c>
      <c r="B940" s="1">
        <v>42930</v>
      </c>
      <c r="C940" s="2">
        <v>0.78333333333333333</v>
      </c>
      <c r="D940">
        <v>2</v>
      </c>
      <c r="E940" t="s">
        <v>5</v>
      </c>
      <c r="F940" t="str">
        <f t="shared" si="17"/>
        <v>Tak</v>
      </c>
    </row>
    <row r="941" spans="1:6" x14ac:dyDescent="0.25">
      <c r="A941">
        <v>759631687</v>
      </c>
      <c r="B941" s="1">
        <v>42930</v>
      </c>
      <c r="C941" s="2">
        <v>0.82430555555555551</v>
      </c>
      <c r="D941">
        <v>1</v>
      </c>
      <c r="E941" t="s">
        <v>5</v>
      </c>
      <c r="F941" t="str">
        <f t="shared" si="17"/>
        <v>Nie</v>
      </c>
    </row>
    <row r="942" spans="1:6" x14ac:dyDescent="0.25">
      <c r="A942">
        <v>885040629</v>
      </c>
      <c r="B942" s="1">
        <v>42930</v>
      </c>
      <c r="C942" s="2">
        <v>0.84583333333333333</v>
      </c>
      <c r="D942">
        <v>2</v>
      </c>
      <c r="E942" t="s">
        <v>3</v>
      </c>
      <c r="F942" t="str">
        <f t="shared" si="17"/>
        <v>Nie</v>
      </c>
    </row>
    <row r="943" spans="1:6" x14ac:dyDescent="0.25">
      <c r="A943">
        <v>529069571</v>
      </c>
      <c r="B943" s="1">
        <v>42930</v>
      </c>
      <c r="C943" s="2">
        <v>0.88749999999999996</v>
      </c>
      <c r="D943">
        <v>6</v>
      </c>
      <c r="E943" t="s">
        <v>3</v>
      </c>
      <c r="F943" t="str">
        <f t="shared" si="17"/>
        <v>Nie</v>
      </c>
    </row>
    <row r="944" spans="1:6" x14ac:dyDescent="0.25">
      <c r="A944">
        <v>798064543</v>
      </c>
      <c r="B944" s="1">
        <v>42930</v>
      </c>
      <c r="C944" s="2">
        <v>0.9819444444444444</v>
      </c>
      <c r="D944">
        <v>3</v>
      </c>
      <c r="E944" t="s">
        <v>4</v>
      </c>
      <c r="F944" t="str">
        <f t="shared" si="17"/>
        <v>Nie</v>
      </c>
    </row>
    <row r="945" spans="1:6" x14ac:dyDescent="0.25">
      <c r="A945">
        <v>500093166</v>
      </c>
      <c r="B945" s="1">
        <v>42931</v>
      </c>
      <c r="C945" s="2">
        <v>0.15902777777777777</v>
      </c>
      <c r="D945">
        <v>4</v>
      </c>
      <c r="E945" t="s">
        <v>4</v>
      </c>
      <c r="F945" t="str">
        <f t="shared" si="17"/>
        <v>Nie</v>
      </c>
    </row>
    <row r="946" spans="1:6" x14ac:dyDescent="0.25">
      <c r="A946">
        <v>815057747</v>
      </c>
      <c r="B946" s="1">
        <v>42931</v>
      </c>
      <c r="C946" s="2">
        <v>0.27152777777777776</v>
      </c>
      <c r="D946">
        <v>3</v>
      </c>
      <c r="E946" t="s">
        <v>3</v>
      </c>
      <c r="F946" t="str">
        <f t="shared" si="17"/>
        <v>Nie</v>
      </c>
    </row>
    <row r="947" spans="1:6" x14ac:dyDescent="0.25">
      <c r="A947">
        <v>658486083</v>
      </c>
      <c r="B947" s="1">
        <v>42931</v>
      </c>
      <c r="C947" s="2">
        <v>0.28402777777777777</v>
      </c>
      <c r="D947">
        <v>4</v>
      </c>
      <c r="E947" t="s">
        <v>4</v>
      </c>
      <c r="F947" t="str">
        <f t="shared" si="17"/>
        <v>Nie</v>
      </c>
    </row>
    <row r="948" spans="1:6" x14ac:dyDescent="0.25">
      <c r="A948">
        <v>761645826</v>
      </c>
      <c r="B948" s="1">
        <v>42931</v>
      </c>
      <c r="C948" s="2">
        <v>0.30069444444444443</v>
      </c>
      <c r="D948">
        <v>3</v>
      </c>
      <c r="E948" t="s">
        <v>4</v>
      </c>
      <c r="F948" t="str">
        <f t="shared" si="17"/>
        <v>Nie</v>
      </c>
    </row>
    <row r="949" spans="1:6" x14ac:dyDescent="0.25">
      <c r="A949">
        <v>474633859</v>
      </c>
      <c r="B949" s="1">
        <v>42931</v>
      </c>
      <c r="C949" s="2">
        <v>0.38611111111111113</v>
      </c>
      <c r="D949">
        <v>5</v>
      </c>
      <c r="E949" t="s">
        <v>5</v>
      </c>
      <c r="F949" t="str">
        <f t="shared" si="17"/>
        <v>Nie</v>
      </c>
    </row>
    <row r="950" spans="1:6" x14ac:dyDescent="0.25">
      <c r="A950">
        <v>523809386</v>
      </c>
      <c r="B950" s="1">
        <v>42931</v>
      </c>
      <c r="C950" s="2">
        <v>0.44027777777777777</v>
      </c>
      <c r="D950">
        <v>4</v>
      </c>
      <c r="E950" t="s">
        <v>5</v>
      </c>
      <c r="F950" t="str">
        <f t="shared" si="17"/>
        <v>Nie</v>
      </c>
    </row>
    <row r="951" spans="1:6" x14ac:dyDescent="0.25">
      <c r="A951">
        <v>956870062</v>
      </c>
      <c r="B951" s="1">
        <v>42931</v>
      </c>
      <c r="C951" s="2">
        <v>0.48680555555555555</v>
      </c>
      <c r="D951">
        <v>3</v>
      </c>
      <c r="E951" t="s">
        <v>3</v>
      </c>
      <c r="F951" t="str">
        <f t="shared" si="17"/>
        <v>Nie</v>
      </c>
    </row>
    <row r="952" spans="1:6" x14ac:dyDescent="0.25">
      <c r="A952">
        <v>708776804</v>
      </c>
      <c r="B952" s="1">
        <v>42931</v>
      </c>
      <c r="C952" s="2">
        <v>0.58125000000000004</v>
      </c>
      <c r="D952">
        <v>3</v>
      </c>
      <c r="E952" t="s">
        <v>3</v>
      </c>
      <c r="F952" t="str">
        <f t="shared" si="17"/>
        <v>Nie</v>
      </c>
    </row>
    <row r="953" spans="1:6" x14ac:dyDescent="0.25">
      <c r="A953">
        <v>949410531</v>
      </c>
      <c r="B953" s="1">
        <v>42931</v>
      </c>
      <c r="C953" s="2">
        <v>0.625</v>
      </c>
      <c r="D953">
        <v>4</v>
      </c>
      <c r="E953" t="s">
        <v>5</v>
      </c>
      <c r="F953" t="str">
        <f t="shared" si="17"/>
        <v>Nie</v>
      </c>
    </row>
    <row r="954" spans="1:6" x14ac:dyDescent="0.25">
      <c r="A954">
        <v>875806925</v>
      </c>
      <c r="B954" s="1">
        <v>42931</v>
      </c>
      <c r="C954" s="2">
        <v>0.64166666666666672</v>
      </c>
      <c r="D954">
        <v>3</v>
      </c>
      <c r="E954" t="s">
        <v>3</v>
      </c>
      <c r="F954" t="str">
        <f t="shared" si="17"/>
        <v>Nie</v>
      </c>
    </row>
    <row r="955" spans="1:6" x14ac:dyDescent="0.25">
      <c r="A955">
        <v>975764618</v>
      </c>
      <c r="B955" s="1">
        <v>42931</v>
      </c>
      <c r="C955" s="2">
        <v>0.68055555555555558</v>
      </c>
      <c r="D955">
        <v>5</v>
      </c>
      <c r="E955" t="s">
        <v>4</v>
      </c>
      <c r="F955" t="str">
        <f t="shared" si="17"/>
        <v>Tak</v>
      </c>
    </row>
    <row r="956" spans="1:6" x14ac:dyDescent="0.25">
      <c r="A956">
        <v>842000234</v>
      </c>
      <c r="B956" s="1">
        <v>42931</v>
      </c>
      <c r="C956" s="2">
        <v>0.72361111111111109</v>
      </c>
      <c r="D956">
        <v>4</v>
      </c>
      <c r="E956" t="s">
        <v>4</v>
      </c>
      <c r="F956" t="str">
        <f t="shared" si="17"/>
        <v>Nie</v>
      </c>
    </row>
    <row r="957" spans="1:6" x14ac:dyDescent="0.25">
      <c r="A957">
        <v>934478749</v>
      </c>
      <c r="B957" s="1">
        <v>42931</v>
      </c>
      <c r="C957" s="2">
        <v>0.7270833333333333</v>
      </c>
      <c r="D957">
        <v>3</v>
      </c>
      <c r="E957" t="s">
        <v>5</v>
      </c>
      <c r="F957" t="str">
        <f t="shared" si="17"/>
        <v>Tak</v>
      </c>
    </row>
    <row r="958" spans="1:6" x14ac:dyDescent="0.25">
      <c r="A958">
        <v>782343523</v>
      </c>
      <c r="B958" s="1">
        <v>42931</v>
      </c>
      <c r="C958" s="2">
        <v>0.72847222222222219</v>
      </c>
      <c r="D958">
        <v>6</v>
      </c>
      <c r="E958" t="s">
        <v>4</v>
      </c>
      <c r="F958" t="str">
        <f t="shared" si="17"/>
        <v>Nie</v>
      </c>
    </row>
    <row r="959" spans="1:6" x14ac:dyDescent="0.25">
      <c r="A959">
        <v>705547630</v>
      </c>
      <c r="B959" s="1">
        <v>42931</v>
      </c>
      <c r="C959" s="2">
        <v>0.7680555555555556</v>
      </c>
      <c r="D959">
        <v>4</v>
      </c>
      <c r="E959" t="s">
        <v>5</v>
      </c>
      <c r="F959" t="str">
        <f t="shared" si="17"/>
        <v>Nie</v>
      </c>
    </row>
    <row r="960" spans="1:6" x14ac:dyDescent="0.25">
      <c r="A960">
        <v>541031973</v>
      </c>
      <c r="B960" s="1">
        <v>42931</v>
      </c>
      <c r="C960" s="2">
        <v>0.80069444444444449</v>
      </c>
      <c r="D960">
        <v>5</v>
      </c>
      <c r="E960" t="s">
        <v>4</v>
      </c>
      <c r="F960" t="str">
        <f t="shared" si="17"/>
        <v>Tak</v>
      </c>
    </row>
    <row r="961" spans="1:6" x14ac:dyDescent="0.25">
      <c r="A961">
        <v>681634279</v>
      </c>
      <c r="B961" s="1">
        <v>42931</v>
      </c>
      <c r="C961" s="2">
        <v>0.84513888888888888</v>
      </c>
      <c r="D961">
        <v>4</v>
      </c>
      <c r="E961" t="s">
        <v>3</v>
      </c>
      <c r="F961" t="str">
        <f t="shared" si="17"/>
        <v>Tak</v>
      </c>
    </row>
    <row r="962" spans="1:6" x14ac:dyDescent="0.25">
      <c r="A962">
        <v>690837654</v>
      </c>
      <c r="B962" s="1">
        <v>42931</v>
      </c>
      <c r="C962" s="2">
        <v>0.84583333333333333</v>
      </c>
      <c r="D962">
        <v>5</v>
      </c>
      <c r="E962" t="s">
        <v>3</v>
      </c>
      <c r="F962" t="str">
        <f t="shared" ref="F962:F981" si="18">IF(E962=VLOOKUP(D962,$M$23:$O$30,2,FALSE),"Tak","Nie")</f>
        <v>Nie</v>
      </c>
    </row>
    <row r="963" spans="1:6" x14ac:dyDescent="0.25">
      <c r="A963">
        <v>611917762</v>
      </c>
      <c r="B963" s="1">
        <v>42931</v>
      </c>
      <c r="C963" s="2">
        <v>0.85138888888888886</v>
      </c>
      <c r="D963">
        <v>4</v>
      </c>
      <c r="E963" t="s">
        <v>4</v>
      </c>
      <c r="F963" t="str">
        <f t="shared" si="18"/>
        <v>Nie</v>
      </c>
    </row>
    <row r="964" spans="1:6" x14ac:dyDescent="0.25">
      <c r="A964">
        <v>422562723</v>
      </c>
      <c r="B964" s="1">
        <v>42931</v>
      </c>
      <c r="C964" s="2">
        <v>0.88263888888888886</v>
      </c>
      <c r="D964">
        <v>5</v>
      </c>
      <c r="E964" t="s">
        <v>4</v>
      </c>
      <c r="F964" t="str">
        <f t="shared" si="18"/>
        <v>Tak</v>
      </c>
    </row>
    <row r="965" spans="1:6" x14ac:dyDescent="0.25">
      <c r="A965">
        <v>580833489</v>
      </c>
      <c r="B965" s="1">
        <v>42931</v>
      </c>
      <c r="C965" s="2">
        <v>0.88263888888888886</v>
      </c>
      <c r="D965">
        <v>3</v>
      </c>
      <c r="E965" t="s">
        <v>4</v>
      </c>
      <c r="F965" t="str">
        <f t="shared" si="18"/>
        <v>Nie</v>
      </c>
    </row>
    <row r="966" spans="1:6" x14ac:dyDescent="0.25">
      <c r="A966">
        <v>654692587</v>
      </c>
      <c r="B966" s="1">
        <v>42931</v>
      </c>
      <c r="C966" s="2">
        <v>0.8979166666666667</v>
      </c>
      <c r="D966">
        <v>4</v>
      </c>
      <c r="E966" t="s">
        <v>4</v>
      </c>
      <c r="F966" t="str">
        <f t="shared" si="18"/>
        <v>Nie</v>
      </c>
    </row>
    <row r="967" spans="1:6" x14ac:dyDescent="0.25">
      <c r="A967">
        <v>766256726</v>
      </c>
      <c r="B967" s="1">
        <v>42931</v>
      </c>
      <c r="C967" s="2">
        <v>0.97222222222222221</v>
      </c>
      <c r="D967">
        <v>3</v>
      </c>
      <c r="E967" t="s">
        <v>5</v>
      </c>
      <c r="F967" t="str">
        <f t="shared" si="18"/>
        <v>Tak</v>
      </c>
    </row>
    <row r="968" spans="1:6" x14ac:dyDescent="0.25">
      <c r="A968">
        <v>670582908</v>
      </c>
      <c r="B968" s="1">
        <v>42932</v>
      </c>
      <c r="C968" s="2">
        <v>2.0833333333333332E-2</v>
      </c>
      <c r="D968">
        <v>2</v>
      </c>
      <c r="E968" t="s">
        <v>3</v>
      </c>
      <c r="F968" t="str">
        <f t="shared" si="18"/>
        <v>Nie</v>
      </c>
    </row>
    <row r="969" spans="1:6" x14ac:dyDescent="0.25">
      <c r="A969">
        <v>495291166</v>
      </c>
      <c r="B969" s="1">
        <v>42932</v>
      </c>
      <c r="C969" s="2">
        <v>7.7083333333333337E-2</v>
      </c>
      <c r="D969">
        <v>3</v>
      </c>
      <c r="E969" t="s">
        <v>4</v>
      </c>
      <c r="F969" t="str">
        <f t="shared" si="18"/>
        <v>Nie</v>
      </c>
    </row>
    <row r="970" spans="1:6" x14ac:dyDescent="0.25">
      <c r="A970">
        <v>456754722</v>
      </c>
      <c r="B970" s="1">
        <v>42932</v>
      </c>
      <c r="C970" s="2">
        <v>0.1361111111111111</v>
      </c>
      <c r="D970">
        <v>5</v>
      </c>
      <c r="E970" t="s">
        <v>4</v>
      </c>
      <c r="F970" t="str">
        <f t="shared" si="18"/>
        <v>Tak</v>
      </c>
    </row>
    <row r="971" spans="1:6" x14ac:dyDescent="0.25">
      <c r="A971">
        <v>511191374</v>
      </c>
      <c r="B971" s="1">
        <v>42932</v>
      </c>
      <c r="C971" s="2">
        <v>0.3527777777777778</v>
      </c>
      <c r="D971">
        <v>4</v>
      </c>
      <c r="E971" t="s">
        <v>3</v>
      </c>
      <c r="F971" t="str">
        <f t="shared" si="18"/>
        <v>Tak</v>
      </c>
    </row>
    <row r="972" spans="1:6" x14ac:dyDescent="0.25">
      <c r="A972">
        <v>684852681</v>
      </c>
      <c r="B972" s="1">
        <v>42932</v>
      </c>
      <c r="C972" s="2">
        <v>0.47013888888888888</v>
      </c>
      <c r="D972">
        <v>1</v>
      </c>
      <c r="E972" t="s">
        <v>4</v>
      </c>
      <c r="F972" t="str">
        <f t="shared" si="18"/>
        <v>Nie</v>
      </c>
    </row>
    <row r="973" spans="1:6" x14ac:dyDescent="0.25">
      <c r="A973">
        <v>906605372</v>
      </c>
      <c r="B973" s="1">
        <v>42932</v>
      </c>
      <c r="C973" s="2">
        <v>0.47708333333333336</v>
      </c>
      <c r="D973">
        <v>1</v>
      </c>
      <c r="E973" t="s">
        <v>4</v>
      </c>
      <c r="F973" t="str">
        <f t="shared" si="18"/>
        <v>Nie</v>
      </c>
    </row>
    <row r="974" spans="1:6" x14ac:dyDescent="0.25">
      <c r="A974">
        <v>456754812</v>
      </c>
      <c r="B974" s="1">
        <v>42932</v>
      </c>
      <c r="C974" s="2">
        <v>0.55902777777777779</v>
      </c>
      <c r="D974">
        <v>6</v>
      </c>
      <c r="E974" t="s">
        <v>4</v>
      </c>
      <c r="F974" t="str">
        <f t="shared" si="18"/>
        <v>Nie</v>
      </c>
    </row>
    <row r="975" spans="1:6" x14ac:dyDescent="0.25">
      <c r="A975">
        <v>479537587</v>
      </c>
      <c r="B975" s="1">
        <v>42932</v>
      </c>
      <c r="C975" s="2">
        <v>0.625</v>
      </c>
      <c r="D975">
        <v>1</v>
      </c>
      <c r="E975" t="s">
        <v>5</v>
      </c>
      <c r="F975" t="str">
        <f t="shared" si="18"/>
        <v>Nie</v>
      </c>
    </row>
    <row r="976" spans="1:6" x14ac:dyDescent="0.25">
      <c r="A976">
        <v>511191374</v>
      </c>
      <c r="B976" s="1">
        <v>42932</v>
      </c>
      <c r="C976" s="2">
        <v>0.73888888888888893</v>
      </c>
      <c r="D976">
        <v>1</v>
      </c>
      <c r="E976" t="s">
        <v>4</v>
      </c>
      <c r="F976" t="str">
        <f t="shared" si="18"/>
        <v>Nie</v>
      </c>
    </row>
    <row r="977" spans="1:6" x14ac:dyDescent="0.25">
      <c r="A977">
        <v>778942448</v>
      </c>
      <c r="B977" s="1">
        <v>42932</v>
      </c>
      <c r="C977" s="2">
        <v>0.89097222222222228</v>
      </c>
      <c r="D977">
        <v>6</v>
      </c>
      <c r="E977" t="s">
        <v>3</v>
      </c>
      <c r="F977" t="str">
        <f t="shared" si="18"/>
        <v>Nie</v>
      </c>
    </row>
    <row r="978" spans="1:6" x14ac:dyDescent="0.25">
      <c r="A978">
        <v>926015028</v>
      </c>
      <c r="B978" s="1">
        <v>42932</v>
      </c>
      <c r="C978" s="2">
        <v>0.89652777777777781</v>
      </c>
      <c r="D978">
        <v>6</v>
      </c>
      <c r="E978" t="s">
        <v>3</v>
      </c>
      <c r="F978" t="str">
        <f t="shared" si="18"/>
        <v>Nie</v>
      </c>
    </row>
    <row r="979" spans="1:6" x14ac:dyDescent="0.25">
      <c r="A979">
        <v>414701452</v>
      </c>
      <c r="B979" s="1">
        <v>42932</v>
      </c>
      <c r="C979" s="2">
        <v>0.93611111111111112</v>
      </c>
      <c r="D979">
        <v>2</v>
      </c>
      <c r="E979" t="s">
        <v>4</v>
      </c>
      <c r="F979" t="str">
        <f t="shared" si="18"/>
        <v>Nie</v>
      </c>
    </row>
    <row r="980" spans="1:6" x14ac:dyDescent="0.25">
      <c r="A980">
        <v>879433015</v>
      </c>
      <c r="B980" s="1">
        <v>42933</v>
      </c>
      <c r="C980" s="2">
        <v>9.0277777777777769E-3</v>
      </c>
      <c r="D980">
        <v>3</v>
      </c>
      <c r="E980" t="s">
        <v>4</v>
      </c>
      <c r="F980" t="str">
        <f t="shared" si="18"/>
        <v>Nie</v>
      </c>
    </row>
    <row r="981" spans="1:6" x14ac:dyDescent="0.25">
      <c r="A981">
        <v>918688079</v>
      </c>
      <c r="B981" s="1">
        <v>42933</v>
      </c>
      <c r="C981" s="2">
        <v>7.6388888888888895E-2</v>
      </c>
      <c r="D981">
        <v>5</v>
      </c>
      <c r="E981" t="s">
        <v>4</v>
      </c>
      <c r="F981" t="str">
        <f t="shared" si="18"/>
        <v>Tak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6BE45-3253-436E-9554-C22A15E9DF46}">
  <dimension ref="A1:B7"/>
  <sheetViews>
    <sheetView workbookViewId="0">
      <selection activeCell="F37" sqref="F37"/>
    </sheetView>
  </sheetViews>
  <sheetFormatPr defaultRowHeight="15" x14ac:dyDescent="0.25"/>
  <cols>
    <col min="1" max="1" width="16.5703125" bestFit="1" customWidth="1"/>
    <col min="2" max="2" width="24.28515625" bestFit="1" customWidth="1"/>
  </cols>
  <sheetData>
    <row r="1" spans="1:2" x14ac:dyDescent="0.25">
      <c r="A1" t="s">
        <v>10</v>
      </c>
      <c r="B1" t="s">
        <v>11</v>
      </c>
    </row>
    <row r="2" spans="1:2" x14ac:dyDescent="0.25">
      <c r="A2">
        <v>1</v>
      </c>
      <c r="B2" t="s">
        <v>3</v>
      </c>
    </row>
    <row r="3" spans="1:2" x14ac:dyDescent="0.25">
      <c r="A3">
        <v>2</v>
      </c>
      <c r="B3" t="s">
        <v>5</v>
      </c>
    </row>
    <row r="4" spans="1:2" x14ac:dyDescent="0.25">
      <c r="A4">
        <v>3</v>
      </c>
      <c r="B4" t="s">
        <v>5</v>
      </c>
    </row>
    <row r="5" spans="1:2" x14ac:dyDescent="0.25">
      <c r="A5">
        <v>4</v>
      </c>
      <c r="B5" t="s">
        <v>3</v>
      </c>
    </row>
    <row r="6" spans="1:2" x14ac:dyDescent="0.25">
      <c r="A6">
        <v>5</v>
      </c>
      <c r="B6" t="s">
        <v>4</v>
      </c>
    </row>
    <row r="7" spans="1:2" x14ac:dyDescent="0.25">
      <c r="A7">
        <v>6</v>
      </c>
      <c r="B7" t="s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BE29A-0429-44BC-BA2F-4B38FEB0DA88}">
  <dimension ref="A1:B5"/>
  <sheetViews>
    <sheetView workbookViewId="0">
      <selection activeCell="A4" sqref="A4"/>
    </sheetView>
  </sheetViews>
  <sheetFormatPr defaultRowHeight="15" x14ac:dyDescent="0.25"/>
  <cols>
    <col min="1" max="1" width="18.140625" bestFit="1" customWidth="1"/>
    <col min="2" max="2" width="25.5703125" bestFit="1" customWidth="1"/>
    <col min="3" max="3" width="26.5703125" bestFit="1" customWidth="1"/>
  </cols>
  <sheetData>
    <row r="1" spans="1:2" x14ac:dyDescent="0.25">
      <c r="A1" s="4" t="s">
        <v>17</v>
      </c>
      <c r="B1" t="s">
        <v>22</v>
      </c>
    </row>
    <row r="3" spans="1:2" x14ac:dyDescent="0.25">
      <c r="A3" s="4" t="s">
        <v>19</v>
      </c>
      <c r="B3" t="s">
        <v>21</v>
      </c>
    </row>
    <row r="4" spans="1:2" x14ac:dyDescent="0.25">
      <c r="A4" s="5">
        <v>735284701</v>
      </c>
      <c r="B4">
        <v>6</v>
      </c>
    </row>
    <row r="5" spans="1:2" x14ac:dyDescent="0.25">
      <c r="A5" s="5" t="s">
        <v>20</v>
      </c>
      <c r="B5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C7A275-729A-4057-A2AF-48C40FBE9F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konkurs</vt:lpstr>
      <vt:lpstr>odpowiedzi</vt:lpstr>
      <vt:lpstr>4_5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Wnuczko</dc:creator>
  <cp:lastModifiedBy>Alan Wnuczko</cp:lastModifiedBy>
  <dcterms:created xsi:type="dcterms:W3CDTF">2026-06-17T15:15:04Z</dcterms:created>
  <dcterms:modified xsi:type="dcterms:W3CDTF">2026-06-17T16:43:09Z</dcterms:modified>
</cp:coreProperties>
</file>